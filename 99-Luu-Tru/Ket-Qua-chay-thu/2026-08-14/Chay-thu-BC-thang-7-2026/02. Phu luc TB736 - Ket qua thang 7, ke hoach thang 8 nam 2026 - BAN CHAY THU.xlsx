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eb819081d94e27" /></Relationships>
</file>

<file path=xl/workbook.xml><?xml version="1.0" encoding="utf-8"?>
<x:workbook xmlns:x="http://schemas.openxmlformats.org/spreadsheetml/2006/main">
  <x:sheets>
    <x:sheet xmlns:r="http://schemas.openxmlformats.org/officeDocument/2006/relationships" name="PL IIb - KQ T7" sheetId="1" r:id="R94f28a3ab64d4c7b"/>
    <x:sheet xmlns:r="http://schemas.openxmlformats.org/officeDocument/2006/relationships" name="PL Ib - KH T8" sheetId="2" r:id="R0187b11f5dad49aa"/>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2"/>
      <x:color rgb="FF000000"/>
      <x:name val="Times New Roman"/>
    </x:font>
    <x:font>
      <x:b/>
      <x:sz val="14"/>
      <x:color rgb="FF000000"/>
      <x:name val="Times New Roman"/>
    </x:font>
    <x:font>
      <x:b/>
      <x:sz val="10"/>
      <x:color rgb="FFC00000"/>
      <x:name val="Times New Roman"/>
    </x:font>
    <x:font>
      <x:b/>
      <x:sz val="9"/>
      <x:color rgb="FF000000"/>
      <x:name val="Times New Roman"/>
    </x:font>
    <x:font>
      <x:b/>
      <x:sz val="10"/>
      <x:color rgb="FF000000"/>
      <x:name val="Times New Roman"/>
    </x:font>
    <x:font>
      <x:sz val="9"/>
      <x:color rgb="FF000000"/>
      <x:name val="Times New Roman"/>
    </x:font>
    <x:font>
      <x:i/>
      <x:sz val="9"/>
      <x:color rgb="FF666666"/>
      <x:name val="Times New Roman"/>
    </x:font>
    <x:font>
      <x:sz val="11"/>
      <x:name val="Times New Roman"/>
    </x:font>
  </x:fonts>
  <x:fills count="5">
    <x:fill>
      <x:patternFill patternType="none"/>
    </x:fill>
    <x:fill>
      <x:patternFill patternType="gray125"/>
    </x:fill>
    <x:fill>
      <x:patternFill patternType="solid">
        <x:fgColor rgb="FFDDEBF7"/>
      </x:patternFill>
    </x:fill>
    <x:fill>
      <x:patternFill patternType="solid">
        <x:fgColor rgb="FFB4C6E7"/>
      </x:patternFill>
    </x:fill>
    <x:fill>
      <x:patternFill patternType="solid">
        <x:fgColor rgb="FFD9EAF7"/>
      </x:patternFill>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center" wrapText="1"/>
    </x:xf>
    <x:xf numFmtId="0" fontId="1" fillId="0"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horizontal="center" wrapText="1"/>
    </x:xf>
    <x:xf numFmtId="0" fontId="3" fillId="0" borderId="0" xfId="0" applyNumberFormat="1" applyFont="1" applyFill="1" applyBorder="1" applyAlignment="1">
      <x:alignment horizontal="center" vertical="center"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3" borderId="0"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center" wrapText="1"/>
    </x:xf>
    <x:xf numFmtId="0" fontId="0" fillId="4" borderId="0"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center" wrapText="1"/>
    </x:xf>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center" wrapText="1"/>
    </x:xf>
    <x:xf numFmtId="0" fontId="6" fillId="0" borderId="1" xfId="0" applyNumberFormat="1" applyFont="1" applyFill="1" applyBorder="1" applyAlignment="1">
      <x:alignment horizontal="center" vertical="center" wrapText="1"/>
    </x:xf>
    <x:xf numFmtId="0" fontId="7" fillId="0" borderId="0" xfId="0" applyNumberFormat="1" applyFont="1" applyFill="1" applyBorder="1"/>
    <x:xf numFmtId="0" fontId="7" fillId="0" borderId="1" xfId="0" applyNumberFormat="1" applyFont="1" applyFill="1" applyBorder="1"/>
    <x:xf numFmtId="0" fontId="7" fillId="0" borderId="1" xfId="0" applyNumberFormat="1" applyFont="1" applyFill="1" applyBorder="1" applyAlignment="1">
      <x:alignment wrapText="1"/>
    </x:xf>
    <x:xf numFmtId="0" fontId="8" fillId="0" borderId="0" xfId="0" applyNumberFormat="1" applyFont="1" applyFill="1" applyBorder="1"/>
    <x:xf numFmtId="0" fontId="8" fillId="0" borderId="0" xfId="0" applyNumberFormat="1" applyFont="1" applyFill="1" applyBorder="1" applyAlignment="1">
      <x:alignment vertical="center"/>
    </x:xf>
    <x:xf numFmtId="0" fontId="7"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06653b4fa34ac2" /><Relationship Type="http://schemas.openxmlformats.org/officeDocument/2006/relationships/theme" Target="/xl/theme/theme1.xml" Id="R6c86c89338414c17" /><Relationship Type="http://schemas.openxmlformats.org/officeDocument/2006/relationships/sharedStrings" Target="/xl/sharedStrings.xml" Id="R966c781fe3bf44ea" /><Relationship Type="http://schemas.openxmlformats.org/officeDocument/2006/relationships/worksheet" Target="/xl/worksheets/sheet1.xml" Id="R94f28a3ab64d4c7b" /><Relationship Type="http://schemas.openxmlformats.org/officeDocument/2006/relationships/worksheet" Target="/xl/worksheets/sheet2.xml" Id="R0187b11f5dad49a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52" hidden="0" customWidth="1"/>
    <x:col min="3" max="3" width="18" hidden="0" customWidth="1"/>
    <x:col min="4" max="4" width="22" hidden="0" customWidth="1"/>
    <x:col min="5" max="5" width="30" hidden="0" customWidth="1"/>
    <x:col min="6" max="6" width="10" hidden="0" customWidth="1"/>
    <x:col min="7" max="7" width="18" hidden="0" customWidth="1"/>
    <x:col min="8" max="8" width="10" hidden="0" customWidth="1"/>
    <x:col min="9" max="9" width="10" hidden="0" customWidth="1"/>
    <x:col min="10" max="10" width="11" hidden="0" customWidth="1"/>
    <x:col min="11" max="11" width="13" hidden="0" customWidth="1"/>
    <x:col min="12" max="12" width="11" hidden="0" customWidth="1"/>
    <x:col min="13" max="13" width="13" hidden="0" customWidth="1"/>
    <x:col min="14" max="14" width="11" hidden="0" customWidth="1"/>
    <x:col min="15" max="15" width="13" hidden="0" customWidth="1"/>
    <x:col min="16" max="16" width="11" hidden="0" customWidth="1"/>
  </x:cols>
  <x:sheetData>
    <x:row r="1">
      <x:c r="A1" s="4" t="str">
        <x:v>UBND TỈNH QUẢNG NGÃI</x:v>
      </x:c>
      <x:c r="B1" s="4" t="str">
        <x:v>UBND TỈNH QUẢNG NGÃI</x:v>
      </x:c>
      <x:c r="C1" s="4" t="str">
        <x:v>UBND TỈNH QUẢNG NGÃI</x:v>
      </x:c>
      <x:c r="D1" s="4" t="str">
        <x:v>UBND TỈNH QUẢNG NGÃI</x:v>
      </x:c>
      <x:c r="E1" s="4" t="str">
        <x:v>UBND TỈNH QUẢNG NGÃI</x:v>
      </x:c>
      <x:c r="F1" s="4" t="str">
        <x:v>UBND TỈNH QUẢNG NGÃI</x:v>
      </x:c>
      <x:c r="G1" s="4" t="str">
        <x:v>CỘNG HÒA XÃ HỘI CHỦ NGHĨA VIỆT NAM</x:v>
      </x:c>
      <x:c r="H1" s="4" t="str">
        <x:v>CỘNG HÒA XÃ HỘI CHỦ NGHĨA VIỆT NAM</x:v>
      </x:c>
      <x:c r="I1" s="4" t="str">
        <x:v>CỘNG HÒA XÃ HỘI CHỦ NGHĨA VIỆT NAM</x:v>
      </x:c>
      <x:c r="J1" s="4" t="str">
        <x:v>CỘNG HÒA XÃ HỘI CHỦ NGHĨA VIỆT NAM</x:v>
      </x:c>
      <x:c r="K1" s="4" t="str">
        <x:v>CỘNG HÒA XÃ HỘI CHỦ NGHĨA VIỆT NAM</x:v>
      </x:c>
      <x:c r="L1" s="4" t="str">
        <x:v>CỘNG HÒA XÃ HỘI CHỦ NGHĨA VIỆT NAM</x:v>
      </x:c>
      <x:c r="M1" s="4" t="str">
        <x:v>CỘNG HÒA XÃ HỘI CHỦ NGHĨA VIỆT NAM</x:v>
      </x:c>
      <x:c r="N1" s="4" t="str">
        <x:v>CỘNG HÒA XÃ HỘI CHỦ NGHĨA VIỆT NAM</x:v>
      </x:c>
      <x:c r="O1" s="4" t="str">
        <x:v>CỘNG HÒA XÃ HỘI CHỦ NGHĨA VIỆT NAM</x:v>
      </x:c>
      <x:c r="P1" s="4" t="str">
        <x:v>CỘNG HÒA XÃ HỘI CHỦ NGHĨA VIỆT NAM</x:v>
      </x:c>
    </x:row>
    <x:row r="2">
      <x:c r="A2" s="4" t="str">
        <x:v>TRƯỜNG CAO ĐẲNG KON TUM</x:v>
      </x:c>
      <x:c r="B2" s="4" t="str">
        <x:v>TRƯỜNG CAO ĐẲNG KON TUM</x:v>
      </x:c>
      <x:c r="C2" s="4" t="str">
        <x:v>TRƯỜNG CAO ĐẲNG KON TUM</x:v>
      </x:c>
      <x:c r="D2" s="4" t="str">
        <x:v>TRƯỜNG CAO ĐẲNG KON TUM</x:v>
      </x:c>
      <x:c r="E2" s="4" t="str">
        <x:v>TRƯỜNG CAO ĐẲNG KON TUM</x:v>
      </x:c>
      <x:c r="F2" s="4" t="str">
        <x:v>TRƯỜNG CAO ĐẲNG KON TUM</x:v>
      </x:c>
      <x:c r="G2" s="4" t="str">
        <x:v>Độc lập - Tự do - Hạnh phúc</x:v>
      </x:c>
      <x:c r="H2" s="4" t="str">
        <x:v>Độc lập - Tự do - Hạnh phúc</x:v>
      </x:c>
      <x:c r="I2" s="4" t="str">
        <x:v>Độc lập - Tự do - Hạnh phúc</x:v>
      </x:c>
      <x:c r="J2" s="4" t="str">
        <x:v>Độc lập - Tự do - Hạnh phúc</x:v>
      </x:c>
      <x:c r="K2" s="4" t="str">
        <x:v>Độc lập - Tự do - Hạnh phúc</x:v>
      </x:c>
      <x:c r="L2" s="4" t="str">
        <x:v>Độc lập - Tự do - Hạnh phúc</x:v>
      </x:c>
      <x:c r="M2" s="4" t="str">
        <x:v>Độc lập - Tự do - Hạnh phúc</x:v>
      </x:c>
      <x:c r="N2" s="4" t="str">
        <x:v>Độc lập - Tự do - Hạnh phúc</x:v>
      </x:c>
      <x:c r="O2" s="4" t="str">
        <x:v>Độc lập - Tự do - Hạnh phúc</x:v>
      </x:c>
      <x:c r="P2" s="4" t="str">
        <x:v>Độc lập - Tự do - Hạnh phúc</x:v>
      </x:c>
    </x:row>
    <x:row r="3">
      <x:c r="A3" s="38"/>
      <x:c r="B3" s="38"/>
      <x:c r="C3" s="38"/>
      <x:c r="D3" s="38"/>
      <x:c r="E3" s="38"/>
      <x:c r="F3" s="38"/>
      <x:c r="G3" s="38"/>
      <x:c r="H3" s="38"/>
      <x:c r="I3" s="38"/>
      <x:c r="J3" s="38"/>
      <x:c r="K3" s="38"/>
      <x:c r="L3" s="38"/>
      <x:c r="M3" s="38"/>
      <x:c r="N3" s="38"/>
      <x:c r="O3" s="38"/>
      <x:c r="P3" s="38"/>
    </x:row>
    <x:row r="4">
      <x:c r="A4" s="8" t="str">
        <x:v>Phụ lục IIb</x:v>
      </x:c>
      <x:c r="B4" s="8" t="str">
        <x:v>Phụ lục IIb</x:v>
      </x:c>
      <x:c r="C4" s="8" t="str">
        <x:v>Phụ lục IIb</x:v>
      </x:c>
      <x:c r="D4" s="8" t="str">
        <x:v>Phụ lục IIb</x:v>
      </x:c>
      <x:c r="E4" s="8" t="str">
        <x:v>Phụ lục IIb</x:v>
      </x:c>
      <x:c r="F4" s="8" t="str">
        <x:v>Phụ lục IIb</x:v>
      </x:c>
      <x:c r="G4" s="8" t="str">
        <x:v>Phụ lục IIb</x:v>
      </x:c>
      <x:c r="H4" s="8" t="str">
        <x:v>Phụ lục IIb</x:v>
      </x:c>
      <x:c r="I4" s="8" t="str">
        <x:v>Phụ lục IIb</x:v>
      </x:c>
      <x:c r="J4" s="8" t="str">
        <x:v>Phụ lục IIb</x:v>
      </x:c>
      <x:c r="K4" s="8" t="str">
        <x:v>Phụ lục IIb</x:v>
      </x:c>
      <x:c r="L4" s="8" t="str">
        <x:v>Phụ lục IIb</x:v>
      </x:c>
      <x:c r="M4" s="8" t="str">
        <x:v>Phụ lục IIb</x:v>
      </x:c>
      <x:c r="N4" s="8" t="str">
        <x:v>Phụ lục IIb</x:v>
      </x:c>
      <x:c r="O4" s="8" t="str">
        <x:v>Phụ lục IIb</x:v>
      </x:c>
      <x:c r="P4" s="8" t="str">
        <x:v>Phụ lục IIb</x:v>
      </x:c>
    </x:row>
    <x:row r="5">
      <x:c r="A5" s="8" t="str">
        <x:v>KẾT QUẢ THỰC HIỆN CÔNG TÁC THÁNG 7 NĂM 2026 CỦA TRƯỜNG CAO ĐẲNG KON TUM</x:v>
      </x:c>
      <x:c r="B5" s="8" t="str">
        <x:v>KẾT QUẢ THỰC HIỆN CÔNG TÁC THÁNG 7 NĂM 2026 CỦA TRƯỜNG CAO ĐẲNG KON TUM</x:v>
      </x:c>
      <x:c r="C5" s="8" t="str">
        <x:v>KẾT QUẢ THỰC HIỆN CÔNG TÁC THÁNG 7 NĂM 2026 CỦA TRƯỜNG CAO ĐẲNG KON TUM</x:v>
      </x:c>
      <x:c r="D5" s="8" t="str">
        <x:v>KẾT QUẢ THỰC HIỆN CÔNG TÁC THÁNG 7 NĂM 2026 CỦA TRƯỜNG CAO ĐẲNG KON TUM</x:v>
      </x:c>
      <x:c r="E5" s="8" t="str">
        <x:v>KẾT QUẢ THỰC HIỆN CÔNG TÁC THÁNG 7 NĂM 2026 CỦA TRƯỜNG CAO ĐẲNG KON TUM</x:v>
      </x:c>
      <x:c r="F5" s="8" t="str">
        <x:v>KẾT QUẢ THỰC HIỆN CÔNG TÁC THÁNG 7 NĂM 2026 CỦA TRƯỜNG CAO ĐẲNG KON TUM</x:v>
      </x:c>
      <x:c r="G5" s="8" t="str">
        <x:v>KẾT QUẢ THỰC HIỆN CÔNG TÁC THÁNG 7 NĂM 2026 CỦA TRƯỜNG CAO ĐẲNG KON TUM</x:v>
      </x:c>
      <x:c r="H5" s="8" t="str">
        <x:v>KẾT QUẢ THỰC HIỆN CÔNG TÁC THÁNG 7 NĂM 2026 CỦA TRƯỜNG CAO ĐẲNG KON TUM</x:v>
      </x:c>
      <x:c r="I5" s="8" t="str">
        <x:v>KẾT QUẢ THỰC HIỆN CÔNG TÁC THÁNG 7 NĂM 2026 CỦA TRƯỜNG CAO ĐẲNG KON TUM</x:v>
      </x:c>
      <x:c r="J5" s="8" t="str">
        <x:v>KẾT QUẢ THỰC HIỆN CÔNG TÁC THÁNG 7 NĂM 2026 CỦA TRƯỜNG CAO ĐẲNG KON TUM</x:v>
      </x:c>
      <x:c r="K5" s="8" t="str">
        <x:v>KẾT QUẢ THỰC HIỆN CÔNG TÁC THÁNG 7 NĂM 2026 CỦA TRƯỜNG CAO ĐẲNG KON TUM</x:v>
      </x:c>
      <x:c r="L5" s="8" t="str">
        <x:v>KẾT QUẢ THỰC HIỆN CÔNG TÁC THÁNG 7 NĂM 2026 CỦA TRƯỜNG CAO ĐẲNG KON TUM</x:v>
      </x:c>
      <x:c r="M5" s="8" t="str">
        <x:v>KẾT QUẢ THỰC HIỆN CÔNG TÁC THÁNG 7 NĂM 2026 CỦA TRƯỜNG CAO ĐẲNG KON TUM</x:v>
      </x:c>
      <x:c r="N5" s="8" t="str">
        <x:v>KẾT QUẢ THỰC HIỆN CÔNG TÁC THÁNG 7 NĂM 2026 CỦA TRƯỜNG CAO ĐẲNG KON TUM</x:v>
      </x:c>
      <x:c r="O5" s="8" t="str">
        <x:v>KẾT QUẢ THỰC HIỆN CÔNG TÁC THÁNG 7 NĂM 2026 CỦA TRƯỜNG CAO ĐẲNG KON TUM</x:v>
      </x:c>
      <x:c r="P5" s="8" t="str">
        <x:v>KẾT QUẢ THỰC HIỆN CÔNG TÁC THÁNG 7 NĂM 2026 CỦA TRƯỜNG CAO ĐẲNG KON TUM</x:v>
      </x:c>
    </x:row>
    <x:row r="6">
      <x:c r="A6" s="12" t="str">
        <x:v>BẢN CHẠY THỬ – TỔNG HỢP DỮ LIỆU 02 ĐƠN VỊ</x:v>
      </x:c>
      <x:c r="B6" s="12" t="str">
        <x:v>BẢN CHẠY THỬ – TỔNG HỢP DỮ LIỆU 02 ĐƠN VỊ</x:v>
      </x:c>
      <x:c r="C6" s="12" t="str">
        <x:v>BẢN CHẠY THỬ – TỔNG HỢP DỮ LIỆU 02 ĐƠN VỊ</x:v>
      </x:c>
      <x:c r="D6" s="12" t="str">
        <x:v>BẢN CHẠY THỬ – TỔNG HỢP DỮ LIỆU 02 ĐƠN VỊ</x:v>
      </x:c>
      <x:c r="E6" s="12" t="str">
        <x:v>BẢN CHẠY THỬ – TỔNG HỢP DỮ LIỆU 02 ĐƠN VỊ</x:v>
      </x:c>
      <x:c r="F6" s="12" t="str">
        <x:v>BẢN CHẠY THỬ – TỔNG HỢP DỮ LIỆU 02 ĐƠN VỊ</x:v>
      </x:c>
      <x:c r="G6" s="12" t="str">
        <x:v>BẢN CHẠY THỬ – TỔNG HỢP DỮ LIỆU 02 ĐƠN VỊ</x:v>
      </x:c>
      <x:c r="H6" s="12" t="str">
        <x:v>BẢN CHẠY THỬ – TỔNG HỢP DỮ LIỆU 02 ĐƠN VỊ</x:v>
      </x:c>
      <x:c r="I6" s="12" t="str">
        <x:v>BẢN CHẠY THỬ – TỔNG HỢP DỮ LIỆU 02 ĐƠN VỊ</x:v>
      </x:c>
      <x:c r="J6" s="12" t="str">
        <x:v>BẢN CHẠY THỬ – TỔNG HỢP DỮ LIỆU 02 ĐƠN VỊ</x:v>
      </x:c>
      <x:c r="K6" s="12" t="str">
        <x:v>BẢN CHẠY THỬ – TỔNG HỢP DỮ LIỆU 02 ĐƠN VỊ</x:v>
      </x:c>
      <x:c r="L6" s="12" t="str">
        <x:v>BẢN CHẠY THỬ – TỔNG HỢP DỮ LIỆU 02 ĐƠN VỊ</x:v>
      </x:c>
      <x:c r="M6" s="12" t="str">
        <x:v>BẢN CHẠY THỬ – TỔNG HỢP DỮ LIỆU 02 ĐƠN VỊ</x:v>
      </x:c>
      <x:c r="N6" s="12" t="str">
        <x:v>BẢN CHẠY THỬ – TỔNG HỢP DỮ LIỆU 02 ĐƠN VỊ</x:v>
      </x:c>
      <x:c r="O6" s="12" t="str">
        <x:v>BẢN CHẠY THỬ – TỔNG HỢP DỮ LIỆU 02 ĐƠN VỊ</x:v>
      </x:c>
      <x:c r="P6" s="12" t="str">
        <x:v>BẢN CHẠY THỬ – TỔNG HỢP DỮ LIỆU 02 ĐƠN VỊ</x:v>
      </x:c>
    </x:row>
    <x:row r="7">
      <x:c r="A7" s="38"/>
      <x:c r="B7" s="38"/>
      <x:c r="C7" s="38"/>
      <x:c r="D7" s="38"/>
      <x:c r="E7" s="38"/>
      <x:c r="F7" s="38"/>
      <x:c r="G7" s="38"/>
      <x:c r="H7" s="38"/>
      <x:c r="I7" s="38"/>
      <x:c r="J7" s="38"/>
      <x:c r="K7" s="38"/>
      <x:c r="L7" s="38"/>
      <x:c r="M7" s="38"/>
      <x:c r="N7" s="38"/>
      <x:c r="O7" s="38"/>
      <x:c r="P7" s="38"/>
    </x:row>
    <x:row r="8" ht="60" customHeight="1">
      <x:c r="A8" s="18" t="str">
        <x:v>TT</x:v>
      </x:c>
      <x:c r="B8" s="18" t="str">
        <x:v>NỘI DUNG CÔNG VIỆC</x:v>
      </x:c>
      <x:c r="C8" s="18" t="str">
        <x:v>Người trực tiếp chỉ đạo</x:v>
      </x:c>
      <x:c r="D8" s="18" t="str">
        <x:v>Đơn vị chủ trì</x:v>
      </x:c>
      <x:c r="E8" s="18" t="str">
        <x:v>Sản phẩm/Công việc</x:v>
      </x:c>
      <x:c r="F8" s="18" t="str">
        <x:v>Số lượng</x:v>
      </x:c>
      <x:c r="G8" s="18" t="str">
        <x:v>Độ khó, mới, phức tạp; phạm vi tác động</x:v>
      </x:c>
      <x:c r="H8" s="18" t="str">
        <x:v>Điểm chấm công việc</x:v>
      </x:c>
      <x:c r="I8" s="18" t="str">
        <x:v>Hệ số quy đổi</x:v>
      </x:c>
      <x:c r="J8" s="18" t="str">
        <x:v>Số lượng quy đổi</x:v>
      </x:c>
      <x:c r="K8" s="18" t="str">
        <x:v>KPI số lượng - Thực tế hoàn thành</x:v>
      </x:c>
      <x:c r="L8" s="18" t="str">
        <x:v>KPI số lượng - Quy đổi</x:v>
      </x:c>
      <x:c r="M8" s="18" t="str">
        <x:v>KPI chất lượng - Thực tế hoàn thành</x:v>
      </x:c>
      <x:c r="N8" s="18" t="str">
        <x:v>KPI chất lượng - Quy đổi</x:v>
      </x:c>
      <x:c r="O8" s="18" t="str">
        <x:v>KPI tiến độ - Thực tế hoàn thành</x:v>
      </x:c>
      <x:c r="P8" s="18" t="str">
        <x:v>KPI tiến độ - Quy đổi</x:v>
      </x:c>
    </x:row>
    <x:row r="9">
      <x:c r="A9" s="23" t="str">
        <x:v>I. CÁC NHIỆM VỤ THEO KẾ HOẠCH (CHƯƠNG TRÌNH) CÔNG TÁC ĐÃ ĐỀ RA TỪ ĐẦU THÁNG</x:v>
      </x:c>
      <x:c r="B9" s="23" t="str">
        <x:v>I. CÁC NHIỆM VỤ THEO KẾ HOẠCH (CHƯƠNG TRÌNH) CÔNG TÁC ĐÃ ĐỀ RA TỪ ĐẦU THÁNG</x:v>
      </x:c>
      <x:c r="C9" s="23" t="str">
        <x:v>I. CÁC NHIỆM VỤ THEO KẾ HOẠCH (CHƯƠNG TRÌNH) CÔNG TÁC ĐÃ ĐỀ RA TỪ ĐẦU THÁNG</x:v>
      </x:c>
      <x:c r="D9" s="23" t="str">
        <x:v>I. CÁC NHIỆM VỤ THEO KẾ HOẠCH (CHƯƠNG TRÌNH) CÔNG TÁC ĐÃ ĐỀ RA TỪ ĐẦU THÁNG</x:v>
      </x:c>
      <x:c r="E9" s="23" t="str">
        <x:v>I. CÁC NHIỆM VỤ THEO KẾ HOẠCH (CHƯƠNG TRÌNH) CÔNG TÁC ĐÃ ĐỀ RA TỪ ĐẦU THÁNG</x:v>
      </x:c>
      <x:c r="F9" s="23" t="str">
        <x:v>I. CÁC NHIỆM VỤ THEO KẾ HOẠCH (CHƯƠNG TRÌNH) CÔNG TÁC ĐÃ ĐỀ RA TỪ ĐẦU THÁNG</x:v>
      </x:c>
      <x:c r="G9" s="23" t="str">
        <x:v>I. CÁC NHIỆM VỤ THEO KẾ HOẠCH (CHƯƠNG TRÌNH) CÔNG TÁC ĐÃ ĐỀ RA TỪ ĐẦU THÁNG</x:v>
      </x:c>
      <x:c r="H9" s="23" t="str">
        <x:v>I. CÁC NHIỆM VỤ THEO KẾ HOẠCH (CHƯƠNG TRÌNH) CÔNG TÁC ĐÃ ĐỀ RA TỪ ĐẦU THÁNG</x:v>
      </x:c>
      <x:c r="I9" s="23" t="str">
        <x:v>I. CÁC NHIỆM VỤ THEO KẾ HOẠCH (CHƯƠNG TRÌNH) CÔNG TÁC ĐÃ ĐỀ RA TỪ ĐẦU THÁNG</x:v>
      </x:c>
      <x:c r="J9" s="23" t="str">
        <x:v>I. CÁC NHIỆM VỤ THEO KẾ HOẠCH (CHƯƠNG TRÌNH) CÔNG TÁC ĐÃ ĐỀ RA TỪ ĐẦU THÁNG</x:v>
      </x:c>
      <x:c r="K9" s="23" t="str">
        <x:v>I. CÁC NHIỆM VỤ THEO KẾ HOẠCH (CHƯƠNG TRÌNH) CÔNG TÁC ĐÃ ĐỀ RA TỪ ĐẦU THÁNG</x:v>
      </x:c>
      <x:c r="L9" s="23" t="str">
        <x:v>I. CÁC NHIỆM VỤ THEO KẾ HOẠCH (CHƯƠNG TRÌNH) CÔNG TÁC ĐÃ ĐỀ RA TỪ ĐẦU THÁNG</x:v>
      </x:c>
      <x:c r="M9" s="23" t="str">
        <x:v>I. CÁC NHIỆM VỤ THEO KẾ HOẠCH (CHƯƠNG TRÌNH) CÔNG TÁC ĐÃ ĐỀ RA TỪ ĐẦU THÁNG</x:v>
      </x:c>
      <x:c r="N9" s="23" t="str">
        <x:v>I. CÁC NHIỆM VỤ THEO KẾ HOẠCH (CHƯƠNG TRÌNH) CÔNG TÁC ĐÃ ĐỀ RA TỪ ĐẦU THÁNG</x:v>
      </x:c>
      <x:c r="O9" s="23" t="str">
        <x:v>I. CÁC NHIỆM VỤ THEO KẾ HOẠCH (CHƯƠNG TRÌNH) CÔNG TÁC ĐÃ ĐỀ RA TỪ ĐẦU THÁNG</x:v>
      </x:c>
      <x:c r="P9" s="23" t="str">
        <x:v>I. CÁC NHIỆM VỤ THEO KẾ HOẠCH (CHƯƠNG TRÌNH) CÔNG TÁC ĐÃ ĐỀ RA TỪ ĐẦU THÁNG</x:v>
      </x:c>
    </x:row>
    <x:row r="10">
      <x:c r="A10" s="28" t="str">
        <x:v>1. Trục (1) - Thực hiện mục tiêu phát triển kinh tế - xã hội và nhiệm vụ chính trị được giao</x:v>
      </x:c>
      <x:c r="B10" s="28" t="str">
        <x:v>1. Trục (1) - Thực hiện mục tiêu phát triển kinh tế - xã hội và nhiệm vụ chính trị được giao</x:v>
      </x:c>
      <x:c r="C10" s="28" t="str">
        <x:v>1. Trục (1) - Thực hiện mục tiêu phát triển kinh tế - xã hội và nhiệm vụ chính trị được giao</x:v>
      </x:c>
      <x:c r="D10" s="28" t="str">
        <x:v>1. Trục (1) - Thực hiện mục tiêu phát triển kinh tế - xã hội và nhiệm vụ chính trị được giao</x:v>
      </x:c>
      <x:c r="E10" s="28" t="str">
        <x:v>1. Trục (1) - Thực hiện mục tiêu phát triển kinh tế - xã hội và nhiệm vụ chính trị được giao</x:v>
      </x:c>
      <x:c r="F10" s="28" t="n">
        <x:f>SUM(F11:F87)</x:f>
        <x:v>82</x:v>
      </x:c>
      <x:c r="G10" s="28" t="str">
        <x:v>1. Trục (1) - Thực hiện mục tiêu phát triển kinh tế - xã hội và nhiệm vụ chính trị được giao</x:v>
      </x:c>
      <x:c r="H10" s="28" t="n">
        <x:v>8140</x:v>
      </x:c>
      <x:c r="I10" s="28"/>
      <x:c r="J10" s="28" t="n">
        <x:f>SUM(J11:J87)</x:f>
        <x:v>90.40000000000003</x:v>
      </x:c>
      <x:c r="K10" s="28"/>
      <x:c r="L10" s="28" t="n">
        <x:f>SUM(L11:L87)</x:f>
        <x:v>80.82000000000002</x:v>
      </x:c>
      <x:c r="M10" s="28"/>
      <x:c r="N10" s="28" t="n">
        <x:f>SUM(N11:N87)</x:f>
        <x:v>81.15000000000003</x:v>
      </x:c>
      <x:c r="O10" s="28"/>
      <x:c r="P10" s="28" t="n">
        <x:f>SUM(P11:P87)</x:f>
        <x:v>81.40000000000003</x:v>
      </x:c>
    </x:row>
    <x:row r="11">
      <x:c r="A11" s="33" t="str">
        <x:v>1.1</x:v>
      </x:c>
      <x:c r="B11" s="32" t="str">
        <x:v>Kế hoạch đón học sinh các lớp K7T Hàn 1 và K7T Hàn 2, trình độ trung cấp, khoa Kỹ thuật và Công nghệ đi thực hành, thực tập tại cơ sở về lại Trường, năm 2026</x:v>
      </x:c>
      <x:c r="C11" s="33" t="str">
        <x:v>Nguyễn Trung Hiếu</x:v>
      </x:c>
      <x:c r="D11" s="33" t="str">
        <x:v>Phòng QLKHCN&amp;HTPT</x:v>
      </x:c>
      <x:c r="E11" s="33" t="str">
        <x:v>Kế hoạch số 593/KH-CĐKT ngày 15/6/2026</x:v>
      </x:c>
      <x:c r="F11" s="33" t="n">
        <x:v>1</x:v>
      </x:c>
      <x:c r="G11" s="33" t="str">
        <x:v>Thấp</x:v>
      </x:c>
      <x:c r="H11" s="33" t="n">
        <x:v>100</x:v>
      </x:c>
      <x:c r="I11" s="33" t="n">
        <x:f>H11*1%</x:f>
        <x:v>1</x:v>
      </x:c>
      <x:c r="J11" s="33" t="n">
        <x:f>F11*I11</x:f>
        <x:v>1</x:v>
      </x:c>
      <x:c r="K11" s="33" t="n">
        <x:v>1</x:v>
      </x:c>
      <x:c r="L11" s="33" t="n">
        <x:f>I11*K11</x:f>
        <x:v>1</x:v>
      </x:c>
      <x:c r="M11" s="33" t="n">
        <x:v>1</x:v>
      </x:c>
      <x:c r="N11" s="33" t="n">
        <x:f>I11*M11</x:f>
        <x:v>1</x:v>
      </x:c>
      <x:c r="O11" s="33" t="n">
        <x:v>1</x:v>
      </x:c>
      <x:c r="P11" s="33" t="n">
        <x:f>I11*O11</x:f>
        <x:v>1</x:v>
      </x:c>
    </x:row>
    <x:row r="12">
      <x:c r="A12" s="33" t="str">
        <x:v>1.2</x:v>
      </x:c>
      <x:c r="B12" s="32" t="str">
        <x:v>Thông báo phân công nhà giáo đánh giá Bài tập lớn của sinh viên lớp K8C Chăn nuôi, học kỳ II, khoá học 2025 - 2028</x:v>
      </x:c>
      <x:c r="C12" s="33" t="str">
        <x:v>Huỳnh Văn Chung</x:v>
      </x:c>
      <x:c r="D12" s="33" t="str">
        <x:v>Phòng QLKHCN&amp;HTPT</x:v>
      </x:c>
      <x:c r="E12" s="33" t="str">
        <x:v>Thông báo số 696/TB-CĐKT ngày 15/6/2026</x:v>
      </x:c>
      <x:c r="F12" s="33" t="n">
        <x:v>1</x:v>
      </x:c>
      <x:c r="G12" s="33" t="str">
        <x:v>Thấp</x:v>
      </x:c>
      <x:c r="H12" s="33" t="n">
        <x:v>100</x:v>
      </x:c>
      <x:c r="I12" s="33" t="n">
        <x:f>H12*1%</x:f>
        <x:v>1</x:v>
      </x:c>
      <x:c r="J12" s="33" t="n">
        <x:f>F12*I12</x:f>
        <x:v>1</x:v>
      </x:c>
      <x:c r="K12" s="33" t="n">
        <x:v>1</x:v>
      </x:c>
      <x:c r="L12" s="33" t="n">
        <x:f>I12*K12</x:f>
        <x:v>1</x:v>
      </x:c>
      <x:c r="M12" s="33" t="n">
        <x:v>1</x:v>
      </x:c>
      <x:c r="N12" s="33" t="n">
        <x:f>I12*M12</x:f>
        <x:v>1</x:v>
      </x:c>
      <x:c r="O12" s="33" t="n">
        <x:v>1</x:v>
      </x:c>
      <x:c r="P12" s="33" t="n">
        <x:f>I12*O12</x:f>
        <x:v>1</x:v>
      </x:c>
    </x:row>
    <x:row r="13">
      <x:c r="A13" s="33" t="str">
        <x:v>1.3</x:v>
      </x:c>
      <x:c r="B13" s="32" t="str">
        <x:v>Thông báo phân công nhà giáo đánh giá Bài tập lớn của sinh viên K7C Lâm sinh, học kỳ IV, khoá 2024 - 2027</x:v>
      </x:c>
      <x:c r="C13" s="33" t="str">
        <x:v>Huỳnh Văn Chung</x:v>
      </x:c>
      <x:c r="D13" s="33" t="str">
        <x:v>Phòng QLKHCN&amp;HTPT</x:v>
      </x:c>
      <x:c r="E13" s="33" t="str">
        <x:v>Thông báo số 695/TB-CĐKT ngày 15/6/2026</x:v>
      </x:c>
      <x:c r="F13" s="33" t="n">
        <x:v>1</x:v>
      </x:c>
      <x:c r="G13" s="33" t="str">
        <x:v>Thấp</x:v>
      </x:c>
      <x:c r="H13" s="33" t="n">
        <x:v>100</x:v>
      </x:c>
      <x:c r="I13" s="33" t="n">
        <x:f>H13*1%</x:f>
        <x:v>1</x:v>
      </x:c>
      <x:c r="J13" s="33" t="n">
        <x:f>F13*I13</x:f>
        <x:v>1</x:v>
      </x:c>
      <x:c r="K13" s="33" t="n">
        <x:v>1</x:v>
      </x:c>
      <x:c r="L13" s="33" t="n">
        <x:f>I13*K13</x:f>
        <x:v>1</x:v>
      </x:c>
      <x:c r="M13" s="33" t="n">
        <x:v>1</x:v>
      </x:c>
      <x:c r="N13" s="33" t="n">
        <x:f>I13*M13</x:f>
        <x:v>1</x:v>
      </x:c>
      <x:c r="O13" s="33" t="n">
        <x:v>1</x:v>
      </x:c>
      <x:c r="P13" s="33" t="n">
        <x:f>I13*O13</x:f>
        <x:v>1</x:v>
      </x:c>
    </x:row>
    <x:row r="14">
      <x:c r="A14" s="33" t="str">
        <x:v>1.4</x:v>
      </x:c>
      <x:c r="B14" s="32" t="str">
        <x:v>Thông báo phân công nhà giáo đánh giá Bài tập lớn của sinh viên lớp K8C Lâm sinh, học kỳ II, khoá học 2025 - 2028</x:v>
      </x:c>
      <x:c r="C14" s="33" t="str">
        <x:v>Huỳnh Văn Chung</x:v>
      </x:c>
      <x:c r="D14" s="33" t="str">
        <x:v>Phòng QLKHCN&amp;HTPT</x:v>
      </x:c>
      <x:c r="E14" s="33" t="str">
        <x:v>Thông báo số 694/TB-CĐKT ngày 15/6/2026</x:v>
      </x:c>
      <x:c r="F14" s="33" t="n">
        <x:v>1</x:v>
      </x:c>
      <x:c r="G14" s="33" t="str">
        <x:v>Thấp</x:v>
      </x:c>
      <x:c r="H14" s="33" t="n">
        <x:v>100</x:v>
      </x:c>
      <x:c r="I14" s="33" t="n">
        <x:f>H14*1%</x:f>
        <x:v>1</x:v>
      </x:c>
      <x:c r="J14" s="33" t="n">
        <x:f>F14*I14</x:f>
        <x:v>1</x:v>
      </x:c>
      <x:c r="K14" s="33" t="n">
        <x:v>1</x:v>
      </x:c>
      <x:c r="L14" s="33" t="n">
        <x:f>I14*K14</x:f>
        <x:v>1</x:v>
      </x:c>
      <x:c r="M14" s="33" t="n">
        <x:v>1</x:v>
      </x:c>
      <x:c r="N14" s="33" t="n">
        <x:f>I14*M14</x:f>
        <x:v>1</x:v>
      </x:c>
      <x:c r="O14" s="33" t="n">
        <x:v>1</x:v>
      </x:c>
      <x:c r="P14" s="33" t="n">
        <x:f>I14*O14</x:f>
        <x:v>1</x:v>
      </x:c>
    </x:row>
    <x:row r="15">
      <x:c r="A15" s="33" t="str">
        <x:v>1.5</x:v>
      </x:c>
      <x:c r="B15" s="32" t="str">
        <x:v>Kế hoạch đưa học sinh lớp K7T Trồng trọt 2 thuộc khoa Kinh tế và Nông Lâm đi thực hành, thực tập tại cơ sở năm học 2025-2026</x:v>
      </x:c>
      <x:c r="C15" s="33" t="str">
        <x:v>Huỳnh Văn Chung</x:v>
      </x:c>
      <x:c r="D15" s="33" t="str">
        <x:v>Phòng QLKHCN&amp;HTPT</x:v>
      </x:c>
      <x:c r="E15" s="33" t="str">
        <x:v>Kê hoạch số 592/KH-CĐKT</x:v>
      </x:c>
      <x:c r="F15" s="33" t="n">
        <x:v>1</x:v>
      </x:c>
      <x:c r="G15" s="33" t="str">
        <x:v>Thấp</x:v>
      </x:c>
      <x:c r="H15" s="33" t="n">
        <x:v>100</x:v>
      </x:c>
      <x:c r="I15" s="33" t="n">
        <x:f>H15*1%</x:f>
        <x:v>1</x:v>
      </x:c>
      <x:c r="J15" s="33" t="n">
        <x:f>F15*I15</x:f>
        <x:v>1</x:v>
      </x:c>
      <x:c r="K15" s="33" t="n">
        <x:v>1</x:v>
      </x:c>
      <x:c r="L15" s="33" t="n">
        <x:f>I15*K15</x:f>
        <x:v>1</x:v>
      </x:c>
      <x:c r="M15" s="33" t="n">
        <x:v>1</x:v>
      </x:c>
      <x:c r="N15" s="33" t="n">
        <x:f>I15*M15</x:f>
        <x:v>1</x:v>
      </x:c>
      <x:c r="O15" s="33" t="n">
        <x:v>1</x:v>
      </x:c>
      <x:c r="P15" s="33" t="n">
        <x:f>I15*O15</x:f>
        <x:v>1</x:v>
      </x:c>
    </x:row>
    <x:row r="16">
      <x:c r="A16" s="33" t="str">
        <x:v>1.6</x:v>
      </x:c>
      <x:c r="B16" s="32" t="str">
        <x:v>Kế hoạch tham gia tuyển dụng lao động tại Phiên giao dịch việc làm xã Đăk Long năm 2026</x:v>
      </x:c>
      <x:c r="C16" s="33" t="str">
        <x:v>Huỳnh Văn Chung</x:v>
      </x:c>
      <x:c r="D16" s="33" t="str">
        <x:v>Phòng QLKHCN&amp;HTPT</x:v>
      </x:c>
      <x:c r="E16" s="33" t="str">
        <x:v>Kế hoạch số 596/KH-CĐKT</x:v>
      </x:c>
      <x:c r="F16" s="33" t="n">
        <x:v>1</x:v>
      </x:c>
      <x:c r="G16" s="33" t="str">
        <x:v>Thấp</x:v>
      </x:c>
      <x:c r="H16" s="33" t="n">
        <x:v>100</x:v>
      </x:c>
      <x:c r="I16" s="33" t="n">
        <x:f>H16*1%</x:f>
        <x:v>1</x:v>
      </x:c>
      <x:c r="J16" s="33" t="n">
        <x:f>F16*I16</x:f>
        <x:v>1</x:v>
      </x:c>
      <x:c r="K16" s="33" t="n">
        <x:v>1</x:v>
      </x:c>
      <x:c r="L16" s="33" t="n">
        <x:f>I16*K16</x:f>
        <x:v>1</x:v>
      </x:c>
      <x:c r="M16" s="33" t="n">
        <x:v>1</x:v>
      </x:c>
      <x:c r="N16" s="33" t="n">
        <x:f>I16*M16</x:f>
        <x:v>1</x:v>
      </x:c>
      <x:c r="O16" s="33" t="n">
        <x:v>1</x:v>
      </x:c>
      <x:c r="P16" s="33" t="n">
        <x:f>I16*O16</x:f>
        <x:v>1</x:v>
      </x:c>
    </x:row>
    <x:row r="17">
      <x:c r="A17" s="33" t="str">
        <x:v>1.7</x:v>
      </x:c>
      <x:c r="B17" s="32" t="str">
        <x:v>Báo cáo thực trạng hợp tác giữa Nhà nước - Nhà trường - Doanh nghiệp trong công tác đào tạo nghề tại Trường Cao đẳng Kon Tum</x:v>
      </x:c>
      <x:c r="C17" s="33" t="str">
        <x:v>Huỳnh Văn Chung</x:v>
      </x:c>
      <x:c r="D17" s="33" t="str">
        <x:v>Phòng QLKHCN&amp;HTPT</x:v>
      </x:c>
      <x:c r="E17" s="33" t="str">
        <x:v>Báo cáo số 288/BC-CĐKT ngày 18/6/2026</x:v>
      </x:c>
      <x:c r="F17" s="33" t="n">
        <x:v>1</x:v>
      </x:c>
      <x:c r="G17" s="33" t="str">
        <x:v>Thấp</x:v>
      </x:c>
      <x:c r="H17" s="33" t="n">
        <x:v>100</x:v>
      </x:c>
      <x:c r="I17" s="33" t="n">
        <x:f>H17*1%</x:f>
        <x:v>1</x:v>
      </x:c>
      <x:c r="J17" s="33" t="n">
        <x:f>F17*I17</x:f>
        <x:v>1</x:v>
      </x:c>
      <x:c r="K17" s="33" t="str"/>
      <x:c r="L17" s="33" t="n">
        <x:f>I17*K17</x:f>
        <x:v>0</x:v>
      </x:c>
      <x:c r="M17" s="33" t="n">
        <x:v>1</x:v>
      </x:c>
      <x:c r="N17" s="33" t="n">
        <x:f>I17*M17</x:f>
        <x:v>1</x:v>
      </x:c>
      <x:c r="O17" s="33" t="n">
        <x:v>1</x:v>
      </x:c>
      <x:c r="P17" s="33" t="n">
        <x:f>I17*O17</x:f>
        <x:v>1</x:v>
      </x:c>
    </x:row>
    <x:row r="18">
      <x:c r="A18" s="33" t="str">
        <x:v>1.8</x:v>
      </x:c>
      <x:c r="B18" s="32" t="str">
        <x:v>Đề xuất sử dụng phần mềm Rèn luyện kỹ năng Nghe - Nói, Đọc - Viết Tiếng Anh với AI dành cho HSSV trường Cao đẳng Kon Tum</x:v>
      </x:c>
      <x:c r="C18" s="33" t="str">
        <x:v>Lê Trí Khải</x:v>
      </x:c>
      <x:c r="D18" s="33" t="str">
        <x:v>Phòng QLKHCN&amp;HTPT</x:v>
      </x:c>
      <x:c r="E18" s="33" t="str">
        <x:v>Phiếu chuyển số 570/PC-CĐKT ngày 18/6/2026</x:v>
      </x:c>
      <x:c r="F18" s="33" t="n">
        <x:v>1</x:v>
      </x:c>
      <x:c r="G18" s="33" t="str">
        <x:v>Thấp</x:v>
      </x:c>
      <x:c r="H18" s="33" t="n">
        <x:v>100</x:v>
      </x:c>
      <x:c r="I18" s="33" t="n">
        <x:f>H18*1%</x:f>
        <x:v>1</x:v>
      </x:c>
      <x:c r="J18" s="33" t="n">
        <x:f>F18*I18</x:f>
        <x:v>1</x:v>
      </x:c>
      <x:c r="K18" s="33" t="n">
        <x:v>1</x:v>
      </x:c>
      <x:c r="L18" s="33" t="n">
        <x:f>I18*K18</x:f>
        <x:v>1</x:v>
      </x:c>
      <x:c r="M18" s="33" t="n">
        <x:v>1</x:v>
      </x:c>
      <x:c r="N18" s="33" t="n">
        <x:f>I18*M18</x:f>
        <x:v>1</x:v>
      </x:c>
      <x:c r="O18" s="33" t="n">
        <x:v>1</x:v>
      </x:c>
      <x:c r="P18" s="33" t="n">
        <x:f>I18*O18</x:f>
        <x:v>1</x:v>
      </x:c>
    </x:row>
    <x:row r="19">
      <x:c r="A19" s="33" t="str">
        <x:v>1.9</x:v>
      </x:c>
      <x:c r="B19" s="32" t="str">
        <x:v>Kế hoạch tổ chức Cuộc thi "Học sinh, sinh viên với ý tưởng khởi nghiệp" năm 2026</x:v>
      </x:c>
      <x:c r="C19" s="33" t="str">
        <x:v>Huỳnh Văn Chung</x:v>
      </x:c>
      <x:c r="D19" s="33" t="str">
        <x:v>Phòng QLKHCN&amp;HTPT</x:v>
      </x:c>
      <x:c r="E19" s="33" t="str">
        <x:v>Kế hoạch số 603/KH-CĐKT</x:v>
      </x:c>
      <x:c r="F19" s="33" t="n">
        <x:v>1</x:v>
      </x:c>
      <x:c r="G19" s="33" t="str">
        <x:v>Thấp</x:v>
      </x:c>
      <x:c r="H19" s="33" t="n">
        <x:v>100</x:v>
      </x:c>
      <x:c r="I19" s="33" t="n">
        <x:f>H19*1%</x:f>
        <x:v>1</x:v>
      </x:c>
      <x:c r="J19" s="33" t="n">
        <x:f>F19*I19</x:f>
        <x:v>1</x:v>
      </x:c>
      <x:c r="K19" s="33" t="n">
        <x:v>1</x:v>
      </x:c>
      <x:c r="L19" s="33" t="n">
        <x:f>I19*K19</x:f>
        <x:v>1</x:v>
      </x:c>
      <x:c r="M19" s="33" t="n">
        <x:v>1</x:v>
      </x:c>
      <x:c r="N19" s="33" t="n">
        <x:f>I19*M19</x:f>
        <x:v>1</x:v>
      </x:c>
      <x:c r="O19" s="33" t="n">
        <x:v>1</x:v>
      </x:c>
      <x:c r="P19" s="33" t="n">
        <x:f>I19*O19</x:f>
        <x:v>1</x:v>
      </x:c>
    </x:row>
    <x:row r="20">
      <x:c r="A20" s="33" t="str">
        <x:v>1.10</x:v>
      </x:c>
      <x:c r="B20" s="32" t="str">
        <x:v>Thông báo triển khai áp dụng phần mềm "Phần mềm hỗ trợ rèn luyện kỹ năng Nghe - Nói, Đọc - Viết Tiếng Anh với AI dành cho học sinh, sinh viên Trường Cao đẳng Kon Tum" vào dạy và học</x:v>
      </x:c>
      <x:c r="C20" s="33" t="str">
        <x:v>Lê Trí Khải</x:v>
      </x:c>
      <x:c r="D20" s="33" t="str">
        <x:v>Phòng QLKHCN&amp;HTPT</x:v>
      </x:c>
      <x:c r="E20" s="33" t="str">
        <x:v>Thông báo số 721/TB-CĐKT ngày 19/6/2026</x:v>
      </x:c>
      <x:c r="F20" s="33" t="n">
        <x:v>1</x:v>
      </x:c>
      <x:c r="G20" s="33" t="str">
        <x:v>Thấp</x:v>
      </x:c>
      <x:c r="H20" s="33" t="n">
        <x:v>100</x:v>
      </x:c>
      <x:c r="I20" s="33" t="n">
        <x:f>H20*1%</x:f>
        <x:v>1</x:v>
      </x:c>
      <x:c r="J20" s="33" t="n">
        <x:f>F20*I20</x:f>
        <x:v>1</x:v>
      </x:c>
      <x:c r="K20" s="33" t="n">
        <x:v>1</x:v>
      </x:c>
      <x:c r="L20" s="33" t="n">
        <x:f>I20*K20</x:f>
        <x:v>1</x:v>
      </x:c>
      <x:c r="M20" s="33" t="n">
        <x:v>1</x:v>
      </x:c>
      <x:c r="N20" s="33" t="n">
        <x:f>I20*M20</x:f>
        <x:v>1</x:v>
      </x:c>
      <x:c r="O20" s="33" t="n">
        <x:v>1</x:v>
      </x:c>
      <x:c r="P20" s="33" t="n">
        <x:f>I20*O20</x:f>
        <x:v>1</x:v>
      </x:c>
    </x:row>
    <x:row r="21">
      <x:c r="A21" s="33" t="str">
        <x:v>1.11</x:v>
      </x:c>
      <x:c r="B21" s="32" t="str">
        <x:v>Kế hoạch tổ chức khoá bồi dưỡng kiến thức, kỹ năng khởi nghiệp cho học sinh, sinh viên năm 2026</x:v>
      </x:c>
      <x:c r="C21" s="33" t="str">
        <x:v>Huỳnh Văn Chung</x:v>
      </x:c>
      <x:c r="D21" s="33" t="str">
        <x:v>Phòng QLKHCN&amp;HTPT</x:v>
      </x:c>
      <x:c r="E21" s="33" t="str">
        <x:v>Kế hoạch số 609/KH-CĐKT</x:v>
      </x:c>
      <x:c r="F21" s="33" t="n">
        <x:v>1</x:v>
      </x:c>
      <x:c r="G21" s="33" t="str">
        <x:v>Thấp</x:v>
      </x:c>
      <x:c r="H21" s="33" t="n">
        <x:v>100</x:v>
      </x:c>
      <x:c r="I21" s="33" t="n">
        <x:f>H21*1%</x:f>
        <x:v>1</x:v>
      </x:c>
      <x:c r="J21" s="33" t="n">
        <x:f>F21*I21</x:f>
        <x:v>1</x:v>
      </x:c>
      <x:c r="K21" s="33" t="n">
        <x:v>1</x:v>
      </x:c>
      <x:c r="L21" s="33" t="n">
        <x:f>I21*K21</x:f>
        <x:v>1</x:v>
      </x:c>
      <x:c r="M21" s="33" t="n">
        <x:v>1</x:v>
      </x:c>
      <x:c r="N21" s="33" t="n">
        <x:f>I21*M21</x:f>
        <x:v>1</x:v>
      </x:c>
      <x:c r="O21" s="33" t="n">
        <x:v>1</x:v>
      </x:c>
      <x:c r="P21" s="33" t="n">
        <x:f>I21*O21</x:f>
        <x:v>1</x:v>
      </x:c>
    </x:row>
    <x:row r="22">
      <x:c r="A22" s="33" t="str">
        <x:v>1.12</x:v>
      </x:c>
      <x:c r="B22" s="32" t="str">
        <x:v>Công văn góp ý văn bản quản lý, xử lý hành vi sử dụng phần mềm không bản quyền.</x:v>
      </x:c>
      <x:c r="C22" s="33" t="str">
        <x:v>Huỳnh Văn Chung</x:v>
      </x:c>
      <x:c r="D22" s="33" t="str">
        <x:v>Phòng QLKHCN&amp;HTPT</x:v>
      </x:c>
      <x:c r="E22" s="33" t="str">
        <x:v>Công văn số 456/CĐKT-QLKHCN</x:v>
      </x:c>
      <x:c r="F22" s="33" t="n">
        <x:v>1</x:v>
      </x:c>
      <x:c r="G22" s="33" t="str">
        <x:v>Thấp</x:v>
      </x:c>
      <x:c r="H22" s="33" t="n">
        <x:v>100</x:v>
      </x:c>
      <x:c r="I22" s="33" t="n">
        <x:f>H22*1%</x:f>
        <x:v>1</x:v>
      </x:c>
      <x:c r="J22" s="33" t="n">
        <x:f>F22*I22</x:f>
        <x:v>1</x:v>
      </x:c>
      <x:c r="K22" s="33" t="n">
        <x:v>1</x:v>
      </x:c>
      <x:c r="L22" s="33" t="n">
        <x:f>I22*K22</x:f>
        <x:v>1</x:v>
      </x:c>
      <x:c r="M22" s="33" t="n">
        <x:v>1</x:v>
      </x:c>
      <x:c r="N22" s="33" t="n">
        <x:f>I22*M22</x:f>
        <x:v>1</x:v>
      </x:c>
      <x:c r="O22" s="33" t="n">
        <x:v>1</x:v>
      </x:c>
      <x:c r="P22" s="33" t="n">
        <x:f>I22*O22</x:f>
        <x:v>1</x:v>
      </x:c>
    </x:row>
    <x:row r="23">
      <x:c r="A23" s="33" t="str">
        <x:v>1.13</x:v>
      </x:c>
      <x:c r="B23" s="32" t="str">
        <x:v>Kế hoạch đưa học sinh lớp K7T Pháp luật thuộc khoa Kinh tế và Nông Lâm đi thực hành, thực tập tại cơ sở năm học 2025-2026</x:v>
      </x:c>
      <x:c r="C23" s="33" t="str">
        <x:v>Huỳnh Văn Chung</x:v>
      </x:c>
      <x:c r="D23" s="33" t="str">
        <x:v>Phòng QLKHCN&amp;HTPT</x:v>
      </x:c>
      <x:c r="E23" s="33" t="str">
        <x:v>Kế hoạch số 608/KH-CĐKT</x:v>
      </x:c>
      <x:c r="F23" s="33" t="n">
        <x:v>1</x:v>
      </x:c>
      <x:c r="G23" s="33" t="str">
        <x:v>Thấp</x:v>
      </x:c>
      <x:c r="H23" s="33" t="n">
        <x:v>100</x:v>
      </x:c>
      <x:c r="I23" s="33" t="n">
        <x:f>H23*1%</x:f>
        <x:v>1</x:v>
      </x:c>
      <x:c r="J23" s="33" t="n">
        <x:f>F23*I23</x:f>
        <x:v>1</x:v>
      </x:c>
      <x:c r="K23" s="33" t="n">
        <x:v>1</x:v>
      </x:c>
      <x:c r="L23" s="33" t="n">
        <x:f>I23*K23</x:f>
        <x:v>1</x:v>
      </x:c>
      <x:c r="M23" s="33" t="n">
        <x:v>1</x:v>
      </x:c>
      <x:c r="N23" s="33" t="n">
        <x:f>I23*M23</x:f>
        <x:v>1</x:v>
      </x:c>
      <x:c r="O23" s="33" t="n">
        <x:v>1</x:v>
      </x:c>
      <x:c r="P23" s="33" t="n">
        <x:f>I23*O23</x:f>
        <x:v>1</x:v>
      </x:c>
    </x:row>
    <x:row r="24">
      <x:c r="A24" s="33" t="str">
        <x:v>1.14</x:v>
      </x:c>
      <x:c r="B24" s="32" t="str">
        <x:v>Quyết định thành lập Hội đồng xét, công nhận sáng kiến, phạm vi ảnh hưởng, hiệu quả áp dụng sáng kiến cấp cơ sở năm 2026 - Nhóm tác giả Trần Cao Điệp</x:v>
      </x:c>
      <x:c r="C24" s="33" t="str">
        <x:v>Lê Trí Khải</x:v>
      </x:c>
      <x:c r="D24" s="33" t="str">
        <x:v>Phòng QLKHCN&amp;HTPT</x:v>
      </x:c>
      <x:c r="E24" s="33" t="str">
        <x:v>Quyết định số 1429/QĐ-CĐKT ngày 22/6/2026</x:v>
      </x:c>
      <x:c r="F24" s="33" t="n">
        <x:v>1</x:v>
      </x:c>
      <x:c r="G24" s="33" t="str">
        <x:v>Thấp</x:v>
      </x:c>
      <x:c r="H24" s="33" t="n">
        <x:v>100</x:v>
      </x:c>
      <x:c r="I24" s="33" t="n">
        <x:f>H24*1%</x:f>
        <x:v>1</x:v>
      </x:c>
      <x:c r="J24" s="33" t="n">
        <x:f>F24*I24</x:f>
        <x:v>1</x:v>
      </x:c>
      <x:c r="K24" s="33" t="n">
        <x:v>1</x:v>
      </x:c>
      <x:c r="L24" s="33" t="n">
        <x:f>I24*K24</x:f>
        <x:v>1</x:v>
      </x:c>
      <x:c r="M24" s="33" t="n">
        <x:v>1</x:v>
      </x:c>
      <x:c r="N24" s="33" t="n">
        <x:f>I24*M24</x:f>
        <x:v>1</x:v>
      </x:c>
      <x:c r="O24" s="33" t="n">
        <x:v>1</x:v>
      </x:c>
      <x:c r="P24" s="33" t="n">
        <x:f>I24*O24</x:f>
        <x:v>1</x:v>
      </x:c>
    </x:row>
    <x:row r="25">
      <x:c r="A25" s="33" t="str">
        <x:v>1.15</x:v>
      </x:c>
      <x:c r="B25" s="32" t="str">
        <x:v>Quyết định thành lập Hội đồng xét, công nhận sáng kiến, phạm vi ảnh hưởng, hiệu quả áp dụng sáng kiến cấp cơ sở năm 2026 đối với sáng kiến "Mô hình bàn thực hành PLC" - Nhóm Tác giả Nguyễn Thanh Lâm</x:v>
      </x:c>
      <x:c r="C25" s="33" t="str">
        <x:v>Lê Trí Khải</x:v>
      </x:c>
      <x:c r="D25" s="33" t="str">
        <x:v>Phòng QLKHCN&amp;HTPT</x:v>
      </x:c>
      <x:c r="E25" s="33" t="str">
        <x:v>Quyết định số 1431/QĐ-CĐKT ngày 22/6/2026</x:v>
      </x:c>
      <x:c r="F25" s="33" t="n">
        <x:v>1</x:v>
      </x:c>
      <x:c r="G25" s="33" t="str">
        <x:v>Thấp</x:v>
      </x:c>
      <x:c r="H25" s="33" t="n">
        <x:v>100</x:v>
      </x:c>
      <x:c r="I25" s="33" t="n">
        <x:f>H25*1%</x:f>
        <x:v>1</x:v>
      </x:c>
      <x:c r="J25" s="33" t="n">
        <x:f>F25*I25</x:f>
        <x:v>1</x:v>
      </x:c>
      <x:c r="K25" s="33" t="n">
        <x:v>1</x:v>
      </x:c>
      <x:c r="L25" s="33" t="n">
        <x:f>I25*K25</x:f>
        <x:v>1</x:v>
      </x:c>
      <x:c r="M25" s="33" t="n">
        <x:v>1</x:v>
      </x:c>
      <x:c r="N25" s="33" t="n">
        <x:f>I25*M25</x:f>
        <x:v>1</x:v>
      </x:c>
      <x:c r="O25" s="33" t="n">
        <x:v>1</x:v>
      </x:c>
      <x:c r="P25" s="33" t="n">
        <x:f>I25*O25</x:f>
        <x:v>1</x:v>
      </x:c>
    </x:row>
    <x:row r="26">
      <x:c r="A26" s="33" t="str">
        <x:v>1.16</x:v>
      </x:c>
      <x:c r="B26" s="32" t="str">
        <x:v>Quyết định thành lập Hội đồng xét, công nhận sáng kiến, phạm vi ảnh hưởng, hiệu quả áp dụng sáng kiến cấp cơ sở năm 2026 - Nhóm Tác giả Nguyễn Ngọc Phương</x:v>
      </x:c>
      <x:c r="C26" s="33" t="str">
        <x:v>Lê Trí Khải</x:v>
      </x:c>
      <x:c r="D26" s="33" t="str">
        <x:v>Phòng QLKHCN&amp;HTPT</x:v>
      </x:c>
      <x:c r="E26" s="33" t="str">
        <x:v>Quyết định số 1439/QĐ-CĐKT ngày 22/6/2026</x:v>
      </x:c>
      <x:c r="F26" s="33" t="n">
        <x:v>1</x:v>
      </x:c>
      <x:c r="G26" s="33" t="str">
        <x:v>Thấp</x:v>
      </x:c>
      <x:c r="H26" s="33" t="n">
        <x:v>100</x:v>
      </x:c>
      <x:c r="I26" s="33" t="n">
        <x:f>H26*1%</x:f>
        <x:v>1</x:v>
      </x:c>
      <x:c r="J26" s="33" t="n">
        <x:f>F26*I26</x:f>
        <x:v>1</x:v>
      </x:c>
      <x:c r="K26" s="33" t="n">
        <x:v>1</x:v>
      </x:c>
      <x:c r="L26" s="33" t="n">
        <x:f>I26*K26</x:f>
        <x:v>1</x:v>
      </x:c>
      <x:c r="M26" s="33" t="n">
        <x:v>1</x:v>
      </x:c>
      <x:c r="N26" s="33" t="n">
        <x:f>I26*M26</x:f>
        <x:v>1</x:v>
      </x:c>
      <x:c r="O26" s="33" t="n">
        <x:v>1</x:v>
      </x:c>
      <x:c r="P26" s="33" t="n">
        <x:f>I26*O26</x:f>
        <x:v>1</x:v>
      </x:c>
    </x:row>
    <x:row r="27">
      <x:c r="A27" s="33" t="str">
        <x:v>1.17</x:v>
      </x:c>
      <x:c r="B27" s="32" t="str">
        <x:v>Thành lập Tổ thẩm định kinh phí đề tài khoa học và công nghệ cấp cơ sở "Mô hình ứng dụng chủng vi tảo C.vulgaris KT2023 và S.acuminatus KT2023 làm thức ăn nuôi cá rô phi đơn tính giống trong ao nuôi trồng thuỷ sản tại xã Đăk Hà, tỉnh Quảng Ngãi"</x:v>
      </x:c>
      <x:c r="C27" s="33" t="str">
        <x:v>Huỳnh Văn Chung</x:v>
      </x:c>
      <x:c r="D27" s="33" t="str">
        <x:v>Phòng QLKHCN&amp;HTPT</x:v>
      </x:c>
      <x:c r="E27" s="33" t="str">
        <x:v>Quyết địn h số 1435/QĐ-CĐKT</x:v>
      </x:c>
      <x:c r="F27" s="33" t="n">
        <x:v>1</x:v>
      </x:c>
      <x:c r="G27" s="33" t="str">
        <x:v>Thấp</x:v>
      </x:c>
      <x:c r="H27" s="33" t="n">
        <x:v>100</x:v>
      </x:c>
      <x:c r="I27" s="33" t="n">
        <x:f>H27*1%</x:f>
        <x:v>1</x:v>
      </x:c>
      <x:c r="J27" s="33" t="n">
        <x:f>F27*I27</x:f>
        <x:v>1</x:v>
      </x:c>
      <x:c r="K27" s="33" t="n">
        <x:v>1</x:v>
      </x:c>
      <x:c r="L27" s="33" t="n">
        <x:f>I27*K27</x:f>
        <x:v>1</x:v>
      </x:c>
      <x:c r="M27" s="33" t="n">
        <x:v>1</x:v>
      </x:c>
      <x:c r="N27" s="33" t="n">
        <x:f>I27*M27</x:f>
        <x:v>1</x:v>
      </x:c>
      <x:c r="O27" s="33" t="n">
        <x:v>1</x:v>
      </x:c>
      <x:c r="P27" s="33" t="n">
        <x:f>I27*O27</x:f>
        <x:v>1</x:v>
      </x:c>
    </x:row>
    <x:row r="28">
      <x:c r="A28" s="33" t="str">
        <x:v>1.18</x:v>
      </x:c>
      <x:c r="B28" s="32" t="str">
        <x:v>Kế hoạch đưa học sinh lớp K8T kế toán doanh nghiệp thuộc khoa Kinh tế và Nông Lâm đi thực hành, thực tập tại cơ sở năm học 2025-2026</x:v>
      </x:c>
      <x:c r="C28" s="33" t="str">
        <x:v>Huỳnh Văn Chung</x:v>
      </x:c>
      <x:c r="D28" s="33" t="str">
        <x:v>Phòng QLKHCN&amp;HTPT</x:v>
      </x:c>
      <x:c r="E28" s="33" t="str">
        <x:v>Kế hoạch số 613/KH-CĐKT</x:v>
      </x:c>
      <x:c r="F28" s="33" t="n">
        <x:v>1</x:v>
      </x:c>
      <x:c r="G28" s="33" t="str">
        <x:v>Thấp</x:v>
      </x:c>
      <x:c r="H28" s="33" t="n">
        <x:v>100</x:v>
      </x:c>
      <x:c r="I28" s="33" t="n">
        <x:f>H28*1%</x:f>
        <x:v>1</x:v>
      </x:c>
      <x:c r="J28" s="33" t="n">
        <x:f>F28*I28</x:f>
        <x:v>1</x:v>
      </x:c>
      <x:c r="K28" s="33" t="n">
        <x:v>1</x:v>
      </x:c>
      <x:c r="L28" s="33" t="n">
        <x:f>I28*K28</x:f>
        <x:v>1</x:v>
      </x:c>
      <x:c r="M28" s="33" t="n">
        <x:v>1</x:v>
      </x:c>
      <x:c r="N28" s="33" t="n">
        <x:f>I28*M28</x:f>
        <x:v>1</x:v>
      </x:c>
      <x:c r="O28" s="33" t="n">
        <x:v>1</x:v>
      </x:c>
      <x:c r="P28" s="33" t="n">
        <x:f>I28*O28</x:f>
        <x:v>1</x:v>
      </x:c>
    </x:row>
    <x:row r="29">
      <x:c r="A29" s="33" t="str">
        <x:v>1.19</x:v>
      </x:c>
      <x:c r="B29" s="32" t="str">
        <x:v>Kế hoạch tổ chức xét, công nhận sáng kiến, công nhận phạm vi ảnh hưởng, hiệu quả áp dụng sáng kiến cấp cơ sở năm 2026 - Nhóm tác giả Nguyễn Thanh Lâm</x:v>
      </x:c>
      <x:c r="C29" s="33" t="str">
        <x:v>Nguyễn Trung Hiếu</x:v>
      </x:c>
      <x:c r="D29" s="33" t="str">
        <x:v>Phòng QLKHCN&amp;HTPT</x:v>
      </x:c>
      <x:c r="E29" s="33" t="str">
        <x:v>KH số 617/KH-CĐKT ngày 23/6/2026</x:v>
      </x:c>
      <x:c r="F29" s="33" t="n">
        <x:v>1</x:v>
      </x:c>
      <x:c r="G29" s="33" t="str">
        <x:v>Thấp</x:v>
      </x:c>
      <x:c r="H29" s="33" t="n">
        <x:v>100</x:v>
      </x:c>
      <x:c r="I29" s="33" t="n">
        <x:f>H29*1%</x:f>
        <x:v>1</x:v>
      </x:c>
      <x:c r="J29" s="33" t="n">
        <x:f>F29*I29</x:f>
        <x:v>1</x:v>
      </x:c>
      <x:c r="K29" s="33" t="n">
        <x:v>1</x:v>
      </x:c>
      <x:c r="L29" s="33" t="n">
        <x:f>I29*K29</x:f>
        <x:v>1</x:v>
      </x:c>
      <x:c r="M29" s="33" t="n">
        <x:v>1</x:v>
      </x:c>
      <x:c r="N29" s="33" t="n">
        <x:f>I29*M29</x:f>
        <x:v>1</x:v>
      </x:c>
      <x:c r="O29" s="33" t="n">
        <x:v>1</x:v>
      </x:c>
      <x:c r="P29" s="33" t="n">
        <x:f>I29*O29</x:f>
        <x:v>1</x:v>
      </x:c>
    </x:row>
    <x:row r="30">
      <x:c r="A30" s="33" t="str">
        <x:v>1.20</x:v>
      </x:c>
      <x:c r="B30" s="32" t="str">
        <x:v>Kế hoạch tổ chức xét, công nhận sáng kiến, công nhận phạm vi ảnh hưởng, hiệu quả áp dụng sáng kiến cấp cơ sở năm 2026 – Nhóm tác giả Nguyễn Ngọc Phương</x:v>
      </x:c>
      <x:c r="C30" s="33" t="str">
        <x:v>Nguyễn Trung Hiếu</x:v>
      </x:c>
      <x:c r="D30" s="33" t="str">
        <x:v>Phòng QLKHCN&amp;HTPT</x:v>
      </x:c>
      <x:c r="E30" s="33" t="str">
        <x:v>KH số 618/KH-CĐKT ngày 23/6/2026</x:v>
      </x:c>
      <x:c r="F30" s="33" t="n">
        <x:v>1</x:v>
      </x:c>
      <x:c r="G30" s="33" t="str">
        <x:v>Thấp</x:v>
      </x:c>
      <x:c r="H30" s="33" t="n">
        <x:v>100</x:v>
      </x:c>
      <x:c r="I30" s="33" t="n">
        <x:f>H30*1%</x:f>
        <x:v>1</x:v>
      </x:c>
      <x:c r="J30" s="33" t="n">
        <x:f>F30*I30</x:f>
        <x:v>1</x:v>
      </x:c>
      <x:c r="K30" s="33" t="n">
        <x:v>1</x:v>
      </x:c>
      <x:c r="L30" s="33" t="n">
        <x:f>I30*K30</x:f>
        <x:v>1</x:v>
      </x:c>
      <x:c r="M30" s="33" t="n">
        <x:v>1</x:v>
      </x:c>
      <x:c r="N30" s="33" t="n">
        <x:f>I30*M30</x:f>
        <x:v>1</x:v>
      </x:c>
      <x:c r="O30" s="33" t="n">
        <x:v>1</x:v>
      </x:c>
      <x:c r="P30" s="33" t="n">
        <x:f>I30*O30</x:f>
        <x:v>1</x:v>
      </x:c>
    </x:row>
    <x:row r="31">
      <x:c r="A31" s="33" t="str">
        <x:v>1.21</x:v>
      </x:c>
      <x:c r="B31" s="32" t="str">
        <x:v>Thành lập Tổ thẩm định kinh phí đề tài khoa học và công nghệ cấp cơ sở "Thực trạng và một số yếu tố liên quan đến tăng huyết áp ở viên chức, người lao động Trường Cao đẳng Kon Tum năm 2026"</x:v>
      </x:c>
      <x:c r="C31" s="33" t="str">
        <x:v>Nguyễn Trung Hiếu</x:v>
      </x:c>
      <x:c r="D31" s="33" t="str">
        <x:v>Phòng QLKHCN&amp;HTPT</x:v>
      </x:c>
      <x:c r="E31" s="33" t="str">
        <x:v>Quyết định số 1444/QĐ-CĐKT</x:v>
      </x:c>
      <x:c r="F31" s="33" t="n">
        <x:v>1</x:v>
      </x:c>
      <x:c r="G31" s="33" t="str">
        <x:v>Thấp</x:v>
      </x:c>
      <x:c r="H31" s="33" t="n">
        <x:v>100</x:v>
      </x:c>
      <x:c r="I31" s="33" t="n">
        <x:f>H31*1%</x:f>
        <x:v>1</x:v>
      </x:c>
      <x:c r="J31" s="33" t="n">
        <x:f>F31*I31</x:f>
        <x:v>1</x:v>
      </x:c>
      <x:c r="K31" s="33" t="n">
        <x:v>1</x:v>
      </x:c>
      <x:c r="L31" s="33" t="n">
        <x:f>I31*K31</x:f>
        <x:v>1</x:v>
      </x:c>
      <x:c r="M31" s="33" t="n">
        <x:v>1</x:v>
      </x:c>
      <x:c r="N31" s="33" t="n">
        <x:f>I31*M31</x:f>
        <x:v>1</x:v>
      </x:c>
      <x:c r="O31" s="33" t="n">
        <x:v>1</x:v>
      </x:c>
      <x:c r="P31" s="33" t="n">
        <x:f>I31*O31</x:f>
        <x:v>1</x:v>
      </x:c>
    </x:row>
    <x:row r="32">
      <x:c r="A32" s="33" t="str">
        <x:v>1.22</x:v>
      </x:c>
      <x:c r="B32" s="32" t="str">
        <x:v>Công văn gửi các đơn vị thuộc Trường cập nhật bản vá lỗ hổng bảo mật các phần mềm</x:v>
      </x:c>
      <x:c r="C32" s="33" t="str">
        <x:v>Huỳnh Văn Chung</x:v>
      </x:c>
      <x:c r="D32" s="33" t="str">
        <x:v>Phòng QLKHCN&amp;HTPT</x:v>
      </x:c>
      <x:c r="E32" s="33" t="str">
        <x:v>Công văn số 463/CĐKT-QLKHCN</x:v>
      </x:c>
      <x:c r="F32" s="33" t="n">
        <x:v>1</x:v>
      </x:c>
      <x:c r="G32" s="33" t="str">
        <x:v>Thấp</x:v>
      </x:c>
      <x:c r="H32" s="33" t="n">
        <x:v>100</x:v>
      </x:c>
      <x:c r="I32" s="33" t="n">
        <x:f>H32*1%</x:f>
        <x:v>1</x:v>
      </x:c>
      <x:c r="J32" s="33" t="n">
        <x:f>F32*I32</x:f>
        <x:v>1</x:v>
      </x:c>
      <x:c r="K32" s="33" t="n">
        <x:v>1</x:v>
      </x:c>
      <x:c r="L32" s="33" t="n">
        <x:f>I32*K32</x:f>
        <x:v>1</x:v>
      </x:c>
      <x:c r="M32" s="33" t="n">
        <x:v>1</x:v>
      </x:c>
      <x:c r="N32" s="33" t="n">
        <x:f>I32*M32</x:f>
        <x:v>1</x:v>
      </x:c>
      <x:c r="O32" s="33" t="n">
        <x:v>1</x:v>
      </x:c>
      <x:c r="P32" s="33" t="n">
        <x:f>I32*O32</x:f>
        <x:v>1</x:v>
      </x:c>
    </x:row>
    <x:row r="33">
      <x:c r="A33" s="33" t="str">
        <x:v>1.23</x:v>
      </x:c>
      <x:c r="B33" s="32" t="str">
        <x:v>Quyết định công nhận kết quả Bài tập lớn; khối lượng của nhà giáo hướng dẫn và đánh giá kết quả Bài tập lớn của sinh viên, lớp K8C GDMN, học kỳ II, khoá học 2025 - 2028</x:v>
      </x:c>
      <x:c r="C33" s="33" t="str">
        <x:v>Dương Văn Anh Dũng</x:v>
      </x:c>
      <x:c r="D33" s="33" t="str">
        <x:v>Phòng QLKHCN&amp;HTPT</x:v>
      </x:c>
      <x:c r="E33" s="33" t="str">
        <x:v>Quyết định số 1464/QĐ-CĐKT ngày 24/6/2026</x:v>
      </x:c>
      <x:c r="F33" s="33" t="n">
        <x:v>1</x:v>
      </x:c>
      <x:c r="G33" s="33" t="str">
        <x:v>Thấp</x:v>
      </x:c>
      <x:c r="H33" s="33" t="n">
        <x:v>100</x:v>
      </x:c>
      <x:c r="I33" s="33" t="n">
        <x:f>H33*1%</x:f>
        <x:v>1</x:v>
      </x:c>
      <x:c r="J33" s="33" t="n">
        <x:f>F33*I33</x:f>
        <x:v>1</x:v>
      </x:c>
      <x:c r="K33" s="33" t="n">
        <x:v>1</x:v>
      </x:c>
      <x:c r="L33" s="33" t="n">
        <x:f>I33*K33</x:f>
        <x:v>1</x:v>
      </x:c>
      <x:c r="M33" s="33" t="n">
        <x:v>1</x:v>
      </x:c>
      <x:c r="N33" s="33" t="n">
        <x:f>I33*M33</x:f>
        <x:v>1</x:v>
      </x:c>
      <x:c r="O33" s="33" t="n">
        <x:v>1</x:v>
      </x:c>
      <x:c r="P33" s="33" t="n">
        <x:f>I33*O33</x:f>
        <x:v>1</x:v>
      </x:c>
    </x:row>
    <x:row r="34">
      <x:c r="A34" s="33" t="str">
        <x:v>1.24</x:v>
      </x:c>
      <x:c r="B34" s="32" t="str">
        <x:v>Quyết định công nhận kết quả Bài tập lớn; khối lượng của nhà giáo hướng dẫn và đánh giá kết quả Bài tập lớn của sinh viên, lớp K7C Công tác xã hội, học kỳ IV, khoá học 2024 - 2027</x:v>
      </x:c>
      <x:c r="C34" s="33" t="str">
        <x:v>Huỳnh Văn Chung</x:v>
      </x:c>
      <x:c r="D34" s="33" t="str">
        <x:v>Phòng QLKHCN&amp;HTPT</x:v>
      </x:c>
      <x:c r="E34" s="33" t="str">
        <x:v>Quyết định số 1476/QĐ-CĐKT ngày 26/6/2026</x:v>
      </x:c>
      <x:c r="F34" s="33" t="n">
        <x:v>1</x:v>
      </x:c>
      <x:c r="G34" s="33" t="str">
        <x:v>Thấp</x:v>
      </x:c>
      <x:c r="H34" s="33" t="n">
        <x:v>100</x:v>
      </x:c>
      <x:c r="I34" s="33" t="n">
        <x:f>H34*1%</x:f>
        <x:v>1</x:v>
      </x:c>
      <x:c r="J34" s="33" t="n">
        <x:f>F34*I34</x:f>
        <x:v>1</x:v>
      </x:c>
      <x:c r="K34" s="33" t="n">
        <x:v>1</x:v>
      </x:c>
      <x:c r="L34" s="33" t="n">
        <x:f>I34*K34</x:f>
        <x:v>1</x:v>
      </x:c>
      <x:c r="M34" s="33" t="n">
        <x:v>1</x:v>
      </x:c>
      <x:c r="N34" s="33" t="n">
        <x:f>I34*M34</x:f>
        <x:v>1</x:v>
      </x:c>
      <x:c r="O34" s="33" t="n">
        <x:v>1</x:v>
      </x:c>
      <x:c r="P34" s="33" t="n">
        <x:f>I34*O34</x:f>
        <x:v>1</x:v>
      </x:c>
    </x:row>
    <x:row r="35">
      <x:c r="A35" s="33" t="str">
        <x:v>1.25</x:v>
      </x:c>
      <x:c r="B35" s="32" t="str">
        <x:v>Quyết định công nhận kết quả Bài tập lớn; khối lượng của nhà giáo hướng dẫn và đánh giá kết quả Bài tập lớn của sinh viên, lớp K6C Quản trị văn phòng, học kỳ VI, khoá học 2023 - 2026</x:v>
      </x:c>
      <x:c r="C35" s="33" t="str">
        <x:v>Huỳnh Văn Chung</x:v>
      </x:c>
      <x:c r="D35" s="33" t="str">
        <x:v>Phòng QLKHCN&amp;HTPT</x:v>
      </x:c>
      <x:c r="E35" s="33" t="str">
        <x:v>Quyết định số 1475/QĐ-CĐKT ngày 26/6/2026</x:v>
      </x:c>
      <x:c r="F35" s="33" t="n">
        <x:v>1</x:v>
      </x:c>
      <x:c r="G35" s="33" t="str">
        <x:v>Thấp</x:v>
      </x:c>
      <x:c r="H35" s="33" t="n">
        <x:v>100</x:v>
      </x:c>
      <x:c r="I35" s="33" t="n">
        <x:f>H35*1%</x:f>
        <x:v>1</x:v>
      </x:c>
      <x:c r="J35" s="33" t="n">
        <x:f>F35*I35</x:f>
        <x:v>1</x:v>
      </x:c>
      <x:c r="K35" s="33" t="n">
        <x:v>1</x:v>
      </x:c>
      <x:c r="L35" s="33" t="n">
        <x:f>I35*K35</x:f>
        <x:v>1</x:v>
      </x:c>
      <x:c r="M35" s="33" t="n">
        <x:v>1</x:v>
      </x:c>
      <x:c r="N35" s="33" t="n">
        <x:f>I35*M35</x:f>
        <x:v>1</x:v>
      </x:c>
      <x:c r="O35" s="33" t="n">
        <x:v>1</x:v>
      </x:c>
      <x:c r="P35" s="33" t="n">
        <x:f>I35*O35</x:f>
        <x:v>1</x:v>
      </x:c>
    </x:row>
    <x:row r="36">
      <x:c r="A36" s="33" t="str">
        <x:v>1.26</x:v>
      </x:c>
      <x:c r="B36" s="32" t="str">
        <x:v>Quyết định công nhận kết quả bài tập lớn; khối lượng của nhà giáo hướng dẫn và đánh giá kết quả bài tập lớn của sinh viên, lớp K7C Lâm sinh, học kỳ II, khóa học 2024-2027</x:v>
      </x:c>
      <x:c r="C36" s="33" t="str">
        <x:v>Huỳnh Văn Chung</x:v>
      </x:c>
      <x:c r="D36" s="33" t="str">
        <x:v>Phòng QLKHCN&amp;HTPT</x:v>
      </x:c>
      <x:c r="E36" s="33" t="str">
        <x:v>Quyết định số 1474/QĐ-CĐKT</x:v>
      </x:c>
      <x:c r="F36" s="33" t="n">
        <x:v>1</x:v>
      </x:c>
      <x:c r="G36" s="33" t="str">
        <x:v>Thấp</x:v>
      </x:c>
      <x:c r="H36" s="33" t="n">
        <x:v>100</x:v>
      </x:c>
      <x:c r="I36" s="33" t="n">
        <x:f>H36*1%</x:f>
        <x:v>1</x:v>
      </x:c>
      <x:c r="J36" s="33" t="n">
        <x:f>F36*I36</x:f>
        <x:v>1</x:v>
      </x:c>
      <x:c r="K36" s="33" t="n">
        <x:v>1</x:v>
      </x:c>
      <x:c r="L36" s="33" t="n">
        <x:f>I36*K36</x:f>
        <x:v>1</x:v>
      </x:c>
      <x:c r="M36" s="33" t="n">
        <x:v>1</x:v>
      </x:c>
      <x:c r="N36" s="33" t="n">
        <x:f>I36*M36</x:f>
        <x:v>1</x:v>
      </x:c>
      <x:c r="O36" s="33" t="n">
        <x:v>1</x:v>
      </x:c>
      <x:c r="P36" s="33" t="n">
        <x:f>I36*O36</x:f>
        <x:v>1</x:v>
      </x:c>
    </x:row>
    <x:row r="37">
      <x:c r="A37" s="33" t="str">
        <x:v>1.27</x:v>
      </x:c>
      <x:c r="B37" s="32" t="str">
        <x:v>Quyết định công nhận thí sinh trúng tuyển lớp Huấn luyện an toàn, vệ sinh lao động, khoá V - Năm 2026</x:v>
      </x:c>
      <x:c r="C37" s="33" t="str">
        <x:v>Lê Trí Khải</x:v>
      </x:c>
      <x:c r="D37" s="33" t="str">
        <x:v>Phòng QLKHCN&amp;HTPT</x:v>
      </x:c>
      <x:c r="E37" s="33" t="str">
        <x:v>Quyết định số 1495/QĐ-CĐKT</x:v>
      </x:c>
      <x:c r="F37" s="33" t="n">
        <x:v>1</x:v>
      </x:c>
      <x:c r="G37" s="33" t="str">
        <x:v>Thấp</x:v>
      </x:c>
      <x:c r="H37" s="33" t="n">
        <x:v>100</x:v>
      </x:c>
      <x:c r="I37" s="33" t="n">
        <x:f>H37*1%</x:f>
        <x:v>1</x:v>
      </x:c>
      <x:c r="J37" s="33" t="n">
        <x:f>F37*I37</x:f>
        <x:v>1</x:v>
      </x:c>
      <x:c r="K37" s="33" t="n">
        <x:v>1</x:v>
      </x:c>
      <x:c r="L37" s="33" t="n">
        <x:f>I37*K37</x:f>
        <x:v>1</x:v>
      </x:c>
      <x:c r="M37" s="33" t="n">
        <x:v>1</x:v>
      </x:c>
      <x:c r="N37" s="33" t="n">
        <x:f>I37*M37</x:f>
        <x:v>1</x:v>
      </x:c>
      <x:c r="O37" s="33" t="n">
        <x:v>1</x:v>
      </x:c>
      <x:c r="P37" s="33" t="n">
        <x:f>I37*O37</x:f>
        <x:v>1</x:v>
      </x:c>
    </x:row>
    <x:row r="38">
      <x:c r="A38" s="33" t="str">
        <x:v>1.28</x:v>
      </x:c>
      <x:c r="B38" s="32" t="str">
        <x:v>Quyết định thay thế thành viên Hội đồng xét, công nhận sáng kiến, phạm vi ảnh hưởng, hiệu quả áp dụng sáng kiến cấp cơ sở năm 2026 đối với các sáng kiến "Mô hình bàn thực hành PLC" và "Thiết kế và chế tạo mô hình hệ thống chiếu sáng tự động thích ứng"</x:v>
      </x:c>
      <x:c r="C38" s="33" t="str">
        <x:v>Lê Trí Khải</x:v>
      </x:c>
      <x:c r="D38" s="33" t="str">
        <x:v>Phòng QLKHCN&amp;HTPT</x:v>
      </x:c>
      <x:c r="E38" s="33" t="str">
        <x:v>Quyết định số 1495/QĐ-CĐKT ngày 29/6/2026</x:v>
      </x:c>
      <x:c r="F38" s="33" t="n">
        <x:v>1</x:v>
      </x:c>
      <x:c r="G38" s="33" t="str">
        <x:v>Thấp</x:v>
      </x:c>
      <x:c r="H38" s="33" t="n">
        <x:v>100</x:v>
      </x:c>
      <x:c r="I38" s="33" t="n">
        <x:f>H38*1%</x:f>
        <x:v>1</x:v>
      </x:c>
      <x:c r="J38" s="33" t="n">
        <x:f>F38*I38</x:f>
        <x:v>1</x:v>
      </x:c>
      <x:c r="K38" s="33" t="n">
        <x:v>1</x:v>
      </x:c>
      <x:c r="L38" s="33" t="n">
        <x:f>I38*K38</x:f>
        <x:v>1</x:v>
      </x:c>
      <x:c r="M38" s="33" t="n">
        <x:v>1</x:v>
      </x:c>
      <x:c r="N38" s="33" t="n">
        <x:f>I38*M38</x:f>
        <x:v>1</x:v>
      </x:c>
      <x:c r="O38" s="33" t="n">
        <x:v>1</x:v>
      </x:c>
      <x:c r="P38" s="33" t="n">
        <x:f>I38*O38</x:f>
        <x:v>1</x:v>
      </x:c>
    </x:row>
    <x:row r="39">
      <x:c r="A39" s="33" t="str">
        <x:v>1.29</x:v>
      </x:c>
      <x:c r="B39" s="32" t="str">
        <x:v>Quyết định công nhận kết quả Bài tập lớn; khối lượng của nhà giáo hướng dẫn và đánh giá kết quả Bài tập lớn của sinh viên, lớp K7C GDMN, học kỳ IV, khoá học 2024 - 2027</x:v>
      </x:c>
      <x:c r="C39" s="33" t="str">
        <x:v>Huỳnh Văn Chung</x:v>
      </x:c>
      <x:c r="D39" s="33" t="str">
        <x:v>Phòng QLKHCN&amp;HTPT</x:v>
      </x:c>
      <x:c r="E39" s="33" t="str">
        <x:v>Quyết định số 1484/QĐ-CĐKT ngày 29/6/2026</x:v>
      </x:c>
      <x:c r="F39" s="33" t="n">
        <x:v>1</x:v>
      </x:c>
      <x:c r="G39" s="33" t="str">
        <x:v>Thấp</x:v>
      </x:c>
      <x:c r="H39" s="33" t="n">
        <x:v>100</x:v>
      </x:c>
      <x:c r="I39" s="33" t="n">
        <x:f>H39*1%</x:f>
        <x:v>1</x:v>
      </x:c>
      <x:c r="J39" s="33" t="n">
        <x:f>F39*I39</x:f>
        <x:v>1</x:v>
      </x:c>
      <x:c r="K39" s="33" t="n">
        <x:v>1</x:v>
      </x:c>
      <x:c r="L39" s="33" t="n">
        <x:f>I39*K39</x:f>
        <x:v>1</x:v>
      </x:c>
      <x:c r="M39" s="33" t="n">
        <x:v>1</x:v>
      </x:c>
      <x:c r="N39" s="33" t="n">
        <x:f>I39*M39</x:f>
        <x:v>1</x:v>
      </x:c>
      <x:c r="O39" s="33" t="n">
        <x:v>1</x:v>
      </x:c>
      <x:c r="P39" s="33" t="n">
        <x:f>I39*O39</x:f>
        <x:v>1</x:v>
      </x:c>
    </x:row>
    <x:row r="40">
      <x:c r="A40" s="33" t="str">
        <x:v>1.30</x:v>
      </x:c>
      <x:c r="B40" s="32" t="str">
        <x:v>Quyết định công nhận kết quả bài tập lớn, khối lượng của nhà giáo hướng dẫn và đánh giá kết quả bài tập lớn của học sinh lớp K7T Nông nghiệp công nghệ cao, học kỳ IV, khóa học 2024-2026</x:v>
      </x:c>
      <x:c r="C40" s="33" t="str">
        <x:v>Huỳnh Văn Chung</x:v>
      </x:c>
      <x:c r="D40" s="33" t="str">
        <x:v>Phòng QLKHCN&amp;HTPT</x:v>
      </x:c>
      <x:c r="E40" s="33" t="str">
        <x:v>Quyết định số 1499/QĐ-CĐKT ngày 29/6/2026</x:v>
      </x:c>
      <x:c r="F40" s="33" t="n">
        <x:v>1</x:v>
      </x:c>
      <x:c r="G40" s="33" t="str">
        <x:v>Thấp</x:v>
      </x:c>
      <x:c r="H40" s="33" t="n">
        <x:v>100</x:v>
      </x:c>
      <x:c r="I40" s="33" t="n">
        <x:f>H40*1%</x:f>
        <x:v>1</x:v>
      </x:c>
      <x:c r="J40" s="33" t="n">
        <x:f>F40*I40</x:f>
        <x:v>1</x:v>
      </x:c>
      <x:c r="K40" s="33" t="n">
        <x:v>1</x:v>
      </x:c>
      <x:c r="L40" s="33" t="n">
        <x:f>I40*K40</x:f>
        <x:v>1</x:v>
      </x:c>
      <x:c r="M40" s="33" t="n">
        <x:v>1</x:v>
      </x:c>
      <x:c r="N40" s="33" t="n">
        <x:f>I40*M40</x:f>
        <x:v>1</x:v>
      </x:c>
      <x:c r="O40" s="33" t="n">
        <x:v>1</x:v>
      </x:c>
      <x:c r="P40" s="33" t="n">
        <x:f>I40*O40</x:f>
        <x:v>1</x:v>
      </x:c>
    </x:row>
    <x:row r="41">
      <x:c r="A41" s="33" t="str">
        <x:v>1.31</x:v>
      </x:c>
      <x:c r="B41" s="32" t="str">
        <x:v>Quyết định công nhận kết quả bài tập lớn; khối lượng của nhà giáo hướng dẫn và đánh giá kết quả bài tập lớn của sinh viên, lớp K8C Chăn nuôi, học kỳ II, khóa học 2025-2028</x:v>
      </x:c>
      <x:c r="C41" s="33" t="str">
        <x:v>Huỳnh Văn Chung</x:v>
      </x:c>
      <x:c r="D41" s="33" t="str">
        <x:v>Phòng QLKHCN&amp;HTPT</x:v>
      </x:c>
      <x:c r="E41" s="33" t="str">
        <x:v>Quyết định số 1500/QĐ-CĐKT ngày 29/6/2026</x:v>
      </x:c>
      <x:c r="F41" s="33" t="n">
        <x:v>1</x:v>
      </x:c>
      <x:c r="G41" s="33" t="str">
        <x:v>Thấp</x:v>
      </x:c>
      <x:c r="H41" s="33" t="n">
        <x:v>100</x:v>
      </x:c>
      <x:c r="I41" s="33" t="n">
        <x:f>H41*1%</x:f>
        <x:v>1</x:v>
      </x:c>
      <x:c r="J41" s="33" t="n">
        <x:f>F41*I41</x:f>
        <x:v>1</x:v>
      </x:c>
      <x:c r="K41" s="33" t="n">
        <x:v>1</x:v>
      </x:c>
      <x:c r="L41" s="33" t="n">
        <x:f>I41*K41</x:f>
        <x:v>1</x:v>
      </x:c>
      <x:c r="M41" s="33" t="n">
        <x:v>1</x:v>
      </x:c>
      <x:c r="N41" s="33" t="n">
        <x:f>I41*M41</x:f>
        <x:v>1</x:v>
      </x:c>
      <x:c r="O41" s="33" t="n">
        <x:v>1</x:v>
      </x:c>
      <x:c r="P41" s="33" t="n">
        <x:f>I41*O41</x:f>
        <x:v>1</x:v>
      </x:c>
    </x:row>
    <x:row r="42">
      <x:c r="A42" s="33" t="str">
        <x:v>1.32</x:v>
      </x:c>
      <x:c r="B42" s="32" t="str">
        <x:v>Quyết định công nhận kết quả bài tập lớn; khối lượng của nhà giáo hướng dẫn và đánh giá kết quả bài tập lớn của sinh viên, lớp K8C Lâm sinh, học kỳ II, khóa học 2025-2028</x:v>
      </x:c>
      <x:c r="C42" s="33" t="str">
        <x:v>Huỳnh Văn Chung</x:v>
      </x:c>
      <x:c r="D42" s="33" t="str">
        <x:v>Phòng QLKHCN&amp;HTPT</x:v>
      </x:c>
      <x:c r="E42" s="33" t="str">
        <x:v>Quyết định số 1501/QĐ-CĐKT ngày 29/6/2026</x:v>
      </x:c>
      <x:c r="F42" s="33" t="n">
        <x:v>1</x:v>
      </x:c>
      <x:c r="G42" s="33" t="str">
        <x:v>Thấp</x:v>
      </x:c>
      <x:c r="H42" s="33" t="n">
        <x:v>100</x:v>
      </x:c>
      <x:c r="I42" s="33" t="n">
        <x:f>H42*1%</x:f>
        <x:v>1</x:v>
      </x:c>
      <x:c r="J42" s="33" t="n">
        <x:f>F42*I42</x:f>
        <x:v>1</x:v>
      </x:c>
      <x:c r="K42" s="33" t="n">
        <x:v>1</x:v>
      </x:c>
      <x:c r="L42" s="33" t="n">
        <x:f>I42*K42</x:f>
        <x:v>1</x:v>
      </x:c>
      <x:c r="M42" s="33" t="n">
        <x:v>1</x:v>
      </x:c>
      <x:c r="N42" s="33" t="n">
        <x:f>I42*M42</x:f>
        <x:v>1</x:v>
      </x:c>
      <x:c r="O42" s="33" t="n">
        <x:v>1</x:v>
      </x:c>
      <x:c r="P42" s="33" t="n">
        <x:f>I42*O42</x:f>
        <x:v>1</x:v>
      </x:c>
    </x:row>
    <x:row r="43">
      <x:c r="A43" s="33" t="str">
        <x:v>1.33</x:v>
      </x:c>
      <x:c r="B43" s="32" t="str">
        <x:v>Quyết định công nhận kết quả bài tập lớn; khối lượng của nhà giáo hướng dẫn và đánh giá kết quả bài tập lớn của sinh viên, lớp K7C Điều dưỡng chất lượng cao, học kỳ IV, khóa học 2024-2027</x:v>
      </x:c>
      <x:c r="C43" s="33" t="str">
        <x:v>Nguyễn Trung Hiếu</x:v>
      </x:c>
      <x:c r="D43" s="33" t="str">
        <x:v>Phòng QLKHCN&amp;HTPT</x:v>
      </x:c>
      <x:c r="E43" s="33" t="str">
        <x:v>Quyết định số 1497/QĐ-CĐKT ngày 29/6/2026</x:v>
      </x:c>
      <x:c r="F43" s="33" t="n">
        <x:v>1</x:v>
      </x:c>
      <x:c r="G43" s="33" t="str">
        <x:v>Thấp</x:v>
      </x:c>
      <x:c r="H43" s="33" t="n">
        <x:v>100</x:v>
      </x:c>
      <x:c r="I43" s="33" t="n">
        <x:f>H43*1%</x:f>
        <x:v>1</x:v>
      </x:c>
      <x:c r="J43" s="33" t="n">
        <x:f>F43*I43</x:f>
        <x:v>1</x:v>
      </x:c>
      <x:c r="K43" s="33" t="n">
        <x:v>1</x:v>
      </x:c>
      <x:c r="L43" s="33" t="n">
        <x:f>I43*K43</x:f>
        <x:v>1</x:v>
      </x:c>
      <x:c r="M43" s="33" t="n">
        <x:v>1</x:v>
      </x:c>
      <x:c r="N43" s="33" t="n">
        <x:f>I43*M43</x:f>
        <x:v>1</x:v>
      </x:c>
      <x:c r="O43" s="33" t="n">
        <x:v>1</x:v>
      </x:c>
      <x:c r="P43" s="33" t="n">
        <x:f>I43*O43</x:f>
        <x:v>1</x:v>
      </x:c>
    </x:row>
    <x:row r="44">
      <x:c r="A44" s="33" t="str">
        <x:v>1.34</x:v>
      </x:c>
      <x:c r="B44" s="32" t="str">
        <x:v>Quyết định công nhận kết quả bài tập lớn; khối lượng của nhà giáo hướng dẫn và đánh giá kết quả bài tập lớn của sinh viên, lớp K7C Điều dưỡng, học kỳ IV, khóa học 2024-2027</x:v>
      </x:c>
      <x:c r="C44" s="33" t="str">
        <x:v>Nguyễn Trung Hiếu</x:v>
      </x:c>
      <x:c r="D44" s="33" t="str">
        <x:v>Phòng QLKHCN&amp;HTPT</x:v>
      </x:c>
      <x:c r="E44" s="33" t="str">
        <x:v>Quyết định số 1496/QĐ-CĐKT ngày 29/6/2026</x:v>
      </x:c>
      <x:c r="F44" s="33" t="n">
        <x:v>1</x:v>
      </x:c>
      <x:c r="G44" s="33" t="str">
        <x:v>Thấp</x:v>
      </x:c>
      <x:c r="H44" s="33" t="n">
        <x:v>100</x:v>
      </x:c>
      <x:c r="I44" s="33" t="n">
        <x:f>H44*1%</x:f>
        <x:v>1</x:v>
      </x:c>
      <x:c r="J44" s="33" t="n">
        <x:f>F44*I44</x:f>
        <x:v>1</x:v>
      </x:c>
      <x:c r="K44" s="33" t="n">
        <x:v>1</x:v>
      </x:c>
      <x:c r="L44" s="33" t="n">
        <x:f>I44*K44</x:f>
        <x:v>1</x:v>
      </x:c>
      <x:c r="M44" s="33" t="n">
        <x:v>1</x:v>
      </x:c>
      <x:c r="N44" s="33" t="n">
        <x:f>I44*M44</x:f>
        <x:v>1</x:v>
      </x:c>
      <x:c r="O44" s="33" t="n">
        <x:v>1</x:v>
      </x:c>
      <x:c r="P44" s="33" t="n">
        <x:f>I44*O44</x:f>
        <x:v>1</x:v>
      </x:c>
    </x:row>
    <x:row r="45">
      <x:c r="A45" s="33" t="str">
        <x:v>1.35</x:v>
      </x:c>
      <x:c r="B45" s="32" t="str">
        <x:v>Quyết định công nhận kết quả bài tập lớn; khối lượng của nhà giáo hướng dẫn và đánh giá kết quả bài tập lớn của sinh viên, lớp K7C Công nghệ ô tô, học kỳ IV, khóa học 2024-2027</x:v>
      </x:c>
      <x:c r="C45" s="33" t="str">
        <x:v>Nguyễn Trung Hiếu</x:v>
      </x:c>
      <x:c r="D45" s="33" t="str">
        <x:v>Phòng QLKHCN&amp;HTPT</x:v>
      </x:c>
      <x:c r="E45" s="33" t="str">
        <x:v>Quyết định số 1498/QĐ-CĐKT ngày 29/6/2026</x:v>
      </x:c>
      <x:c r="F45" s="33" t="n">
        <x:v>1</x:v>
      </x:c>
      <x:c r="G45" s="33" t="str">
        <x:v>Thấp</x:v>
      </x:c>
      <x:c r="H45" s="33" t="n">
        <x:v>100</x:v>
      </x:c>
      <x:c r="I45" s="33" t="n">
        <x:f>H45*1%</x:f>
        <x:v>1</x:v>
      </x:c>
      <x:c r="J45" s="33" t="n">
        <x:f>F45*I45</x:f>
        <x:v>1</x:v>
      </x:c>
      <x:c r="K45" s="33" t="n">
        <x:v>1</x:v>
      </x:c>
      <x:c r="L45" s="33" t="n">
        <x:f>I45*K45</x:f>
        <x:v>1</x:v>
      </x:c>
      <x:c r="M45" s="33" t="n">
        <x:v>1</x:v>
      </x:c>
      <x:c r="N45" s="33" t="n">
        <x:f>I45*M45</x:f>
        <x:v>1</x:v>
      </x:c>
      <x:c r="O45" s="33" t="n">
        <x:v>1</x:v>
      </x:c>
      <x:c r="P45" s="33" t="n">
        <x:f>I45*O45</x:f>
        <x:v>1</x:v>
      </x:c>
    </x:row>
    <x:row r="46">
      <x:c r="A46" s="33" t="str">
        <x:v>1.36</x:v>
      </x:c>
      <x:c r="B46" s="32" t="str">
        <x:v>Kế hoạch họp Tổ thẩm định kinh phí thực hiện đề tài khoa học và công nghệ cấp cơ sở "Thực trạng và một số yếu tố liên quan đến tăng huyết áp ở viên chức, người lao động Trường Cao đẳng Kon Tum năm 2026"</x:v>
      </x:c>
      <x:c r="C46" s="33" t="str">
        <x:v>Nguyễn Trung Hiếu</x:v>
      </x:c>
      <x:c r="D46" s="33" t="str">
        <x:v>Phòng QLKHCN&amp;HTPT</x:v>
      </x:c>
      <x:c r="E46" s="33" t="str">
        <x:v>Kế hoạch số 637/KH-CĐKT</x:v>
      </x:c>
      <x:c r="F46" s="33" t="n">
        <x:v>1</x:v>
      </x:c>
      <x:c r="G46" s="33" t="str">
        <x:v>Thấp</x:v>
      </x:c>
      <x:c r="H46" s="33" t="n">
        <x:v>100</x:v>
      </x:c>
      <x:c r="I46" s="33" t="n">
        <x:f>H46*1%</x:f>
        <x:v>1</x:v>
      </x:c>
      <x:c r="J46" s="33" t="n">
        <x:f>F46*I46</x:f>
        <x:v>1</x:v>
      </x:c>
      <x:c r="K46" s="33" t="n">
        <x:v>1</x:v>
      </x:c>
      <x:c r="L46" s="33" t="n">
        <x:f>I46*K46</x:f>
        <x:v>1</x:v>
      </x:c>
      <x:c r="M46" s="33" t="n">
        <x:v>1</x:v>
      </x:c>
      <x:c r="N46" s="33" t="n">
        <x:f>I46*M46</x:f>
        <x:v>1</x:v>
      </x:c>
      <x:c r="O46" s="33" t="n">
        <x:v>1</x:v>
      </x:c>
      <x:c r="P46" s="33" t="n">
        <x:f>I46*O46</x:f>
        <x:v>1</x:v>
      </x:c>
    </x:row>
    <x:row r="47">
      <x:c r="A47" s="33" t="str">
        <x:v>1.37</x:v>
      </x:c>
      <x:c r="B47" s="32" t="str">
        <x:v>Thông báo điều chỉnh thời gian tổ chức xét, công nhận sáng kiến, công nhận phạm vi ảnh hưởng, hiệu quả áp dụng sáng kiến cấp cơ sở năm 2026 đối với sáng kiến "Mô hình bàn thực hành PLC". Nhóm tác giả Nguyễn Thanh Lâm</x:v>
      </x:c>
      <x:c r="C47" s="33" t="str">
        <x:v>Nguyễn Trung Hiếu</x:v>
      </x:c>
      <x:c r="D47" s="33" t="str">
        <x:v>Phòng QLKHCN&amp;HTPT</x:v>
      </x:c>
      <x:c r="E47" s="33" t="str">
        <x:v>Thông báo số 753/TB-CĐKT ngày 30/6/2029</x:v>
      </x:c>
      <x:c r="F47" s="33" t="n">
        <x:v>1</x:v>
      </x:c>
      <x:c r="G47" s="33" t="str">
        <x:v>Thấp</x:v>
      </x:c>
      <x:c r="H47" s="33" t="n">
        <x:v>100</x:v>
      </x:c>
      <x:c r="I47" s="33" t="n">
        <x:f>H47*1%</x:f>
        <x:v>1</x:v>
      </x:c>
      <x:c r="J47" s="33" t="n">
        <x:f>F47*I47</x:f>
        <x:v>1</x:v>
      </x:c>
      <x:c r="K47" s="33" t="n">
        <x:v>1</x:v>
      </x:c>
      <x:c r="L47" s="33" t="n">
        <x:f>I47*K47</x:f>
        <x:v>1</x:v>
      </x:c>
      <x:c r="M47" s="33" t="n">
        <x:v>1</x:v>
      </x:c>
      <x:c r="N47" s="33" t="n">
        <x:f>I47*M47</x:f>
        <x:v>1</x:v>
      </x:c>
      <x:c r="O47" s="33" t="n">
        <x:v>1</x:v>
      </x:c>
      <x:c r="P47" s="33" t="n">
        <x:f>I47*O47</x:f>
        <x:v>1</x:v>
      </x:c>
    </x:row>
    <x:row r="48">
      <x:c r="A48" s="33" t="str">
        <x:v>1.38</x:v>
      </x:c>
      <x:c r="B48" s="32" t="str">
        <x:v>Kế hoạch họp Tổ thẩm định kinh phí thực hiện đề tài khoa học và công nghệ cấp cơ sở "Mô hình ứng dụng chủng vi tảo C.vulgaris KT2023 và S.acuminatus KT2023 làm thức ăn nuôi cá rô phi đơn tính giống trong ao nuôi trồng thuỷ sản tại xã Đăk Hà, tỉnh Quảng Ngãi"</x:v>
      </x:c>
      <x:c r="C48" s="33" t="str">
        <x:v>Huỳnh Văn Chung</x:v>
      </x:c>
      <x:c r="D48" s="33" t="str">
        <x:v>Phòng QLKHCN&amp;HTPT</x:v>
      </x:c>
      <x:c r="E48" s="33" t="str">
        <x:v>Kế hoạch số 638/KH-CĐKT</x:v>
      </x:c>
      <x:c r="F48" s="33" t="n">
        <x:v>1</x:v>
      </x:c>
      <x:c r="G48" s="33" t="str">
        <x:v>Thấp</x:v>
      </x:c>
      <x:c r="H48" s="33" t="n">
        <x:v>100</x:v>
      </x:c>
      <x:c r="I48" s="33" t="n">
        <x:f>H48*1%</x:f>
        <x:v>1</x:v>
      </x:c>
      <x:c r="J48" s="33" t="n">
        <x:f>F48*I48</x:f>
        <x:v>1</x:v>
      </x:c>
      <x:c r="K48" s="33" t="n">
        <x:v>1</x:v>
      </x:c>
      <x:c r="L48" s="33" t="n">
        <x:f>I48*K48</x:f>
        <x:v>1</x:v>
      </x:c>
      <x:c r="M48" s="33" t="n">
        <x:v>1</x:v>
      </x:c>
      <x:c r="N48" s="33" t="n">
        <x:f>I48*M48</x:f>
        <x:v>1</x:v>
      </x:c>
      <x:c r="O48" s="33" t="n">
        <x:v>1</x:v>
      </x:c>
      <x:c r="P48" s="33" t="n">
        <x:f>I48*O48</x:f>
        <x:v>1</x:v>
      </x:c>
    </x:row>
    <x:row r="49">
      <x:c r="A49" s="33" t="str">
        <x:v>1.39</x:v>
      </x:c>
      <x:c r="B49" s="32" t="str">
        <x:v>Quyết định thành lập Hội đồng tư vấn tuyển chọn chủ nhiệm đề tài khoa học và công nghệ cấp cơ sở "Thực trạng và một số yếu tố liên quan đến tình trạng bỏ học của học sinh, sinh viên Trường Cao đẳng Kon Tum năm 2025"</x:v>
      </x:c>
      <x:c r="C49" s="33" t="str">
        <x:v>Huỳnh Văn Chung</x:v>
      </x:c>
      <x:c r="D49" s="33" t="str">
        <x:v>Phòng QLKHCN&amp;HTPT</x:v>
      </x:c>
      <x:c r="E49" s="33" t="str">
        <x:v>Quyết định số 1510/QĐ-CĐKT</x:v>
      </x:c>
      <x:c r="F49" s="33" t="n">
        <x:v>1</x:v>
      </x:c>
      <x:c r="G49" s="33" t="str">
        <x:v>Thấp</x:v>
      </x:c>
      <x:c r="H49" s="33" t="n">
        <x:v>100</x:v>
      </x:c>
      <x:c r="I49" s="33" t="n">
        <x:f>H49*1%</x:f>
        <x:v>1</x:v>
      </x:c>
      <x:c r="J49" s="33" t="n">
        <x:f>F49*I49</x:f>
        <x:v>1</x:v>
      </x:c>
      <x:c r="K49" s="33" t="n">
        <x:v>1</x:v>
      </x:c>
      <x:c r="L49" s="33" t="n">
        <x:f>I49*K49</x:f>
        <x:v>1</x:v>
      </x:c>
      <x:c r="M49" s="33" t="n">
        <x:v>1</x:v>
      </x:c>
      <x:c r="N49" s="33" t="n">
        <x:f>I49*M49</x:f>
        <x:v>1</x:v>
      </x:c>
      <x:c r="O49" s="33" t="n">
        <x:v>1</x:v>
      </x:c>
      <x:c r="P49" s="33" t="n">
        <x:f>I49*O49</x:f>
        <x:v>1</x:v>
      </x:c>
    </x:row>
    <x:row r="50">
      <x:c r="A50" s="33" t="str">
        <x:v>1.40</x:v>
      </x:c>
      <x:c r="B50" s="32" t="str">
        <x:v>Công văn gửi Công ty Cổ phần Thủy điện Đăk Glei đề nghị tiếp nhận học sinh lớp K7T Điện công nghiệp 2 thực hành, thực tập năm 2026</x:v>
      </x:c>
      <x:c r="C50" s="33" t="str">
        <x:v>Nguyễn Trung Hiếu</x:v>
      </x:c>
      <x:c r="D50" s="33" t="str">
        <x:v>Phòng QLKHCN&amp;HTPT</x:v>
      </x:c>
      <x:c r="E50" s="33" t="str">
        <x:v>Công văn số 481/CĐKT-QLKHCN</x:v>
      </x:c>
      <x:c r="F50" s="33" t="n">
        <x:v>1</x:v>
      </x:c>
      <x:c r="G50" s="33" t="str">
        <x:v>Thấp</x:v>
      </x:c>
      <x:c r="H50" s="33" t="n">
        <x:v>100</x:v>
      </x:c>
      <x:c r="I50" s="33" t="n">
        <x:f>H50*1%</x:f>
        <x:v>1</x:v>
      </x:c>
      <x:c r="J50" s="33" t="n">
        <x:f>F50*I50</x:f>
        <x:v>1</x:v>
      </x:c>
      <x:c r="K50" s="33" t="n">
        <x:v>1</x:v>
      </x:c>
      <x:c r="L50" s="33" t="n">
        <x:f>I50*K50</x:f>
        <x:v>1</x:v>
      </x:c>
      <x:c r="M50" s="33" t="n">
        <x:v>1</x:v>
      </x:c>
      <x:c r="N50" s="33" t="n">
        <x:f>I50*M50</x:f>
        <x:v>1</x:v>
      </x:c>
      <x:c r="O50" s="33" t="n">
        <x:v>1</x:v>
      </x:c>
      <x:c r="P50" s="33" t="n">
        <x:f>I50*O50</x:f>
        <x:v>1</x:v>
      </x:c>
    </x:row>
    <x:row r="51">
      <x:c r="A51" s="33" t="str">
        <x:v>1.41</x:v>
      </x:c>
      <x:c r="B51" s="32" t="str">
        <x:v>Kế hoạch tổ chức hoạt động truyền thông, tư vấn hướng nghiệp, tuyển sinh và bố trí việc làm tại xã Sa Bình năm 2026</x:v>
      </x:c>
      <x:c r="C51" s="33" t="str">
        <x:v>Huỳnh Văn Chung</x:v>
      </x:c>
      <x:c r="D51" s="33" t="str">
        <x:v>Phòng QLKHCN&amp;HTPT</x:v>
      </x:c>
      <x:c r="E51" s="33" t="str">
        <x:v>Kế hoạch số 646/KH-CĐKT</x:v>
      </x:c>
      <x:c r="F51" s="33" t="n">
        <x:v>1</x:v>
      </x:c>
      <x:c r="G51" s="33" t="str">
        <x:v>Thấp</x:v>
      </x:c>
      <x:c r="H51" s="33" t="n">
        <x:v>100</x:v>
      </x:c>
      <x:c r="I51" s="33" t="n">
        <x:f>H51*1%</x:f>
        <x:v>1</x:v>
      </x:c>
      <x:c r="J51" s="33" t="n">
        <x:f>F51*I51</x:f>
        <x:v>1</x:v>
      </x:c>
      <x:c r="K51" s="33" t="n">
        <x:v>1</x:v>
      </x:c>
      <x:c r="L51" s="33" t="n">
        <x:f>I51*K51</x:f>
        <x:v>1</x:v>
      </x:c>
      <x:c r="M51" s="33" t="n">
        <x:v>1</x:v>
      </x:c>
      <x:c r="N51" s="33" t="n">
        <x:f>I51*M51</x:f>
        <x:v>1</x:v>
      </x:c>
      <x:c r="O51" s="33" t="n">
        <x:v>1</x:v>
      </x:c>
      <x:c r="P51" s="33" t="n">
        <x:f>I51*O51</x:f>
        <x:v>1</x:v>
      </x:c>
    </x:row>
    <x:row r="52">
      <x:c r="A52" s="33" t="str">
        <x:v>1.42</x:v>
      </x:c>
      <x:c r="B52" s="32" t="str">
        <x:v>Kế hoạch họp Hội đồng tư vấn tuyển chọn chủ nhiệm đề tài KH&amp;CN cấp cơ sở thực hiện năm 2026 đối với đề tài "Thực trạng và một số yếu tố liên quan đến tình trạng bỏ học của HSSV Trường Cao đẳng Kon Tum năm 2025"</x:v>
      </x:c>
      <x:c r="C52" s="33" t="str">
        <x:v>Dương Văn Anh Dũng</x:v>
      </x:c>
      <x:c r="D52" s="33" t="str">
        <x:v>Phòng QLKHCN&amp;HTPT</x:v>
      </x:c>
      <x:c r="E52" s="33" t="str">
        <x:v>Kế hoạch số 653/KH-CĐKT ngày 02/7/2026</x:v>
      </x:c>
      <x:c r="F52" s="33" t="n">
        <x:v>1</x:v>
      </x:c>
      <x:c r="G52" s="33" t="str">
        <x:v>Thấp</x:v>
      </x:c>
      <x:c r="H52" s="33" t="n">
        <x:v>100</x:v>
      </x:c>
      <x:c r="I52" s="33" t="n">
        <x:f>H52*1%</x:f>
        <x:v>1</x:v>
      </x:c>
      <x:c r="J52" s="33" t="n">
        <x:f>F52*I52</x:f>
        <x:v>1</x:v>
      </x:c>
      <x:c r="K52" s="33" t="n">
        <x:v>1</x:v>
      </x:c>
      <x:c r="L52" s="33" t="n">
        <x:f>I52*K52</x:f>
        <x:v>1</x:v>
      </x:c>
      <x:c r="M52" s="33" t="n">
        <x:v>1</x:v>
      </x:c>
      <x:c r="N52" s="33" t="n">
        <x:f>I52*M52</x:f>
        <x:v>1</x:v>
      </x:c>
      <x:c r="O52" s="33" t="n">
        <x:v>1</x:v>
      </x:c>
      <x:c r="P52" s="33" t="n">
        <x:f>I52*O52</x:f>
        <x:v>1</x:v>
      </x:c>
    </x:row>
    <x:row r="53">
      <x:c r="A53" s="33" t="str">
        <x:v>1.43</x:v>
      </x:c>
      <x:c r="B53" s="32" t="str">
        <x:v>Thông báo điều chỉnh thời gian họp Hội đồng tư vấn tuyển chọn chủ nhiệm đề tài KH&amp;CN cấp cơ sở đối với đề tài "Thực trạng và một số yếu tố liên quan đến tình trạng bỏ học của HSSV Trường Cao đẳng Kon Tum năm 2025"</x:v>
      </x:c>
      <x:c r="C53" s="33" t="str">
        <x:v>Dương Văn Anh Dũng</x:v>
      </x:c>
      <x:c r="D53" s="33" t="str">
        <x:v>Phòng QLKHCN&amp;HTPT</x:v>
      </x:c>
      <x:c r="E53" s="33" t="str">
        <x:v>Thông báo số 776/TB-CĐKT ngày 06/7/2026</x:v>
      </x:c>
      <x:c r="F53" s="33" t="n">
        <x:v>1</x:v>
      </x:c>
      <x:c r="G53" s="33" t="str">
        <x:v>Thấp</x:v>
      </x:c>
      <x:c r="H53" s="33" t="n">
        <x:v>100</x:v>
      </x:c>
      <x:c r="I53" s="33" t="n">
        <x:f>H53*1%</x:f>
        <x:v>1</x:v>
      </x:c>
      <x:c r="J53" s="33" t="n">
        <x:f>F53*I53</x:f>
        <x:v>1</x:v>
      </x:c>
      <x:c r="K53" s="33" t="n">
        <x:v>1</x:v>
      </x:c>
      <x:c r="L53" s="33" t="n">
        <x:f>I53*K53</x:f>
        <x:v>1</x:v>
      </x:c>
      <x:c r="M53" s="33" t="n">
        <x:v>1</x:v>
      </x:c>
      <x:c r="N53" s="33" t="n">
        <x:f>I53*M53</x:f>
        <x:v>1</x:v>
      </x:c>
      <x:c r="O53" s="33" t="n">
        <x:v>1</x:v>
      </x:c>
      <x:c r="P53" s="33" t="n">
        <x:f>I53*O53</x:f>
        <x:v>1</x:v>
      </x:c>
    </x:row>
    <x:row r="54">
      <x:c r="A54" s="33" t="str">
        <x:v>1.44</x:v>
      </x:c>
      <x:c r="B54" s="32" t="str">
        <x:v>Quyết định giao nhiệm vụ cho viên chức làm công tác tư vấn hướng nghiệp, tuyển sinh, tiếp nhận hồ sơ tuyển sinh tại các đơn vị thuộc Trường</x:v>
      </x:c>
      <x:c r="C54" s="33" t="str">
        <x:v>Lê Trí Khải</x:v>
      </x:c>
      <x:c r="D54" s="33" t="str">
        <x:v>Phòng QLKHCN&amp;HTPT</x:v>
      </x:c>
      <x:c r="E54" s="33" t="str">
        <x:v>Quyết định số 1563/QĐ-CĐKT</x:v>
      </x:c>
      <x:c r="F54" s="33" t="n">
        <x:v>1</x:v>
      </x:c>
      <x:c r="G54" s="33" t="str">
        <x:v>Trung bình</x:v>
      </x:c>
      <x:c r="H54" s="33" t="n">
        <x:v>120</x:v>
      </x:c>
      <x:c r="I54" s="33" t="n">
        <x:f>H54*1%</x:f>
        <x:v>1.2</x:v>
      </x:c>
      <x:c r="J54" s="33" t="n">
        <x:f>F54*I54</x:f>
        <x:v>1.2</x:v>
      </x:c>
      <x:c r="K54" s="33" t="str"/>
      <x:c r="L54" s="33" t="n">
        <x:f>I54*K54</x:f>
        <x:v>0</x:v>
      </x:c>
      <x:c r="M54" s="33" t="n">
        <x:v>1</x:v>
      </x:c>
      <x:c r="N54" s="33" t="n">
        <x:f>I54*M54</x:f>
        <x:v>1.2</x:v>
      </x:c>
      <x:c r="O54" s="33" t="n">
        <x:v>1</x:v>
      </x:c>
      <x:c r="P54" s="33" t="n">
        <x:f>I54*O54</x:f>
        <x:v>1.2</x:v>
      </x:c>
    </x:row>
    <x:row r="55">
      <x:c r="A55" s="33" t="str">
        <x:v>1.45</x:v>
      </x:c>
      <x:c r="B55" s="32" t="str">
        <x:v>Công văn phối hợp cung cấp thông tin phục vụ điều tra nghiên cứu và phát triển khoa học và công nghệ năm 2026</x:v>
      </x:c>
      <x:c r="C55" s="33" t="str">
        <x:v>Huỳnh Văn Chung</x:v>
      </x:c>
      <x:c r="D55" s="33" t="str">
        <x:v>Phòng QLKHCN&amp;HTPT</x:v>
      </x:c>
      <x:c r="E55" s="33" t="str">
        <x:v>Công văn số 487/CĐKT-QLKHCN ngày 06/7/2026</x:v>
      </x:c>
      <x:c r="F55" s="33" t="n">
        <x:v>1</x:v>
      </x:c>
      <x:c r="G55" s="33" t="str">
        <x:v>Thấp</x:v>
      </x:c>
      <x:c r="H55" s="33" t="n">
        <x:v>100</x:v>
      </x:c>
      <x:c r="I55" s="33" t="n">
        <x:f>H55*1%</x:f>
        <x:v>1</x:v>
      </x:c>
      <x:c r="J55" s="33" t="n">
        <x:f>F55*I55</x:f>
        <x:v>1</x:v>
      </x:c>
      <x:c r="K55" s="33" t="str"/>
      <x:c r="L55" s="33" t="n">
        <x:f>I55*K55</x:f>
        <x:v>0</x:v>
      </x:c>
      <x:c r="M55" s="33" t="n">
        <x:v>1</x:v>
      </x:c>
      <x:c r="N55" s="33" t="n">
        <x:f>I55*M55</x:f>
        <x:v>1</x:v>
      </x:c>
      <x:c r="O55" s="33" t="n">
        <x:v>1</x:v>
      </x:c>
      <x:c r="P55" s="33" t="n">
        <x:f>I55*O55</x:f>
        <x:v>1</x:v>
      </x:c>
    </x:row>
    <x:row r="56">
      <x:c r="A56" s="33" t="str">
        <x:v>1.46</x:v>
      </x:c>
      <x:c r="B56" s="32" t="str">
        <x:v>Quyết định thay thế thành viên Hội đồng tư vấn tuyển chọn chủ nhiệm đề tài KH&amp;CN cấp cơ sở thực hiện năm 2026 đổi với đề tài "Thực trạng và một số yếu tố liên quan đến tình trạng bỏ học của HSSV Trường Cao đẳng Kon Tum năm 2025"</x:v>
      </x:c>
      <x:c r="C56" s="33" t="str">
        <x:v>Huỳnh Văn Chung</x:v>
      </x:c>
      <x:c r="D56" s="33" t="str">
        <x:v>Phòng QLKHCN&amp;HTPT</x:v>
      </x:c>
      <x:c r="E56" s="33" t="str">
        <x:v>Quyết định số 1577/QĐ-CĐKT ngày 08/7/2026</x:v>
      </x:c>
      <x:c r="F56" s="33" t="n">
        <x:v>1</x:v>
      </x:c>
      <x:c r="G56" s="33" t="str">
        <x:v>Thấp</x:v>
      </x:c>
      <x:c r="H56" s="33" t="n">
        <x:v>100</x:v>
      </x:c>
      <x:c r="I56" s="33" t="n">
        <x:f>H56*1%</x:f>
        <x:v>1</x:v>
      </x:c>
      <x:c r="J56" s="33" t="n">
        <x:f>F56*I56</x:f>
        <x:v>1</x:v>
      </x:c>
      <x:c r="K56" s="33" t="n">
        <x:v>1</x:v>
      </x:c>
      <x:c r="L56" s="33" t="n">
        <x:f>I56*K56</x:f>
        <x:v>1</x:v>
      </x:c>
      <x:c r="M56" s="33" t="n">
        <x:v>1</x:v>
      </x:c>
      <x:c r="N56" s="33" t="n">
        <x:f>I56*M56</x:f>
        <x:v>1</x:v>
      </x:c>
      <x:c r="O56" s="33" t="n">
        <x:v>1</x:v>
      </x:c>
      <x:c r="P56" s="33" t="n">
        <x:f>I56*O56</x:f>
        <x:v>1</x:v>
      </x:c>
    </x:row>
    <x:row r="57">
      <x:c r="A57" s="33" t="str">
        <x:v>1.47</x:v>
      </x:c>
      <x:c r="B57" s="32" t="str">
        <x:v>Báo cáo rà soát mạng wifi tại các cơ sở của Nhà trường</x:v>
      </x:c>
      <x:c r="C57" s="33" t="str">
        <x:v>Lê Trí Khải</x:v>
      </x:c>
      <x:c r="D57" s="33" t="str">
        <x:v>Phòng QLKHCN&amp;HTPT</x:v>
      </x:c>
      <x:c r="E57" s="33" t="str">
        <x:v>Phiếu chuyển số 637/PC-CĐKT</x:v>
      </x:c>
      <x:c r="F57" s="33" t="n">
        <x:v>1</x:v>
      </x:c>
      <x:c r="G57" s="33" t="str">
        <x:v>Thấp</x:v>
      </x:c>
      <x:c r="H57" s="33" t="n">
        <x:v>100</x:v>
      </x:c>
      <x:c r="I57" s="33" t="n">
        <x:f>H57*1%</x:f>
        <x:v>1</x:v>
      </x:c>
      <x:c r="J57" s="33" t="n">
        <x:f>F57*I57</x:f>
        <x:v>1</x:v>
      </x:c>
      <x:c r="K57" s="33" t="n">
        <x:v>1</x:v>
      </x:c>
      <x:c r="L57" s="33" t="n">
        <x:f>I57*K57</x:f>
        <x:v>1</x:v>
      </x:c>
      <x:c r="M57" s="33" t="n">
        <x:v>1</x:v>
      </x:c>
      <x:c r="N57" s="33" t="n">
        <x:f>I57*M57</x:f>
        <x:v>1</x:v>
      </x:c>
      <x:c r="O57" s="33" t="n">
        <x:v>1</x:v>
      </x:c>
      <x:c r="P57" s="33" t="n">
        <x:f>I57*O57</x:f>
        <x:v>1</x:v>
      </x:c>
    </x:row>
    <x:row r="58">
      <x:c r="A58" s="33" t="str">
        <x:v>1.48</x:v>
      </x:c>
      <x:c r="B58" s="32" t="str">
        <x:v>Quyết định thay thế thành viên Hội đồng tư vấn tuyển chọn chủ nhiệm đề tài khoa học và công nghệ cấp cơ sở thực hiện năm 2026 đối với đề tài “Thực trạng và một số yếu tố liên quan đến tình trạng bỏ học của học sinh, sinh viên Trường Cao đẳng Kon Tum năm 2025”</x:v>
      </x:c>
      <x:c r="C58" s="33" t="str">
        <x:v>Huỳnh Văn Chung</x:v>
      </x:c>
      <x:c r="D58" s="33" t="str">
        <x:v>Phòng QLKHCN&amp;HTPT</x:v>
      </x:c>
      <x:c r="E58" s="33" t="str">
        <x:v>Quyết định số 1577/QĐ-CĐKT ngày 08/7/2026</x:v>
      </x:c>
      <x:c r="F58" s="33" t="n">
        <x:v>1</x:v>
      </x:c>
      <x:c r="G58" s="33" t="str">
        <x:v>Thấp</x:v>
      </x:c>
      <x:c r="H58" s="33" t="n">
        <x:v>100</x:v>
      </x:c>
      <x:c r="I58" s="33" t="n">
        <x:f>H58*1%</x:f>
        <x:v>1</x:v>
      </x:c>
      <x:c r="J58" s="33" t="n">
        <x:f>F58*I58</x:f>
        <x:v>1</x:v>
      </x:c>
      <x:c r="K58" s="33" t="n">
        <x:v>1</x:v>
      </x:c>
      <x:c r="L58" s="33" t="n">
        <x:f>I58*K58</x:f>
        <x:v>1</x:v>
      </x:c>
      <x:c r="M58" s="33" t="n">
        <x:v>1</x:v>
      </x:c>
      <x:c r="N58" s="33" t="n">
        <x:f>I58*M58</x:f>
        <x:v>1</x:v>
      </x:c>
      <x:c r="O58" s="33" t="n">
        <x:v>1</x:v>
      </x:c>
      <x:c r="P58" s="33" t="n">
        <x:f>I58*O58</x:f>
        <x:v>1</x:v>
      </x:c>
    </x:row>
    <x:row r="59">
      <x:c r="A59" s="33" t="str">
        <x:v>1.49</x:v>
      </x:c>
      <x:c r="B59" s="32" t="str">
        <x:v>Công văn cập nhật lỗ hổng bảo mật các phần mềm, hệ điều hành</x:v>
      </x:c>
      <x:c r="C59" s="33" t="str">
        <x:v>Huỳnh Văn Chung</x:v>
      </x:c>
      <x:c r="D59" s="33" t="str">
        <x:v>Phòng QLKHCN&amp;HTPT</x:v>
      </x:c>
      <x:c r="E59" s="33" t="str">
        <x:v>Công văn số 493/CĐKT-QLKHCN</x:v>
      </x:c>
      <x:c r="F59" s="33" t="n">
        <x:v>1</x:v>
      </x:c>
      <x:c r="G59" s="33" t="str">
        <x:v>Thấp</x:v>
      </x:c>
      <x:c r="H59" s="33" t="n">
        <x:v>100</x:v>
      </x:c>
      <x:c r="I59" s="33" t="n">
        <x:f>H59*1%</x:f>
        <x:v>1</x:v>
      </x:c>
      <x:c r="J59" s="33" t="n">
        <x:f>F59*I59</x:f>
        <x:v>1</x:v>
      </x:c>
      <x:c r="K59" s="33" t="n">
        <x:v>1</x:v>
      </x:c>
      <x:c r="L59" s="33" t="n">
        <x:f>I59*K59</x:f>
        <x:v>1</x:v>
      </x:c>
      <x:c r="M59" s="33" t="n">
        <x:v>1</x:v>
      </x:c>
      <x:c r="N59" s="33" t="n">
        <x:f>I59*M59</x:f>
        <x:v>1</x:v>
      </x:c>
      <x:c r="O59" s="33" t="n">
        <x:v>1</x:v>
      </x:c>
      <x:c r="P59" s="33" t="n">
        <x:f>I59*O59</x:f>
        <x:v>1</x:v>
      </x:c>
    </x:row>
    <x:row r="60">
      <x:c r="A60" s="33" t="str">
        <x:v>1.50</x:v>
      </x:c>
      <x:c r="B60" s="32" t="str">
        <x:v>Kế hoạch tham dự khai mạc và tham gia tuyển dụng lao động tại Sàn giao dịch việc làm năm 2026 (Phiên thứ 8, thứ 9)</x:v>
      </x:c>
      <x:c r="C60" s="33" t="str">
        <x:v>Huỳnh Văn Chung</x:v>
      </x:c>
      <x:c r="D60" s="33" t="str">
        <x:v>Phòng QLKHCN&amp;HTPT</x:v>
      </x:c>
      <x:c r="E60" s="33" t="str">
        <x:v>Kế hoạch số 673/KH-CĐKT</x:v>
      </x:c>
      <x:c r="F60" s="33" t="n">
        <x:v>2</x:v>
      </x:c>
      <x:c r="G60" s="33" t="str">
        <x:v>Thấp</x:v>
      </x:c>
      <x:c r="H60" s="33" t="n">
        <x:v>100</x:v>
      </x:c>
      <x:c r="I60" s="33" t="n">
        <x:f>H60*1%</x:f>
        <x:v>1</x:v>
      </x:c>
      <x:c r="J60" s="33" t="n">
        <x:f>F60*I60</x:f>
        <x:v>2</x:v>
      </x:c>
      <x:c r="K60" s="33" t="n">
        <x:v>1.2</x:v>
      </x:c>
      <x:c r="L60" s="33" t="n">
        <x:f>I60*K60</x:f>
        <x:v>1.2</x:v>
      </x:c>
      <x:c r="M60" s="33" t="n">
        <x:v>1</x:v>
      </x:c>
      <x:c r="N60" s="33" t="n">
        <x:f>I60*M60</x:f>
        <x:v>1</x:v>
      </x:c>
      <x:c r="O60" s="33" t="n">
        <x:v>1</x:v>
      </x:c>
      <x:c r="P60" s="33" t="n">
        <x:f>I60*O60</x:f>
        <x:v>1</x:v>
      </x:c>
    </x:row>
    <x:row r="61">
      <x:c r="A61" s="33" t="str">
        <x:v>1.51</x:v>
      </x:c>
      <x:c r="B61" s="32" t="str">
        <x:v>Kế hoạch dự họp tổ chức các hoạt động truyền thông, tư vấn, hướng nghiệp, tuyển sinh và bố trí việc làm tại xã Đăk Pxi năm 2026</x:v>
      </x:c>
      <x:c r="C61" s="33" t="str">
        <x:v>Huỳnh Văn Chung</x:v>
      </x:c>
      <x:c r="D61" s="33" t="str">
        <x:v>Phòng QLKHCN&amp;HTPT</x:v>
      </x:c>
      <x:c r="E61" s="33" t="str">
        <x:v>Kế hoạch số 674/KH-CĐKT ngày 08/07/2026.</x:v>
      </x:c>
      <x:c r="F61" s="33" t="n">
        <x:v>1</x:v>
      </x:c>
      <x:c r="G61" s="33" t="str">
        <x:v>Thấp</x:v>
      </x:c>
      <x:c r="H61" s="33" t="n">
        <x:v>100</x:v>
      </x:c>
      <x:c r="I61" s="33" t="n">
        <x:f>H61*1%</x:f>
        <x:v>1</x:v>
      </x:c>
      <x:c r="J61" s="33" t="n">
        <x:f>F61*I61</x:f>
        <x:v>1</x:v>
      </x:c>
      <x:c r="K61" s="33" t="n">
        <x:v>1</x:v>
      </x:c>
      <x:c r="L61" s="33" t="n">
        <x:f>I61*K61</x:f>
        <x:v>1</x:v>
      </x:c>
      <x:c r="M61" s="33" t="n">
        <x:v>1</x:v>
      </x:c>
      <x:c r="N61" s="33" t="n">
        <x:f>I61*M61</x:f>
        <x:v>1</x:v>
      </x:c>
      <x:c r="O61" s="33" t="n">
        <x:v>1</x:v>
      </x:c>
      <x:c r="P61" s="33" t="n">
        <x:f>I61*O61</x:f>
        <x:v>1</x:v>
      </x:c>
    </x:row>
    <x:row r="62">
      <x:c r="A62" s="33" t="str">
        <x:v>1.52</x:v>
      </x:c>
      <x:c r="B62" s="32" t="str">
        <x:v>Quyết định cho phép các sáng kiến đã được công nhận phạm vi ảnh hưởng và hiệu quả áp dụng năm 2025 nhưng chưa được xét danh hiệu thi đua và hình thức khen thưởng để xét danh hiệu thi đua và hình thức khen thưởng năm 2026</x:v>
      </x:c>
      <x:c r="C62" s="33" t="str">
        <x:v>Lê Trí Khải</x:v>
      </x:c>
      <x:c r="D62" s="33" t="str">
        <x:v>Phòng QLKHCN&amp;HTPT</x:v>
      </x:c>
      <x:c r="E62" s="33" t="str">
        <x:v>Quyết định số 1585/QĐ-CĐKT ngày 09/7/2026</x:v>
      </x:c>
      <x:c r="F62" s="33" t="n">
        <x:v>1</x:v>
      </x:c>
      <x:c r="G62" s="33" t="str">
        <x:v>Thấp</x:v>
      </x:c>
      <x:c r="H62" s="33" t="n">
        <x:v>100</x:v>
      </x:c>
      <x:c r="I62" s="33" t="n">
        <x:f>H62*1%</x:f>
        <x:v>1</x:v>
      </x:c>
      <x:c r="J62" s="33" t="n">
        <x:f>F62*I62</x:f>
        <x:v>1</x:v>
      </x:c>
      <x:c r="K62" s="33" t="n">
        <x:v>1</x:v>
      </x:c>
      <x:c r="L62" s="33" t="n">
        <x:f>I62*K62</x:f>
        <x:v>1</x:v>
      </x:c>
      <x:c r="M62" s="33" t="n">
        <x:v>1</x:v>
      </x:c>
      <x:c r="N62" s="33" t="n">
        <x:f>I62*M62</x:f>
        <x:v>1</x:v>
      </x:c>
      <x:c r="O62" s="33" t="n">
        <x:v>1</x:v>
      </x:c>
      <x:c r="P62" s="33" t="n">
        <x:f>I62*O62</x:f>
        <x:v>1</x:v>
      </x:c>
    </x:row>
    <x:row r="63">
      <x:c r="A63" s="33" t="str">
        <x:v>1.53</x:v>
      </x:c>
      <x:c r="B63" s="32" t="str">
        <x:v>Kế hoạch họp Hội đồng khoa học và đào tạo thẩm định, tư vấn kết quả xây dựng tiêu chuẩn, định mức sử dụng máy móc, thiết bị phục vụ hoạt động chung của Trường Cao đẳng Kon Tum (Phiên họp lần 3)</x:v>
      </x:c>
      <x:c r="C63" s="33" t="str">
        <x:v>Lê Trí Khải</x:v>
      </x:c>
      <x:c r="D63" s="33" t="str">
        <x:v>Phòng QLKHCN&amp;HTPT</x:v>
      </x:c>
      <x:c r="E63" s="33" t="str">
        <x:v>KH số 681/KH-CĐKT ngày 09/7/2026</x:v>
      </x:c>
      <x:c r="F63" s="33" t="n">
        <x:v>1</x:v>
      </x:c>
      <x:c r="G63" s="33" t="str">
        <x:v>Thấp</x:v>
      </x:c>
      <x:c r="H63" s="33" t="n">
        <x:v>100</x:v>
      </x:c>
      <x:c r="I63" s="33" t="n">
        <x:f>H63*1%</x:f>
        <x:v>1</x:v>
      </x:c>
      <x:c r="J63" s="33" t="n">
        <x:f>F63*I63</x:f>
        <x:v>1</x:v>
      </x:c>
      <x:c r="K63" s="33" t="n">
        <x:v>1</x:v>
      </x:c>
      <x:c r="L63" s="33" t="n">
        <x:f>I63*K63</x:f>
        <x:v>1</x:v>
      </x:c>
      <x:c r="M63" s="33" t="n">
        <x:v>1</x:v>
      </x:c>
      <x:c r="N63" s="33" t="n">
        <x:f>I63*M63</x:f>
        <x:v>1</x:v>
      </x:c>
      <x:c r="O63" s="33" t="n">
        <x:v>1</x:v>
      </x:c>
      <x:c r="P63" s="33" t="n">
        <x:f>I63*O63</x:f>
        <x:v>1</x:v>
      </x:c>
    </x:row>
    <x:row r="64">
      <x:c r="A64" s="33" t="str">
        <x:v>1.54</x:v>
      </x:c>
      <x:c r="B64" s="32" t="str">
        <x:v>Thông báo điều chỉnh thời gian họp Hội đồng tư vấn tuyển chọn chủ nhiệm đề tài KH&amp;CN cấp cơ sở đối với đề tài "Thực trạng và một số yếu tố liên quan đến tình trạng bỏ học của HSSV Trường Cao đẳng Kon Tum năm 2025" (lần 2)</x:v>
      </x:c>
      <x:c r="C64" s="33" t="str">
        <x:v>Huỳnh Văn Chung</x:v>
      </x:c>
      <x:c r="D64" s="33" t="str">
        <x:v>Phòng QLKHCN&amp;HTPT</x:v>
      </x:c>
      <x:c r="E64" s="33" t="str">
        <x:v>Thông báo số 799/TB-CĐKT ngày 09/7/2026</x:v>
      </x:c>
      <x:c r="F64" s="33" t="n">
        <x:v>1</x:v>
      </x:c>
      <x:c r="G64" s="33" t="str">
        <x:v>Thấp</x:v>
      </x:c>
      <x:c r="H64" s="33" t="n">
        <x:v>100</x:v>
      </x:c>
      <x:c r="I64" s="33" t="n">
        <x:f>H64*1%</x:f>
        <x:v>1</x:v>
      </x:c>
      <x:c r="J64" s="33" t="n">
        <x:f>F64*I64</x:f>
        <x:v>1</x:v>
      </x:c>
      <x:c r="K64" s="33" t="n">
        <x:v>1</x:v>
      </x:c>
      <x:c r="L64" s="33" t="n">
        <x:f>I64*K64</x:f>
        <x:v>1</x:v>
      </x:c>
      <x:c r="M64" s="33" t="n">
        <x:v>0.75</x:v>
      </x:c>
      <x:c r="N64" s="33" t="n">
        <x:f>I64*M64</x:f>
        <x:v>0.75</x:v>
      </x:c>
      <x:c r="O64" s="33" t="n">
        <x:v>1</x:v>
      </x:c>
      <x:c r="P64" s="33" t="n">
        <x:f>I64*O64</x:f>
        <x:v>1</x:v>
      </x:c>
    </x:row>
    <x:row r="65">
      <x:c r="A65" s="33" t="str">
        <x:v>1.55</x:v>
      </x:c>
      <x:c r="B65" s="32" t="str">
        <x:v>Biên bản Họp Hội đồng sáng kiến cấp cơ sở năm 2026 đối với sáng kiến “Thiết kế Mô hình trạm bơm để đào tạo một số môn học/mô đun các ngành, nghề Điện, Điện tử tại Trường Cao đẳng Kon Tum”</x:v>
      </x:c>
      <x:c r="C65" s="33" t="str">
        <x:v>Nguyễn Trung Hiếu</x:v>
      </x:c>
      <x:c r="D65" s="33" t="str">
        <x:v>Phòng QLKHCN&amp;HTPT</x:v>
      </x:c>
      <x:c r="E65" s="33" t="str">
        <x:v>Biên bản số 142/BB-CĐKT ngày 09/7/2026</x:v>
      </x:c>
      <x:c r="F65" s="33" t="n">
        <x:v>1</x:v>
      </x:c>
      <x:c r="G65" s="33" t="str">
        <x:v>Trung bình</x:v>
      </x:c>
      <x:c r="H65" s="33" t="n">
        <x:v>120</x:v>
      </x:c>
      <x:c r="I65" s="33" t="n">
        <x:f>H65*1%</x:f>
        <x:v>1.2</x:v>
      </x:c>
      <x:c r="J65" s="33" t="n">
        <x:f>F65*I65</x:f>
        <x:v>1.2</x:v>
      </x:c>
      <x:c r="K65" s="33" t="n">
        <x:v>1</x:v>
      </x:c>
      <x:c r="L65" s="33" t="n">
        <x:f>I65*K65</x:f>
        <x:v>1.2</x:v>
      </x:c>
      <x:c r="M65" s="33" t="n">
        <x:v>1</x:v>
      </x:c>
      <x:c r="N65" s="33" t="n">
        <x:f>I65*M65</x:f>
        <x:v>1.2</x:v>
      </x:c>
      <x:c r="O65" s="33" t="n">
        <x:v>1</x:v>
      </x:c>
      <x:c r="P65" s="33" t="n">
        <x:f>I65*O65</x:f>
        <x:v>1.2</x:v>
      </x:c>
    </x:row>
    <x:row r="66">
      <x:c r="A66" s="33" t="str">
        <x:v>1.56</x:v>
      </x:c>
      <x:c r="B66" s="32" t="str">
        <x:v>Biên bản họp Hội đồng sáng kiến cấp cơ sở năm 2026 đối với sáng kiến “Mô hình bàn thực hành PLC” – Nhóm tác giả Nguyễn Thanh Lâm</x:v>
      </x:c>
      <x:c r="C66" s="33" t="str">
        <x:v>Nguyễn Trung Hiếu</x:v>
      </x:c>
      <x:c r="D66" s="33" t="str">
        <x:v>Phòng QLKHCN&amp;HTPT</x:v>
      </x:c>
      <x:c r="E66" s="33" t="str">
        <x:v>Biên bản số 143/BB-CĐKT ngày 09/7/2026</x:v>
      </x:c>
      <x:c r="F66" s="33" t="n">
        <x:v>1</x:v>
      </x:c>
      <x:c r="G66" s="33" t="str">
        <x:v>Trung bình</x:v>
      </x:c>
      <x:c r="H66" s="33" t="n">
        <x:v>120</x:v>
      </x:c>
      <x:c r="I66" s="33" t="n">
        <x:f>H66*1%</x:f>
        <x:v>1.2</x:v>
      </x:c>
      <x:c r="J66" s="33" t="n">
        <x:f>F66*I66</x:f>
        <x:v>1.2</x:v>
      </x:c>
      <x:c r="K66" s="33" t="n">
        <x:v>1.2</x:v>
      </x:c>
      <x:c r="L66" s="33" t="n">
        <x:f>I66*K66</x:f>
        <x:v>1.44</x:v>
      </x:c>
      <x:c r="M66" s="33" t="n">
        <x:v>1</x:v>
      </x:c>
      <x:c r="N66" s="33" t="n">
        <x:f>I66*M66</x:f>
        <x:v>1.2</x:v>
      </x:c>
      <x:c r="O66" s="33" t="n">
        <x:v>1</x:v>
      </x:c>
      <x:c r="P66" s="33" t="n">
        <x:f>I66*O66</x:f>
        <x:v>1.2</x:v>
      </x:c>
    </x:row>
    <x:row r="67">
      <x:c r="A67" s="33" t="str">
        <x:v>1.57</x:v>
      </x:c>
      <x:c r="B67" s="32" t="str">
        <x:v>Kế hoạch triển khai thực hiện Quyết định số 336/QĐ-TTg ngày 25/02/2026 của Thủ tướng Chính phủ phê duyệt Chương trình "Hỗ trợ học sinh, sinh viên khởi nghiệp giai đoạn 2026 - 2035"</x:v>
      </x:c>
      <x:c r="C67" s="33" t="str">
        <x:v>Lê Trí Khải</x:v>
      </x:c>
      <x:c r="D67" s="33" t="str">
        <x:v>Phòng QLKHCN&amp;HTPT</x:v>
      </x:c>
      <x:c r="E67" s="33" t="str">
        <x:v>Kế hoạch số 677/KH-CĐKT</x:v>
      </x:c>
      <x:c r="F67" s="33" t="n">
        <x:v>1</x:v>
      </x:c>
      <x:c r="G67" s="33" t="str">
        <x:v>Thấp</x:v>
      </x:c>
      <x:c r="H67" s="33" t="n">
        <x:v>100</x:v>
      </x:c>
      <x:c r="I67" s="33" t="n">
        <x:f>H67*1%</x:f>
        <x:v>1</x:v>
      </x:c>
      <x:c r="J67" s="33" t="n">
        <x:f>F67*I67</x:f>
        <x:v>1</x:v>
      </x:c>
      <x:c r="K67" s="33" t="n">
        <x:v>1.5</x:v>
      </x:c>
      <x:c r="L67" s="33" t="n">
        <x:f>I67*K67</x:f>
        <x:v>1.5</x:v>
      </x:c>
      <x:c r="M67" s="33" t="n">
        <x:v>1</x:v>
      </x:c>
      <x:c r="N67" s="33" t="n">
        <x:f>I67*M67</x:f>
        <x:v>1</x:v>
      </x:c>
      <x:c r="O67" s="33" t="n">
        <x:v>1</x:v>
      </x:c>
      <x:c r="P67" s="33" t="n">
        <x:f>I67*O67</x:f>
        <x:v>1</x:v>
      </x:c>
    </x:row>
    <x:row r="68">
      <x:c r="A68" s="33" t="str">
        <x:v>1.58</x:v>
      </x:c>
      <x:c r="B68" s="32" t="str">
        <x:v>Kế hoạch họp Hội đồng khoa học và đào tạo thẩm định, tư vấn kết quả xây dựng tiêu chuẩn, định mức sử dụng máy móc, thiết bị phục vụ hoạt động chung của Trường</x:v>
      </x:c>
      <x:c r="C68" s="33" t="str">
        <x:v>Lê Trí Khải</x:v>
      </x:c>
      <x:c r="D68" s="33" t="str">
        <x:v>Phòng QLKHCN&amp;HTPT</x:v>
      </x:c>
      <x:c r="E68" s="33" t="str">
        <x:v>Kế hoạch số 681/KH-CĐKT ngày 09/7/2026</x:v>
      </x:c>
      <x:c r="F68" s="33" t="n">
        <x:v>1</x:v>
      </x:c>
      <x:c r="G68" s="33" t="str">
        <x:v>Thấp</x:v>
      </x:c>
      <x:c r="H68" s="33" t="n">
        <x:v>100</x:v>
      </x:c>
      <x:c r="I68" s="33" t="n">
        <x:f>H68*1%</x:f>
        <x:v>1</x:v>
      </x:c>
      <x:c r="J68" s="33" t="n">
        <x:f>F68*I68</x:f>
        <x:v>1</x:v>
      </x:c>
      <x:c r="K68" s="33" t="n">
        <x:v>1.2</x:v>
      </x:c>
      <x:c r="L68" s="33" t="n">
        <x:f>I68*K68</x:f>
        <x:v>1.2</x:v>
      </x:c>
      <x:c r="M68" s="33" t="n">
        <x:v>1</x:v>
      </x:c>
      <x:c r="N68" s="33" t="n">
        <x:f>I68*M68</x:f>
        <x:v>1</x:v>
      </x:c>
      <x:c r="O68" s="33" t="n">
        <x:v>1</x:v>
      </x:c>
      <x:c r="P68" s="33" t="n">
        <x:f>I68*O68</x:f>
        <x:v>1</x:v>
      </x:c>
    </x:row>
    <x:row r="69">
      <x:c r="A69" s="33" t="str">
        <x:v>1.59</x:v>
      </x:c>
      <x:c r="B69" s="32" t="str">
        <x:v>Quyết định cho phép các sáng kiến đã được công nhận phạm vi ảnh hưởng và hiệu quả áp dụng năm 2025 nhưng chưa được xét danh hiệu thi đua và hình thức khen thưởng để xét danh hiệu thi đua và hình thức khen thưởng năm 2026</x:v>
      </x:c>
      <x:c r="C69" s="33" t="str">
        <x:v>Lê Trí Khải</x:v>
      </x:c>
      <x:c r="D69" s="33" t="str">
        <x:v>Phòng QLKHCN&amp;HTPT</x:v>
      </x:c>
      <x:c r="E69" s="33" t="str">
        <x:v>Quyết định số 1585/QĐ-CĐKT ngày 09/7/2026</x:v>
      </x:c>
      <x:c r="F69" s="33" t="n">
        <x:v>1</x:v>
      </x:c>
      <x:c r="G69" s="33" t="str">
        <x:v>Thấp</x:v>
      </x:c>
      <x:c r="H69" s="33" t="n">
        <x:v>100</x:v>
      </x:c>
      <x:c r="I69" s="33" t="n">
        <x:f>H69*1%</x:f>
        <x:v>1</x:v>
      </x:c>
      <x:c r="J69" s="33" t="n">
        <x:f>F69*I69</x:f>
        <x:v>1</x:v>
      </x:c>
      <x:c r="K69" s="33" t="n">
        <x:v>1</x:v>
      </x:c>
      <x:c r="L69" s="33" t="n">
        <x:f>I69*K69</x:f>
        <x:v>1</x:v>
      </x:c>
      <x:c r="M69" s="33" t="n">
        <x:v>1</x:v>
      </x:c>
      <x:c r="N69" s="33" t="n">
        <x:f>I69*M69</x:f>
        <x:v>1</x:v>
      </x:c>
      <x:c r="O69" s="33" t="n">
        <x:v>1</x:v>
      </x:c>
      <x:c r="P69" s="33" t="n">
        <x:f>I69*O69</x:f>
        <x:v>1</x:v>
      </x:c>
    </x:row>
    <x:row r="70">
      <x:c r="A70" s="33" t="str">
        <x:v>1.60</x:v>
      </x:c>
      <x:c r="B70" s="32" t="str">
        <x:v>Biên bản Họp Hội đồng sáng kiến cấp cơ sở năm 2026 “Thiết kế và chế tạo mô hình hệ thống chiếu sáng tự động thích ứng” – Nhóm tác giả Nguyễn Ngọc Phương</x:v>
      </x:c>
      <x:c r="C70" s="33" t="str">
        <x:v>Nguyễn Trung Hiếu</x:v>
      </x:c>
      <x:c r="D70" s="33" t="str">
        <x:v>Phòng QLKHCN&amp;HTPT</x:v>
      </x:c>
      <x:c r="E70" s="33" t="str">
        <x:v>Biên bản số145/BB-CĐKT ngày 10/7/2026</x:v>
      </x:c>
      <x:c r="F70" s="33" t="n">
        <x:v>1</x:v>
      </x:c>
      <x:c r="G70" s="33" t="str">
        <x:v>Trung bình</x:v>
      </x:c>
      <x:c r="H70" s="33" t="n">
        <x:v>120</x:v>
      </x:c>
      <x:c r="I70" s="33" t="n">
        <x:f>H70*1%</x:f>
        <x:v>1.2</x:v>
      </x:c>
      <x:c r="J70" s="33" t="n">
        <x:f>F70*I70</x:f>
        <x:v>1.2</x:v>
      </x:c>
      <x:c r="K70" s="33" t="n">
        <x:v>1</x:v>
      </x:c>
      <x:c r="L70" s="33" t="n">
        <x:f>I70*K70</x:f>
        <x:v>1.2</x:v>
      </x:c>
      <x:c r="M70" s="33" t="n">
        <x:v>1</x:v>
      </x:c>
      <x:c r="N70" s="33" t="n">
        <x:f>I70*M70</x:f>
        <x:v>1.2</x:v>
      </x:c>
      <x:c r="O70" s="33" t="n">
        <x:v>1</x:v>
      </x:c>
      <x:c r="P70" s="33" t="n">
        <x:f>I70*O70</x:f>
        <x:v>1.2</x:v>
      </x:c>
    </x:row>
    <x:row r="71">
      <x:c r="A71" s="33" t="str">
        <x:v>1.61</x:v>
      </x:c>
      <x:c r="B71" s="32" t="str">
        <x:v>Biên bản họp Hội đồng sáng kiến cấp cơ sở năm 2026 “Thiết kế giá cố định lấy đường ngắm cơ bản, đường ngắm đúng để giảng dạy môn giáo dục quốc phòng và an ninh cho học sinh, sinh viên tại Trường Cao đẳng Kon Tum”</x:v>
      </x:c>
      <x:c r="C71" s="33" t="str">
        <x:v>Huỳnh Văn Chung</x:v>
      </x:c>
      <x:c r="D71" s="33" t="str">
        <x:v>Phòng QLKHCN&amp;HTPT</x:v>
      </x:c>
      <x:c r="E71" s="33" t="str">
        <x:v>Biên bản số 144/BB-CĐKT ngày 10/7/2026</x:v>
      </x:c>
      <x:c r="F71" s="33" t="n">
        <x:v>1</x:v>
      </x:c>
      <x:c r="G71" s="33" t="str">
        <x:v>Trung bình</x:v>
      </x:c>
      <x:c r="H71" s="33" t="n">
        <x:v>120</x:v>
      </x:c>
      <x:c r="I71" s="33" t="n">
        <x:f>H71*1%</x:f>
        <x:v>1.2</x:v>
      </x:c>
      <x:c r="J71" s="33" t="n">
        <x:f>F71*I71</x:f>
        <x:v>1.2</x:v>
      </x:c>
      <x:c r="K71" s="33" t="n">
        <x:v>1.2</x:v>
      </x:c>
      <x:c r="L71" s="33" t="n">
        <x:f>I71*K71</x:f>
        <x:v>1.44</x:v>
      </x:c>
      <x:c r="M71" s="33" t="n">
        <x:v>1</x:v>
      </x:c>
      <x:c r="N71" s="33" t="n">
        <x:f>I71*M71</x:f>
        <x:v>1.2</x:v>
      </x:c>
      <x:c r="O71" s="33" t="n">
        <x:v>1</x:v>
      </x:c>
      <x:c r="P71" s="33" t="n">
        <x:f>I71*O71</x:f>
        <x:v>1.2</x:v>
      </x:c>
    </x:row>
    <x:row r="72">
      <x:c r="A72" s="33" t="str">
        <x:v>1.62</x:v>
      </x:c>
      <x:c r="B72" s="32" t="str">
        <x:v>Quyết định công nhận sáng kiến, phạm vi ảnh hưởng, hiệu quả áp dụng và cấp Giấy chứng nhận đối với sáng kiến cấp cơ sở năm 2026 “Mô hình trạm bơm điều khiển bằng PLC trong đào tạo thực hành các ngành, nghề Điện, Điện tử tại Trường Cao đẳng Kon Tum”</x:v>
      </x:c>
      <x:c r="C72" s="33" t="str">
        <x:v>Lê Trí Khải</x:v>
      </x:c>
      <x:c r="D72" s="33" t="str">
        <x:v>Phòng QLKHCN&amp;HTPT</x:v>
      </x:c>
      <x:c r="E72" s="33" t="str">
        <x:v>Quyết định số 1610/QĐ-CĐKT ngày 13/7/2026</x:v>
      </x:c>
      <x:c r="F72" s="33" t="n">
        <x:v>1</x:v>
      </x:c>
      <x:c r="G72" s="33" t="str">
        <x:v>Thấp</x:v>
      </x:c>
      <x:c r="H72" s="33" t="n">
        <x:v>100</x:v>
      </x:c>
      <x:c r="I72" s="33" t="n">
        <x:f>H72*1%</x:f>
        <x:v>1</x:v>
      </x:c>
      <x:c r="J72" s="33" t="n">
        <x:f>F72*I72</x:f>
        <x:v>1</x:v>
      </x:c>
      <x:c r="K72" s="33" t="n">
        <x:v>1</x:v>
      </x:c>
      <x:c r="L72" s="33" t="n">
        <x:f>I72*K72</x:f>
        <x:v>1</x:v>
      </x:c>
      <x:c r="M72" s="33" t="n">
        <x:v>1</x:v>
      </x:c>
      <x:c r="N72" s="33" t="n">
        <x:f>I72*M72</x:f>
        <x:v>1</x:v>
      </x:c>
      <x:c r="O72" s="33" t="n">
        <x:v>1</x:v>
      </x:c>
      <x:c r="P72" s="33" t="n">
        <x:f>I72*O72</x:f>
        <x:v>1</x:v>
      </x:c>
    </x:row>
    <x:row r="73">
      <x:c r="A73" s="33" t="str">
        <x:v>1.63</x:v>
      </x:c>
      <x:c r="B73" s="32" t="str">
        <x:v>Quyết định công nhận sáng kiến, phạm vi ảnh hưởng, hiệu quả áp dụng và cấp Giấy chứng nhận đối với sáng kiến cấp cơ sở năm 2026 “Mô hình bàn thực hành tự động hóa tích hợp PLC S7-1200 và Vi điều khiển phục vụ đào tạo ngành, nghề Điện - Điện tử tại Trường Cao đẳng Kon Tum”</x:v>
      </x:c>
      <x:c r="C73" s="33" t="str">
        <x:v>Lê Trí Khải</x:v>
      </x:c>
      <x:c r="D73" s="33" t="str">
        <x:v>Phòng QLKHCN&amp;HTPT</x:v>
      </x:c>
      <x:c r="E73" s="33" t="str">
        <x:v>Quyết định số 1611/QĐ-CĐKT ngày 13/7/2026</x:v>
      </x:c>
      <x:c r="F73" s="33" t="n">
        <x:v>1</x:v>
      </x:c>
      <x:c r="G73" s="33" t="str">
        <x:v>Thấp</x:v>
      </x:c>
      <x:c r="H73" s="33" t="n">
        <x:v>100</x:v>
      </x:c>
      <x:c r="I73" s="33" t="n">
        <x:f>H73*1%</x:f>
        <x:v>1</x:v>
      </x:c>
      <x:c r="J73" s="33" t="n">
        <x:f>F73*I73</x:f>
        <x:v>1</x:v>
      </x:c>
      <x:c r="K73" s="33" t="n">
        <x:v>1</x:v>
      </x:c>
      <x:c r="L73" s="33" t="n">
        <x:f>I73*K73</x:f>
        <x:v>1</x:v>
      </x:c>
      <x:c r="M73" s="33" t="n">
        <x:v>1</x:v>
      </x:c>
      <x:c r="N73" s="33" t="n">
        <x:f>I73*M73</x:f>
        <x:v>1</x:v>
      </x:c>
      <x:c r="O73" s="33" t="n">
        <x:v>1</x:v>
      </x:c>
      <x:c r="P73" s="33" t="n">
        <x:f>I73*O73</x:f>
        <x:v>1</x:v>
      </x:c>
    </x:row>
    <x:row r="74">
      <x:c r="A74" s="33" t="str">
        <x:v>1.64</x:v>
      </x:c>
      <x:c r="B74" s="32" t="str">
        <x:v>Quyết định công nhận sáng kiến và cấp Giấy chứng nhận đối với sáng kiến cấp cơ sở năm 2026 “Mô hình hệ thống chiếu sáng tự động thích ứng trên ô tô phục vụ đào tạo thực hành ngành, nghề Công nghệ ô tô tại Trường Cao đẳng Kon Tum”</x:v>
      </x:c>
      <x:c r="C74" s="33" t="str">
        <x:v>Lê Trí Khải</x:v>
      </x:c>
      <x:c r="D74" s="33" t="str">
        <x:v>Phòng QLKHCN&amp;HTPT</x:v>
      </x:c>
      <x:c r="E74" s="33" t="str">
        <x:v>Quyết định số 1613/QĐ-CĐKT ngày 13/7/2026</x:v>
      </x:c>
      <x:c r="F74" s="33" t="n">
        <x:v>1</x:v>
      </x:c>
      <x:c r="G74" s="33" t="str">
        <x:v>Thấp</x:v>
      </x:c>
      <x:c r="H74" s="33" t="n">
        <x:v>100</x:v>
      </x:c>
      <x:c r="I74" s="33" t="n">
        <x:f>H74*1%</x:f>
        <x:v>1</x:v>
      </x:c>
      <x:c r="J74" s="33" t="n">
        <x:f>F74*I74</x:f>
        <x:v>1</x:v>
      </x:c>
      <x:c r="K74" s="33" t="n">
        <x:v>1</x:v>
      </x:c>
      <x:c r="L74" s="33" t="n">
        <x:f>I74*K74</x:f>
        <x:v>1</x:v>
      </x:c>
      <x:c r="M74" s="33" t="n">
        <x:v>1</x:v>
      </x:c>
      <x:c r="N74" s="33" t="n">
        <x:f>I74*M74</x:f>
        <x:v>1</x:v>
      </x:c>
      <x:c r="O74" s="33" t="n">
        <x:v>1</x:v>
      </x:c>
      <x:c r="P74" s="33" t="n">
        <x:f>I74*O74</x:f>
        <x:v>1</x:v>
      </x:c>
    </x:row>
    <x:row r="75">
      <x:c r="A75" s="33" t="str">
        <x:v>1.65</x:v>
      </x:c>
      <x:c r="B75" s="32" t="str">
        <x:v>Kế hoạch tham gia tư vấn hướng nghiệp, tuyển sinh, giới thiệu việc làm năm 2026 tại các xã Đăk Rve, Đăk Hà, Ngọk Réo và Rờ Kơi</x:v>
      </x:c>
      <x:c r="C75" s="33" t="str">
        <x:v>Huỳnh Văn Chung</x:v>
      </x:c>
      <x:c r="D75" s="33" t="str">
        <x:v>Phòng QLKHCN&amp;HTPT</x:v>
      </x:c>
      <x:c r="E75" s="33" t="str">
        <x:v>Kế hoạch số 690/KH-CĐKT</x:v>
      </x:c>
      <x:c r="F75" s="33" t="n">
        <x:v>1</x:v>
      </x:c>
      <x:c r="G75" s="33" t="str">
        <x:v>Thấp</x:v>
      </x:c>
      <x:c r="H75" s="33" t="n">
        <x:v>100</x:v>
      </x:c>
      <x:c r="I75" s="33" t="n">
        <x:f>H75*1%</x:f>
        <x:v>1</x:v>
      </x:c>
      <x:c r="J75" s="33" t="n">
        <x:f>F75*I75</x:f>
        <x:v>1</x:v>
      </x:c>
      <x:c r="K75" s="33" t="n">
        <x:v>1</x:v>
      </x:c>
      <x:c r="L75" s="33" t="n">
        <x:f>I75*K75</x:f>
        <x:v>1</x:v>
      </x:c>
      <x:c r="M75" s="33" t="n">
        <x:v>1</x:v>
      </x:c>
      <x:c r="N75" s="33" t="n">
        <x:f>I75*M75</x:f>
        <x:v>1</x:v>
      </x:c>
      <x:c r="O75" s="33" t="n">
        <x:v>1</x:v>
      </x:c>
      <x:c r="P75" s="33" t="n">
        <x:f>I75*O75</x:f>
        <x:v>1</x:v>
      </x:c>
    </x:row>
    <x:row r="76">
      <x:c r="A76" s="33" t="str">
        <x:v>1.66</x:v>
      </x:c>
      <x:c r="B76" s="32" t="str">
        <x:v>Biên bản họp thẩm định kinh phí đề tài “Thực trạng và một số yếu tố liên quan đến tăng huyết áp ở viên chức, người lao động Trường Cao đẳng Kon Tum năm 2026”</x:v>
      </x:c>
      <x:c r="C76" s="33" t="str">
        <x:v>Nguyễn Trung Hiếu</x:v>
      </x:c>
      <x:c r="D76" s="33" t="str">
        <x:v>Phòng QLKHCN&amp;HTPT</x:v>
      </x:c>
      <x:c r="E76" s="33" t="str">
        <x:v>Biên bản số 146/BB-CĐKT ngày 13/7/2026</x:v>
      </x:c>
      <x:c r="F76" s="33" t="n">
        <x:v>1</x:v>
      </x:c>
      <x:c r="G76" s="33" t="str">
        <x:v>Thấp</x:v>
      </x:c>
      <x:c r="H76" s="33" t="n">
        <x:v>100</x:v>
      </x:c>
      <x:c r="I76" s="33" t="n">
        <x:f>H76*1%</x:f>
        <x:v>1</x:v>
      </x:c>
      <x:c r="J76" s="33" t="n">
        <x:f>F76*I76</x:f>
        <x:v>1</x:v>
      </x:c>
      <x:c r="K76" s="33" t="n">
        <x:v>1</x:v>
      </x:c>
      <x:c r="L76" s="33" t="n">
        <x:f>I76*K76</x:f>
        <x:v>1</x:v>
      </x:c>
      <x:c r="M76" s="33" t="n">
        <x:v>1</x:v>
      </x:c>
      <x:c r="N76" s="33" t="n">
        <x:f>I76*M76</x:f>
        <x:v>1</x:v>
      </x:c>
      <x:c r="O76" s="33" t="n">
        <x:v>1</x:v>
      </x:c>
      <x:c r="P76" s="33" t="n">
        <x:f>I76*O76</x:f>
        <x:v>1</x:v>
      </x:c>
    </x:row>
    <x:row r="77">
      <x:c r="A77" s="33" t="str">
        <x:v>1.67</x:v>
      </x:c>
      <x:c r="B77" s="32" t="str">
        <x:v>Triển khai thực hiện Kế hoạch tham gia tư vấn hướng nghiệp, tuyển sinh, giới thiệu việc làm năm 2026 tại các xã Đăk Hà, Ngọk Réo.</x:v>
      </x:c>
      <x:c r="C77" s="33" t="str">
        <x:v>Huỳnh Văn Chung</x:v>
      </x:c>
      <x:c r="D77" s="33" t="str">
        <x:v>Phòng QLKHCN&amp;HTPT</x:v>
      </x:c>
      <x:c r="E77" s="33" t="str">
        <x:v>Kế hoạch số 690/KH-CĐKT</x:v>
      </x:c>
      <x:c r="F77" s="33" t="n">
        <x:v>5</x:v>
      </x:c>
      <x:c r="G77" s="33" t="str">
        <x:v>Khó và phức tạp</x:v>
      </x:c>
      <x:c r="H77" s="33" t="n">
        <x:v>200</x:v>
      </x:c>
      <x:c r="I77" s="33" t="n">
        <x:f>H77*1%</x:f>
        <x:v>2</x:v>
      </x:c>
      <x:c r="J77" s="33" t="n">
        <x:f>F77*I77</x:f>
        <x:v>10</x:v>
      </x:c>
      <x:c r="K77" s="33" t="n">
        <x:v>1.5</x:v>
      </x:c>
      <x:c r="L77" s="33" t="n">
        <x:f>I77*K77</x:f>
        <x:v>3</x:v>
      </x:c>
      <x:c r="M77" s="33" t="n">
        <x:v>1</x:v>
      </x:c>
      <x:c r="N77" s="33" t="n">
        <x:f>I77*M77</x:f>
        <x:v>2</x:v>
      </x:c>
      <x:c r="O77" s="33" t="n">
        <x:v>1</x:v>
      </x:c>
      <x:c r="P77" s="33" t="n">
        <x:f>I77*O77</x:f>
        <x:v>2</x:v>
      </x:c>
    </x:row>
    <x:row r="78">
      <x:c r="A78" s="33" t="str">
        <x:v>1.68</x:v>
      </x:c>
      <x:c r="B78" s="32" t="str">
        <x:v>Triển khai thực hiện Kế hoạch tham gia tư vấn hướng nghiệp, tuyển sinh, giới thiệu việc làm năm 2026 tại xã Rờ Kơi</x:v>
      </x:c>
      <x:c r="C78" s="33" t="str">
        <x:v>Huỳnh Văn Chung</x:v>
      </x:c>
      <x:c r="D78" s="33" t="str">
        <x:v>Phòng QLKHCN&amp;HTPT</x:v>
      </x:c>
      <x:c r="E78" s="33" t="str">
        <x:v>Kế hoạch số 690/KH-CĐKT</x:v>
      </x:c>
      <x:c r="F78" s="33" t="n">
        <x:v>1</x:v>
      </x:c>
      <x:c r="G78" s="33" t="str">
        <x:v>Trung bình</x:v>
      </x:c>
      <x:c r="H78" s="33" t="n">
        <x:v>120</x:v>
      </x:c>
      <x:c r="I78" s="33" t="n">
        <x:f>H78*1%</x:f>
        <x:v>1.2</x:v>
      </x:c>
      <x:c r="J78" s="33" t="n">
        <x:f>F78*I78</x:f>
        <x:v>1.2</x:v>
      </x:c>
      <x:c r="K78" s="33" t="n">
        <x:v>1.2</x:v>
      </x:c>
      <x:c r="L78" s="33" t="n">
        <x:f>I78*K78</x:f>
        <x:v>1.44</x:v>
      </x:c>
      <x:c r="M78" s="33" t="n">
        <x:v>1</x:v>
      </x:c>
      <x:c r="N78" s="33" t="n">
        <x:f>I78*M78</x:f>
        <x:v>1.2</x:v>
      </x:c>
      <x:c r="O78" s="33" t="n">
        <x:v>1</x:v>
      </x:c>
      <x:c r="P78" s="33" t="n">
        <x:f>I78*O78</x:f>
        <x:v>1.2</x:v>
      </x:c>
    </x:row>
    <x:row r="79">
      <x:c r="A79" s="33" t="str">
        <x:v>1.69</x:v>
      </x:c>
      <x:c r="B79" s="32" t="str">
        <x:v>Quyết định công nhận sáng kiến, phạm vi ảnh hưởng, hiệu quả áp dụng và cấp Giấy chứng nhận đối với sáng kiến cấp cơ sở năm 2026 “Thiết bị hỗ trợ ngắm bắn súng tiểu liên AK phục vụ giảng dạy môn học Giáo dục quốc phòng và An ninh tại Trường Cao đẳng Kon Tum”</x:v>
      </x:c>
      <x:c r="C79" s="33" t="str">
        <x:v>Lê Trí Khải</x:v>
      </x:c>
      <x:c r="D79" s="33" t="str">
        <x:v>Phòng QLKHCN&amp;HTPT</x:v>
      </x:c>
      <x:c r="E79" s="33" t="str">
        <x:v>Quyết định số 1619/QĐ-CĐKT ngày 14/7/2026</x:v>
      </x:c>
      <x:c r="F79" s="33" t="n">
        <x:v>1</x:v>
      </x:c>
      <x:c r="G79" s="33" t="str">
        <x:v>Thấp</x:v>
      </x:c>
      <x:c r="H79" s="33" t="n">
        <x:v>100</x:v>
      </x:c>
      <x:c r="I79" s="33" t="n">
        <x:f>H79*1%</x:f>
        <x:v>1</x:v>
      </x:c>
      <x:c r="J79" s="33" t="n">
        <x:f>F79*I79</x:f>
        <x:v>1</x:v>
      </x:c>
      <x:c r="K79" s="33" t="n">
        <x:v>1</x:v>
      </x:c>
      <x:c r="L79" s="33" t="n">
        <x:f>I79*K79</x:f>
        <x:v>1</x:v>
      </x:c>
      <x:c r="M79" s="33" t="n">
        <x:v>1</x:v>
      </x:c>
      <x:c r="N79" s="33" t="n">
        <x:f>I79*M79</x:f>
        <x:v>1</x:v>
      </x:c>
      <x:c r="O79" s="33" t="n">
        <x:v>1</x:v>
      </x:c>
      <x:c r="P79" s="33" t="n">
        <x:f>I79*O79</x:f>
        <x:v>1</x:v>
      </x:c>
    </x:row>
    <x:row r="80">
      <x:c r="A80" s="33" t="str">
        <x:v>1.70</x:v>
      </x:c>
      <x:c r="B80" s="32" t="str">
        <x:v>Thông báo đăng ký chuyên đề và tổ chức sinh hoạt khoa học năm học 2026 - 2027</x:v>
      </x:c>
      <x:c r="C80" s="33" t="str">
        <x:v>Huỳnh Văn Chung</x:v>
      </x:c>
      <x:c r="D80" s="33" t="str">
        <x:v>Phòng QLKHCN&amp;HTPT</x:v>
      </x:c>
      <x:c r="E80" s="33" t="str">
        <x:v>Thông báo số 813/TB-CĐKT ngày 14/7/2026</x:v>
      </x:c>
      <x:c r="F80" s="33" t="n">
        <x:v>1</x:v>
      </x:c>
      <x:c r="G80" s="33" t="str">
        <x:v>Thấp</x:v>
      </x:c>
      <x:c r="H80" s="33" t="n">
        <x:v>100</x:v>
      </x:c>
      <x:c r="I80" s="33" t="n">
        <x:f>H80*1%</x:f>
        <x:v>1</x:v>
      </x:c>
      <x:c r="J80" s="33" t="n">
        <x:f>F80*I80</x:f>
        <x:v>1</x:v>
      </x:c>
      <x:c r="K80" s="33" t="n">
        <x:v>1</x:v>
      </x:c>
      <x:c r="L80" s="33" t="n">
        <x:f>I80*K80</x:f>
        <x:v>1</x:v>
      </x:c>
      <x:c r="M80" s="33" t="n">
        <x:v>1</x:v>
      </x:c>
      <x:c r="N80" s="33" t="n">
        <x:f>I80*M80</x:f>
        <x:v>1</x:v>
      </x:c>
      <x:c r="O80" s="33" t="n">
        <x:v>1</x:v>
      </x:c>
      <x:c r="P80" s="33" t="n">
        <x:f>I80*O80</x:f>
        <x:v>1</x:v>
      </x:c>
    </x:row>
    <x:row r="81">
      <x:c r="A81" s="33" t="str">
        <x:v>1.71</x:v>
      </x:c>
      <x:c r="B81" s="32" t="str">
        <x:v>Thông báo kết quả thực hiện nhiệm vụ khoa học, công nghệ và sáng kiến của viên chức, người lao động năm học 2025 – 2026</x:v>
      </x:c>
      <x:c r="C81" s="33" t="str">
        <x:v>Lê Trí Khải</x:v>
      </x:c>
      <x:c r="D81" s="33" t="str">
        <x:v>Phòng QLKHCN&amp;HTPT</x:v>
      </x:c>
      <x:c r="E81" s="33" t="str">
        <x:v>Thông báo số 822/TB-CĐKT ngày 14/7/2026</x:v>
      </x:c>
      <x:c r="F81" s="33" t="n">
        <x:v>1</x:v>
      </x:c>
      <x:c r="G81" s="33" t="str">
        <x:v>Trung bình</x:v>
      </x:c>
      <x:c r="H81" s="33" t="n">
        <x:v>120</x:v>
      </x:c>
      <x:c r="I81" s="33" t="n">
        <x:f>H81*1%</x:f>
        <x:v>1.2</x:v>
      </x:c>
      <x:c r="J81" s="33" t="n">
        <x:f>F81*I81</x:f>
        <x:v>1.2</x:v>
      </x:c>
      <x:c r="K81" s="33" t="n">
        <x:v>1</x:v>
      </x:c>
      <x:c r="L81" s="33" t="n">
        <x:f>I81*K81</x:f>
        <x:v>1.2</x:v>
      </x:c>
      <x:c r="M81" s="33" t="n">
        <x:v>1</x:v>
      </x:c>
      <x:c r="N81" s="33" t="n">
        <x:f>I81*M81</x:f>
        <x:v>1.2</x:v>
      </x:c>
      <x:c r="O81" s="33" t="n">
        <x:v>1</x:v>
      </x:c>
      <x:c r="P81" s="33" t="n">
        <x:f>I81*O81</x:f>
        <x:v>1.2</x:v>
      </x:c>
    </x:row>
    <x:row r="82">
      <x:c r="A82" s="33" t="str">
        <x:v>1.72</x:v>
      </x:c>
      <x:c r="B82" s="32" t="str">
        <x:v>Công bố ngưỡng đầu vào trình độ cao đẳng ngành Giáo dục Mầm non, hình thức đào tạo chính quy năm 2026</x:v>
      </x:c>
      <x:c r="C82" s="33" t="str">
        <x:v>Hiệu trưởng</x:v>
      </x:c>
      <x:c r="D82" s="33" t="str">
        <x:v>Phòng QLĐT&amp;BĐCL</x:v>
      </x:c>
      <x:c r="E82" s="33" t="str">
        <x:v>Quyết định</x:v>
      </x:c>
      <x:c r="F82" s="33" t="n">
        <x:v>1</x:v>
      </x:c>
      <x:c r="G82" s="33" t="str">
        <x:v>Trung bình</x:v>
      </x:c>
      <x:c r="H82" s="33" t="n">
        <x:v>120</x:v>
      </x:c>
      <x:c r="I82" s="33" t="n">
        <x:f>H82*1%</x:f>
        <x:v>1.2</x:v>
      </x:c>
      <x:c r="J82" s="33" t="n">
        <x:f>F82*I82</x:f>
        <x:v>1.2</x:v>
      </x:c>
      <x:c r="K82" s="33" t="n">
        <x:v>1</x:v>
      </x:c>
      <x:c r="L82" s="33" t="n">
        <x:f>I82*K82</x:f>
        <x:v>1.2</x:v>
      </x:c>
      <x:c r="M82" s="33" t="n">
        <x:v>1</x:v>
      </x:c>
      <x:c r="N82" s="33" t="n">
        <x:f>I82*M82</x:f>
        <x:v>1.2</x:v>
      </x:c>
      <x:c r="O82" s="33" t="n">
        <x:v>1</x:v>
      </x:c>
      <x:c r="P82" s="33" t="n">
        <x:f>I82*O82</x:f>
        <x:v>1.2</x:v>
      </x:c>
    </x:row>
    <x:row r="83">
      <x:c r="A83" s="33" t="str">
        <x:v>1.73</x:v>
      </x:c>
      <x:c r="B83" s="32" t="str">
        <x:v>Thống kê, tổng hợp khối lượng xây dựng, thẩm định chuẩn năng lực đầu ra, chương trình đào tạo và biên soạn, thẩm định giáo trình đào tạo các ngành, nghề, năm học 2025-2026 (từ ngày 01/7/2025 đến 30/6/2026)</x:v>
      </x:c>
      <x:c r="C83" s="33" t="str">
        <x:v>Hiệu trưởng</x:v>
      </x:c>
      <x:c r="D83" s="33" t="str">
        <x:v>Phòng QLĐT&amp;BĐCL</x:v>
      </x:c>
      <x:c r="E83" s="33" t="str">
        <x:v>Thông báo</x:v>
      </x:c>
      <x:c r="F83" s="33" t="n">
        <x:v>1</x:v>
      </x:c>
      <x:c r="G83" s="33" t="str">
        <x:v>Trung bình</x:v>
      </x:c>
      <x:c r="H83" s="33" t="n">
        <x:v>120</x:v>
      </x:c>
      <x:c r="I83" s="33" t="n">
        <x:f>H83*1%</x:f>
        <x:v>1.2</x:v>
      </x:c>
      <x:c r="J83" s="33" t="n">
        <x:f>F83*I83</x:f>
        <x:v>1.2</x:v>
      </x:c>
      <x:c r="K83" s="33" t="n">
        <x:v>1</x:v>
      </x:c>
      <x:c r="L83" s="33" t="n">
        <x:f>I83*K83</x:f>
        <x:v>1.2</x:v>
      </x:c>
      <x:c r="M83" s="33" t="n">
        <x:v>1</x:v>
      </x:c>
      <x:c r="N83" s="33" t="n">
        <x:f>I83*M83</x:f>
        <x:v>1.2</x:v>
      </x:c>
      <x:c r="O83" s="33" t="n">
        <x:v>1</x:v>
      </x:c>
      <x:c r="P83" s="33" t="n">
        <x:f>I83*O83</x:f>
        <x:v>1.2</x:v>
      </x:c>
    </x:row>
    <x:row r="84">
      <x:c r="A84" s="33" t="str">
        <x:v>1.74</x:v>
      </x:c>
      <x:c r="B84" s="32" t="str">
        <x:v>Kế hoạch triển khai thực hiện Thông tư số 43/2026/TT-BGDĐT ngày 09/6/2026 của Bộ trưởng Bộ Giáo dục và Đào tạo quy định tiêu chuẩn người dạy nghề</x:v>
      </x:c>
      <x:c r="C84" s="33" t="str">
        <x:v>Hiệu trưởng</x:v>
      </x:c>
      <x:c r="D84" s="33" t="str">
        <x:v>Phòng QLĐT&amp;BĐCL</x:v>
      </x:c>
      <x:c r="E84" s="33" t="str">
        <x:v>Kế hoạch</x:v>
      </x:c>
      <x:c r="F84" s="33" t="n">
        <x:v>1</x:v>
      </x:c>
      <x:c r="G84" s="33" t="str">
        <x:v>Trung bình</x:v>
      </x:c>
      <x:c r="H84" s="33" t="n">
        <x:v>120</x:v>
      </x:c>
      <x:c r="I84" s="33" t="n">
        <x:f>H84*1%</x:f>
        <x:v>1.2</x:v>
      </x:c>
      <x:c r="J84" s="33" t="n">
        <x:f>F84*I84</x:f>
        <x:v>1.2</x:v>
      </x:c>
      <x:c r="K84" s="33" t="n">
        <x:v>1</x:v>
      </x:c>
      <x:c r="L84" s="33" t="n">
        <x:f>I84*K84</x:f>
        <x:v>1.2</x:v>
      </x:c>
      <x:c r="M84" s="33" t="n">
        <x:v>1</x:v>
      </x:c>
      <x:c r="N84" s="33" t="n">
        <x:f>I84*M84</x:f>
        <x:v>1.2</x:v>
      </x:c>
      <x:c r="O84" s="33" t="n">
        <x:v>1</x:v>
      </x:c>
      <x:c r="P84" s="33" t="n">
        <x:f>I84*O84</x:f>
        <x:v>1.2</x:v>
      </x:c>
    </x:row>
    <x:row r="85">
      <x:c r="A85" s="33" t="str">
        <x:v>1.75</x:v>
      </x:c>
      <x:c r="B85" s="32" t="str">
        <x:v>Công văn gửi Sở Giáo dục và Đào tạo hướng dẫn một số nội dung liên quan đến công tác triển khai đào tạo trình độ sơ cấp, đào tạo dưới 3 tháng trong năm 2026 và các năm tiếp teo</x:v>
      </x:c>
      <x:c r="C85" s="33" t="str">
        <x:v>Hiệu trưởng</x:v>
      </x:c>
      <x:c r="D85" s="33" t="str">
        <x:v>Phòng QLĐT&amp;BĐCL</x:v>
      </x:c>
      <x:c r="E85" s="33" t="str">
        <x:v>Công văn</x:v>
      </x:c>
      <x:c r="F85" s="33" t="n">
        <x:v>1</x:v>
      </x:c>
      <x:c r="G85" s="33" t="str">
        <x:v>Cao</x:v>
      </x:c>
      <x:c r="H85" s="33" t="n">
        <x:v>200</x:v>
      </x:c>
      <x:c r="I85" s="33" t="n">
        <x:f>H85*1%</x:f>
        <x:v>2</x:v>
      </x:c>
      <x:c r="J85" s="33" t="n">
        <x:f>F85*I85</x:f>
        <x:v>2</x:v>
      </x:c>
      <x:c r="K85" s="33" t="n">
        <x:v>1</x:v>
      </x:c>
      <x:c r="L85" s="33" t="n">
        <x:f>I85*K85</x:f>
        <x:v>2</x:v>
      </x:c>
      <x:c r="M85" s="33" t="n">
        <x:v>1</x:v>
      </x:c>
      <x:c r="N85" s="33" t="n">
        <x:f>I85*M85</x:f>
        <x:v>2</x:v>
      </x:c>
      <x:c r="O85" s="33" t="n">
        <x:v>1</x:v>
      </x:c>
      <x:c r="P85" s="33" t="n">
        <x:f>I85*O85</x:f>
        <x:v>2</x:v>
      </x:c>
    </x:row>
    <x:row r="86">
      <x:c r="A86" s="33" t="str">
        <x:v>1.76</x:v>
      </x:c>
      <x:c r="B86" s="32" t="str">
        <x:v>Tổ chức thi kết thúc học phần, môn học, mô đun cải thiện điểm, thi lại, học lại học kỳ II, năm học 2025-2026 các lớp trình độ trung cấp, cao đẳng.</x:v>
      </x:c>
      <x:c r="C86" s="33" t="str">
        <x:v>PHT Dương Văn Anh Dũng</x:v>
      </x:c>
      <x:c r="D86" s="33" t="str">
        <x:v>Phòng QLĐT&amp;BĐCL</x:v>
      </x:c>
      <x:c r="E86" s="33" t="str">
        <x:v>Bảng thống kê</x:v>
      </x:c>
      <x:c r="F86" s="33" t="n">
        <x:v>1</x:v>
      </x:c>
      <x:c r="G86" s="33" t="str">
        <x:v>Trung bình</x:v>
      </x:c>
      <x:c r="H86" s="33" t="n">
        <x:v>120</x:v>
      </x:c>
      <x:c r="I86" s="33" t="n">
        <x:f>H86*1%</x:f>
        <x:v>1.2</x:v>
      </x:c>
      <x:c r="J86" s="33" t="n">
        <x:f>F86*I86</x:f>
        <x:v>1.2</x:v>
      </x:c>
      <x:c r="K86" s="33" t="n">
        <x:v>1</x:v>
      </x:c>
      <x:c r="L86" s="33" t="n">
        <x:f>I86*K86</x:f>
        <x:v>1.2</x:v>
      </x:c>
      <x:c r="M86" s="33" t="n">
        <x:v>1</x:v>
      </x:c>
      <x:c r="N86" s="33" t="n">
        <x:f>I86*M86</x:f>
        <x:v>1.2</x:v>
      </x:c>
      <x:c r="O86" s="33" t="n">
        <x:v>1</x:v>
      </x:c>
      <x:c r="P86" s="33" t="n">
        <x:f>I86*O86</x:f>
        <x:v>1.2</x:v>
      </x:c>
    </x:row>
    <x:row r="87">
      <x:c r="A87" s="33" t="str">
        <x:v>1.77</x:v>
      </x:c>
      <x:c r="B87" s="32" t="str">
        <x:v>Thông báo hướng dẫn xây dựng, cập nhật, cải tiến chương trình đào tạo năm 2026 theo phương pháp giảng dạy tích hợp và một số vấn đề liên quan</x:v>
      </x:c>
      <x:c r="C87" s="33" t="str">
        <x:v>Hiệu trưởng</x:v>
      </x:c>
      <x:c r="D87" s="33" t="str">
        <x:v>Phòng QLĐT&amp;BĐCL</x:v>
      </x:c>
      <x:c r="E87" s="33" t="str">
        <x:v>Thông báo</x:v>
      </x:c>
      <x:c r="F87" s="33" t="n">
        <x:v>1</x:v>
      </x:c>
      <x:c r="G87" s="33" t="str">
        <x:v>Trung bình</x:v>
      </x:c>
      <x:c r="H87" s="33" t="n">
        <x:v>120</x:v>
      </x:c>
      <x:c r="I87" s="33" t="n">
        <x:f>H87*1%</x:f>
        <x:v>1.2</x:v>
      </x:c>
      <x:c r="J87" s="33" t="n">
        <x:f>F87*I87</x:f>
        <x:v>1.2</x:v>
      </x:c>
      <x:c r="K87" s="33" t="n">
        <x:v>1</x:v>
      </x:c>
      <x:c r="L87" s="33" t="n">
        <x:f>I87*K87</x:f>
        <x:v>1.2</x:v>
      </x:c>
      <x:c r="M87" s="33" t="n">
        <x:v>1</x:v>
      </x:c>
      <x:c r="N87" s="33" t="n">
        <x:f>I87*M87</x:f>
        <x:v>1.2</x:v>
      </x:c>
      <x:c r="O87" s="33" t="n">
        <x:v>1</x:v>
      </x:c>
      <x:c r="P87" s="33" t="n">
        <x:f>I87*O87</x:f>
        <x:v>1.2</x:v>
      </x:c>
    </x:row>
    <x:row r="88">
      <x:c r="A88" s="28" t="str">
        <x:v>2. Trục (2) - Hoàn thiện thể chế, đẩy mạnh phân cấp, phân quyền gắn với kiểm tra, giám sát</x:v>
      </x:c>
      <x:c r="B88" s="28" t="str">
        <x:v>2. Trục (2) - Hoàn thiện thể chế, đẩy mạnh phân cấp, phân quyền gắn với kiểm tra, giám sát</x:v>
      </x:c>
      <x:c r="C88" s="28" t="str">
        <x:v>2. Trục (2) - Hoàn thiện thể chế, đẩy mạnh phân cấp, phân quyền gắn với kiểm tra, giám sát</x:v>
      </x:c>
      <x:c r="D88" s="28" t="str">
        <x:v>2. Trục (2) - Hoàn thiện thể chế, đẩy mạnh phân cấp, phân quyền gắn với kiểm tra, giám sát</x:v>
      </x:c>
      <x:c r="E88" s="28" t="str">
        <x:v>2. Trục (2) - Hoàn thiện thể chế, đẩy mạnh phân cấp, phân quyền gắn với kiểm tra, giám sát</x:v>
      </x:c>
      <x:c r="F88" s="28" t="n">
        <x:f>SUM(F89:F97)</x:f>
        <x:v>9</x:v>
      </x:c>
      <x:c r="G88" s="28" t="str">
        <x:v>2. Trục (2) - Hoàn thiện thể chế, đẩy mạnh phân cấp, phân quyền gắn với kiểm tra, giám sát</x:v>
      </x:c>
      <x:c r="H88" s="28" t="n">
        <x:v>1010</x:v>
      </x:c>
      <x:c r="I88" s="28"/>
      <x:c r="J88" s="28" t="n">
        <x:f>SUM(J89:J97)</x:f>
        <x:v>10.299999999999999</x:v>
      </x:c>
      <x:c r="K88" s="28"/>
      <x:c r="L88" s="28" t="n">
        <x:f>SUM(L89:L97)</x:f>
        <x:v>8.6</x:v>
      </x:c>
      <x:c r="M88" s="28"/>
      <x:c r="N88" s="28" t="n">
        <x:f>SUM(N89:N97)</x:f>
        <x:v>11.299999999999999</x:v>
      </x:c>
      <x:c r="O88" s="28"/>
      <x:c r="P88" s="28" t="n">
        <x:f>SUM(P89:P97)</x:f>
        <x:v>11.299999999999999</x:v>
      </x:c>
    </x:row>
    <x:row r="89">
      <x:c r="A89" s="33" t="str">
        <x:v>2.1</x:v>
      </x:c>
      <x:c r="B89" s="32" t="str">
        <x:v>Công văn cử viên chức tham dự Hội nghị tập huấn tuyên truyền phổ biến các quy định mới về lĩnh vực năng lượng nguyên tử trên địa bàn tỉnh Quảng Ngãi năm 2026</x:v>
      </x:c>
      <x:c r="C89" s="33" t="str">
        <x:v>Lê Trí Khải</x:v>
      </x:c>
      <x:c r="D89" s="33" t="str">
        <x:v>Phòng QLKHCN&amp;HTPT</x:v>
      </x:c>
      <x:c r="E89" s="33" t="str">
        <x:v>Công văn số 448/CĐKT-QLKHCN</x:v>
      </x:c>
      <x:c r="F89" s="33" t="n">
        <x:v>2</x:v>
      </x:c>
      <x:c r="G89" s="33" t="str">
        <x:v>Thấp</x:v>
      </x:c>
      <x:c r="H89" s="33" t="n">
        <x:v>100</x:v>
      </x:c>
      <x:c r="I89" s="33" t="n">
        <x:f>H89*1%</x:f>
        <x:v>1</x:v>
      </x:c>
      <x:c r="J89" s="33" t="n">
        <x:f>F89*I89</x:f>
        <x:v>2</x:v>
      </x:c>
      <x:c r="K89" s="33" t="n">
        <x:v>1</x:v>
      </x:c>
      <x:c r="L89" s="33" t="n">
        <x:f>I89*K89</x:f>
        <x:v>1</x:v>
      </x:c>
      <x:c r="M89" s="33" t="n">
        <x:v>1</x:v>
      </x:c>
      <x:c r="N89" s="33" t="n">
        <x:f>I89*M89</x:f>
        <x:v>1</x:v>
      </x:c>
      <x:c r="O89" s="33" t="n">
        <x:v>1</x:v>
      </x:c>
      <x:c r="P89" s="33" t="n">
        <x:f>I89*O89</x:f>
        <x:v>1</x:v>
      </x:c>
    </x:row>
    <x:row r="90">
      <x:c r="A90" s="33" t="str">
        <x:v>2.2</x:v>
      </x:c>
      <x:c r="B90" s="32" t="str">
        <x:v>Công văn góp ý Dự thảo Thông tư quy định quan trắc và cảnh báo phóng xạ môi trường</x:v>
      </x:c>
      <x:c r="C90" s="33" t="str">
        <x:v>Huỳnh Văn Chung</x:v>
      </x:c>
      <x:c r="D90" s="33" t="str">
        <x:v>Phòng QLKHCN&amp;HTPT</x:v>
      </x:c>
      <x:c r="E90" s="33" t="str">
        <x:v>Công văn số 451/CĐKT-QLKHCN</x:v>
      </x:c>
      <x:c r="F90" s="33" t="n">
        <x:v>1</x:v>
      </x:c>
      <x:c r="G90" s="33" t="str">
        <x:v>Thấp</x:v>
      </x:c>
      <x:c r="H90" s="33" t="n">
        <x:v>100</x:v>
      </x:c>
      <x:c r="I90" s="33" t="n">
        <x:f>H90*1%</x:f>
        <x:v>1</x:v>
      </x:c>
      <x:c r="J90" s="33" t="n">
        <x:f>F90*I90</x:f>
        <x:v>1</x:v>
      </x:c>
      <x:c r="K90" s="33" t="n">
        <x:v>1</x:v>
      </x:c>
      <x:c r="L90" s="33" t="n">
        <x:f>I90*K90</x:f>
        <x:v>1</x:v>
      </x:c>
      <x:c r="M90" s="33" t="n">
        <x:v>1</x:v>
      </x:c>
      <x:c r="N90" s="33" t="n">
        <x:f>I90*M90</x:f>
        <x:v>1</x:v>
      </x:c>
      <x:c r="O90" s="33" t="n">
        <x:v>1</x:v>
      </x:c>
      <x:c r="P90" s="33" t="n">
        <x:f>I90*O90</x:f>
        <x:v>1</x:v>
      </x:c>
    </x:row>
    <x:row r="91">
      <x:c r="A91" s="33" t="str">
        <x:v>2.3</x:v>
      </x:c>
      <x:c r="B91" s="32" t="str">
        <x:v>Quyết định ban hành nội dung, mức chi quản lý hoạt động khoa học, công nghệ, đổi mới sáng tạo và sáng kiến; thực hiện nhiệm vụ khoa học, công nghệ và đổi mới sáng tạo</x:v>
      </x:c>
      <x:c r="C91" s="33" t="str">
        <x:v>Lê Trí Khải</x:v>
      </x:c>
      <x:c r="D91" s="33" t="str">
        <x:v>Phòng QLKHCN&amp;HTPT</x:v>
      </x:c>
      <x:c r="E91" s="33" t="str">
        <x:v>Biên bản số 132/BB-CĐKT ngày 19/6/2026; Quyết định số 1428 /QĐ-CĐKT ngày 22/6/2026</x:v>
      </x:c>
      <x:c r="F91" s="33" t="n">
        <x:v>1</x:v>
      </x:c>
      <x:c r="G91" s="33" t="str">
        <x:v>Cao</x:v>
      </x:c>
      <x:c r="H91" s="33" t="n">
        <x:v>150</x:v>
      </x:c>
      <x:c r="I91" s="33" t="n">
        <x:f>H91*1%</x:f>
        <x:v>1.5</x:v>
      </x:c>
      <x:c r="J91" s="33" t="n">
        <x:f>F91*I91</x:f>
        <x:v>1.5</x:v>
      </x:c>
      <x:c r="K91" s="33" t="str"/>
      <x:c r="L91" s="33" t="n">
        <x:f>I91*K91</x:f>
        <x:v>0</x:v>
      </x:c>
      <x:c r="M91" s="33" t="n">
        <x:v>1</x:v>
      </x:c>
      <x:c r="N91" s="33" t="n">
        <x:f>I91*M91</x:f>
        <x:v>1.5</x:v>
      </x:c>
      <x:c r="O91" s="33" t="n">
        <x:v>1</x:v>
      </x:c>
      <x:c r="P91" s="33" t="n">
        <x:f>I91*O91</x:f>
        <x:v>1.5</x:v>
      </x:c>
    </x:row>
    <x:row r="92">
      <x:c r="A92" s="33" t="str">
        <x:v>2.4</x:v>
      </x:c>
      <x:c r="B92" s="32" t="str">
        <x:v>Công văn góp ý Dự thảo văn bản triển khai thực hiện Quyết định số 32/QĐ-BCĐPTCNBD ngày 05/4/2026 của Trưởng Ban Chỉ đạo quốc gia về phát triển ngành công nghiệp bán dẫn</x:v>
      </x:c>
      <x:c r="C92" s="33" t="str">
        <x:v>Hùng Văn Chung</x:v>
      </x:c>
      <x:c r="D92" s="33" t="str">
        <x:v>Phòng QLKHCN&amp;HTPT</x:v>
      </x:c>
      <x:c r="E92" s="33" t="str">
        <x:v>Công văn số 467/ CĐKT- QLKHCN ngày 24/62026</x:v>
      </x:c>
      <x:c r="F92" s="33" t="n">
        <x:v>1</x:v>
      </x:c>
      <x:c r="G92" s="33" t="str">
        <x:v>Thấp</x:v>
      </x:c>
      <x:c r="H92" s="33" t="n">
        <x:v>100</x:v>
      </x:c>
      <x:c r="I92" s="33" t="n">
        <x:f>H92*1%</x:f>
        <x:v>1</x:v>
      </x:c>
      <x:c r="J92" s="33" t="n">
        <x:f>F92*I92</x:f>
        <x:v>1</x:v>
      </x:c>
      <x:c r="K92" s="33" t="n">
        <x:v>1</x:v>
      </x:c>
      <x:c r="L92" s="33" t="n">
        <x:f>I92*K92</x:f>
        <x:v>1</x:v>
      </x:c>
      <x:c r="M92" s="33" t="n">
        <x:v>1</x:v>
      </x:c>
      <x:c r="N92" s="33" t="n">
        <x:f>I92*M92</x:f>
        <x:v>1</x:v>
      </x:c>
      <x:c r="O92" s="33" t="n">
        <x:v>1</x:v>
      </x:c>
      <x:c r="P92" s="33" t="n">
        <x:f>I92*O92</x:f>
        <x:v>1</x:v>
      </x:c>
    </x:row>
    <x:row r="93">
      <x:c r="A93" s="33" t="str">
        <x:v>2.5</x:v>
      </x:c>
      <x:c r="B93" s="32" t="str">
        <x:v>Báo cáo kết quả thực hiện chương trình công tác Quý II năm 2026 và chương trình công tác trọng tâm Quý III năm 2026 của Ban Thanh tra nhân dân</x:v>
      </x:c>
      <x:c r="C93" s="33" t="str"/>
      <x:c r="D93" s="33" t="str">
        <x:v>Phòng QLKHCN&amp;HTPT</x:v>
      </x:c>
      <x:c r="E93" s="33" t="str">
        <x:v>Báo cáo số 03/BC-BTTND ngày 24/6/2026</x:v>
      </x:c>
      <x:c r="F93" s="33" t="n">
        <x:v>1</x:v>
      </x:c>
      <x:c r="G93" s="33" t="str">
        <x:v>Trung bình</x:v>
      </x:c>
      <x:c r="H93" s="33" t="n">
        <x:v>120</x:v>
      </x:c>
      <x:c r="I93" s="33" t="n">
        <x:f>H93*1%</x:f>
        <x:v>1.2</x:v>
      </x:c>
      <x:c r="J93" s="33" t="n">
        <x:f>F93*I93</x:f>
        <x:v>1.2</x:v>
      </x:c>
      <x:c r="K93" s="33" t="str"/>
      <x:c r="L93" s="33" t="n">
        <x:f>I93*K93</x:f>
        <x:v>0</x:v>
      </x:c>
      <x:c r="M93" s="33" t="n">
        <x:v>1</x:v>
      </x:c>
      <x:c r="N93" s="33" t="n">
        <x:f>I93*M93</x:f>
        <x:v>1.2</x:v>
      </x:c>
      <x:c r="O93" s="33" t="n">
        <x:v>1</x:v>
      </x:c>
      <x:c r="P93" s="33" t="n">
        <x:f>I93*O93</x:f>
        <x:v>1.2</x:v>
      </x:c>
    </x:row>
    <x:row r="94">
      <x:c r="A94" s="33" t="str">
        <x:v>2.6</x:v>
      </x:c>
      <x:c r="B94" s="32" t="str">
        <x:v>Công văn góp ý dự thảo Quyết định ban hành Kế hoạch hành động thực hiện Nghị quyết số 11</x:v>
      </x:c>
      <x:c r="C94" s="33" t="str">
        <x:v>Hùng Văn Chung</x:v>
      </x:c>
      <x:c r="D94" s="33" t="str">
        <x:v>Phòng QLKHCN&amp;HTPT</x:v>
      </x:c>
      <x:c r="E94" s="33" t="str">
        <x:v>Công văn số 478/ CĐKT- QLKHCN ngày 29/6/2026</x:v>
      </x:c>
      <x:c r="F94" s="33" t="str"/>
      <x:c r="G94" s="33" t="str">
        <x:v>Thấp</x:v>
      </x:c>
      <x:c r="H94" s="33" t="n">
        <x:v>100</x:v>
      </x:c>
      <x:c r="I94" s="33" t="n">
        <x:f>H94*1%</x:f>
        <x:v>1</x:v>
      </x:c>
      <x:c r="J94" s="33" t="n">
        <x:f>F94*I94</x:f>
        <x:v>0</x:v>
      </x:c>
      <x:c r="K94" s="33" t="n">
        <x:v>1</x:v>
      </x:c>
      <x:c r="L94" s="33" t="n">
        <x:f>I94*K94</x:f>
        <x:v>1</x:v>
      </x:c>
      <x:c r="M94" s="33" t="n">
        <x:v>1</x:v>
      </x:c>
      <x:c r="N94" s="33" t="n">
        <x:f>I94*M94</x:f>
        <x:v>1</x:v>
      </x:c>
      <x:c r="O94" s="33" t="n">
        <x:v>1</x:v>
      </x:c>
      <x:c r="P94" s="33" t="n">
        <x:f>I94*O94</x:f>
        <x:v>1</x:v>
      </x:c>
    </x:row>
    <x:row r="95">
      <x:c r="A95" s="33" t="str">
        <x:v>2.7</x:v>
      </x:c>
      <x:c r="B95" s="32" t="str">
        <x:v>Công văn góp ý dự thảo Thông tư của Bộ Khoa học và Công nghệ về lĩnh vực an toàn bức xạ và an toàn hạt nhân</x:v>
      </x:c>
      <x:c r="C95" s="33" t="str">
        <x:v>Huỳnh Văn Chung</x:v>
      </x:c>
      <x:c r="D95" s="33" t="str">
        <x:v>Phòng QLKHCN&amp;HTPT</x:v>
      </x:c>
      <x:c r="E95" s="33" t="str">
        <x:v>Công văn số 488/CĐKT-QLKHCN ngày 7/7/2026</x:v>
      </x:c>
      <x:c r="F95" s="33" t="str"/>
      <x:c r="G95" s="33" t="str">
        <x:v>Thấp</x:v>
      </x:c>
      <x:c r="H95" s="33" t="n">
        <x:v>100</x:v>
      </x:c>
      <x:c r="I95" s="33" t="n">
        <x:f>H95*1%</x:f>
        <x:v>1</x:v>
      </x:c>
      <x:c r="J95" s="33" t="n">
        <x:f>F95*I95</x:f>
        <x:v>0</x:v>
      </x:c>
      <x:c r="K95" s="33" t="n">
        <x:v>1</x:v>
      </x:c>
      <x:c r="L95" s="33" t="n">
        <x:f>I95*K95</x:f>
        <x:v>1</x:v>
      </x:c>
      <x:c r="M95" s="33" t="n">
        <x:v>1</x:v>
      </x:c>
      <x:c r="N95" s="33" t="n">
        <x:f>I95*M95</x:f>
        <x:v>1</x:v>
      </x:c>
      <x:c r="O95" s="33" t="n">
        <x:v>1</x:v>
      </x:c>
      <x:c r="P95" s="33" t="n">
        <x:f>I95*O95</x:f>
        <x:v>1</x:v>
      </x:c>
    </x:row>
    <x:row r="96">
      <x:c r="A96" s="33" t="str">
        <x:v>2.8</x:v>
      </x:c>
      <x:c r="B96" s="32" t="str">
        <x:v>Kiểm tra về công tác bảo đảm sĩ số học sinh, sinh viên các lớp học chính quy tại Trường trong năm học đối với các khoa thuộc Trường</x:v>
      </x:c>
      <x:c r="C96" s="33" t="str">
        <x:v>Hiệu trưởng</x:v>
      </x:c>
      <x:c r="D96" s="33" t="str">
        <x:v>Phòng QLĐT&amp;BĐCL</x:v>
      </x:c>
      <x:c r="E96" s="33" t="str">
        <x:v>Quyết định; Kế hoạch</x:v>
      </x:c>
      <x:c r="F96" s="33" t="n">
        <x:v>2</x:v>
      </x:c>
      <x:c r="G96" s="33" t="str">
        <x:v>Trung bình</x:v>
      </x:c>
      <x:c r="H96" s="33" t="n">
        <x:v>120</x:v>
      </x:c>
      <x:c r="I96" s="33" t="n">
        <x:f>H96*1%</x:f>
        <x:v>1.2</x:v>
      </x:c>
      <x:c r="J96" s="33" t="n">
        <x:f>F96*I96</x:f>
        <x:v>2.4</x:v>
      </x:c>
      <x:c r="K96" s="33" t="n">
        <x:v>2</x:v>
      </x:c>
      <x:c r="L96" s="33" t="n">
        <x:f>I96*K96</x:f>
        <x:v>2.4</x:v>
      </x:c>
      <x:c r="M96" s="33" t="n">
        <x:v>2</x:v>
      </x:c>
      <x:c r="N96" s="33" t="n">
        <x:f>I96*M96</x:f>
        <x:v>2.4</x:v>
      </x:c>
      <x:c r="O96" s="33" t="n">
        <x:v>2</x:v>
      </x:c>
      <x:c r="P96" s="33" t="n">
        <x:f>I96*O96</x:f>
        <x:v>2.4</x:v>
      </x:c>
    </x:row>
    <x:row r="97">
      <x:c r="A97" s="33" t="str">
        <x:v>2.9</x:v>
      </x:c>
      <x:c r="B97" s="32" t="str">
        <x:v>Tham mưu Quyết định kiện toàn Hội đồng và các Nhóm chuyên trách của Hội đồng tự đánh giá CTĐT Giáo dục mầm non năm 2026</x:v>
      </x:c>
      <x:c r="C97" s="33" t="str">
        <x:v>Hiệu trưởng</x:v>
      </x:c>
      <x:c r="D97" s="33" t="str">
        <x:v>Phòng QLĐT&amp;BĐCL</x:v>
      </x:c>
      <x:c r="E97" s="33" t="str">
        <x:v>Quyết định</x:v>
      </x:c>
      <x:c r="F97" s="33" t="n">
        <x:v>1</x:v>
      </x:c>
      <x:c r="G97" s="33" t="str">
        <x:v>Trung bình</x:v>
      </x:c>
      <x:c r="H97" s="33" t="n">
        <x:v>120</x:v>
      </x:c>
      <x:c r="I97" s="33" t="n">
        <x:f>H97*1%</x:f>
        <x:v>1.2</x:v>
      </x:c>
      <x:c r="J97" s="33" t="n">
        <x:f>F97*I97</x:f>
        <x:v>1.2</x:v>
      </x:c>
      <x:c r="K97" s="33" t="n">
        <x:v>1</x:v>
      </x:c>
      <x:c r="L97" s="33" t="n">
        <x:f>I97*K97</x:f>
        <x:v>1.2</x:v>
      </x:c>
      <x:c r="M97" s="33" t="n">
        <x:v>1</x:v>
      </x:c>
      <x:c r="N97" s="33" t="n">
        <x:f>I97*M97</x:f>
        <x:v>1.2</x:v>
      </x:c>
      <x:c r="O97" s="33" t="n">
        <x:v>1</x:v>
      </x:c>
      <x:c r="P97" s="33" t="n">
        <x:f>I97*O97</x:f>
        <x:v>1.2</x:v>
      </x:c>
    </x:row>
    <x:row r="98">
      <x:c r="A98" s="28" t="str">
        <x:v>3. Trục (3) - Thúc đẩy phát triển khoa học, công nghệ, đổi mới sáng tạo và chuyển đổi số</x:v>
      </x:c>
      <x:c r="B98" s="28" t="str">
        <x:v>3. Trục (3) - Thúc đẩy phát triển khoa học, công nghệ, đổi mới sáng tạo và chuyển đổi số</x:v>
      </x:c>
      <x:c r="C98" s="28" t="str">
        <x:v>3. Trục (3) - Thúc đẩy phát triển khoa học, công nghệ, đổi mới sáng tạo và chuyển đổi số</x:v>
      </x:c>
      <x:c r="D98" s="28" t="str">
        <x:v>3. Trục (3) - Thúc đẩy phát triển khoa học, công nghệ, đổi mới sáng tạo và chuyển đổi số</x:v>
      </x:c>
      <x:c r="E98" s="28" t="str">
        <x:v>3. Trục (3) - Thúc đẩy phát triển khoa học, công nghệ, đổi mới sáng tạo và chuyển đổi số</x:v>
      </x:c>
      <x:c r="F98" s="28" t="n">
        <x:f>SUM(F99:F108)</x:f>
        <x:v>6</x:v>
      </x:c>
      <x:c r="G98" s="28" t="str">
        <x:v>3. Trục (3) - Thúc đẩy phát triển khoa học, công nghệ, đổi mới sáng tạo và chuyển đổi số</x:v>
      </x:c>
      <x:c r="H98" s="28" t="n">
        <x:v>1020</x:v>
      </x:c>
      <x:c r="I98" s="28"/>
      <x:c r="J98" s="28" t="n">
        <x:f>SUM(J99:J108)</x:f>
        <x:v>6.2</x:v>
      </x:c>
      <x:c r="K98" s="28"/>
      <x:c r="L98" s="28" t="n">
        <x:f>SUM(L99:L108)</x:f>
        <x:v>9.2</x:v>
      </x:c>
      <x:c r="M98" s="28"/>
      <x:c r="N98" s="28" t="n">
        <x:f>SUM(N99:N108)</x:f>
        <x:v>10.2</x:v>
      </x:c>
      <x:c r="O98" s="28"/>
      <x:c r="P98" s="28" t="n">
        <x:f>SUM(P99:P108)</x:f>
        <x:v>10.2</x:v>
      </x:c>
    </x:row>
    <x:row r="99">
      <x:c r="A99" s="33" t="str">
        <x:v>3.1</x:v>
      </x:c>
      <x:c r="B99" s="32" t="str">
        <x:v>Cv đề xuất nhu cầu trang bị thêm access point wifi tại các đơn vị</x:v>
      </x:c>
      <x:c r="C99" s="33" t="str">
        <x:v>Huỳnh Văn Chung</x:v>
      </x:c>
      <x:c r="D99" s="33" t="str">
        <x:v>Phòng QLKHCN&amp;HTPT</x:v>
      </x:c>
      <x:c r="E99" s="33" t="str">
        <x:v>Công văn số 444/CĐKT-QLKHCN</x:v>
      </x:c>
      <x:c r="F99" s="33" t="str"/>
      <x:c r="G99" s="33" t="str">
        <x:v>Thấp</x:v>
      </x:c>
      <x:c r="H99" s="33" t="n">
        <x:v>100</x:v>
      </x:c>
      <x:c r="I99" s="33" t="n">
        <x:f>H99*1%</x:f>
        <x:v>1</x:v>
      </x:c>
      <x:c r="J99" s="33" t="n">
        <x:f>F99*I99</x:f>
        <x:v>0</x:v>
      </x:c>
      <x:c r="K99" s="33" t="n">
        <x:v>0</x:v>
      </x:c>
      <x:c r="L99" s="33" t="n">
        <x:f>I99*K99</x:f>
        <x:v>0</x:v>
      </x:c>
      <x:c r="M99" s="33" t="n">
        <x:v>1</x:v>
      </x:c>
      <x:c r="N99" s="33" t="n">
        <x:f>I99*M99</x:f>
        <x:v>1</x:v>
      </x:c>
      <x:c r="O99" s="33" t="n">
        <x:v>1</x:v>
      </x:c>
      <x:c r="P99" s="33" t="n">
        <x:f>I99*O99</x:f>
        <x:v>1</x:v>
      </x:c>
    </x:row>
    <x:row r="100">
      <x:c r="A100" s="33" t="str">
        <x:v>3.2</x:v>
      </x:c>
      <x:c r="B100" s="32" t="str">
        <x:v>Thông báo quy đổi số giờ đối với nhà giáo giảng dạy các lớp tập huấn, bồi dưỡng “Ứng dụng trí tuệ nhân tạo trong dạy học năm 2025”, “Sử dụng hệ thống đào tạo trực tuyến và công cụ hỗ trợ dạy học trực tuyến năm 2025”, “Ứng dụng trí tuệ nhân tạo trong công tác hành chính năm 2026”</x:v>
      </x:c>
      <x:c r="C100" s="33" t="str">
        <x:v>Lê Trí Khải</x:v>
      </x:c>
      <x:c r="D100" s="33" t="str">
        <x:v>Phòng QLKHCN&amp;HTPT</x:v>
      </x:c>
      <x:c r="E100" s="33" t="str">
        <x:v>Thông báo số 735/TB-CĐKT ngày 24/6/2026</x:v>
      </x:c>
      <x:c r="F100" s="33" t="n">
        <x:v>1</x:v>
      </x:c>
      <x:c r="G100" s="33" t="str">
        <x:v>Thấp</x:v>
      </x:c>
      <x:c r="H100" s="33" t="n">
        <x:v>100</x:v>
      </x:c>
      <x:c r="I100" s="33" t="n">
        <x:f>H100*1%</x:f>
        <x:v>1</x:v>
      </x:c>
      <x:c r="J100" s="33" t="n">
        <x:f>F100*I100</x:f>
        <x:v>1</x:v>
      </x:c>
      <x:c r="K100" s="33" t="n">
        <x:v>1</x:v>
      </x:c>
      <x:c r="L100" s="33" t="n">
        <x:f>I100*K100</x:f>
        <x:v>1</x:v>
      </x:c>
      <x:c r="M100" s="33" t="n">
        <x:v>1</x:v>
      </x:c>
      <x:c r="N100" s="33" t="n">
        <x:f>I100*M100</x:f>
        <x:v>1</x:v>
      </x:c>
      <x:c r="O100" s="33" t="n">
        <x:v>1</x:v>
      </x:c>
      <x:c r="P100" s="33" t="n">
        <x:f>I100*O100</x:f>
        <x:v>1</x:v>
      </x:c>
    </x:row>
    <x:row r="101">
      <x:c r="A101" s="33" t="str">
        <x:v>3.3</x:v>
      </x:c>
      <x:c r="B101" s="32" t="str">
        <x:v>Báo cáo kết quả các lớp Bồi dưỡng kỹ năng “Ứng dụng trí tuệ nhân tạo trong công tác hành chính – Năm 2026”</x:v>
      </x:c>
      <x:c r="C101" s="33" t="str">
        <x:v>Lê Trí Khải</x:v>
      </x:c>
      <x:c r="D101" s="33" t="str">
        <x:v>Phòng QLKHCN&amp;HTPT</x:v>
      </x:c>
      <x:c r="E101" s="33" t="str">
        <x:v>Báo cáo số 306/BC-CĐKT ngày 29/6/2026</x:v>
      </x:c>
      <x:c r="F101" s="33" t="n">
        <x:v>1</x:v>
      </x:c>
      <x:c r="G101" s="33" t="str">
        <x:v>Thấp</x:v>
      </x:c>
      <x:c r="H101" s="33" t="n">
        <x:v>100</x:v>
      </x:c>
      <x:c r="I101" s="33" t="n">
        <x:f>H101*1%</x:f>
        <x:v>1</x:v>
      </x:c>
      <x:c r="J101" s="33" t="n">
        <x:f>F101*I101</x:f>
        <x:v>1</x:v>
      </x:c>
      <x:c r="K101" s="33" t="n">
        <x:v>1</x:v>
      </x:c>
      <x:c r="L101" s="33" t="n">
        <x:f>I101*K101</x:f>
        <x:v>1</x:v>
      </x:c>
      <x:c r="M101" s="33" t="n">
        <x:v>1</x:v>
      </x:c>
      <x:c r="N101" s="33" t="n">
        <x:f>I101*M101</x:f>
        <x:v>1</x:v>
      </x:c>
      <x:c r="O101" s="33" t="n">
        <x:v>1</x:v>
      </x:c>
      <x:c r="P101" s="33" t="n">
        <x:f>I101*O101</x:f>
        <x:v>1</x:v>
      </x:c>
    </x:row>
    <x:row r="102">
      <x:c r="A102" s="33" t="str">
        <x:v>3.4</x:v>
      </x:c>
      <x:c r="B102" s="32" t="str">
        <x:v>Công văn phối hợp cung cấp thông tin phục vụ điều tra nghiên cứu và phát triển khoa học và công nghệ năm 2026</x:v>
      </x:c>
      <x:c r="C102" s="33" t="str">
        <x:v>Huỳnh Văn Chung</x:v>
      </x:c>
      <x:c r="D102" s="33" t="str">
        <x:v>Phòng QLKHCN&amp;HTPT</x:v>
      </x:c>
      <x:c r="E102" s="33" t="str">
        <x:v>Công văn số 480/CĐKT-QLKHCN</x:v>
      </x:c>
      <x:c r="F102" s="33" t="str"/>
      <x:c r="G102" s="33" t="str">
        <x:v>Thấp</x:v>
      </x:c>
      <x:c r="H102" s="33" t="n">
        <x:v>100</x:v>
      </x:c>
      <x:c r="I102" s="33" t="n">
        <x:f>H102*1%</x:f>
        <x:v>1</x:v>
      </x:c>
      <x:c r="J102" s="33" t="n">
        <x:f>F102*I102</x:f>
        <x:v>0</x:v>
      </x:c>
      <x:c r="K102" s="33" t="n">
        <x:v>1</x:v>
      </x:c>
      <x:c r="L102" s="33" t="n">
        <x:f>I102*K102</x:f>
        <x:v>1</x:v>
      </x:c>
      <x:c r="M102" s="33" t="n">
        <x:v>1</x:v>
      </x:c>
      <x:c r="N102" s="33" t="n">
        <x:f>I102*M102</x:f>
        <x:v>1</x:v>
      </x:c>
      <x:c r="O102" s="33" t="n">
        <x:v>1</x:v>
      </x:c>
      <x:c r="P102" s="33" t="n">
        <x:f>I102*O102</x:f>
        <x:v>1</x:v>
      </x:c>
    </x:row>
    <x:row r="103">
      <x:c r="A103" s="33" t="str">
        <x:v>3.5</x:v>
      </x:c>
      <x:c r="B103" s="32" t="str">
        <x:v>Báo cáo kết quả thực hiện nhiệm vụ tăng cường đảm bảo an toàn, an ninh mạng, bảo mật dữ liệu cho hệ thống thông tin Quí III/2026</x:v>
      </x:c>
      <x:c r="C103" s="33" t="str">
        <x:v>Huỳnh Văn Chung</x:v>
      </x:c>
      <x:c r="D103" s="33" t="str">
        <x:v>Phòng QLKHCN&amp;HTPT</x:v>
      </x:c>
      <x:c r="E103" s="33" t="str">
        <x:v>Báo cáo số 328/BC-CĐKT</x:v>
      </x:c>
      <x:c r="F103" s="33" t="str"/>
      <x:c r="G103" s="33" t="str">
        <x:v>Thấp</x:v>
      </x:c>
      <x:c r="H103" s="33" t="n">
        <x:v>100</x:v>
      </x:c>
      <x:c r="I103" s="33" t="n">
        <x:f>H103*1%</x:f>
        <x:v>1</x:v>
      </x:c>
      <x:c r="J103" s="33" t="n">
        <x:f>F103*I103</x:f>
        <x:v>0</x:v>
      </x:c>
      <x:c r="K103" s="33" t="n">
        <x:v>1</x:v>
      </x:c>
      <x:c r="L103" s="33" t="n">
        <x:f>I103*K103</x:f>
        <x:v>1</x:v>
      </x:c>
      <x:c r="M103" s="33" t="n">
        <x:v>1</x:v>
      </x:c>
      <x:c r="N103" s="33" t="n">
        <x:f>I103*M103</x:f>
        <x:v>1</x:v>
      </x:c>
      <x:c r="O103" s="33" t="n">
        <x:v>1</x:v>
      </x:c>
      <x:c r="P103" s="33" t="n">
        <x:f>I103*O103</x:f>
        <x:v>1</x:v>
      </x:c>
    </x:row>
    <x:row r="104">
      <x:c r="A104" s="33" t="str">
        <x:v>3.6</x:v>
      </x:c>
      <x:c r="B104" s="32" t="str">
        <x:v>Đề xuất mua sắm thiết bị phát sóng wifi</x:v>
      </x:c>
      <x:c r="C104" s="33" t="str">
        <x:v>Lê Trí Khải</x:v>
      </x:c>
      <x:c r="D104" s="33" t="str">
        <x:v>Phòng QLKHCN&amp;HTPT</x:v>
      </x:c>
      <x:c r="E104" s="33" t="str">
        <x:v>Phiếu chuyển số 642/PC-CĐKT</x:v>
      </x:c>
      <x:c r="F104" s="33" t="str"/>
      <x:c r="G104" s="33" t="str">
        <x:v>Thấp</x:v>
      </x:c>
      <x:c r="H104" s="33" t="n">
        <x:v>100</x:v>
      </x:c>
      <x:c r="I104" s="33" t="n">
        <x:f>H104*1%</x:f>
        <x:v>1</x:v>
      </x:c>
      <x:c r="J104" s="33" t="n">
        <x:f>F104*I104</x:f>
        <x:v>0</x:v>
      </x:c>
      <x:c r="K104" s="33" t="n">
        <x:v>1</x:v>
      </x:c>
      <x:c r="L104" s="33" t="n">
        <x:f>I104*K104</x:f>
        <x:v>1</x:v>
      </x:c>
      <x:c r="M104" s="33" t="n">
        <x:v>1</x:v>
      </x:c>
      <x:c r="N104" s="33" t="n">
        <x:f>I104*M104</x:f>
        <x:v>1</x:v>
      </x:c>
      <x:c r="O104" s="33" t="n">
        <x:v>1</x:v>
      </x:c>
      <x:c r="P104" s="33" t="n">
        <x:f>I104*O104</x:f>
        <x:v>1</x:v>
      </x:c>
    </x:row>
    <x:row r="105">
      <x:c r="A105" s="33" t="str">
        <x:v>3.7</x:v>
      </x:c>
      <x:c r="B105" s="32" t="str">
        <x:v>Quyết định công nhận kết quả và cấp Giấy chứng nhận cho học viên lớp Bồi dưỡng kỹ năng "Ứng dụng trí tuệ nhân tạo trong công tác hành chính 1 - Năm 2026"</x:v>
      </x:c>
      <x:c r="C105" s="33" t="str">
        <x:v>Lê Trí Khải</x:v>
      </x:c>
      <x:c r="D105" s="33" t="str">
        <x:v>Phòng QLKHCN&amp;HTPT</x:v>
      </x:c>
      <x:c r="E105" s="33" t="str">
        <x:v>Quyết định số 1589/QĐ-CĐKT ngày 10/7/2026</x:v>
      </x:c>
      <x:c r="F105" s="33" t="n">
        <x:v>1</x:v>
      </x:c>
      <x:c r="G105" s="33" t="str">
        <x:v>Thấp</x:v>
      </x:c>
      <x:c r="H105" s="33" t="n">
        <x:v>100</x:v>
      </x:c>
      <x:c r="I105" s="33" t="n">
        <x:f>H105*1%</x:f>
        <x:v>1</x:v>
      </x:c>
      <x:c r="J105" s="33" t="n">
        <x:f>F105*I105</x:f>
        <x:v>1</x:v>
      </x:c>
      <x:c r="K105" s="33" t="n">
        <x:v>1</x:v>
      </x:c>
      <x:c r="L105" s="33" t="n">
        <x:f>I105*K105</x:f>
        <x:v>1</x:v>
      </x:c>
      <x:c r="M105" s="33" t="n">
        <x:v>1</x:v>
      </x:c>
      <x:c r="N105" s="33" t="n">
        <x:f>I105*M105</x:f>
        <x:v>1</x:v>
      </x:c>
      <x:c r="O105" s="33" t="n">
        <x:v>1</x:v>
      </x:c>
      <x:c r="P105" s="33" t="n">
        <x:f>I105*O105</x:f>
        <x:v>1</x:v>
      </x:c>
    </x:row>
    <x:row r="106">
      <x:c r="A106" s="33" t="str">
        <x:v>3.8</x:v>
      </x:c>
      <x:c r="B106" s="32" t="str">
        <x:v>Quyết định công nhận kết quả và cấp Giấy chứng nhận cho học viên lớp Bồi dưỡng kỹ năng "Ứng dụng trí tuệ nhân tạo trong công tác hành chính 2 - Năm 2026"</x:v>
      </x:c>
      <x:c r="C106" s="33" t="str">
        <x:v>Lê Trí Khải</x:v>
      </x:c>
      <x:c r="D106" s="33" t="str">
        <x:v>Phòng QLKHCN&amp;HTPT</x:v>
      </x:c>
      <x:c r="E106" s="33" t="str">
        <x:v>Quyết định số 1590/QĐ-CĐKT ngày 10/7/2026</x:v>
      </x:c>
      <x:c r="F106" s="33" t="n">
        <x:v>1</x:v>
      </x:c>
      <x:c r="G106" s="33" t="str">
        <x:v>Thấp</x:v>
      </x:c>
      <x:c r="H106" s="33" t="n">
        <x:v>100</x:v>
      </x:c>
      <x:c r="I106" s="33" t="n">
        <x:f>H106*1%</x:f>
        <x:v>1</x:v>
      </x:c>
      <x:c r="J106" s="33" t="n">
        <x:f>F106*I106</x:f>
        <x:v>1</x:v>
      </x:c>
      <x:c r="K106" s="33" t="n">
        <x:v>1</x:v>
      </x:c>
      <x:c r="L106" s="33" t="n">
        <x:f>I106*K106</x:f>
        <x:v>1</x:v>
      </x:c>
      <x:c r="M106" s="33" t="n">
        <x:v>1</x:v>
      </x:c>
      <x:c r="N106" s="33" t="n">
        <x:f>I106*M106</x:f>
        <x:v>1</x:v>
      </x:c>
      <x:c r="O106" s="33" t="n">
        <x:v>1</x:v>
      </x:c>
      <x:c r="P106" s="33" t="n">
        <x:f>I106*O106</x:f>
        <x:v>1</x:v>
      </x:c>
    </x:row>
    <x:row r="107">
      <x:c r="A107" s="33" t="str">
        <x:v>3.9</x:v>
      </x:c>
      <x:c r="B107" s="32" t="str">
        <x:v>Công văn triển khai bồi dưỡng, tập huấn về chuyển đổi số trên địa bàn tỉnh Quảng Ngãi</x:v>
      </x:c>
      <x:c r="C107" s="33" t="str">
        <x:v>PHT Huỳnh Văn Chung</x:v>
      </x:c>
      <x:c r="D107" s="33" t="str">
        <x:v>Phòng QLKHCN&amp;HTPT</x:v>
      </x:c>
      <x:c r="E107" s="33" t="str">
        <x:v>Công văn số 508/CĐKT-QLKHCN ngày 15/7/2026</x:v>
      </x:c>
      <x:c r="F107" s="33" t="n">
        <x:v>1</x:v>
      </x:c>
      <x:c r="G107" s="33" t="str">
        <x:v>Thấp</x:v>
      </x:c>
      <x:c r="H107" s="33" t="n">
        <x:v>100</x:v>
      </x:c>
      <x:c r="I107" s="33" t="n">
        <x:f>H107*1%</x:f>
        <x:v>1</x:v>
      </x:c>
      <x:c r="J107" s="33" t="n">
        <x:f>F107*I107</x:f>
        <x:v>1</x:v>
      </x:c>
      <x:c r="K107" s="33" t="n">
        <x:v>1</x:v>
      </x:c>
      <x:c r="L107" s="33" t="n">
        <x:f>I107*K107</x:f>
        <x:v>1</x:v>
      </x:c>
      <x:c r="M107" s="33" t="n">
        <x:v>1</x:v>
      </x:c>
      <x:c r="N107" s="33" t="n">
        <x:f>I107*M107</x:f>
        <x:v>1</x:v>
      </x:c>
      <x:c r="O107" s="33" t="n">
        <x:v>1</x:v>
      </x:c>
      <x:c r="P107" s="33" t="n">
        <x:f>I107*O107</x:f>
        <x:v>1</x:v>
      </x:c>
    </x:row>
    <x:row r="108">
      <x:c r="A108" s="33" t="str">
        <x:v>3.10</x:v>
      </x:c>
      <x:c r="B108" s="32" t="str">
        <x:v>Tổ chức thi học kỳ II năm học 2025-2026 cho một số học phần, môn học, mô đun của các lớp bằng hình thức thi trắc nghiệm online khách quan trên phần mềm Unisoft Thiên An</x:v>
      </x:c>
      <x:c r="C108" s="33" t="str">
        <x:v>PHT Dương Văn Anh Dũng</x:v>
      </x:c>
      <x:c r="D108" s="33" t="str">
        <x:v>Phòng QLĐT&amp;BĐCL</x:v>
      </x:c>
      <x:c r="E108" s="33" t="str">
        <x:v>Bảng thống kê</x:v>
      </x:c>
      <x:c r="F108" s="33" t="n">
        <x:v>1</x:v>
      </x:c>
      <x:c r="G108" s="33" t="str">
        <x:v>Trung bình</x:v>
      </x:c>
      <x:c r="H108" s="33" t="n">
        <x:v>120</x:v>
      </x:c>
      <x:c r="I108" s="33" t="n">
        <x:f>H108*1%</x:f>
        <x:v>1.2</x:v>
      </x:c>
      <x:c r="J108" s="33" t="n">
        <x:f>F108*I108</x:f>
        <x:v>1.2</x:v>
      </x:c>
      <x:c r="K108" s="33" t="n">
        <x:v>1</x:v>
      </x:c>
      <x:c r="L108" s="33" t="n">
        <x:f>I108*K108</x:f>
        <x:v>1.2</x:v>
      </x:c>
      <x:c r="M108" s="33" t="n">
        <x:v>1</x:v>
      </x:c>
      <x:c r="N108" s="33" t="n">
        <x:f>I108*M108</x:f>
        <x:v>1.2</x:v>
      </x:c>
      <x:c r="O108" s="33" t="n">
        <x:v>1</x:v>
      </x:c>
      <x:c r="P108" s="33" t="n">
        <x:f>I108*O108</x:f>
        <x:v>1.2</x:v>
      </x:c>
    </x:row>
    <x:row r="109">
      <x:c r="A109" s="28" t="str">
        <x:v>4. Trục (4) - Xây dựng Đảng và hệ thống chính trị trong sạch, vững mạnh; phòng, chống tham nhũng, lãng phí, tiêu cực</x:v>
      </x:c>
      <x:c r="B109" s="28" t="str">
        <x:v>4. Trục (4) - Xây dựng Đảng và hệ thống chính trị trong sạch, vững mạnh; phòng, chống tham nhũng, lãng phí, tiêu cực</x:v>
      </x:c>
      <x:c r="C109" s="28" t="str">
        <x:v>4. Trục (4) - Xây dựng Đảng và hệ thống chính trị trong sạch, vững mạnh; phòng, chống tham nhũng, lãng phí, tiêu cực</x:v>
      </x:c>
      <x:c r="D109" s="28" t="str">
        <x:v>4. Trục (4) - Xây dựng Đảng và hệ thống chính trị trong sạch, vững mạnh; phòng, chống tham nhũng, lãng phí, tiêu cực</x:v>
      </x:c>
      <x:c r="E109" s="28" t="str">
        <x:v>4. Trục (4) - Xây dựng Đảng và hệ thống chính trị trong sạch, vững mạnh; phòng, chống tham nhũng, lãng phí, tiêu cực</x:v>
      </x:c>
      <x:c r="F109" s="28" t="n">
        <x:f>SUM(F110:F118)</x:f>
        <x:v>14</x:v>
      </x:c>
      <x:c r="G109" s="28" t="str">
        <x:v>4. Trục (4) - Xây dựng Đảng và hệ thống chính trị trong sạch, vững mạnh; phòng, chống tham nhũng, lãng phí, tiêu cực</x:v>
      </x:c>
      <x:c r="H109" s="28" t="n">
        <x:v>940</x:v>
      </x:c>
      <x:c r="I109" s="28"/>
      <x:c r="J109" s="28" t="n">
        <x:f>SUM(J110:J118)</x:f>
        <x:v>14.399999999999999</x:v>
      </x:c>
      <x:c r="K109" s="28"/>
      <x:c r="L109" s="28" t="n">
        <x:f>SUM(L110:L118)</x:f>
        <x:v>16.4</x:v>
      </x:c>
      <x:c r="M109" s="28"/>
      <x:c r="N109" s="28" t="n">
        <x:f>SUM(N110:N118)</x:f>
        <x:v>9.399999999999999</x:v>
      </x:c>
      <x:c r="O109" s="28"/>
      <x:c r="P109" s="28" t="n">
        <x:f>SUM(P110:P118)</x:f>
        <x:v>9.399999999999999</x:v>
      </x:c>
    </x:row>
    <x:row r="110">
      <x:c r="A110" s="33" t="str">
        <x:v>4.1</x:v>
      </x:c>
      <x:c r="B110" s="32" t="str">
        <x:v>Dự trù kinh phí mở lớp Bồi dưỡng Lý luận chính trị dành cho đảng viên mới (lớp thứ nhất năm 2026)</x:v>
      </x:c>
      <x:c r="C110" s="33" t="str">
        <x:v>Lê Trí Khải</x:v>
      </x:c>
      <x:c r="D110" s="33" t="str">
        <x:v>Phòng QLKHCN&amp;HTPT</x:v>
      </x:c>
      <x:c r="E110" s="33" t="str">
        <x:v>Dự trù kinh phí</x:v>
      </x:c>
      <x:c r="F110" s="33" t="n">
        <x:v>1</x:v>
      </x:c>
      <x:c r="G110" s="33" t="str">
        <x:v>Thấp</x:v>
      </x:c>
      <x:c r="H110" s="33" t="n">
        <x:v>100</x:v>
      </x:c>
      <x:c r="I110" s="33" t="n">
        <x:f>H110*1%</x:f>
        <x:v>1</x:v>
      </x:c>
      <x:c r="J110" s="33" t="n">
        <x:f>F110*I110</x:f>
        <x:v>1</x:v>
      </x:c>
      <x:c r="K110" s="33" t="n">
        <x:v>1</x:v>
      </x:c>
      <x:c r="L110" s="33" t="n">
        <x:f>I110*K110</x:f>
        <x:v>1</x:v>
      </x:c>
      <x:c r="M110" s="33" t="n">
        <x:v>1</x:v>
      </x:c>
      <x:c r="N110" s="33" t="n">
        <x:f>I110*M110</x:f>
        <x:v>1</x:v>
      </x:c>
      <x:c r="O110" s="33" t="n">
        <x:v>1</x:v>
      </x:c>
      <x:c r="P110" s="33" t="n">
        <x:f>I110*O110</x:f>
        <x:v>1</x:v>
      </x:c>
    </x:row>
    <x:row r="111">
      <x:c r="A111" s="33" t="str">
        <x:v>4.2</x:v>
      </x:c>
      <x:c r="B111" s="32" t="str">
        <x:v>Công văn về việc nộp kinh phí lớp bồi dưỡng lý luận chính trị dành cho đảng viên mới (Lớp thứ nhất năm 2026)</x:v>
      </x:c>
      <x:c r="C111" s="33" t="str">
        <x:v>Nguyễn Trung Hiếu</x:v>
      </x:c>
      <x:c r="D111" s="33" t="str">
        <x:v>Phòng QLKHCN&amp;HTPT</x:v>
      </x:c>
      <x:c r="E111" s="33" t="str">
        <x:v>Công văn số 20, 21,22,23,24, 73,74,75-CV/ĐU ngày 19/6/2026</x:v>
      </x:c>
      <x:c r="F111" s="33" t="n">
        <x:v>8</x:v>
      </x:c>
      <x:c r="G111" s="33" t="str">
        <x:v>Thấp</x:v>
      </x:c>
      <x:c r="H111" s="33" t="n">
        <x:v>100</x:v>
      </x:c>
      <x:c r="I111" s="33" t="n">
        <x:f>H111*1%</x:f>
        <x:v>1</x:v>
      </x:c>
      <x:c r="J111" s="33" t="n">
        <x:f>F111*I111</x:f>
        <x:v>8</x:v>
      </x:c>
      <x:c r="K111" s="33" t="n">
        <x:v>8</x:v>
      </x:c>
      <x:c r="L111" s="33" t="n">
        <x:f>I111*K111</x:f>
        <x:v>8</x:v>
      </x:c>
      <x:c r="M111" s="33" t="n">
        <x:v>1</x:v>
      </x:c>
      <x:c r="N111" s="33" t="n">
        <x:f>I111*M111</x:f>
        <x:v>1</x:v>
      </x:c>
      <x:c r="O111" s="33" t="n">
        <x:v>1</x:v>
      </x:c>
      <x:c r="P111" s="33" t="n">
        <x:f>I111*O111</x:f>
        <x:v>1</x:v>
      </x:c>
    </x:row>
    <x:row r="112">
      <x:c r="A112" s="33" t="str">
        <x:v>4.3</x:v>
      </x:c>
      <x:c r="B112" s="32" t="str">
        <x:v>Công văn tham gia ý kiến về Bộ chỉ số theo dõi, giám sát việc thực hiện mục tiêu, nhiệm vụ tại Nghị quyết 68/NQ-TW</x:v>
      </x:c>
      <x:c r="C112" s="33" t="str">
        <x:v>Huỳnh Văn Chung</x:v>
      </x:c>
      <x:c r="D112" s="33" t="str">
        <x:v>Phòng QLKHCN&amp;HTPT</x:v>
      </x:c>
      <x:c r="E112" s="33" t="str">
        <x:v>Công văn số 466/CĐKT-QLKHCN ngày 25/6/2026</x:v>
      </x:c>
      <x:c r="F112" s="33" t="n">
        <x:v>1</x:v>
      </x:c>
      <x:c r="G112" s="33" t="str">
        <x:v>Thấp</x:v>
      </x:c>
      <x:c r="H112" s="33" t="n">
        <x:v>100</x:v>
      </x:c>
      <x:c r="I112" s="33" t="n">
        <x:f>H112*1%</x:f>
        <x:v>1</x:v>
      </x:c>
      <x:c r="J112" s="33" t="n">
        <x:f>F112*I112</x:f>
        <x:v>1</x:v>
      </x:c>
      <x:c r="K112" s="33" t="n">
        <x:v>1</x:v>
      </x:c>
      <x:c r="L112" s="33" t="n">
        <x:f>I112*K112</x:f>
        <x:v>1</x:v>
      </x:c>
      <x:c r="M112" s="33" t="n">
        <x:v>1</x:v>
      </x:c>
      <x:c r="N112" s="33" t="n">
        <x:f>I112*M112</x:f>
        <x:v>1</x:v>
      </x:c>
      <x:c r="O112" s="33" t="n">
        <x:v>1</x:v>
      </x:c>
      <x:c r="P112" s="33" t="n">
        <x:f>I112*O112</x:f>
        <x:v>1</x:v>
      </x:c>
    </x:row>
    <x:row r="113">
      <x:c r="A113" s="33" t="str">
        <x:v>4.4</x:v>
      </x:c>
      <x:c r="B113" s="32" t="str">
        <x:v>Họp đánh giá viên chức Quý II năm 2026</x:v>
      </x:c>
      <x:c r="C113" s="33" t="str">
        <x:v>Hiệu trưởng</x:v>
      </x:c>
      <x:c r="D113" s="33" t="str">
        <x:v>Phòng TCCB&amp;CTHSSV</x:v>
      </x:c>
      <x:c r="E113" s="33" t="str">
        <x:v>Cuộc họp</x:v>
      </x:c>
      <x:c r="F113" s="33" t="str"/>
      <x:c r="G113" s="33" t="str">
        <x:v>Thấp</x:v>
      </x:c>
      <x:c r="H113" s="33" t="n">
        <x:v>100</x:v>
      </x:c>
      <x:c r="I113" s="33" t="n">
        <x:f>H113*1%</x:f>
        <x:v>1</x:v>
      </x:c>
      <x:c r="J113" s="33" t="n">
        <x:f>F113*I113</x:f>
        <x:v>0</x:v>
      </x:c>
      <x:c r="K113" s="33" t="n">
        <x:v>1</x:v>
      </x:c>
      <x:c r="L113" s="33" t="n">
        <x:f>I113*K113</x:f>
        <x:v>1</x:v>
      </x:c>
      <x:c r="M113" s="33" t="n">
        <x:v>1</x:v>
      </x:c>
      <x:c r="N113" s="33" t="n">
        <x:f>I113*M113</x:f>
        <x:v>1</x:v>
      </x:c>
      <x:c r="O113" s="33" t="n">
        <x:v>1</x:v>
      </x:c>
      <x:c r="P113" s="33" t="n">
        <x:f>I113*O113</x:f>
        <x:v>1</x:v>
      </x:c>
    </x:row>
    <x:row r="114">
      <x:c r="A114" s="33" t="str">
        <x:v>4.5</x:v>
      </x:c>
      <x:c r="B114" s="32" t="str">
        <x:v>Báo cáo tình hình thực hiện nhiệm vụ tháng 6 và nhiệm vụ công tác trọng tâm tháng 7 năm 2026</x:v>
      </x:c>
      <x:c r="C114" s="33" t="str">
        <x:v>Nguyễn Trung Hiếu</x:v>
      </x:c>
      <x:c r="D114" s="33" t="str">
        <x:v>Phòng QLKHCN&amp;HTPT</x:v>
      </x:c>
      <x:c r="E114" s="33" t="str">
        <x:v>Báo cáo số 87-BC/ĐU ngày 08/7/2026</x:v>
      </x:c>
      <x:c r="F114" s="33" t="n">
        <x:v>1</x:v>
      </x:c>
      <x:c r="G114" s="33" t="str">
        <x:v>Thấp</x:v>
      </x:c>
      <x:c r="H114" s="33" t="n">
        <x:v>100</x:v>
      </x:c>
      <x:c r="I114" s="33" t="n">
        <x:f>H114*1%</x:f>
        <x:v>1</x:v>
      </x:c>
      <x:c r="J114" s="33" t="n">
        <x:f>F114*I114</x:f>
        <x:v>1</x:v>
      </x:c>
      <x:c r="K114" s="33" t="n">
        <x:v>1</x:v>
      </x:c>
      <x:c r="L114" s="33" t="n">
        <x:f>I114*K114</x:f>
        <x:v>1</x:v>
      </x:c>
      <x:c r="M114" s="33" t="n">
        <x:v>1</x:v>
      </x:c>
      <x:c r="N114" s="33" t="n">
        <x:f>I114*M114</x:f>
        <x:v>1</x:v>
      </x:c>
      <x:c r="O114" s="33" t="n">
        <x:v>1</x:v>
      </x:c>
      <x:c r="P114" s="33" t="n">
        <x:f>I114*O114</x:f>
        <x:v>1</x:v>
      </x:c>
    </x:row>
    <x:row r="115">
      <x:c r="A115" s="33" t="str">
        <x:v>4.6</x:v>
      </x:c>
      <x:c r="B115" s="32" t="str">
        <x:v>Chương trình kiểm tra, giám sát năm 2026 của Đảng ủy Trường (bổ sung, điều chỉnh)</x:v>
      </x:c>
      <x:c r="C115" s="33" t="str">
        <x:v>Lê Trí Khải</x:v>
      </x:c>
      <x:c r="D115" s="33" t="str">
        <x:v>Phòng QLKHCN&amp;HTPT</x:v>
      </x:c>
      <x:c r="E115" s="33" t="str">
        <x:v>Chương trình số 09-CTr/ĐU, ngày 08/7/2026</x:v>
      </x:c>
      <x:c r="F115" s="33" t="n">
        <x:v>1</x:v>
      </x:c>
      <x:c r="G115" s="33" t="str">
        <x:v>Trung bình</x:v>
      </x:c>
      <x:c r="H115" s="33" t="n">
        <x:v>120</x:v>
      </x:c>
      <x:c r="I115" s="33" t="n">
        <x:f>H115*1%</x:f>
        <x:v>1.2</x:v>
      </x:c>
      <x:c r="J115" s="33" t="n">
        <x:f>F115*I115</x:f>
        <x:v>1.2</x:v>
      </x:c>
      <x:c r="K115" s="33" t="n">
        <x:v>1</x:v>
      </x:c>
      <x:c r="L115" s="33" t="n">
        <x:f>I115*K115</x:f>
        <x:v>1.2</x:v>
      </x:c>
      <x:c r="M115" s="33" t="n">
        <x:v>1</x:v>
      </x:c>
      <x:c r="N115" s="33" t="n">
        <x:f>I115*M115</x:f>
        <x:v>1.2</x:v>
      </x:c>
      <x:c r="O115" s="33" t="n">
        <x:v>1</x:v>
      </x:c>
      <x:c r="P115" s="33" t="n">
        <x:f>I115*O115</x:f>
        <x:v>1.2</x:v>
      </x:c>
    </x:row>
    <x:row r="116">
      <x:c r="A116" s="33" t="str">
        <x:v>4.7</x:v>
      </x:c>
      <x:c r="B116" s="32" t="str">
        <x:v>Tham dự Hội nghị sơ kết công tác Đảng bộ 6 tháng đầu năm và triển khai nhiệm vụ trọng tâm 6 tháng cuối năm 2026</x:v>
      </x:c>
      <x:c r="C116" s="33" t="str">
        <x:v>Lê Trí Khải</x:v>
      </x:c>
      <x:c r="D116" s="33" t="str">
        <x:v>Phòng QLKHCN&amp;HTPT</x:v>
      </x:c>
      <x:c r="E116" s="33" t="str"/>
      <x:c r="F116" s="33" t="str"/>
      <x:c r="G116" s="33" t="str">
        <x:v>Thấp</x:v>
      </x:c>
      <x:c r="H116" s="33" t="n">
        <x:v>100</x:v>
      </x:c>
      <x:c r="I116" s="33" t="n">
        <x:f>H116*1%</x:f>
        <x:v>1</x:v>
      </x:c>
      <x:c r="J116" s="33" t="n">
        <x:f>F116*I116</x:f>
        <x:v>0</x:v>
      </x:c>
      <x:c r="K116" s="33" t="n">
        <x:v>1</x:v>
      </x:c>
      <x:c r="L116" s="33" t="n">
        <x:f>I116*K116</x:f>
        <x:v>1</x:v>
      </x:c>
      <x:c r="M116" s="33" t="n">
        <x:v>1</x:v>
      </x:c>
      <x:c r="N116" s="33" t="n">
        <x:f>I116*M116</x:f>
        <x:v>1</x:v>
      </x:c>
      <x:c r="O116" s="33" t="n">
        <x:v>1</x:v>
      </x:c>
      <x:c r="P116" s="33" t="n">
        <x:f>I116*O116</x:f>
        <x:v>1</x:v>
      </x:c>
    </x:row>
    <x:row r="117">
      <x:c r="A117" s="33" t="str">
        <x:v>4.8</x:v>
      </x:c>
      <x:c r="B117" s="32" t="str">
        <x:v>Quyết định kiểm tra việc xây dựng, ban hành và tổ chức thực hiện quy chế làm việc của cấp ủy, tổ chức đảng; việc lãnh đạo, chỉ đạo, tổ chức học tập, quán triệt, triển khai thực hiện Nghị quyết Đại hội XIV của Đảng, nghị quyết đại hội đảng bộ các cấp nhiệm kỳ 2025 – 2030</x:v>
      </x:c>
      <x:c r="C117" s="33" t="str">
        <x:v>Lê Trí Khải</x:v>
      </x:c>
      <x:c r="D117" s="33" t="str">
        <x:v>Phòng QLKHCN&amp;HTPT</x:v>
      </x:c>
      <x:c r="E117" s="33" t="str">
        <x:v>Quyết định số 25-QĐ/ĐU, ngày 10/7/2026</x:v>
      </x:c>
      <x:c r="F117" s="33" t="n">
        <x:v>1</x:v>
      </x:c>
      <x:c r="G117" s="33" t="str">
        <x:v>Thấp</x:v>
      </x:c>
      <x:c r="H117" s="33" t="n">
        <x:v>100</x:v>
      </x:c>
      <x:c r="I117" s="33" t="n">
        <x:f>H117*1%</x:f>
        <x:v>1</x:v>
      </x:c>
      <x:c r="J117" s="33" t="n">
        <x:f>F117*I117</x:f>
        <x:v>1</x:v>
      </x:c>
      <x:c r="K117" s="33" t="n">
        <x:v>1</x:v>
      </x:c>
      <x:c r="L117" s="33" t="n">
        <x:f>I117*K117</x:f>
        <x:v>1</x:v>
      </x:c>
      <x:c r="M117" s="33" t="n">
        <x:v>1</x:v>
      </x:c>
      <x:c r="N117" s="33" t="n">
        <x:f>I117*M117</x:f>
        <x:v>1</x:v>
      </x:c>
      <x:c r="O117" s="33" t="n">
        <x:v>1</x:v>
      </x:c>
      <x:c r="P117" s="33" t="n">
        <x:f>I117*O117</x:f>
        <x:v>1</x:v>
      </x:c>
    </x:row>
    <x:row r="118">
      <x:c r="A118" s="33" t="str">
        <x:v>4.9</x:v>
      </x:c>
      <x:c r="B118" s="32" t="str">
        <x:v>Báo cáo công tác PCTNTC định kỳ các tháng trong quý III</x:v>
      </x:c>
      <x:c r="C118" s="33" t="str">
        <x:v>Hiệu trưởng</x:v>
      </x:c>
      <x:c r="D118" s="33" t="str">
        <x:v>Phòng QLĐT&amp;BĐCL</x:v>
      </x:c>
      <x:c r="E118" s="33" t="str">
        <x:v>Báo cáo</x:v>
      </x:c>
      <x:c r="F118" s="33" t="n">
        <x:v>1</x:v>
      </x:c>
      <x:c r="G118" s="33" t="str">
        <x:v>Thấp</x:v>
      </x:c>
      <x:c r="H118" s="33" t="n">
        <x:v>120</x:v>
      </x:c>
      <x:c r="I118" s="33" t="n">
        <x:f>H118*1%</x:f>
        <x:v>1.2</x:v>
      </x:c>
      <x:c r="J118" s="33" t="n">
        <x:f>F118*I118</x:f>
        <x:v>1.2</x:v>
      </x:c>
      <x:c r="K118" s="33" t="n">
        <x:v>1</x:v>
      </x:c>
      <x:c r="L118" s="33" t="n">
        <x:f>I118*K118</x:f>
        <x:v>1.2</x:v>
      </x:c>
      <x:c r="M118" s="33" t="n">
        <x:v>1</x:v>
      </x:c>
      <x:c r="N118" s="33" t="n">
        <x:f>I118*M118</x:f>
        <x:v>1.2</x:v>
      </x:c>
      <x:c r="O118" s="33" t="n">
        <x:v>1</x:v>
      </x:c>
      <x:c r="P118" s="33" t="n">
        <x:f>I118*O118</x:f>
        <x:v>1.2</x:v>
      </x:c>
    </x:row>
    <x:row r="119">
      <x:c r="A119" s="28" t="str">
        <x:v>5. Trục (5) - Phát triển văn hóa, con người, bảo đảm an sinh xã hội, nâng cao đời sống Nhân dân</x:v>
      </x:c>
      <x:c r="B119" s="28" t="str">
        <x:v>5. Trục (5) - Phát triển văn hóa, con người, bảo đảm an sinh xã hội, nâng cao đời sống Nhân dân</x:v>
      </x:c>
      <x:c r="C119" s="28" t="str">
        <x:v>5. Trục (5) - Phát triển văn hóa, con người, bảo đảm an sinh xã hội, nâng cao đời sống Nhân dân</x:v>
      </x:c>
      <x:c r="D119" s="28" t="str">
        <x:v>5. Trục (5) - Phát triển văn hóa, con người, bảo đảm an sinh xã hội, nâng cao đời sống Nhân dân</x:v>
      </x:c>
      <x:c r="E119" s="28" t="str">
        <x:v>5. Trục (5) - Phát triển văn hóa, con người, bảo đảm an sinh xã hội, nâng cao đời sống Nhân dân</x:v>
      </x:c>
      <x:c r="F119" s="28" t="n">
        <x:f>SUM(F120:F122)</x:f>
        <x:v>2</x:v>
      </x:c>
      <x:c r="G119" s="28" t="str">
        <x:v>5. Trục (5) - Phát triển văn hóa, con người, bảo đảm an sinh xã hội, nâng cao đời sống Nhân dân</x:v>
      </x:c>
      <x:c r="H119" s="28" t="n">
        <x:v>300</x:v>
      </x:c>
      <x:c r="I119" s="28"/>
      <x:c r="J119" s="28" t="n">
        <x:f>SUM(J120:J122)</x:f>
        <x:v>2</x:v>
      </x:c>
      <x:c r="K119" s="28"/>
      <x:c r="L119" s="28" t="n">
        <x:f>SUM(L120:L122)</x:f>
        <x:v>3</x:v>
      </x:c>
      <x:c r="M119" s="28"/>
      <x:c r="N119" s="28" t="n">
        <x:f>SUM(N120:N122)</x:f>
        <x:v>3</x:v>
      </x:c>
      <x:c r="O119" s="28"/>
      <x:c r="P119" s="28" t="n">
        <x:f>SUM(P120:P122)</x:f>
        <x:v>3</x:v>
      </x:c>
    </x:row>
    <x:row r="120">
      <x:c r="A120" s="33" t="str">
        <x:v>5.1</x:v>
      </x:c>
      <x:c r="B120" s="32" t="str">
        <x:v>Tham gia tuyên truyền pháp luật về ma tuý</x:v>
      </x:c>
      <x:c r="C120" s="33" t="str"/>
      <x:c r="D120" s="33" t="str">
        <x:v>Phòng TCCB&amp;CTHSSV</x:v>
      </x:c>
      <x:c r="E120" s="33" t="str">
        <x:v>Thông báo số 755/TB-CĐKT ngày 01/7/2026</x:v>
      </x:c>
      <x:c r="F120" s="33" t="n">
        <x:v>1</x:v>
      </x:c>
      <x:c r="G120" s="33" t="str">
        <x:v>Thấp</x:v>
      </x:c>
      <x:c r="H120" s="33" t="n">
        <x:v>100</x:v>
      </x:c>
      <x:c r="I120" s="33" t="n">
        <x:f>H120*1%</x:f>
        <x:v>1</x:v>
      </x:c>
      <x:c r="J120" s="33" t="n">
        <x:f>F120*I120</x:f>
        <x:v>1</x:v>
      </x:c>
      <x:c r="K120" s="33" t="n">
        <x:v>1</x:v>
      </x:c>
      <x:c r="L120" s="33" t="n">
        <x:f>I120*K120</x:f>
        <x:v>1</x:v>
      </x:c>
      <x:c r="M120" s="33" t="n">
        <x:v>1</x:v>
      </x:c>
      <x:c r="N120" s="33" t="n">
        <x:f>I120*M120</x:f>
        <x:v>1</x:v>
      </x:c>
      <x:c r="O120" s="33" t="n">
        <x:v>1</x:v>
      </x:c>
      <x:c r="P120" s="33" t="n">
        <x:f>I120*O120</x:f>
        <x:v>1</x:v>
      </x:c>
    </x:row>
    <x:row r="121">
      <x:c r="A121" s="33" t="str">
        <x:v>5.2</x:v>
      </x:c>
      <x:c r="B121" s="32" t="str">
        <x:v>Tham dự Ngày hội việc làm cho HSSV năm 2026</x:v>
      </x:c>
      <x:c r="C121" s="33" t="str"/>
      <x:c r="D121" s="33" t="str">
        <x:v>Phòng QLKHCN&amp;HTPT</x:v>
      </x:c>
      <x:c r="E121" s="33" t="str">
        <x:v>Ngày hội việc làm</x:v>
      </x:c>
      <x:c r="F121" s="33" t="n">
        <x:v>1</x:v>
      </x:c>
      <x:c r="G121" s="33" t="str">
        <x:v>Thấp</x:v>
      </x:c>
      <x:c r="H121" s="33" t="n">
        <x:v>100</x:v>
      </x:c>
      <x:c r="I121" s="33" t="n">
        <x:f>H121*1%</x:f>
        <x:v>1</x:v>
      </x:c>
      <x:c r="J121" s="33" t="n">
        <x:f>F121*I121</x:f>
        <x:v>1</x:v>
      </x:c>
      <x:c r="K121" s="33" t="n">
        <x:v>1</x:v>
      </x:c>
      <x:c r="L121" s="33" t="n">
        <x:f>I121*K121</x:f>
        <x:v>1</x:v>
      </x:c>
      <x:c r="M121" s="33" t="n">
        <x:v>1</x:v>
      </x:c>
      <x:c r="N121" s="33" t="n">
        <x:f>I121*M121</x:f>
        <x:v>1</x:v>
      </x:c>
      <x:c r="O121" s="33" t="n">
        <x:v>1</x:v>
      </x:c>
      <x:c r="P121" s="33" t="n">
        <x:f>I121*O121</x:f>
        <x:v>1</x:v>
      </x:c>
    </x:row>
    <x:row r="122">
      <x:c r="A122" s="33" t="str">
        <x:v>5.3</x:v>
      </x:c>
      <x:c r="B122" s="32" t="str">
        <x:v>Họp Hội đồng xét hưởng chế độ phụ cấp ưu đãi theo nghề đối với nhà giáo, cán bộ quản lý và nhân sự hỗ trợ giáo dục nhà trường</x:v>
      </x:c>
      <x:c r="C122" s="33" t="str"/>
      <x:c r="D122" s="33" t="str">
        <x:v>Phòng TCCB&amp;CTHSSV</x:v>
      </x:c>
      <x:c r="E122" s="33" t="str">
        <x:v>Hội đồng</x:v>
      </x:c>
      <x:c r="F122" s="33" t="str"/>
      <x:c r="G122" s="33" t="str">
        <x:v>Thấp</x:v>
      </x:c>
      <x:c r="H122" s="33" t="n">
        <x:v>100</x:v>
      </x:c>
      <x:c r="I122" s="33" t="n">
        <x:f>H122*1%</x:f>
        <x:v>1</x:v>
      </x:c>
      <x:c r="J122" s="33" t="n">
        <x:f>F122*I122</x:f>
        <x:v>0</x:v>
      </x:c>
      <x:c r="K122" s="33" t="n">
        <x:v>1</x:v>
      </x:c>
      <x:c r="L122" s="33" t="n">
        <x:f>I122*K122</x:f>
        <x:v>1</x:v>
      </x:c>
      <x:c r="M122" s="33" t="n">
        <x:v>1</x:v>
      </x:c>
      <x:c r="N122" s="33" t="n">
        <x:f>I122*M122</x:f>
        <x:v>1</x:v>
      </x:c>
      <x:c r="O122" s="33" t="n">
        <x:v>1</x:v>
      </x:c>
      <x:c r="P122" s="33" t="n">
        <x:f>I122*O122</x:f>
        <x:v>1</x:v>
      </x:c>
    </x:row>
    <x:row r="123">
      <x:c r="A123" s="28" t="str">
        <x:v>6. Trục (6) - Củng cố quốc phòng, an ninh, giữ vững ổn định chính trị - xã hội, nâng cao hiệu quả đối ngoại và hội nhập quốc tế</x:v>
      </x:c>
      <x:c r="B123" s="28" t="str">
        <x:v>6. Trục (6) - Củng cố quốc phòng, an ninh, giữ vững ổn định chính trị - xã hội, nâng cao hiệu quả đối ngoại và hội nhập quốc tế</x:v>
      </x:c>
      <x:c r="C123" s="28" t="str">
        <x:v>6. Trục (6) - Củng cố quốc phòng, an ninh, giữ vững ổn định chính trị - xã hội, nâng cao hiệu quả đối ngoại và hội nhập quốc tế</x:v>
      </x:c>
      <x:c r="D123" s="28" t="str">
        <x:v>6. Trục (6) - Củng cố quốc phòng, an ninh, giữ vững ổn định chính trị - xã hội, nâng cao hiệu quả đối ngoại và hội nhập quốc tế</x:v>
      </x:c>
      <x:c r="E123" s="28" t="str">
        <x:v>6. Trục (6) - Củng cố quốc phòng, an ninh, giữ vững ổn định chính trị - xã hội, nâng cao hiệu quả đối ngoại và hội nhập quốc tế</x:v>
      </x:c>
      <x:c r="F123" s="28" t="n">
        <x:f>SUM(F124:F129)</x:f>
        <x:v>7</x:v>
      </x:c>
      <x:c r="G123" s="28" t="str">
        <x:v>6. Trục (6) - Củng cố quốc phòng, an ninh, giữ vững ổn định chính trị - xã hội, nâng cao hiệu quả đối ngoại và hội nhập quốc tế</x:v>
      </x:c>
      <x:c r="H123" s="28" t="n">
        <x:v>620</x:v>
      </x:c>
      <x:c r="I123" s="28"/>
      <x:c r="J123" s="28" t="n">
        <x:f>SUM(J124:J129)</x:f>
        <x:v>7.4</x:v>
      </x:c>
      <x:c r="K123" s="28"/>
      <x:c r="L123" s="28" t="n">
        <x:f>SUM(L124:L129)</x:f>
        <x:v>7.4</x:v>
      </x:c>
      <x:c r="M123" s="28"/>
      <x:c r="N123" s="28" t="n">
        <x:f>SUM(N124:N129)</x:f>
        <x:v>7.4</x:v>
      </x:c>
      <x:c r="O123" s="28"/>
      <x:c r="P123" s="28" t="n">
        <x:f>SUM(P124:P129)</x:f>
        <x:v>7.4</x:v>
      </x:c>
    </x:row>
    <x:row r="124">
      <x:c r="A124" s="33" t="str">
        <x:v>6.1</x:v>
      </x:c>
      <x:c r="B124" s="32" t="str">
        <x:v>Công văn đăng ký nhà giáo tham dự Hội thảo trực tuyến “Kỹ năng viết và công bố bài báo quốc tế trong các cơ sở giáo dục đại học, cơ sở giáo dục nghề nghiệp”</x:v>
      </x:c>
      <x:c r="C124" s="33" t="str">
        <x:v>Huỳnh Văn chung</x:v>
      </x:c>
      <x:c r="D124" s="33" t="str">
        <x:v>Phòng QLKHCN&amp;HTPT</x:v>
      </x:c>
      <x:c r="E124" s="33" t="str">
        <x:v>Công văn số 457/CĐKT-QLKHCN ngày 19/6/2026</x:v>
      </x:c>
      <x:c r="F124" s="33" t="n">
        <x:v>1</x:v>
      </x:c>
      <x:c r="G124" s="33" t="str">
        <x:v>Thấp</x:v>
      </x:c>
      <x:c r="H124" s="33" t="n">
        <x:v>100</x:v>
      </x:c>
      <x:c r="I124" s="33" t="n">
        <x:f>H124*1%</x:f>
        <x:v>1</x:v>
      </x:c>
      <x:c r="J124" s="33" t="n">
        <x:f>F124*I124</x:f>
        <x:v>1</x:v>
      </x:c>
      <x:c r="K124" s="33" t="n">
        <x:v>1</x:v>
      </x:c>
      <x:c r="L124" s="33" t="n">
        <x:f>I124*K124</x:f>
        <x:v>1</x:v>
      </x:c>
      <x:c r="M124" s="33" t="n">
        <x:v>1</x:v>
      </x:c>
      <x:c r="N124" s="33" t="n">
        <x:f>I124*M124</x:f>
        <x:v>1</x:v>
      </x:c>
      <x:c r="O124" s="33" t="n">
        <x:v>1</x:v>
      </x:c>
      <x:c r="P124" s="33" t="n">
        <x:f>I124*O124</x:f>
        <x:v>1</x:v>
      </x:c>
    </x:row>
    <x:row r="125">
      <x:c r="A125" s="33" t="str">
        <x:v>6.2</x:v>
      </x:c>
      <x:c r="B125" s="32" t="str">
        <x:v>Kế hoạch tham dự Diễn đàn Kinh tế tư nhân Việt Nam năm 2026</x:v>
      </x:c>
      <x:c r="C125" s="33" t="str">
        <x:v>Lê Trí Khải</x:v>
      </x:c>
      <x:c r="D125" s="33" t="str">
        <x:v>Phòng QLKHCN&amp;HTPT</x:v>
      </x:c>
      <x:c r="E125" s="33" t="str">
        <x:v>Kế hoạch số 633/KH-CĐKT</x:v>
      </x:c>
      <x:c r="F125" s="33" t="n">
        <x:v>1</x:v>
      </x:c>
      <x:c r="G125" s="33" t="str">
        <x:v>Thấp</x:v>
      </x:c>
      <x:c r="H125" s="33" t="n">
        <x:v>100</x:v>
      </x:c>
      <x:c r="I125" s="33" t="n">
        <x:f>H125*1%</x:f>
        <x:v>1</x:v>
      </x:c>
      <x:c r="J125" s="33" t="n">
        <x:f>F125*I125</x:f>
        <x:v>1</x:v>
      </x:c>
      <x:c r="K125" s="33" t="n">
        <x:v>1</x:v>
      </x:c>
      <x:c r="L125" s="33" t="n">
        <x:f>I125*K125</x:f>
        <x:v>1</x:v>
      </x:c>
      <x:c r="M125" s="33" t="n">
        <x:v>1</x:v>
      </x:c>
      <x:c r="N125" s="33" t="n">
        <x:f>I125*M125</x:f>
        <x:v>1</x:v>
      </x:c>
      <x:c r="O125" s="33" t="n">
        <x:v>1</x:v>
      </x:c>
      <x:c r="P125" s="33" t="n">
        <x:f>I125*O125</x:f>
        <x:v>1</x:v>
      </x:c>
    </x:row>
    <x:row r="126">
      <x:c r="A126" s="33" t="str">
        <x:v>6.3</x:v>
      </x:c>
      <x:c r="B126" s="32" t="str">
        <x:v>Báo cáo tham dự Đại hội Hiệp hội Cao đẳng Cộng đồng Việt Nam nhiệm kỳ 2026 -2031, Lễ Kỷ niệm 20 năm thành lập Đại học Trà Vinh và 25 năm triển khai mô hình Cao đẳng Cộng đồng tại Đại học Trà Vinh, tỉnh Vĩnh Long</x:v>
      </x:c>
      <x:c r="C126" s="33" t="str">
        <x:v>Lê Trí Khải</x:v>
      </x:c>
      <x:c r="D126" s="33" t="str">
        <x:v>Phòng QLKHCN&amp;HTPT</x:v>
      </x:c>
      <x:c r="E126" s="33" t="str">
        <x:v>Báo cáo số 315/BC-CĐKT ngày 05/7/2026</x:v>
      </x:c>
      <x:c r="F126" s="33" t="n">
        <x:v>1</x:v>
      </x:c>
      <x:c r="G126" s="33" t="str">
        <x:v>Thấp</x:v>
      </x:c>
      <x:c r="H126" s="33" t="n">
        <x:v>100</x:v>
      </x:c>
      <x:c r="I126" s="33" t="n">
        <x:f>H126*1%</x:f>
        <x:v>1</x:v>
      </x:c>
      <x:c r="J126" s="33" t="n">
        <x:f>F126*I126</x:f>
        <x:v>1</x:v>
      </x:c>
      <x:c r="K126" s="33" t="n">
        <x:v>1</x:v>
      </x:c>
      <x:c r="L126" s="33" t="n">
        <x:f>I126*K126</x:f>
        <x:v>1</x:v>
      </x:c>
      <x:c r="M126" s="33" t="n">
        <x:v>1</x:v>
      </x:c>
      <x:c r="N126" s="33" t="n">
        <x:f>I126*M126</x:f>
        <x:v>1</x:v>
      </x:c>
      <x:c r="O126" s="33" t="n">
        <x:v>1</x:v>
      </x:c>
      <x:c r="P126" s="33" t="n">
        <x:f>I126*O126</x:f>
        <x:v>1</x:v>
      </x:c>
    </x:row>
    <x:row r="127">
      <x:c r="A127" s="33" t="str">
        <x:v>6.4</x:v>
      </x:c>
      <x:c r="B127" s="32" t="str">
        <x:v>Công văn cử nhà giáo tham dự Hội nghị thông tin, tuyên truyền cho đội ngũ trí thức trên địa bàn tỉnh</x:v>
      </x:c>
      <x:c r="C127" s="33" t="str">
        <x:v>Huỳnh Văn Chung</x:v>
      </x:c>
      <x:c r="D127" s="33" t="str">
        <x:v>Phòng QLKHCN&amp;HTPT</x:v>
      </x:c>
      <x:c r="E127" s="33" t="str">
        <x:v>Công văn 492/CĐKT-QLKHCN ngày 08/7/2026</x:v>
      </x:c>
      <x:c r="F127" s="33" t="n">
        <x:v>1</x:v>
      </x:c>
      <x:c r="G127" s="33" t="str">
        <x:v>Thấp</x:v>
      </x:c>
      <x:c r="H127" s="33" t="n">
        <x:v>100</x:v>
      </x:c>
      <x:c r="I127" s="33" t="n">
        <x:f>H127*1%</x:f>
        <x:v>1</x:v>
      </x:c>
      <x:c r="J127" s="33" t="n">
        <x:f>F127*I127</x:f>
        <x:v>1</x:v>
      </x:c>
      <x:c r="K127" s="33" t="n">
        <x:v>1</x:v>
      </x:c>
      <x:c r="L127" s="33" t="n">
        <x:f>I127*K127</x:f>
        <x:v>1</x:v>
      </x:c>
      <x:c r="M127" s="33" t="n">
        <x:v>1</x:v>
      </x:c>
      <x:c r="N127" s="33" t="n">
        <x:f>I127*M127</x:f>
        <x:v>1</x:v>
      </x:c>
      <x:c r="O127" s="33" t="n">
        <x:v>1</x:v>
      </x:c>
      <x:c r="P127" s="33" t="n">
        <x:f>I127*O127</x:f>
        <x:v>1</x:v>
      </x:c>
    </x:row>
    <x:row r="128">
      <x:c r="A128" s="33" t="str">
        <x:v>6.5</x:v>
      </x:c>
      <x:c r="B128" s="32" t="str">
        <x:v>Quyết định phân bổ kinh phí đoàn ra, đoàn vào năm 2026</x:v>
      </x:c>
      <x:c r="C128" s="33" t="str">
        <x:v>Lê trí Khải</x:v>
      </x:c>
      <x:c r="D128" s="33" t="str">
        <x:v>Phòng QLKHCN&amp;HTPT</x:v>
      </x:c>
      <x:c r="E128" s="33" t="str">
        <x:v>Quyết định số 1624/QĐ-CĐKT ngày 14/7/2026</x:v>
      </x:c>
      <x:c r="F128" s="33" t="n">
        <x:v>1</x:v>
      </x:c>
      <x:c r="G128" s="33" t="str">
        <x:v>Thấp</x:v>
      </x:c>
      <x:c r="H128" s="33" t="n">
        <x:v>100</x:v>
      </x:c>
      <x:c r="I128" s="33" t="n">
        <x:f>H128*1%</x:f>
        <x:v>1</x:v>
      </x:c>
      <x:c r="J128" s="33" t="n">
        <x:f>F128*I128</x:f>
        <x:v>1</x:v>
      </x:c>
      <x:c r="K128" s="33" t="n">
        <x:v>1</x:v>
      </x:c>
      <x:c r="L128" s="33" t="n">
        <x:f>I128*K128</x:f>
        <x:v>1</x:v>
      </x:c>
      <x:c r="M128" s="33" t="n">
        <x:v>1</x:v>
      </x:c>
      <x:c r="N128" s="33" t="n">
        <x:f>I128*M128</x:f>
        <x:v>1</x:v>
      </x:c>
      <x:c r="O128" s="33" t="n">
        <x:v>1</x:v>
      </x:c>
      <x:c r="P128" s="33" t="n">
        <x:f>I128*O128</x:f>
        <x:v>1</x:v>
      </x:c>
    </x:row>
    <x:row r="129">
      <x:c r="A129" s="33" t="str">
        <x:v>6.6</x:v>
      </x:c>
      <x:c r="B129" s="32" t="str">
        <x:v>Tổ chức cho HSSV học GDQP và an ninh (đợt 2)</x:v>
      </x:c>
      <x:c r="C129" s="33" t="str">
        <x:v>PHT Dương Văn Anh Dũng</x:v>
      </x:c>
      <x:c r="D129" s="33" t="str">
        <x:v>Phòng QLĐT&amp;BĐCL</x:v>
      </x:c>
      <x:c r="E129" s="33" t="str">
        <x:v>Thông báo</x:v>
      </x:c>
      <x:c r="F129" s="33" t="n">
        <x:v>2</x:v>
      </x:c>
      <x:c r="G129" s="33" t="str">
        <x:v>Thấp</x:v>
      </x:c>
      <x:c r="H129" s="33" t="n">
        <x:v>120</x:v>
      </x:c>
      <x:c r="I129" s="33" t="n">
        <x:f>H129*1%</x:f>
        <x:v>1.2</x:v>
      </x:c>
      <x:c r="J129" s="33" t="n">
        <x:f>F129*I129</x:f>
        <x:v>2.4</x:v>
      </x:c>
      <x:c r="K129" s="33" t="n">
        <x:v>2</x:v>
      </x:c>
      <x:c r="L129" s="33" t="n">
        <x:f>I129*K129</x:f>
        <x:v>2.4</x:v>
      </x:c>
      <x:c r="M129" s="33" t="n">
        <x:v>2</x:v>
      </x:c>
      <x:c r="N129" s="33" t="n">
        <x:f>I129*M129</x:f>
        <x:v>2.4</x:v>
      </x:c>
      <x:c r="O129" s="33" t="n">
        <x:v>2</x:v>
      </x:c>
      <x:c r="P129" s="33" t="n">
        <x:f>I129*O129</x:f>
        <x:v>2.4</x:v>
      </x:c>
    </x:row>
    <x:row r="130">
      <x:c r="A130" s="23" t="str">
        <x:v>II. CÁC NHIỆM VỤ ĐỘT XUẤT, PHÁT SINH KHÁC NGOÀI KẾ HOẠCH (NẾU CÓ)</x:v>
      </x:c>
      <x:c r="B130" s="23" t="str">
        <x:v>II. CÁC NHIỆM VỤ ĐỘT XUẤT, PHÁT SINH KHÁC NGOÀI KẾ HOẠCH (NẾU CÓ)</x:v>
      </x:c>
      <x:c r="C130" s="23" t="str">
        <x:v>II. CÁC NHIỆM VỤ ĐỘT XUẤT, PHÁT SINH KHÁC NGOÀI KẾ HOẠCH (NẾU CÓ)</x:v>
      </x:c>
      <x:c r="D130" s="23" t="str">
        <x:v>II. CÁC NHIỆM VỤ ĐỘT XUẤT, PHÁT SINH KHÁC NGOÀI KẾ HOẠCH (NẾU CÓ)</x:v>
      </x:c>
      <x:c r="E130" s="23" t="str">
        <x:v>II. CÁC NHIỆM VỤ ĐỘT XUẤT, PHÁT SINH KHÁC NGOÀI KẾ HOẠCH (NẾU CÓ)</x:v>
      </x:c>
      <x:c r="F130" s="23" t="str">
        <x:v>II. CÁC NHIỆM VỤ ĐỘT XUẤT, PHÁT SINH KHÁC NGOÀI KẾ HOẠCH (NẾU CÓ)</x:v>
      </x:c>
      <x:c r="G130" s="23" t="str">
        <x:v>II. CÁC NHIỆM VỤ ĐỘT XUẤT, PHÁT SINH KHÁC NGOÀI KẾ HOẠCH (NẾU CÓ)</x:v>
      </x:c>
      <x:c r="H130" s="23" t="str">
        <x:v>II. CÁC NHIỆM VỤ ĐỘT XUẤT, PHÁT SINH KHÁC NGOÀI KẾ HOẠCH (NẾU CÓ)</x:v>
      </x:c>
      <x:c r="I130" s="23" t="str">
        <x:v>II. CÁC NHIỆM VỤ ĐỘT XUẤT, PHÁT SINH KHÁC NGOÀI KẾ HOẠCH (NẾU CÓ)</x:v>
      </x:c>
      <x:c r="J130" s="23" t="str">
        <x:v>II. CÁC NHIỆM VỤ ĐỘT XUẤT, PHÁT SINH KHÁC NGOÀI KẾ HOẠCH (NẾU CÓ)</x:v>
      </x:c>
      <x:c r="K130" s="23" t="str">
        <x:v>II. CÁC NHIỆM VỤ ĐỘT XUẤT, PHÁT SINH KHÁC NGOÀI KẾ HOẠCH (NẾU CÓ)</x:v>
      </x:c>
      <x:c r="L130" s="23" t="str">
        <x:v>II. CÁC NHIỆM VỤ ĐỘT XUẤT, PHÁT SINH KHÁC NGOÀI KẾ HOẠCH (NẾU CÓ)</x:v>
      </x:c>
      <x:c r="M130" s="23" t="str">
        <x:v>II. CÁC NHIỆM VỤ ĐỘT XUẤT, PHÁT SINH KHÁC NGOÀI KẾ HOẠCH (NẾU CÓ)</x:v>
      </x:c>
      <x:c r="N130" s="23" t="str">
        <x:v>II. CÁC NHIỆM VỤ ĐỘT XUẤT, PHÁT SINH KHÁC NGOÀI KẾ HOẠCH (NẾU CÓ)</x:v>
      </x:c>
      <x:c r="O130" s="23" t="str">
        <x:v>II. CÁC NHIỆM VỤ ĐỘT XUẤT, PHÁT SINH KHÁC NGOÀI KẾ HOẠCH (NẾU CÓ)</x:v>
      </x:c>
      <x:c r="P130" s="23" t="str">
        <x:v>II. CÁC NHIỆM VỤ ĐỘT XUẤT, PHÁT SINH KHÁC NGOÀI KẾ HOẠCH (NẾU CÓ)</x:v>
      </x:c>
    </x:row>
    <x:row r="131">
      <x:c r="A131" s="32" t="str">
        <x:v>1</x:v>
      </x:c>
      <x:c r="B131" s="32" t="str">
        <x:v>Kế hoạch triển khai ứng dụng công nghệ thông tin trong đào tạo trực tuyến năm học 2026-2027</x:v>
      </x:c>
      <x:c r="C131" s="33" t="str">
        <x:v>Hiệu trưởng</x:v>
      </x:c>
      <x:c r="D131" s="33" t="str">
        <x:v>Phòng QLĐT&amp;BĐCL</x:v>
      </x:c>
      <x:c r="E131" s="33" t="str">
        <x:v>Kế hoạch</x:v>
      </x:c>
      <x:c r="F131" s="33" t="n">
        <x:v>1</x:v>
      </x:c>
      <x:c r="G131" s="33" t="str">
        <x:v>Trung bình</x:v>
      </x:c>
      <x:c r="H131" s="33" t="n">
        <x:v>120</x:v>
      </x:c>
      <x:c r="I131" s="33" t="n">
        <x:f>H131*1%</x:f>
        <x:v>1.2</x:v>
      </x:c>
      <x:c r="J131" s="33" t="n">
        <x:f>F131*I131</x:f>
        <x:v>1.2</x:v>
      </x:c>
      <x:c r="K131" s="33" t="n">
        <x:v>1</x:v>
      </x:c>
      <x:c r="L131" s="33" t="n">
        <x:f>I131*K131</x:f>
        <x:v>1.2</x:v>
      </x:c>
      <x:c r="M131" s="33" t="n">
        <x:v>1</x:v>
      </x:c>
      <x:c r="N131" s="33" t="n">
        <x:f>I131*M131</x:f>
        <x:v>1.2</x:v>
      </x:c>
      <x:c r="O131" s="33" t="n">
        <x:v>1</x:v>
      </x:c>
      <x:c r="P131" s="33" t="n">
        <x:f>I131*O131</x:f>
        <x:v>1.2</x:v>
      </x:c>
    </x:row>
    <x:row r="132">
      <x:c r="A132" s="39" t="str">
        <x:v>Ghi chú: Dữ liệu chạy thử từ 02 đơn vị; các ô trống được giữ nguyên, không suy diễn. Công thức quy đổi bám Phụ lục IIb TB736.</x:v>
      </x:c>
      <x:c r="B132" s="39" t="str">
        <x:v>Ghi chú: Dữ liệu chạy thử từ 02 đơn vị; các ô trống được giữ nguyên, không suy diễn. Công thức quy đổi bám Phụ lục IIb TB736.</x:v>
      </x:c>
      <x:c r="C132" s="39" t="str">
        <x:v>Ghi chú: Dữ liệu chạy thử từ 02 đơn vị; các ô trống được giữ nguyên, không suy diễn. Công thức quy đổi bám Phụ lục IIb TB736.</x:v>
      </x:c>
      <x:c r="D132" s="39" t="str">
        <x:v>Ghi chú: Dữ liệu chạy thử từ 02 đơn vị; các ô trống được giữ nguyên, không suy diễn. Công thức quy đổi bám Phụ lục IIb TB736.</x:v>
      </x:c>
      <x:c r="E132" s="39" t="str">
        <x:v>Ghi chú: Dữ liệu chạy thử từ 02 đơn vị; các ô trống được giữ nguyên, không suy diễn. Công thức quy đổi bám Phụ lục IIb TB736.</x:v>
      </x:c>
      <x:c r="F132" s="39" t="str">
        <x:v>Ghi chú: Dữ liệu chạy thử từ 02 đơn vị; các ô trống được giữ nguyên, không suy diễn. Công thức quy đổi bám Phụ lục IIb TB736.</x:v>
      </x:c>
      <x:c r="G132" s="39" t="str">
        <x:v>Ghi chú: Dữ liệu chạy thử từ 02 đơn vị; các ô trống được giữ nguyên, không suy diễn. Công thức quy đổi bám Phụ lục IIb TB736.</x:v>
      </x:c>
      <x:c r="H132" s="39" t="str">
        <x:v>Ghi chú: Dữ liệu chạy thử từ 02 đơn vị; các ô trống được giữ nguyên, không suy diễn. Công thức quy đổi bám Phụ lục IIb TB736.</x:v>
      </x:c>
      <x:c r="I132" s="39" t="str">
        <x:v>Ghi chú: Dữ liệu chạy thử từ 02 đơn vị; các ô trống được giữ nguyên, không suy diễn. Công thức quy đổi bám Phụ lục IIb TB736.</x:v>
      </x:c>
      <x:c r="J132" s="39" t="str">
        <x:v>Ghi chú: Dữ liệu chạy thử từ 02 đơn vị; các ô trống được giữ nguyên, không suy diễn. Công thức quy đổi bám Phụ lục IIb TB736.</x:v>
      </x:c>
      <x:c r="K132" s="39" t="str">
        <x:v>Ghi chú: Dữ liệu chạy thử từ 02 đơn vị; các ô trống được giữ nguyên, không suy diễn. Công thức quy đổi bám Phụ lục IIb TB736.</x:v>
      </x:c>
      <x:c r="L132" s="39" t="str">
        <x:v>Ghi chú: Dữ liệu chạy thử từ 02 đơn vị; các ô trống được giữ nguyên, không suy diễn. Công thức quy đổi bám Phụ lục IIb TB736.</x:v>
      </x:c>
      <x:c r="M132" s="39" t="str">
        <x:v>Ghi chú: Dữ liệu chạy thử từ 02 đơn vị; các ô trống được giữ nguyên, không suy diễn. Công thức quy đổi bám Phụ lục IIb TB736.</x:v>
      </x:c>
      <x:c r="N132" s="39" t="str">
        <x:v>Ghi chú: Dữ liệu chạy thử từ 02 đơn vị; các ô trống được giữ nguyên, không suy diễn. Công thức quy đổi bám Phụ lục IIb TB736.</x:v>
      </x:c>
      <x:c r="O132" s="39" t="str">
        <x:v>Ghi chú: Dữ liệu chạy thử từ 02 đơn vị; các ô trống được giữ nguyên, không suy diễn. Công thức quy đổi bám Phụ lục IIb TB736.</x:v>
      </x:c>
      <x:c r="P132" s="39" t="str">
        <x:v>Ghi chú: Dữ liệu chạy thử từ 02 đơn vị; các ô trống được giữ nguyên, không suy diễn. Công thức quy đổi bám Phụ lục IIb TB736.</x:v>
      </x:c>
    </x:row>
  </x:sheetData>
  <x:mergeCells>
    <x:mergeCell ref="A1:F1"/>
    <x:mergeCell ref="A2:F2"/>
    <x:mergeCell ref="G1:P1"/>
    <x:mergeCell ref="G2:P2"/>
    <x:mergeCell ref="A4:P4"/>
    <x:mergeCell ref="A5:P5"/>
    <x:mergeCell ref="A6:P6"/>
    <x:mergeCell ref="A9:P9"/>
    <x:mergeCell ref="A10:G10"/>
    <x:mergeCell ref="A88:G88"/>
    <x:mergeCell ref="A98:G98"/>
    <x:mergeCell ref="A109:G109"/>
    <x:mergeCell ref="A119:G119"/>
    <x:mergeCell ref="A123:G123"/>
    <x:mergeCell ref="A130:P130"/>
    <x:mergeCell ref="A132:P1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58" hidden="0" customWidth="1"/>
    <x:col min="3" max="3" width="19" hidden="0" customWidth="1"/>
    <x:col min="4" max="4" width="23" hidden="0" customWidth="1"/>
    <x:col min="5" max="5" width="29" hidden="0" customWidth="1"/>
    <x:col min="6" max="6" width="10" hidden="0" customWidth="1"/>
    <x:col min="7" max="7" width="18" hidden="0" customWidth="1"/>
    <x:col min="8" max="8" width="16" hidden="0" customWidth="1"/>
    <x:col min="9" max="9" width="10" hidden="0" customWidth="1"/>
    <x:col min="10" max="10" width="10" hidden="0" customWidth="1"/>
    <x:col min="11" max="11" width="34" hidden="0" customWidth="1"/>
  </x:cols>
  <x:sheetData>
    <x:row r="1">
      <x:c r="A1" s="4" t="str">
        <x:v>UBND TỈNH QUẢNG NGÃI</x:v>
      </x:c>
      <x:c r="B1" s="4" t="str">
        <x:v>UBND TỈNH QUẢNG NGÃI</x:v>
      </x:c>
      <x:c r="C1" s="4" t="str">
        <x:v>UBND TỈNH QUẢNG NGÃI</x:v>
      </x:c>
      <x:c r="D1" s="4" t="str">
        <x:v>UBND TỈNH QUẢNG NGÃI</x:v>
      </x:c>
      <x:c r="E1" s="4" t="str">
        <x:v>CỘNG HÒA XÃ HỘI CHỦ NGHĨA VIỆT NAM</x:v>
      </x:c>
      <x:c r="F1" s="4" t="str">
        <x:v>CỘNG HÒA XÃ HỘI CHỦ NGHĨA VIỆT NAM</x:v>
      </x:c>
      <x:c r="G1" s="4" t="str">
        <x:v>CỘNG HÒA XÃ HỘI CHỦ NGHĨA VIỆT NAM</x:v>
      </x:c>
      <x:c r="H1" s="4" t="str">
        <x:v>CỘNG HÒA XÃ HỘI CHỦ NGHĨA VIỆT NAM</x:v>
      </x:c>
      <x:c r="I1" s="4" t="str">
        <x:v>CỘNG HÒA XÃ HỘI CHỦ NGHĨA VIỆT NAM</x:v>
      </x:c>
      <x:c r="J1" s="4" t="str">
        <x:v>CỘNG HÒA XÃ HỘI CHỦ NGHĨA VIỆT NAM</x:v>
      </x:c>
      <x:c r="K1" s="4" t="str">
        <x:v>CỘNG HÒA XÃ HỘI CHỦ NGHĨA VIỆT NAM</x:v>
      </x:c>
    </x:row>
    <x:row r="2">
      <x:c r="A2" s="4" t="str">
        <x:v>TRƯỜNG CAO ĐẲNG KON TUM</x:v>
      </x:c>
      <x:c r="B2" s="4" t="str">
        <x:v>TRƯỜNG CAO ĐẲNG KON TUM</x:v>
      </x:c>
      <x:c r="C2" s="4" t="str">
        <x:v>TRƯỜNG CAO ĐẲNG KON TUM</x:v>
      </x:c>
      <x:c r="D2" s="4" t="str">
        <x:v>TRƯỜNG CAO ĐẲNG KON TUM</x:v>
      </x:c>
      <x:c r="E2" s="4" t="str">
        <x:v>Độc lập - Tự do - Hạnh phúc</x:v>
      </x:c>
      <x:c r="F2" s="4" t="str">
        <x:v>Độc lập - Tự do - Hạnh phúc</x:v>
      </x:c>
      <x:c r="G2" s="4" t="str">
        <x:v>Độc lập - Tự do - Hạnh phúc</x:v>
      </x:c>
      <x:c r="H2" s="4" t="str">
        <x:v>Độc lập - Tự do - Hạnh phúc</x:v>
      </x:c>
      <x:c r="I2" s="4" t="str">
        <x:v>Độc lập - Tự do - Hạnh phúc</x:v>
      </x:c>
      <x:c r="J2" s="4" t="str">
        <x:v>Độc lập - Tự do - Hạnh phúc</x:v>
      </x:c>
      <x:c r="K2" s="4" t="str">
        <x:v>Độc lập - Tự do - Hạnh phúc</x:v>
      </x:c>
    </x:row>
    <x:row r="3">
      <x:c r="A3" s="38"/>
      <x:c r="B3" s="38"/>
      <x:c r="C3" s="38"/>
      <x:c r="D3" s="38"/>
      <x:c r="E3" s="38"/>
      <x:c r="F3" s="38"/>
      <x:c r="G3" s="38"/>
      <x:c r="H3" s="38"/>
      <x:c r="I3" s="38"/>
      <x:c r="J3" s="38"/>
      <x:c r="K3" s="38"/>
    </x:row>
    <x:row r="4">
      <x:c r="A4" s="8" t="str">
        <x:v>Phụ lục Ib</x:v>
      </x:c>
      <x:c r="B4" s="8" t="str">
        <x:v>Phụ lục Ib</x:v>
      </x:c>
      <x:c r="C4" s="8" t="str">
        <x:v>Phụ lục Ib</x:v>
      </x:c>
      <x:c r="D4" s="8" t="str">
        <x:v>Phụ lục Ib</x:v>
      </x:c>
      <x:c r="E4" s="8" t="str">
        <x:v>Phụ lục Ib</x:v>
      </x:c>
      <x:c r="F4" s="8" t="str">
        <x:v>Phụ lục Ib</x:v>
      </x:c>
      <x:c r="G4" s="8" t="str">
        <x:v>Phụ lục Ib</x:v>
      </x:c>
      <x:c r="H4" s="8" t="str">
        <x:v>Phụ lục Ib</x:v>
      </x:c>
      <x:c r="I4" s="8" t="str">
        <x:v>Phụ lục Ib</x:v>
      </x:c>
      <x:c r="J4" s="8" t="str">
        <x:v>Phụ lục Ib</x:v>
      </x:c>
      <x:c r="K4" s="8" t="str">
        <x:v>Phụ lục Ib</x:v>
      </x:c>
    </x:row>
    <x:row r="5">
      <x:c r="A5" s="8" t="str">
        <x:v>KẾ HOẠCH CÔNG TÁC THÁNG 8 NĂM 2026 CỦA TRƯỜNG CAO ĐẲNG KON TUM</x:v>
      </x:c>
      <x:c r="B5" s="8" t="str">
        <x:v>KẾ HOẠCH CÔNG TÁC THÁNG 8 NĂM 2026 CỦA TRƯỜNG CAO ĐẲNG KON TUM</x:v>
      </x:c>
      <x:c r="C5" s="8" t="str">
        <x:v>KẾ HOẠCH CÔNG TÁC THÁNG 8 NĂM 2026 CỦA TRƯỜNG CAO ĐẲNG KON TUM</x:v>
      </x:c>
      <x:c r="D5" s="8" t="str">
        <x:v>KẾ HOẠCH CÔNG TÁC THÁNG 8 NĂM 2026 CỦA TRƯỜNG CAO ĐẲNG KON TUM</x:v>
      </x:c>
      <x:c r="E5" s="8" t="str">
        <x:v>KẾ HOẠCH CÔNG TÁC THÁNG 8 NĂM 2026 CỦA TRƯỜNG CAO ĐẲNG KON TUM</x:v>
      </x:c>
      <x:c r="F5" s="8" t="str">
        <x:v>KẾ HOẠCH CÔNG TÁC THÁNG 8 NĂM 2026 CỦA TRƯỜNG CAO ĐẲNG KON TUM</x:v>
      </x:c>
      <x:c r="G5" s="8" t="str">
        <x:v>KẾ HOẠCH CÔNG TÁC THÁNG 8 NĂM 2026 CỦA TRƯỜNG CAO ĐẲNG KON TUM</x:v>
      </x:c>
      <x:c r="H5" s="8" t="str">
        <x:v>KẾ HOẠCH CÔNG TÁC THÁNG 8 NĂM 2026 CỦA TRƯỜNG CAO ĐẲNG KON TUM</x:v>
      </x:c>
      <x:c r="I5" s="8" t="str">
        <x:v>KẾ HOẠCH CÔNG TÁC THÁNG 8 NĂM 2026 CỦA TRƯỜNG CAO ĐẲNG KON TUM</x:v>
      </x:c>
      <x:c r="J5" s="8" t="str">
        <x:v>KẾ HOẠCH CÔNG TÁC THÁNG 8 NĂM 2026 CỦA TRƯỜNG CAO ĐẲNG KON TUM</x:v>
      </x:c>
      <x:c r="K5" s="8" t="str">
        <x:v>KẾ HOẠCH CÔNG TÁC THÁNG 8 NĂM 2026 CỦA TRƯỜNG CAO ĐẲNG KON TUM</x:v>
      </x:c>
    </x:row>
    <x:row r="6">
      <x:c r="A6" s="12" t="str">
        <x:v>BẢN CHẠY THỬ – TỔNG HỢP DỮ LIỆU 02 ĐƠN VỊ</x:v>
      </x:c>
      <x:c r="B6" s="12" t="str">
        <x:v>BẢN CHẠY THỬ – TỔNG HỢP DỮ LIỆU 02 ĐƠN VỊ</x:v>
      </x:c>
      <x:c r="C6" s="12" t="str">
        <x:v>BẢN CHẠY THỬ – TỔNG HỢP DỮ LIỆU 02 ĐƠN VỊ</x:v>
      </x:c>
      <x:c r="D6" s="12" t="str">
        <x:v>BẢN CHẠY THỬ – TỔNG HỢP DỮ LIỆU 02 ĐƠN VỊ</x:v>
      </x:c>
      <x:c r="E6" s="12" t="str">
        <x:v>BẢN CHẠY THỬ – TỔNG HỢP DỮ LIỆU 02 ĐƠN VỊ</x:v>
      </x:c>
      <x:c r="F6" s="12" t="str">
        <x:v>BẢN CHẠY THỬ – TỔNG HỢP DỮ LIỆU 02 ĐƠN VỊ</x:v>
      </x:c>
      <x:c r="G6" s="12" t="str">
        <x:v>BẢN CHẠY THỬ – TỔNG HỢP DỮ LIỆU 02 ĐƠN VỊ</x:v>
      </x:c>
      <x:c r="H6" s="12" t="str">
        <x:v>BẢN CHẠY THỬ – TỔNG HỢP DỮ LIỆU 02 ĐƠN VỊ</x:v>
      </x:c>
      <x:c r="I6" s="12" t="str">
        <x:v>BẢN CHẠY THỬ – TỔNG HỢP DỮ LIỆU 02 ĐƠN VỊ</x:v>
      </x:c>
      <x:c r="J6" s="12" t="str">
        <x:v>BẢN CHẠY THỬ – TỔNG HỢP DỮ LIỆU 02 ĐƠN VỊ</x:v>
      </x:c>
      <x:c r="K6" s="12" t="str">
        <x:v>BẢN CHẠY THỬ – TỔNG HỢP DỮ LIỆU 02 ĐƠN VỊ</x:v>
      </x:c>
    </x:row>
    <x:row r="7">
      <x:c r="A7" s="38"/>
      <x:c r="B7" s="38"/>
      <x:c r="C7" s="38"/>
      <x:c r="D7" s="38"/>
      <x:c r="E7" s="38"/>
      <x:c r="F7" s="38"/>
      <x:c r="G7" s="38"/>
      <x:c r="H7" s="38"/>
      <x:c r="I7" s="38"/>
      <x:c r="J7" s="38"/>
      <x:c r="K7" s="38"/>
    </x:row>
    <x:row r="8" ht="54" customHeight="1">
      <x:c r="A8" s="18" t="str">
        <x:v>TT</x:v>
      </x:c>
      <x:c r="B8" s="18" t="str">
        <x:v>NỘI DUNG CÔNG VIỆC</x:v>
      </x:c>
      <x:c r="C8" s="18" t="str">
        <x:v>Người trực tiếp chỉ đạo</x:v>
      </x:c>
      <x:c r="D8" s="18" t="str">
        <x:v>Đơn vị chủ trì</x:v>
      </x:c>
      <x:c r="E8" s="18" t="str">
        <x:v>Sản phẩm/Công việc</x:v>
      </x:c>
      <x:c r="F8" s="18" t="str">
        <x:v>Số lượng</x:v>
      </x:c>
      <x:c r="G8" s="18" t="str">
        <x:v>Độ khó, mới, phức tạp; phạm vi tác động</x:v>
      </x:c>
      <x:c r="H8" s="18" t="str">
        <x:v>Thời gian hoàn thành</x:v>
      </x:c>
      <x:c r="I8" s="18" t="str">
        <x:v>Điểm chấm công việc</x:v>
      </x:c>
      <x:c r="J8" s="18" t="str">
        <x:v>Hệ số quy đổi</x:v>
      </x:c>
      <x:c r="K8" s="18" t="str">
        <x:v>Ghi chú</x:v>
      </x:c>
    </x:row>
    <x:row r="9">
      <x:c r="A9" s="23" t="str">
        <x:v>I. CÁC NHIỆM VỤ CÔNG TÁC TRỌNG TÂM THÁNG 8 NĂM 2026</x:v>
      </x:c>
      <x:c r="B9" s="23" t="str">
        <x:v>I. CÁC NHIỆM VỤ CÔNG TÁC TRỌNG TÂM THÁNG 8 NĂM 2026</x:v>
      </x:c>
      <x:c r="C9" s="23" t="str">
        <x:v>I. CÁC NHIỆM VỤ CÔNG TÁC TRỌNG TÂM THÁNG 8 NĂM 2026</x:v>
      </x:c>
      <x:c r="D9" s="23" t="str">
        <x:v>I. CÁC NHIỆM VỤ CÔNG TÁC TRỌNG TÂM THÁNG 8 NĂM 2026</x:v>
      </x:c>
      <x:c r="E9" s="23" t="str">
        <x:v>I. CÁC NHIỆM VỤ CÔNG TÁC TRỌNG TÂM THÁNG 8 NĂM 2026</x:v>
      </x:c>
      <x:c r="F9" s="23" t="str">
        <x:v>I. CÁC NHIỆM VỤ CÔNG TÁC TRỌNG TÂM THÁNG 8 NĂM 2026</x:v>
      </x:c>
      <x:c r="G9" s="23" t="str">
        <x:v>I. CÁC NHIỆM VỤ CÔNG TÁC TRỌNG TÂM THÁNG 8 NĂM 2026</x:v>
      </x:c>
      <x:c r="H9" s="23" t="str">
        <x:v>I. CÁC NHIỆM VỤ CÔNG TÁC TRỌNG TÂM THÁNG 8 NĂM 2026</x:v>
      </x:c>
      <x:c r="I9" s="23" t="str">
        <x:v>I. CÁC NHIỆM VỤ CÔNG TÁC TRỌNG TÂM THÁNG 8 NĂM 2026</x:v>
      </x:c>
      <x:c r="J9" s="23" t="str">
        <x:v>I. CÁC NHIỆM VỤ CÔNG TÁC TRỌNG TÂM THÁNG 8 NĂM 2026</x:v>
      </x:c>
      <x:c r="K9" s="23" t="str">
        <x:v>I. CÁC NHIỆM VỤ CÔNG TÁC TRỌNG TÂM THÁNG 8 NĂM 2026</x:v>
      </x:c>
    </x:row>
    <x:row r="10">
      <x:c r="A10" s="28" t="str">
        <x:v>1. Trục (1) - Thực hiện mục tiêu phát triển kinh tế - xã hội và nhiệm vụ chính trị được giao</x:v>
      </x:c>
      <x:c r="B10" s="28" t="str">
        <x:v>1. Trục (1) - Thực hiện mục tiêu phát triển kinh tế - xã hội và nhiệm vụ chính trị được giao</x:v>
      </x:c>
      <x:c r="C10" s="28" t="str">
        <x:v>1. Trục (1) - Thực hiện mục tiêu phát triển kinh tế - xã hội và nhiệm vụ chính trị được giao</x:v>
      </x:c>
      <x:c r="D10" s="28" t="str">
        <x:v>1. Trục (1) - Thực hiện mục tiêu phát triển kinh tế - xã hội và nhiệm vụ chính trị được giao</x:v>
      </x:c>
      <x:c r="E10" s="28" t="str">
        <x:v>1. Trục (1) - Thực hiện mục tiêu phát triển kinh tế - xã hội và nhiệm vụ chính trị được giao</x:v>
      </x:c>
      <x:c r="F10" s="28" t="str">
        <x:v>1. Trục (1) - Thực hiện mục tiêu phát triển kinh tế - xã hội và nhiệm vụ chính trị được giao</x:v>
      </x:c>
      <x:c r="G10" s="28" t="str">
        <x:v>1. Trục (1) - Thực hiện mục tiêu phát triển kinh tế - xã hội và nhiệm vụ chính trị được giao</x:v>
      </x:c>
      <x:c r="H10" s="28" t="str">
        <x:v>1. Trục (1) - Thực hiện mục tiêu phát triển kinh tế - xã hội và nhiệm vụ chính trị được giao</x:v>
      </x:c>
      <x:c r="I10" s="28" t="str">
        <x:v>1. Trục (1) - Thực hiện mục tiêu phát triển kinh tế - xã hội và nhiệm vụ chính trị được giao</x:v>
      </x:c>
      <x:c r="J10" s="28" t="str">
        <x:v>1. Trục (1) - Thực hiện mục tiêu phát triển kinh tế - xã hội và nhiệm vụ chính trị được giao</x:v>
      </x:c>
      <x:c r="K10" s="28" t="str">
        <x:v>1. Trục (1) - Thực hiện mục tiêu phát triển kinh tế - xã hội và nhiệm vụ chính trị được giao</x:v>
      </x:c>
    </x:row>
    <x:row r="11">
      <x:c r="A11" s="33" t="str">
        <x:v>1.1</x:v>
      </x:c>
      <x:c r="B11" s="32" t="str">
        <x:v>Công bố danh sách trúng tuyển đợt 1 (xét tuyển trên cổng tuyển sinh chung toàn quốc)</x:v>
      </x:c>
      <x:c r="C11" s="33" t="str">
        <x:v>Hiệu trưởng</x:v>
      </x:c>
      <x:c r="D11" s="33" t="str">
        <x:v>Phòng QLĐT&amp;BĐCL</x:v>
      </x:c>
      <x:c r="E11" s="33" t="str">
        <x:v>Thông báo</x:v>
      </x:c>
      <x:c r="F11" s="33" t="n">
        <x:v>1</x:v>
      </x:c>
      <x:c r="G11" s="33" t="str">
        <x:v>Trung bình</x:v>
      </x:c>
      <x:c r="H11" s="33" t="str">
        <x:v>8</x:v>
      </x:c>
      <x:c r="I11" s="33" t="n">
        <x:v>120</x:v>
      </x:c>
      <x:c r="J11" s="33" t="n">
        <x:f>I11*1%</x:f>
        <x:v>1.2</x:v>
      </x:c>
      <x:c r="K11" s="32" t="str"/>
    </x:row>
    <x:row r="12">
      <x:c r="A12" s="33" t="str">
        <x:v>1.2</x:v>
      </x:c>
      <x:c r="B12" s="32" t="str">
        <x:v>Hoàn thiện hồ sơ triển khai hoạt động đào tạo năm học 2025-2026.</x:v>
      </x:c>
      <x:c r="C12" s="33" t="str">
        <x:v>PHT Dương Văn Anh Dũng</x:v>
      </x:c>
      <x:c r="D12" s="33" t="str">
        <x:v>Phòng QLĐT&amp;BĐCL</x:v>
      </x:c>
      <x:c r="E12" s="33" t="str">
        <x:v>Hồ sơ chuyên môn</x:v>
      </x:c>
      <x:c r="F12" s="33" t="n">
        <x:v>1</x:v>
      </x:c>
      <x:c r="G12" s="33" t="str">
        <x:v>Trung bình</x:v>
      </x:c>
      <x:c r="H12" s="33" t="str">
        <x:v>8</x:v>
      </x:c>
      <x:c r="I12" s="33" t="n">
        <x:v>120</x:v>
      </x:c>
      <x:c r="J12" s="33" t="n">
        <x:f>I12*1%</x:f>
        <x:v>1.2</x:v>
      </x:c>
      <x:c r="K12" s="32" t="str"/>
    </x:row>
    <x:row r="13">
      <x:c r="A13" s="33" t="str">
        <x:v>1.3</x:v>
      </x:c>
      <x:c r="B13" s="32" t="str">
        <x:v>Công tác chuẩn bị cho năm học 2026-2027</x:v>
      </x:c>
      <x:c r="C13" s="33" t="str">
        <x:v>PHT Dương Văn Anh Dũng</x:v>
      </x:c>
      <x:c r="D13" s="33" t="str">
        <x:v>Phòng QLĐT&amp;BĐCL</x:v>
      </x:c>
      <x:c r="E13" s="33" t="str">
        <x:v>Kế hoạch; Thông báo</x:v>
      </x:c>
      <x:c r="F13" s="33" t="n">
        <x:v>2</x:v>
      </x:c>
      <x:c r="G13" s="33" t="str">
        <x:v>Trung bình</x:v>
      </x:c>
      <x:c r="H13" s="33" t="str">
        <x:v>8</x:v>
      </x:c>
      <x:c r="I13" s="33" t="n">
        <x:v>120</x:v>
      </x:c>
      <x:c r="J13" s="33" t="n">
        <x:f>I13*1%</x:f>
        <x:v>1.2</x:v>
      </x:c>
      <x:c r="K13" s="32" t="str"/>
    </x:row>
    <x:row r="14">
      <x:c r="A14" s="33" t="str">
        <x:v>1.4</x:v>
      </x:c>
      <x:c r="B14" s="32" t="str">
        <x:v>Xét tốt nghiệp cho học sinh, sinh viên các lớp trình độ cao đẳng khóa học 2023 - 2026 và các lớp trình độ trung cấp khóa học 2024 - 2026</x:v>
      </x:c>
      <x:c r="C14" s="33" t="str">
        <x:v>Hiệu trưởng</x:v>
      </x:c>
      <x:c r="D14" s="33" t="str">
        <x:v>Phòng QLĐT&amp;BĐCL</x:v>
      </x:c>
      <x:c r="E14" s="33" t="str">
        <x:v>Quyết định</x:v>
      </x:c>
      <x:c r="F14" s="33" t="n">
        <x:v>2</x:v>
      </x:c>
      <x:c r="G14" s="33" t="str">
        <x:v>Trung bình</x:v>
      </x:c>
      <x:c r="H14" s="33" t="str">
        <x:v>8</x:v>
      </x:c>
      <x:c r="I14" s="33" t="n">
        <x:v>120</x:v>
      </x:c>
      <x:c r="J14" s="33" t="n">
        <x:f>I14*1%</x:f>
        <x:v>1.2</x:v>
      </x:c>
      <x:c r="K14" s="32" t="str"/>
    </x:row>
    <x:row r="15">
      <x:c r="A15" s="33" t="str">
        <x:v>1.5</x:v>
      </x:c>
      <x:c r="B15" s="32" t="str">
        <x:v>Triển khai hoạt động liên kết đào tạo với doanh nghiệp tổ chức chức thực hành, thực tập tạo cơ sở</x:v>
      </x:c>
      <x:c r="C15" s="33" t="str">
        <x:v>PHT Dương Văn Anh Dũng</x:v>
      </x:c>
      <x:c r="D15" s="33" t="str">
        <x:v>Phòng QLĐT&amp;BĐCL</x:v>
      </x:c>
      <x:c r="E15" s="33" t="str">
        <x:v>Quyết định; Kế hoạch</x:v>
      </x:c>
      <x:c r="F15" s="33" t="n">
        <x:v>2</x:v>
      </x:c>
      <x:c r="G15" s="33" t="str">
        <x:v>Trung bình</x:v>
      </x:c>
      <x:c r="H15" s="33" t="str">
        <x:v>8</x:v>
      </x:c>
      <x:c r="I15" s="33" t="n">
        <x:v>120</x:v>
      </x:c>
      <x:c r="J15" s="33" t="n">
        <x:f>I15*1%</x:f>
        <x:v>1.2</x:v>
      </x:c>
      <x:c r="K15" s="32" t="str"/>
    </x:row>
    <x:row r="16">
      <x:c r="A16" s="33" t="str">
        <x:v>1.6</x:v>
      </x:c>
      <x:c r="B16" s="32" t="str">
        <x:v>Tham mưu Dự thảo Quy định xây dựng ngân hàng đề thi (áp dụng dụng từ năm học 2026-2027)</x:v>
      </x:c>
      <x:c r="C16" s="33" t="str">
        <x:v>Hiệu trưởng</x:v>
      </x:c>
      <x:c r="D16" s="33" t="str">
        <x:v>Phòng QLĐT&amp;BĐCL</x:v>
      </x:c>
      <x:c r="E16" s="33" t="str">
        <x:v>Kế hoạch; Quyết định</x:v>
      </x:c>
      <x:c r="F16" s="33" t="n">
        <x:v>2</x:v>
      </x:c>
      <x:c r="G16" s="33" t="str">
        <x:v>Cao</x:v>
      </x:c>
      <x:c r="H16" s="33" t="str">
        <x:v>8</x:v>
      </x:c>
      <x:c r="I16" s="33" t="n">
        <x:v>120</x:v>
      </x:c>
      <x:c r="J16" s="33" t="n">
        <x:f>I16*1%</x:f>
        <x:v>1.2</x:v>
      </x:c>
      <x:c r="K16" s="32" t="str"/>
    </x:row>
    <x:row r="17">
      <x:c r="A17" s="33" t="str">
        <x:v>1.7</x:v>
      </x:c>
      <x:c r="B17" s="32" t="str">
        <x:v>Tham mưu văn bản thay thế Thông báo số 70/TB-CĐKT ngày 24/01/2025 của Trường Cao đẳng Kon Tum hướng dẫn đăng ký bổ sung hoạt động giáo dục nghề nghiệp</x:v>
      </x:c>
      <x:c r="C17" s="33" t="str">
        <x:v>Hiệu trưởng</x:v>
      </x:c>
      <x:c r="D17" s="33" t="str">
        <x:v>Phòng QLĐT&amp;BĐCL</x:v>
      </x:c>
      <x:c r="E17" s="33" t="str">
        <x:v>Thông báo</x:v>
      </x:c>
      <x:c r="F17" s="33" t="n">
        <x:v>1</x:v>
      </x:c>
      <x:c r="G17" s="33" t="str">
        <x:v>Trung bình</x:v>
      </x:c>
      <x:c r="H17" s="33" t="str">
        <x:v>8</x:v>
      </x:c>
      <x:c r="I17" s="33" t="n">
        <x:v>120</x:v>
      </x:c>
      <x:c r="J17" s="33" t="n">
        <x:f>I17*1%</x:f>
        <x:v>1.2</x:v>
      </x:c>
      <x:c r="K17" s="32" t="str"/>
    </x:row>
    <x:row r="18">
      <x:c r="A18" s="33" t="str">
        <x:v>1.8</x:v>
      </x:c>
      <x:c r="B18" s="32" t="str">
        <x:v>Chủ trì rà soát, tham mưu đăng ký loại bỏ các ngành, nghề đào tạo không còn phù hợp, nguồn tuyển sinh hạn chế</x:v>
      </x:c>
      <x:c r="C18" s="33" t="str">
        <x:v>Hiệu trưởng</x:v>
      </x:c>
      <x:c r="D18" s="33" t="str">
        <x:v>Phòng QLĐT&amp;BĐCL</x:v>
      </x:c>
      <x:c r="E18" s="33" t="str">
        <x:v>Kế hoạch; Công văn</x:v>
      </x:c>
      <x:c r="F18" s="33" t="n">
        <x:v>1</x:v>
      </x:c>
      <x:c r="G18" s="33" t="str">
        <x:v>Trung bình</x:v>
      </x:c>
      <x:c r="H18" s="33" t="str">
        <x:v>8</x:v>
      </x:c>
      <x:c r="I18" s="33" t="n">
        <x:v>120</x:v>
      </x:c>
      <x:c r="J18" s="33" t="n">
        <x:f>I18*1%</x:f>
        <x:v>1.2</x:v>
      </x:c>
      <x:c r="K18" s="32" t="str"/>
    </x:row>
    <x:row r="19">
      <x:c r="A19" s="33" t="str">
        <x:v>1.9</x:v>
      </x:c>
      <x:c r="B19" s="32" t="str">
        <x:v>Tổ chức rà soát, đối chiếu mức độ đáp ứng chuẩn cơ sở giáo dục nghề nghiệp theo Thông tư 38.</x:v>
      </x:c>
      <x:c r="C19" s="33" t="str">
        <x:v>Hiệu trưởng</x:v>
      </x:c>
      <x:c r="D19" s="33" t="str">
        <x:v>Phòng QLĐT&amp;BĐCL</x:v>
      </x:c>
      <x:c r="E19" s="33" t="str">
        <x:v>Kế hoạch</x:v>
      </x:c>
      <x:c r="F19" s="33" t="n">
        <x:v>1</x:v>
      </x:c>
      <x:c r="G19" s="33" t="str">
        <x:v>Trung bình</x:v>
      </x:c>
      <x:c r="H19" s="33" t="str">
        <x:v>8</x:v>
      </x:c>
      <x:c r="I19" s="33" t="n">
        <x:v>120</x:v>
      </x:c>
      <x:c r="J19" s="33" t="n">
        <x:f>I19*1%</x:f>
        <x:v>1.2</x:v>
      </x:c>
      <x:c r="K19" s="32" t="str"/>
    </x:row>
    <x:row r="20">
      <x:c r="A20" s="33" t="str">
        <x:v>1.10</x:v>
      </x:c>
      <x:c r="B20" s="32" t="str">
        <x:v>Tổ chức thi cuối khóa lớp Bồi dưỡng tiếng dân tộc Ba Na (Bahnar) khóa II năm 2026</x:v>
      </x:c>
      <x:c r="C20" s="33" t="str">
        <x:v>Hiệu trưởng</x:v>
      </x:c>
      <x:c r="D20" s="33" t="str">
        <x:v>Phòng QLĐT&amp;BĐCL</x:v>
      </x:c>
      <x:c r="E20" s="33" t="str">
        <x:v>Kế hoạch, Quyết định</x:v>
      </x:c>
      <x:c r="F20" s="33" t="n">
        <x:v>2</x:v>
      </x:c>
      <x:c r="G20" s="33" t="str">
        <x:v>Trung bình</x:v>
      </x:c>
      <x:c r="H20" s="33" t="str">
        <x:v>8</x:v>
      </x:c>
      <x:c r="I20" s="33" t="n">
        <x:v>120</x:v>
      </x:c>
      <x:c r="J20" s="33" t="n">
        <x:f>I20*1%</x:f>
        <x:v>1.2</x:v>
      </x:c>
      <x:c r="K20" s="32" t="str"/>
    </x:row>
    <x:row r="21">
      <x:c r="A21" s="33" t="str">
        <x:v>1.11</x:v>
      </x:c>
      <x:c r="B21" s="32" t="str">
        <x:v>Tổ chức thi kết thúc học phần, môn học, mô đun cải thiện điểm, thi lại, học lại học kỳ II, năm học 2025-2026 các lớp trình độ trung cấp, cao đẳng.</x:v>
      </x:c>
      <x:c r="C21" s="33" t="str">
        <x:v>PHT Dương Văn Anh Dũng</x:v>
      </x:c>
      <x:c r="D21" s="33" t="str">
        <x:v>Phòng QLĐT&amp;BĐCL</x:v>
      </x:c>
      <x:c r="E21" s="33" t="str">
        <x:v>Bảng thống kê</x:v>
      </x:c>
      <x:c r="F21" s="33" t="n">
        <x:v>1</x:v>
      </x:c>
      <x:c r="G21" s="33" t="str">
        <x:v>Trung bình</x:v>
      </x:c>
      <x:c r="H21" s="33" t="str">
        <x:v>8</x:v>
      </x:c>
      <x:c r="I21" s="33" t="n">
        <x:v>120</x:v>
      </x:c>
      <x:c r="J21" s="33" t="n">
        <x:f>I21*1%</x:f>
        <x:v>1.2</x:v>
      </x:c>
      <x:c r="K21" s="32" t="str"/>
    </x:row>
    <x:row r="22">
      <x:c r="A22" s="33" t="str">
        <x:v>1.12</x:v>
      </x:c>
      <x:c r="B22" s="32" t="str">
        <x:v>Đối với UBND các xã, phường, đặc khu Lý Sơn: Tổng hợp nhu cầu hỗ trợ đào tạo và đề xuất nhu cầu dự toán kinh phí hỗ trợ đào tạo về quản trị cho hộ kinh doanh, cá nhân kinh doanh năm 2027 thuộc phạm vi quản lý theo các mẫu biểu kèm theo (theo theo phần II Phụ lục 1 và biểu 1, 4 kèm theo)”.</x:v>
      </x:c>
      <x:c r="C22" s="33" t="str"/>
      <x:c r="D22" s="33" t="str">
        <x:v>Phòng QLKHCN&amp;HTPT</x:v>
      </x:c>
      <x:c r="E22" s="33" t="str"/>
      <x:c r="F22" s="33" t="str"/>
      <x:c r="G22" s="33" t="str"/>
      <x:c r="H22" s="33" t="str">
        <x:v>Trong tháng 8/2026</x:v>
      </x:c>
      <x:c r="I22" s="33" t="str"/>
      <x:c r="J22" s="33" t="str"/>
      <x:c r="K22" s="32" t="str">
        <x:v>Trích báo cáo thuyết minh của đơn vị; cần chuẩn hóa đủ trường TB736.</x:v>
      </x:c>
    </x:row>
    <x:row r="23">
      <x:c r="A23" s="33" t="str">
        <x:v>1.13</x:v>
      </x:c>
      <x:c r="B23" s="32" t="str">
        <x:v>Báo cáo kết quả hợp tác doanh nghiệp năm học 2025-2026.</x:v>
      </x:c>
      <x:c r="C23" s="33" t="str"/>
      <x:c r="D23" s="33" t="str">
        <x:v>Phòng QLKHCN&amp;HTPT</x:v>
      </x:c>
      <x:c r="E23" s="33" t="str"/>
      <x:c r="F23" s="33" t="str"/>
      <x:c r="G23" s="33" t="str"/>
      <x:c r="H23" s="33" t="str">
        <x:v>Trong tháng 8/2026</x:v>
      </x:c>
      <x:c r="I23" s="33" t="str"/>
      <x:c r="J23" s="33" t="str"/>
      <x:c r="K23" s="32" t="str">
        <x:v>Trích báo cáo thuyết minh của đơn vị; cần chuẩn hóa đủ trường TB736.</x:v>
      </x:c>
    </x:row>
    <x:row r="24">
      <x:c r="A24" s="33" t="str">
        <x:v>1.14</x:v>
      </x:c>
      <x:c r="B24" s="32" t="str">
        <x:v>Kế hoạch đón học sinh, sinh viên đi thực hành, thực tập tại cơ sở về lại Trường</x:v>
      </x:c>
      <x:c r="C24" s="33" t="str"/>
      <x:c r="D24" s="33" t="str">
        <x:v>Phòng QLKHCN&amp;HTPT</x:v>
      </x:c>
      <x:c r="E24" s="33" t="str"/>
      <x:c r="F24" s="33" t="str"/>
      <x:c r="G24" s="33" t="str"/>
      <x:c r="H24" s="33" t="str">
        <x:v>Trong tháng 8/2026</x:v>
      </x:c>
      <x:c r="I24" s="33" t="str"/>
      <x:c r="J24" s="33" t="str"/>
      <x:c r="K24" s="32" t="str">
        <x:v>Trích báo cáo thuyết minh của đơn vị; cần chuẩn hóa đủ trường TB736.</x:v>
      </x:c>
    </x:row>
    <x:row r="25">
      <x:c r="A25" s="33" t="str">
        <x:v>1.15</x:v>
      </x:c>
      <x:c r="B25" s="32" t="str">
        <x:v>Nộp hồ sơ minh chứng tự đánh giá chất lượng nhà trường năm 2026.</x:v>
      </x:c>
      <x:c r="C25" s="33" t="str"/>
      <x:c r="D25" s="33" t="str">
        <x:v>Phòng QLKHCN&amp;HTPT</x:v>
      </x:c>
      <x:c r="E25" s="33" t="str"/>
      <x:c r="F25" s="33" t="str"/>
      <x:c r="G25" s="33" t="str"/>
      <x:c r="H25" s="33" t="str">
        <x:v>Trong tháng 8/2026</x:v>
      </x:c>
      <x:c r="I25" s="33" t="str"/>
      <x:c r="J25" s="33" t="str"/>
      <x:c r="K25" s="32" t="str">
        <x:v>Trích báo cáo thuyết minh của đơn vị; cần chuẩn hóa đủ trường TB736.</x:v>
      </x:c>
    </x:row>
    <x:row r="26">
      <x:c r="A26" s="33" t="str">
        <x:v>1.16</x:v>
      </x:c>
      <x:c r="B26" s="32" t="str">
        <x:v>Xây dựng Mục tiêu và kế hoạch thực hiện Mục tiêu chất lượng năm học 2026-2027.</x:v>
      </x:c>
      <x:c r="C26" s="33" t="str"/>
      <x:c r="D26" s="33" t="str">
        <x:v>Phòng QLKHCN&amp;HTPT</x:v>
      </x:c>
      <x:c r="E26" s="33" t="str"/>
      <x:c r="F26" s="33" t="str"/>
      <x:c r="G26" s="33" t="str"/>
      <x:c r="H26" s="33" t="str">
        <x:v>Trong tháng 8/2026</x:v>
      </x:c>
      <x:c r="I26" s="33" t="str"/>
      <x:c r="J26" s="33" t="str"/>
      <x:c r="K26" s="32" t="str">
        <x:v>Trích báo cáo thuyết minh của đơn vị; cần chuẩn hóa đủ trường TB736.</x:v>
      </x:c>
    </x:row>
    <x:row r="27">
      <x:c r="A27" s="33" t="str">
        <x:v>1.17</x:v>
      </x:c>
      <x:c r="B27" s="32" t="str">
        <x:v>Tăng cường quản lý việc sử dụng phần mềm máy tính trong các cơ quan nhà nước trên địa bàn tỉnh.</x:v>
      </x:c>
      <x:c r="C27" s="33" t="str"/>
      <x:c r="D27" s="33" t="str">
        <x:v>Phòng QLKHCN&amp;HTPT</x:v>
      </x:c>
      <x:c r="E27" s="33" t="str"/>
      <x:c r="F27" s="33" t="str"/>
      <x:c r="G27" s="33" t="str"/>
      <x:c r="H27" s="33" t="str">
        <x:v>Trong tháng 8/2026</x:v>
      </x:c>
      <x:c r="I27" s="33" t="str"/>
      <x:c r="J27" s="33" t="str"/>
      <x:c r="K27" s="32" t="str">
        <x:v>Trích báo cáo thuyết minh của đơn vị; cần chuẩn hóa đủ trường TB736.</x:v>
      </x:c>
    </x:row>
    <x:row r="28">
      <x:c r="A28" s="33" t="str">
        <x:v>1.18</x:v>
      </x:c>
      <x:c r="B28" s="32" t="str">
        <x:v>Tham mưu công bố danh sách trúng tuyển đợt 1 (xét tuyển trên cổng tuyển sinh chung toàn quốc).</x:v>
      </x:c>
      <x:c r="C28" s="33" t="str"/>
      <x:c r="D28" s="33" t="str">
        <x:v>Phòng QLĐT&amp;BĐCL</x:v>
      </x:c>
      <x:c r="E28" s="33" t="str"/>
      <x:c r="F28" s="33" t="str"/>
      <x:c r="G28" s="33" t="str"/>
      <x:c r="H28" s="33" t="str">
        <x:v>Trong tháng 8/2026</x:v>
      </x:c>
      <x:c r="I28" s="33" t="str"/>
      <x:c r="J28" s="33" t="str"/>
      <x:c r="K28" s="32" t="str">
        <x:v>Trích báo cáo thuyết minh của đơn vị; cần chuẩn hóa đủ trường TB736.</x:v>
      </x:c>
    </x:row>
    <x:row r="29">
      <x:c r="A29" s="33" t="str">
        <x:v>1.19</x:v>
      </x:c>
      <x:c r="B29" s="32" t="str">
        <x:v>Tham mưu Thông báo tuyển sinh trình độ cao đẳng ngành Giáo dục Mầm non, hình thức đào tạo vừa làm vừa học năm 2026 (Đợt 2).</x:v>
      </x:c>
      <x:c r="C29" s="33" t="str"/>
      <x:c r="D29" s="33" t="str">
        <x:v>Phòng QLĐT&amp;BĐCL</x:v>
      </x:c>
      <x:c r="E29" s="33" t="str"/>
      <x:c r="F29" s="33" t="str"/>
      <x:c r="G29" s="33" t="str"/>
      <x:c r="H29" s="33" t="str">
        <x:v>Trong tháng 8/2026</x:v>
      </x:c>
      <x:c r="I29" s="33" t="str"/>
      <x:c r="J29" s="33" t="str"/>
      <x:c r="K29" s="32" t="str">
        <x:v>Trích báo cáo thuyết minh của đơn vị; cần chuẩn hóa đủ trường TB736.</x:v>
      </x:c>
    </x:row>
    <x:row r="30">
      <x:c r="A30" s="33" t="str">
        <x:v>1.20</x:v>
      </x:c>
      <x:c r="B30" s="32" t="str">
        <x:v>Rà soát, sửa đổi, bổ sung và ban hành văn bản thay thế Quyết định số 938/QĐ-CĐKT ngày 27/5/2025 về chuyển đổi số và công tác ứng dụng công nghệ thông tin trong tổ chức đào tạo trực tuyến của nhà trường.</x:v>
      </x:c>
      <x:c r="C30" s="33" t="str"/>
      <x:c r="D30" s="33" t="str">
        <x:v>Phòng QLĐT&amp;BĐCL</x:v>
      </x:c>
      <x:c r="E30" s="33" t="str"/>
      <x:c r="F30" s="33" t="str"/>
      <x:c r="G30" s="33" t="str"/>
      <x:c r="H30" s="33" t="str">
        <x:v>Trong tháng 8/2026</x:v>
      </x:c>
      <x:c r="I30" s="33" t="str"/>
      <x:c r="J30" s="33" t="str"/>
      <x:c r="K30" s="32" t="str">
        <x:v>Trích báo cáo thuyết minh của đơn vị; cần chuẩn hóa đủ trường TB736.</x:v>
      </x:c>
    </x:row>
    <x:row r="31">
      <x:c r="A31" s="33" t="str">
        <x:v>1.21</x:v>
      </x:c>
      <x:c r="B31" s="32" t="str">
        <x:v>Triển khai công tác chuẩn bị cho năm học 2026-2027.</x:v>
      </x:c>
      <x:c r="C31" s="33" t="str"/>
      <x:c r="D31" s="33" t="str">
        <x:v>Phòng QLĐT&amp;BĐCL</x:v>
      </x:c>
      <x:c r="E31" s="33" t="str"/>
      <x:c r="F31" s="33" t="str"/>
      <x:c r="G31" s="33" t="str"/>
      <x:c r="H31" s="33" t="str">
        <x:v>Trong tháng 8/2026</x:v>
      </x:c>
      <x:c r="I31" s="33" t="str"/>
      <x:c r="J31" s="33" t="str"/>
      <x:c r="K31" s="32" t="str">
        <x:v>Trích báo cáo thuyết minh của đơn vị; cần chuẩn hóa đủ trường TB736.</x:v>
      </x:c>
    </x:row>
    <x:row r="32">
      <x:c r="A32" s="33" t="str">
        <x:v>1.22</x:v>
      </x:c>
      <x:c r="B32" s="32" t="str">
        <x:v>Rà soát, tham mưu đăng ký loại bỏ các ngành, nghề đào tạo không còn phù hợp, nguồn tuyển sinh hạn chế.</x:v>
      </x:c>
      <x:c r="C32" s="33" t="str"/>
      <x:c r="D32" s="33" t="str">
        <x:v>Phòng QLĐT&amp;BĐCL</x:v>
      </x:c>
      <x:c r="E32" s="33" t="str"/>
      <x:c r="F32" s="33" t="str"/>
      <x:c r="G32" s="33" t="str"/>
      <x:c r="H32" s="33" t="str">
        <x:v>Trong tháng 8/2026</x:v>
      </x:c>
      <x:c r="I32" s="33" t="str"/>
      <x:c r="J32" s="33" t="str"/>
      <x:c r="K32" s="32" t="str">
        <x:v>Trích báo cáo thuyết minh của đơn vị; cần chuẩn hóa đủ trường TB736.</x:v>
      </x:c>
    </x:row>
    <x:row r="33">
      <x:c r="A33" s="33" t="str">
        <x:v>1.23</x:v>
      </x:c>
      <x:c r="B33" s="32" t="str">
        <x:v>Tham mưu văn bản hướng dẫn quy trình xây dựng TKB năm học 2026-2027.</x:v>
      </x:c>
      <x:c r="C33" s="33" t="str"/>
      <x:c r="D33" s="33" t="str">
        <x:v>Phòng QLĐT&amp;BĐCL</x:v>
      </x:c>
      <x:c r="E33" s="33" t="str"/>
      <x:c r="F33" s="33" t="str"/>
      <x:c r="G33" s="33" t="str"/>
      <x:c r="H33" s="33" t="str">
        <x:v>Trong tháng 8/2026</x:v>
      </x:c>
      <x:c r="I33" s="33" t="str"/>
      <x:c r="J33" s="33" t="str"/>
      <x:c r="K33" s="32" t="str">
        <x:v>Trích báo cáo thuyết minh của đơn vị; cần chuẩn hóa đủ trường TB736.</x:v>
      </x:c>
    </x:row>
    <x:row r="34">
      <x:c r="A34" s="33" t="str">
        <x:v>1.24</x:v>
      </x:c>
      <x:c r="B34" s="32" t="str">
        <x:v>Tham mưu tổ chức các lớp tập huấn về phương pháp giảng dạy tích hợp trên cơ sở tổng hợp nhu cầu của các đơn vị thuộc Trường.</x:v>
      </x:c>
      <x:c r="C34" s="33" t="str"/>
      <x:c r="D34" s="33" t="str">
        <x:v>Phòng QLĐT&amp;BĐCL</x:v>
      </x:c>
      <x:c r="E34" s="33" t="str"/>
      <x:c r="F34" s="33" t="str"/>
      <x:c r="G34" s="33" t="str"/>
      <x:c r="H34" s="33" t="str">
        <x:v>Trong tháng 8/2026</x:v>
      </x:c>
      <x:c r="I34" s="33" t="str"/>
      <x:c r="J34" s="33" t="str"/>
      <x:c r="K34" s="32" t="str">
        <x:v>Trích báo cáo thuyết minh của đơn vị; cần chuẩn hóa đủ trường TB736.</x:v>
      </x:c>
    </x:row>
    <x:row r="35">
      <x:c r="A35" s="33" t="str">
        <x:v>1.25</x:v>
      </x:c>
      <x:c r="B35" s="32" t="str">
        <x:v>Xây dựng dự thảo Quy định về xây dựng, quản lý và sử dụng ngân hàng đề thi kết thúc học phần, môn học, mô đun.</x:v>
      </x:c>
      <x:c r="C35" s="33" t="str"/>
      <x:c r="D35" s="33" t="str">
        <x:v>Phòng QLĐT&amp;BĐCL</x:v>
      </x:c>
      <x:c r="E35" s="33" t="str"/>
      <x:c r="F35" s="33" t="str"/>
      <x:c r="G35" s="33" t="str"/>
      <x:c r="H35" s="33" t="str">
        <x:v>Trong tháng 8/2026</x:v>
      </x:c>
      <x:c r="I35" s="33" t="str"/>
      <x:c r="J35" s="33" t="str"/>
      <x:c r="K35" s="32" t="str">
        <x:v>Trích báo cáo thuyết minh của đơn vị; cần chuẩn hóa đủ trường TB736.</x:v>
      </x:c>
    </x:row>
    <x:row r="36">
      <x:c r="A36" s="33" t="str">
        <x:v>1.26</x:v>
      </x:c>
      <x:c r="B36" s="32" t="str">
        <x:v>Hoàn thành việc chấm và nhập điểm thi HK II năm học 2025-2026 các lớp K6, K7 (TC, CĐ).</x:v>
      </x:c>
      <x:c r="C36" s="33" t="str"/>
      <x:c r="D36" s="33" t="str">
        <x:v>Phòng QLĐT&amp;BĐCL</x:v>
      </x:c>
      <x:c r="E36" s="33" t="str"/>
      <x:c r="F36" s="33" t="str"/>
      <x:c r="G36" s="33" t="str"/>
      <x:c r="H36" s="33" t="str">
        <x:v>Trong tháng 8/2026</x:v>
      </x:c>
      <x:c r="I36" s="33" t="str"/>
      <x:c r="J36" s="33" t="str"/>
      <x:c r="K36" s="32" t="str">
        <x:v>Trích báo cáo thuyết minh của đơn vị; cần chuẩn hóa đủ trường TB736.</x:v>
      </x:c>
    </x:row>
    <x:row r="37">
      <x:c r="A37" s="33" t="str">
        <x:v>1.27</x:v>
      </x:c>
      <x:c r="B37" s="32" t="str">
        <x:v>Tham mưu Thông báo hướng dẫn triển khai thực hiện công tác đào tạo nghề trình độ sơ cấp và đào tạo dưới 3 tháng.</x:v>
      </x:c>
      <x:c r="C37" s="33" t="str"/>
      <x:c r="D37" s="33" t="str">
        <x:v>Phòng QLĐT&amp;BĐCL</x:v>
      </x:c>
      <x:c r="E37" s="33" t="str"/>
      <x:c r="F37" s="33" t="str"/>
      <x:c r="G37" s="33" t="str"/>
      <x:c r="H37" s="33" t="str">
        <x:v>Trong tháng 8/2026</x:v>
      </x:c>
      <x:c r="I37" s="33" t="str"/>
      <x:c r="J37" s="33" t="str"/>
      <x:c r="K37" s="32" t="str">
        <x:v>Trích báo cáo thuyết minh của đơn vị; cần chuẩn hóa đủ trường TB736.</x:v>
      </x:c>
    </x:row>
    <x:row r="38">
      <x:c r="A38" s="33" t="str">
        <x:v>1.28</x:v>
      </x:c>
      <x:c r="B38" s="32" t="str">
        <x:v>Tham mưu kế hoạch triển khai thực hiện Thông tư số 52/2026/TT-BGDĐT ngày 30/6/2026 của Bộ trưởng Bộ Giáo dục và Đào tạo quy định về liên thông giữa trung học nghề, trung cấp, cao đẳng và đại học.</x:v>
      </x:c>
      <x:c r="C38" s="33" t="str"/>
      <x:c r="D38" s="33" t="str">
        <x:v>Phòng QLĐT&amp;BĐCL</x:v>
      </x:c>
      <x:c r="E38" s="33" t="str"/>
      <x:c r="F38" s="33" t="str"/>
      <x:c r="G38" s="33" t="str"/>
      <x:c r="H38" s="33" t="str">
        <x:v>Trong tháng 8/2026</x:v>
      </x:c>
      <x:c r="I38" s="33" t="str"/>
      <x:c r="J38" s="33" t="str"/>
      <x:c r="K38" s="32" t="str">
        <x:v>Trích báo cáo thuyết minh của đơn vị; cần chuẩn hóa đủ trường TB736.</x:v>
      </x:c>
    </x:row>
    <x:row r="39">
      <x:c r="A39" s="33" t="str">
        <x:v>1.29</x:v>
      </x:c>
      <x:c r="B39" s="32" t="str">
        <x:v>Tham mưu kế hoạch triển khai thực hiện Thông tư số 55/2026/TT-BGDĐT ngày 30/6/2026 của Bộ trưởng Bộ Giáo dục và Đào tạo quy định chuẩn chương trình đào tạo giáo dục nghề nghiệp.</x:v>
      </x:c>
      <x:c r="C39" s="33" t="str"/>
      <x:c r="D39" s="33" t="str">
        <x:v>Phòng QLĐT&amp;BĐCL</x:v>
      </x:c>
      <x:c r="E39" s="33" t="str"/>
      <x:c r="F39" s="33" t="str"/>
      <x:c r="G39" s="33" t="str"/>
      <x:c r="H39" s="33" t="str">
        <x:v>Trong tháng 8/2026</x:v>
      </x:c>
      <x:c r="I39" s="33" t="str"/>
      <x:c r="J39" s="33" t="str"/>
      <x:c r="K39" s="32" t="str">
        <x:v>Trích báo cáo thuyết minh của đơn vị; cần chuẩn hóa đủ trường TB736.</x:v>
      </x:c>
    </x:row>
    <x:row r="40">
      <x:c r="A40" s="33" t="str">
        <x:v>1.30</x:v>
      </x:c>
      <x:c r="B40" s="32" t="str">
        <x:v>Chủ trì, phối hợp với phòng QLKHCN&amp;HTPT và các đơn vị liên quan tham mưu kế hoạch tổ chức Hội thảo khoa học chuyên đề "Giải pháp bảo đảm các điều kiện cho đào tạo trực tuyến, đáp ứng tiêu chuẩn trường cao đẳng chất lượng cao giai đoạn 2026-2030".</x:v>
      </x:c>
      <x:c r="C40" s="33" t="str"/>
      <x:c r="D40" s="33" t="str">
        <x:v>Phòng QLĐT&amp;BĐCL</x:v>
      </x:c>
      <x:c r="E40" s="33" t="str"/>
      <x:c r="F40" s="33" t="str"/>
      <x:c r="G40" s="33" t="str"/>
      <x:c r="H40" s="33" t="str">
        <x:v>Trong tháng 8/2026</x:v>
      </x:c>
      <x:c r="I40" s="33" t="str"/>
      <x:c r="J40" s="33" t="str"/>
      <x:c r="K40" s="32" t="str">
        <x:v>Trích báo cáo thuyết minh của đơn vị; cần chuẩn hóa đủ trường TB736.</x:v>
      </x:c>
    </x:row>
    <x:row r="41">
      <x:c r="A41" s="33" t="str">
        <x:v>1.31</x:v>
      </x:c>
      <x:c r="B41" s="32" t="str">
        <x:v>Xây dựng Bộ tiêu chí đánh giá năng lực thực hành nghề và năng lực sư phạm của người dạy nghề.</x:v>
      </x:c>
      <x:c r="C41" s="33" t="str"/>
      <x:c r="D41" s="33" t="str">
        <x:v>Phòng QLĐT&amp;BĐCL</x:v>
      </x:c>
      <x:c r="E41" s="33" t="str"/>
      <x:c r="F41" s="33" t="str"/>
      <x:c r="G41" s="33" t="str"/>
      <x:c r="H41" s="33" t="str">
        <x:v>Trong tháng 8/2026</x:v>
      </x:c>
      <x:c r="I41" s="33" t="str"/>
      <x:c r="J41" s="33" t="str"/>
      <x:c r="K41" s="32" t="str">
        <x:v>Trích báo cáo thuyết minh của đơn vị; cần chuẩn hóa đủ trường TB736.</x:v>
      </x:c>
    </x:row>
    <x:row r="42">
      <x:c r="A42" s="28" t="str">
        <x:v>2. Trục (2) - Hoàn thiện thể chế, đẩy mạnh phân cấp, phân quyền gắn với kiểm tra, giám sát</x:v>
      </x:c>
      <x:c r="B42" s="28" t="str">
        <x:v>2. Trục (2) - Hoàn thiện thể chế, đẩy mạnh phân cấp, phân quyền gắn với kiểm tra, giám sát</x:v>
      </x:c>
      <x:c r="C42" s="28" t="str">
        <x:v>2. Trục (2) - Hoàn thiện thể chế, đẩy mạnh phân cấp, phân quyền gắn với kiểm tra, giám sát</x:v>
      </x:c>
      <x:c r="D42" s="28" t="str">
        <x:v>2. Trục (2) - Hoàn thiện thể chế, đẩy mạnh phân cấp, phân quyền gắn với kiểm tra, giám sát</x:v>
      </x:c>
      <x:c r="E42" s="28" t="str">
        <x:v>2. Trục (2) - Hoàn thiện thể chế, đẩy mạnh phân cấp, phân quyền gắn với kiểm tra, giám sát</x:v>
      </x:c>
      <x:c r="F42" s="28" t="str">
        <x:v>2. Trục (2) - Hoàn thiện thể chế, đẩy mạnh phân cấp, phân quyền gắn với kiểm tra, giám sát</x:v>
      </x:c>
      <x:c r="G42" s="28" t="str">
        <x:v>2. Trục (2) - Hoàn thiện thể chế, đẩy mạnh phân cấp, phân quyền gắn với kiểm tra, giám sát</x:v>
      </x:c>
      <x:c r="H42" s="28" t="str">
        <x:v>2. Trục (2) - Hoàn thiện thể chế, đẩy mạnh phân cấp, phân quyền gắn với kiểm tra, giám sát</x:v>
      </x:c>
      <x:c r="I42" s="28" t="str">
        <x:v>2. Trục (2) - Hoàn thiện thể chế, đẩy mạnh phân cấp, phân quyền gắn với kiểm tra, giám sát</x:v>
      </x:c>
      <x:c r="J42" s="28" t="str">
        <x:v>2. Trục (2) - Hoàn thiện thể chế, đẩy mạnh phân cấp, phân quyền gắn với kiểm tra, giám sát</x:v>
      </x:c>
      <x:c r="K42" s="28" t="str">
        <x:v>2. Trục (2) - Hoàn thiện thể chế, đẩy mạnh phân cấp, phân quyền gắn với kiểm tra, giám sát</x:v>
      </x:c>
    </x:row>
    <x:row r="43">
      <x:c r="A43" s="33" t="str">
        <x:v>2.1</x:v>
      </x:c>
      <x:c r="B43" s="32" t="str">
        <x:v>Kiểm tra về công tác bảo đảm sĩ số học sinh, sinh viên các lớp học chính quy tại Trường trong năm học đối với các khoa thuộc Trường</x:v>
      </x:c>
      <x:c r="C43" s="33" t="str">
        <x:v>Hiệu trưởng</x:v>
      </x:c>
      <x:c r="D43" s="33" t="str">
        <x:v>Phòng QLĐT&amp;BĐCL</x:v>
      </x:c>
      <x:c r="E43" s="33" t="str">
        <x:v>Quyết định; Kế hoạch; TBKL</x:v>
      </x:c>
      <x:c r="F43" s="33" t="n">
        <x:v>3</x:v>
      </x:c>
      <x:c r="G43" s="33" t="str">
        <x:v>Cao</x:v>
      </x:c>
      <x:c r="H43" s="33" t="str">
        <x:v>8</x:v>
      </x:c>
      <x:c r="I43" s="33" t="n">
        <x:v>150</x:v>
      </x:c>
      <x:c r="J43" s="33" t="n">
        <x:f>I43*1%</x:f>
        <x:v>1.5</x:v>
      </x:c>
      <x:c r="K43" s="32" t="str"/>
    </x:row>
    <x:row r="44">
      <x:c r="A44" s="33" t="str">
        <x:v>2.2</x:v>
      </x:c>
      <x:c r="B44" s="32" t="str">
        <x:v>Tham mưu xây dựng và ban hành kế hoạch kiểm tra năm học 2026-2027</x:v>
      </x:c>
      <x:c r="C44" s="33" t="str">
        <x:v>Hiệu trưởng</x:v>
      </x:c>
      <x:c r="D44" s="33" t="str">
        <x:v>Phòng QLĐT&amp;BĐCL</x:v>
      </x:c>
      <x:c r="E44" s="33" t="str">
        <x:v>Quyết định</x:v>
      </x:c>
      <x:c r="F44" s="33" t="n">
        <x:v>1</x:v>
      </x:c>
      <x:c r="G44" s="33" t="str">
        <x:v>Trung bình</x:v>
      </x:c>
      <x:c r="H44" s="33" t="str">
        <x:v>8</x:v>
      </x:c>
      <x:c r="I44" s="33" t="n">
        <x:v>120</x:v>
      </x:c>
      <x:c r="J44" s="33" t="n">
        <x:f>I44*1%</x:f>
        <x:v>1.2</x:v>
      </x:c>
      <x:c r="K44" s="32" t="str"/>
    </x:row>
    <x:row r="45">
      <x:c r="A45" s="33" t="str">
        <x:v>2.3</x:v>
      </x:c>
      <x:c r="B45" s="32" t="str">
        <x:v>Tham mưu xây dựng và ban hành kế hoạch kiểm tra hoạt động dạy và năm học 2026-2027</x:v>
      </x:c>
      <x:c r="C45" s="33" t="str">
        <x:v>Hiệu trưởng</x:v>
      </x:c>
      <x:c r="D45" s="33" t="str">
        <x:v>Phòng QLĐT&amp;BĐCL</x:v>
      </x:c>
      <x:c r="E45" s="33" t="str">
        <x:v>Quyết định</x:v>
      </x:c>
      <x:c r="F45" s="33" t="n">
        <x:v>1</x:v>
      </x:c>
      <x:c r="G45" s="33" t="str">
        <x:v>Trung bình</x:v>
      </x:c>
      <x:c r="H45" s="33" t="str">
        <x:v>8</x:v>
      </x:c>
      <x:c r="I45" s="33" t="n">
        <x:v>120</x:v>
      </x:c>
      <x:c r="J45" s="33" t="n">
        <x:f>I45*1%</x:f>
        <x:v>1.2</x:v>
      </x:c>
      <x:c r="K45" s="32" t="str"/>
    </x:row>
    <x:row r="46">
      <x:c r="A46" s="33" t="str">
        <x:v>2.4</x:v>
      </x:c>
      <x:c r="B46" s="32" t="str">
        <x:v>Sửa đổi, cập nhật Quy định quản lý và tổ chức sinh hoạt khoa học của các khoa.</x:v>
      </x:c>
      <x:c r="C46" s="33" t="str"/>
      <x:c r="D46" s="33" t="str">
        <x:v>Phòng QLKHCN&amp;HTPT</x:v>
      </x:c>
      <x:c r="E46" s="33" t="str"/>
      <x:c r="F46" s="33" t="str"/>
      <x:c r="G46" s="33" t="str"/>
      <x:c r="H46" s="33" t="str">
        <x:v>Trong tháng 8/2026</x:v>
      </x:c>
      <x:c r="I46" s="33" t="str"/>
      <x:c r="J46" s="33" t="str"/>
      <x:c r="K46" s="32" t="str">
        <x:v>Trích báo cáo thuyết minh của đơn vị; cần chuẩn hóa đủ trường TB736.</x:v>
      </x:c>
    </x:row>
    <x:row r="47">
      <x:c r="A47" s="33" t="str">
        <x:v>2.5</x:v>
      </x:c>
      <x:c r="B47" s="32" t="str">
        <x:v>Tham mưu Quyết định ban hành hệ thống bảng kiểm bảo đảm sĩ số học sinh sinh viên từ đầu đến cuối khoá học.</x:v>
      </x:c>
      <x:c r="C47" s="33" t="str"/>
      <x:c r="D47" s="33" t="str">
        <x:v>Phòng QLKHCN&amp;HTPT</x:v>
      </x:c>
      <x:c r="E47" s="33" t="str"/>
      <x:c r="F47" s="33" t="str"/>
      <x:c r="G47" s="33" t="str"/>
      <x:c r="H47" s="33" t="str">
        <x:v>Trong tháng 8/2026</x:v>
      </x:c>
      <x:c r="I47" s="33" t="str"/>
      <x:c r="J47" s="33" t="str"/>
      <x:c r="K47" s="32" t="str">
        <x:v>Trích báo cáo thuyết minh của đơn vị; cần chuẩn hóa đủ trường TB736.</x:v>
      </x:c>
    </x:row>
    <x:row r="48">
      <x:c r="A48" s="33" t="str">
        <x:v>2.6</x:v>
      </x:c>
      <x:c r="B48" s="32" t="str">
        <x:v>Kiểm tra Sổ tay nhà giáo chủ nhiệm lớp học và hồ sơ dự giờ nhà giáo các bộ môn thuộc khoa các Khoa học cơ bản.</x:v>
      </x:c>
      <x:c r="C48" s="33" t="str"/>
      <x:c r="D48" s="33" t="str">
        <x:v>Phòng QLĐT&amp;BĐCL</x:v>
      </x:c>
      <x:c r="E48" s="33" t="str"/>
      <x:c r="F48" s="33" t="str"/>
      <x:c r="G48" s="33" t="str"/>
      <x:c r="H48" s="33" t="str">
        <x:v>Trong tháng 8/2026</x:v>
      </x:c>
      <x:c r="I48" s="33" t="str"/>
      <x:c r="J48" s="33" t="str"/>
      <x:c r="K48" s="32" t="str">
        <x:v>Trích báo cáo thuyết minh của đơn vị; cần chuẩn hóa đủ trường TB736.</x:v>
      </x:c>
    </x:row>
    <x:row r="49">
      <x:c r="A49" s="28" t="str">
        <x:v>3. Trục (3) - Thúc đẩy phát triển khoa học, công nghệ, đổi mới sáng tạo và chuyển đổi số</x:v>
      </x:c>
      <x:c r="B49" s="28" t="str">
        <x:v>3. Trục (3) - Thúc đẩy phát triển khoa học, công nghệ, đổi mới sáng tạo và chuyển đổi số</x:v>
      </x:c>
      <x:c r="C49" s="28" t="str">
        <x:v>3. Trục (3) - Thúc đẩy phát triển khoa học, công nghệ, đổi mới sáng tạo và chuyển đổi số</x:v>
      </x:c>
      <x:c r="D49" s="28" t="str">
        <x:v>3. Trục (3) - Thúc đẩy phát triển khoa học, công nghệ, đổi mới sáng tạo và chuyển đổi số</x:v>
      </x:c>
      <x:c r="E49" s="28" t="str">
        <x:v>3. Trục (3) - Thúc đẩy phát triển khoa học, công nghệ, đổi mới sáng tạo và chuyển đổi số</x:v>
      </x:c>
      <x:c r="F49" s="28" t="str">
        <x:v>3. Trục (3) - Thúc đẩy phát triển khoa học, công nghệ, đổi mới sáng tạo và chuyển đổi số</x:v>
      </x:c>
      <x:c r="G49" s="28" t="str">
        <x:v>3. Trục (3) - Thúc đẩy phát triển khoa học, công nghệ, đổi mới sáng tạo và chuyển đổi số</x:v>
      </x:c>
      <x:c r="H49" s="28" t="str">
        <x:v>3. Trục (3) - Thúc đẩy phát triển khoa học, công nghệ, đổi mới sáng tạo và chuyển đổi số</x:v>
      </x:c>
      <x:c r="I49" s="28" t="str">
        <x:v>3. Trục (3) - Thúc đẩy phát triển khoa học, công nghệ, đổi mới sáng tạo và chuyển đổi số</x:v>
      </x:c>
      <x:c r="J49" s="28" t="str">
        <x:v>3. Trục (3) - Thúc đẩy phát triển khoa học, công nghệ, đổi mới sáng tạo và chuyển đổi số</x:v>
      </x:c>
      <x:c r="K49" s="28" t="str">
        <x:v>3. Trục (3) - Thúc đẩy phát triển khoa học, công nghệ, đổi mới sáng tạo và chuyển đổi số</x:v>
      </x:c>
    </x:row>
    <x:row r="50">
      <x:c r="A50" s="33" t="str">
        <x:v>3.1</x:v>
      </x:c>
      <x:c r="B50" s="32" t="str">
        <x:v>Tham mưu Kế hoạch triển khai thực hiện Thông tư số 49/2026/TT-BGDĐT ngày 30/6/2026 của Bộ trưởng Bộ Giáo dục và Đào tạo quy định ứng dụng công nghệ trong giáo dục đại học, giáo dục nghề nghiệp, hoàn thành trước ngày 31/7/2026.</x:v>
      </x:c>
      <x:c r="C50" s="33" t="str"/>
      <x:c r="D50" s="33" t="str">
        <x:v>Phòng QLKHCN&amp;HTPT</x:v>
      </x:c>
      <x:c r="E50" s="33" t="str"/>
      <x:c r="F50" s="33" t="str"/>
      <x:c r="G50" s="33" t="str"/>
      <x:c r="H50" s="33" t="str">
        <x:v>Trong tháng 8/2026</x:v>
      </x:c>
      <x:c r="I50" s="33" t="str"/>
      <x:c r="J50" s="33" t="str"/>
      <x:c r="K50" s="32" t="str">
        <x:v>Trích báo cáo thuyết minh của đơn vị; cần chuẩn hóa đủ trường TB736.</x:v>
      </x:c>
    </x:row>
    <x:row r="51">
      <x:c r="A51" s="33" t="str">
        <x:v>3.2</x:v>
      </x:c>
      <x:c r="B51" s="32" t="str">
        <x:v>Tham mưu Thông báo viết bài Hội thảo khoa học chuyên đề "Chuyển đổi số toàn diện, gắn quản trị với nâng cao chất lượng đào tạo”, hoàn thành trước ngày 31/7/2026.</x:v>
      </x:c>
      <x:c r="C51" s="33" t="str"/>
      <x:c r="D51" s="33" t="str">
        <x:v>Phòng QLKHCN&amp;HTPT</x:v>
      </x:c>
      <x:c r="E51" s="33" t="str"/>
      <x:c r="F51" s="33" t="str"/>
      <x:c r="G51" s="33" t="str"/>
      <x:c r="H51" s="33" t="str">
        <x:v>Trong tháng 8/2026</x:v>
      </x:c>
      <x:c r="I51" s="33" t="str"/>
      <x:c r="J51" s="33" t="str"/>
      <x:c r="K51" s="32" t="str">
        <x:v>Trích báo cáo thuyết minh của đơn vị; cần chuẩn hóa đủ trường TB736.</x:v>
      </x:c>
    </x:row>
    <x:row r="52">
      <x:c r="A52" s="33" t="str">
        <x:v>3.3</x:v>
      </x:c>
      <x:c r="B52" s="32" t="str">
        <x:v>Tham mưu Thông báo đăng ký tập huấn tập huấn, bồi dưỡng chuyên sâu về xây dựng học liệu số, bài giảng điện tử theo chuẩn SCORM/xAPI; nâng cao hiệu quả khai thác hệ thống LMS, hoàn thành trước ngày 31/7/2026.</x:v>
      </x:c>
      <x:c r="C52" s="33" t="str"/>
      <x:c r="D52" s="33" t="str">
        <x:v>Phòng QLKHCN&amp;HTPT</x:v>
      </x:c>
      <x:c r="E52" s="33" t="str"/>
      <x:c r="F52" s="33" t="str"/>
      <x:c r="G52" s="33" t="str"/>
      <x:c r="H52" s="33" t="str">
        <x:v>Trong tháng 8/2026</x:v>
      </x:c>
      <x:c r="I52" s="33" t="str"/>
      <x:c r="J52" s="33" t="str"/>
      <x:c r="K52" s="32" t="str">
        <x:v>Trích báo cáo thuyết minh của đơn vị; cần chuẩn hóa đủ trường TB736.</x:v>
      </x:c>
    </x:row>
    <x:row r="53">
      <x:c r="A53" s="33" t="str">
        <x:v>3.4</x:v>
      </x:c>
      <x:c r="B53" s="32" t="str">
        <x:v>Bồi dưỡng, tập huấn cập nhật, nâng cao trình độ về chuyển đổi số, kỹ năng số cho cán bộ, công chức, viên chức và người lao động trong khu vực công trên địa bàn tỉnh Quảng Ngãi năm 2026.</x:v>
      </x:c>
      <x:c r="C53" s="33" t="str"/>
      <x:c r="D53" s="33" t="str">
        <x:v>Phòng QLKHCN&amp;HTPT</x:v>
      </x:c>
      <x:c r="E53" s="33" t="str"/>
      <x:c r="F53" s="33" t="str"/>
      <x:c r="G53" s="33" t="str"/>
      <x:c r="H53" s="33" t="str">
        <x:v>Trong tháng 8/2026</x:v>
      </x:c>
      <x:c r="I53" s="33" t="str"/>
      <x:c r="J53" s="33" t="str"/>
      <x:c r="K53" s="32" t="str">
        <x:v>Trích báo cáo thuyết minh của đơn vị; cần chuẩn hóa đủ trường TB736.</x:v>
      </x:c>
    </x:row>
    <x:row r="54">
      <x:c r="A54" s="28" t="str">
        <x:v>4. Trục (4) - Xây dựng Đảng và hệ thống chính trị trong sạch, vững mạnh; phòng, chống tham nhũng, lãng phí, tiêu cực</x:v>
      </x:c>
      <x:c r="B54" s="28" t="str">
        <x:v>4. Trục (4) - Xây dựng Đảng và hệ thống chính trị trong sạch, vững mạnh; phòng, chống tham nhũng, lãng phí, tiêu cực</x:v>
      </x:c>
      <x:c r="C54" s="28" t="str">
        <x:v>4. Trục (4) - Xây dựng Đảng và hệ thống chính trị trong sạch, vững mạnh; phòng, chống tham nhũng, lãng phí, tiêu cực</x:v>
      </x:c>
      <x:c r="D54" s="28" t="str">
        <x:v>4. Trục (4) - Xây dựng Đảng và hệ thống chính trị trong sạch, vững mạnh; phòng, chống tham nhũng, lãng phí, tiêu cực</x:v>
      </x:c>
      <x:c r="E54" s="28" t="str">
        <x:v>4. Trục (4) - Xây dựng Đảng và hệ thống chính trị trong sạch, vững mạnh; phòng, chống tham nhũng, lãng phí, tiêu cực</x:v>
      </x:c>
      <x:c r="F54" s="28" t="str">
        <x:v>4. Trục (4) - Xây dựng Đảng và hệ thống chính trị trong sạch, vững mạnh; phòng, chống tham nhũng, lãng phí, tiêu cực</x:v>
      </x:c>
      <x:c r="G54" s="28" t="str">
        <x:v>4. Trục (4) - Xây dựng Đảng và hệ thống chính trị trong sạch, vững mạnh; phòng, chống tham nhũng, lãng phí, tiêu cực</x:v>
      </x:c>
      <x:c r="H54" s="28" t="str">
        <x:v>4. Trục (4) - Xây dựng Đảng và hệ thống chính trị trong sạch, vững mạnh; phòng, chống tham nhũng, lãng phí, tiêu cực</x:v>
      </x:c>
      <x:c r="I54" s="28" t="str">
        <x:v>4. Trục (4) - Xây dựng Đảng và hệ thống chính trị trong sạch, vững mạnh; phòng, chống tham nhũng, lãng phí, tiêu cực</x:v>
      </x:c>
      <x:c r="J54" s="28" t="str">
        <x:v>4. Trục (4) - Xây dựng Đảng và hệ thống chính trị trong sạch, vững mạnh; phòng, chống tham nhũng, lãng phí, tiêu cực</x:v>
      </x:c>
      <x:c r="K54" s="28" t="str">
        <x:v>4. Trục (4) - Xây dựng Đảng và hệ thống chính trị trong sạch, vững mạnh; phòng, chống tham nhũng, lãng phí, tiêu cực</x:v>
      </x:c>
    </x:row>
    <x:row r="55">
      <x:c r="A55" s="33" t="str">
        <x:v>4.1</x:v>
      </x:c>
      <x:c r="B55" s="32" t="str">
        <x:v>Báo cáo công tác PCTNTC định kỳ các tháng trong quý III</x:v>
      </x:c>
      <x:c r="C55" s="33" t="str">
        <x:v>Hiệu trưởng</x:v>
      </x:c>
      <x:c r="D55" s="33" t="str">
        <x:v>Phòng QLĐT&amp;BĐCL</x:v>
      </x:c>
      <x:c r="E55" s="33" t="str">
        <x:v>Báo cáo</x:v>
      </x:c>
      <x:c r="F55" s="33" t="n">
        <x:v>3</x:v>
      </x:c>
      <x:c r="G55" s="33" t="str">
        <x:v>Thấp</x:v>
      </x:c>
      <x:c r="H55" s="33" t="str">
        <x:v>8</x:v>
      </x:c>
      <x:c r="I55" s="33" t="n">
        <x:v>100</x:v>
      </x:c>
      <x:c r="J55" s="33" t="n">
        <x:f>I55*1%</x:f>
        <x:v>1</x:v>
      </x:c>
      <x:c r="K55" s="32" t="str"/>
    </x:row>
    <x:row r="56">
      <x:c r="A56" s="33" t="str">
        <x:v>4.2</x:v>
      </x:c>
      <x:c r="B56" s="32" t="str">
        <x:v>Tham mưu Báo cáo tình hình thực hiện nhiệm vụ tháng 7 và nhiệm vụ công tác trọng tâm tháng 8 năm 2026.</x:v>
      </x:c>
      <x:c r="C56" s="33" t="str"/>
      <x:c r="D56" s="33" t="str">
        <x:v>Phòng QLKHCN&amp;HTPT</x:v>
      </x:c>
      <x:c r="E56" s="33" t="str"/>
      <x:c r="F56" s="33" t="str"/>
      <x:c r="G56" s="33" t="str"/>
      <x:c r="H56" s="33" t="str">
        <x:v>Trong tháng 8/2026</x:v>
      </x:c>
      <x:c r="I56" s="33" t="str"/>
      <x:c r="J56" s="33" t="str"/>
      <x:c r="K56" s="32" t="str">
        <x:v>Trích báo cáo thuyết minh của đơn vị; cần chuẩn hóa đủ trường TB736.</x:v>
      </x:c>
    </x:row>
    <x:row r="57">
      <x:c r="A57" s="33" t="str">
        <x:v>4.3</x:v>
      </x:c>
      <x:c r="B57" s="32" t="str">
        <x:v>Toàn thể viên chức Phòng chấp hành chủ trương của Đảng, chính sách pháp luật của Nhà nước; tham gia/báo cáo sinh hoạt chuyên đề, sinh hoạt Đảng (nếu có); thực hiện đạo đức nghề nghiệp; giữ gìn đoàn kết nội bộ; thực hành tiết kiệm, chống lãng phí; chấp hành kỷ luật, kỷ cương hành chính; góp ý hoàn thiện văn bản các cấp về phòng, chống tham nhũng, lãng phí, tiêu cực;..</x:v>
      </x:c>
      <x:c r="C57" s="33" t="str"/>
      <x:c r="D57" s="33" t="str">
        <x:v>Phòng QLKHCN&amp;HTPT</x:v>
      </x:c>
      <x:c r="E57" s="33" t="str"/>
      <x:c r="F57" s="33" t="str"/>
      <x:c r="G57" s="33" t="str"/>
      <x:c r="H57" s="33" t="str">
        <x:v>Trong tháng 8/2026</x:v>
      </x:c>
      <x:c r="I57" s="33" t="str"/>
      <x:c r="J57" s="33" t="str"/>
      <x:c r="K57" s="32" t="str">
        <x:v>Trích báo cáo thuyết minh của đơn vị; cần chuẩn hóa đủ trường TB736.</x:v>
      </x:c>
    </x:row>
    <x:row r="58">
      <x:c r="A58" s="28" t="str">
        <x:v>5. Trục (5) - Phát triển văn hóa, con người, bảo đảm an sinh xã hội, nâng cao đời sống Nhân dân</x:v>
      </x:c>
      <x:c r="B58" s="28" t="str">
        <x:v>5. Trục (5) - Phát triển văn hóa, con người, bảo đảm an sinh xã hội, nâng cao đời sống Nhân dân</x:v>
      </x:c>
      <x:c r="C58" s="28" t="str">
        <x:v>5. Trục (5) - Phát triển văn hóa, con người, bảo đảm an sinh xã hội, nâng cao đời sống Nhân dân</x:v>
      </x:c>
      <x:c r="D58" s="28" t="str">
        <x:v>5. Trục (5) - Phát triển văn hóa, con người, bảo đảm an sinh xã hội, nâng cao đời sống Nhân dân</x:v>
      </x:c>
      <x:c r="E58" s="28" t="str">
        <x:v>5. Trục (5) - Phát triển văn hóa, con người, bảo đảm an sinh xã hội, nâng cao đời sống Nhân dân</x:v>
      </x:c>
      <x:c r="F58" s="28" t="str">
        <x:v>5. Trục (5) - Phát triển văn hóa, con người, bảo đảm an sinh xã hội, nâng cao đời sống Nhân dân</x:v>
      </x:c>
      <x:c r="G58" s="28" t="str">
        <x:v>5. Trục (5) - Phát triển văn hóa, con người, bảo đảm an sinh xã hội, nâng cao đời sống Nhân dân</x:v>
      </x:c>
      <x:c r="H58" s="28" t="str">
        <x:v>5. Trục (5) - Phát triển văn hóa, con người, bảo đảm an sinh xã hội, nâng cao đời sống Nhân dân</x:v>
      </x:c>
      <x:c r="I58" s="28" t="str">
        <x:v>5. Trục (5) - Phát triển văn hóa, con người, bảo đảm an sinh xã hội, nâng cao đời sống Nhân dân</x:v>
      </x:c>
      <x:c r="J58" s="28" t="str">
        <x:v>5. Trục (5) - Phát triển văn hóa, con người, bảo đảm an sinh xã hội, nâng cao đời sống Nhân dân</x:v>
      </x:c>
      <x:c r="K58" s="28" t="str">
        <x:v>5. Trục (5) - Phát triển văn hóa, con người, bảo đảm an sinh xã hội, nâng cao đời sống Nhân dân</x:v>
      </x:c>
    </x:row>
    <x:row r="59">
      <x:c r="A59" s="33" t="str">
        <x:v>5.1</x:v>
      </x:c>
      <x:c r="B59" s="32" t="str">
        <x:v>Phối hợp các xã phía Tây Quảng Ngãi chuẩn bị điều kiện tổ chức các lớp đào tạo lao động nông thôn</x:v>
      </x:c>
      <x:c r="C59" s="33" t="str">
        <x:v>Hiệu trưởng</x:v>
      </x:c>
      <x:c r="D59" s="33" t="str">
        <x:v>Phòng QLĐT&amp;BĐCL</x:v>
      </x:c>
      <x:c r="E59" s="33" t="str">
        <x:v>Công văn</x:v>
      </x:c>
      <x:c r="F59" s="33" t="n">
        <x:v>1</x:v>
      </x:c>
      <x:c r="G59" s="33" t="str">
        <x:v>Trung bình</x:v>
      </x:c>
      <x:c r="H59" s="33" t="str">
        <x:v>8</x:v>
      </x:c>
      <x:c r="I59" s="33" t="n">
        <x:v>120</x:v>
      </x:c>
      <x:c r="J59" s="33" t="n">
        <x:f>I59*1%</x:f>
        <x:v>1.2</x:v>
      </x:c>
      <x:c r="K59" s="32" t="str"/>
    </x:row>
    <x:row r="60">
      <x:c r="A60" s="28" t="str">
        <x:v>6. Trục (6) - Củng cố quốc phòng, an ninh, giữ vững ổn định chính trị - xã hội, nâng cao hiệu quả đối ngoại và hội nhập quốc tế</x:v>
      </x:c>
      <x:c r="B60" s="28" t="str">
        <x:v>6. Trục (6) - Củng cố quốc phòng, an ninh, giữ vững ổn định chính trị - xã hội, nâng cao hiệu quả đối ngoại và hội nhập quốc tế</x:v>
      </x:c>
      <x:c r="C60" s="28" t="str">
        <x:v>6. Trục (6) - Củng cố quốc phòng, an ninh, giữ vững ổn định chính trị - xã hội, nâng cao hiệu quả đối ngoại và hội nhập quốc tế</x:v>
      </x:c>
      <x:c r="D60" s="28" t="str">
        <x:v>6. Trục (6) - Củng cố quốc phòng, an ninh, giữ vững ổn định chính trị - xã hội, nâng cao hiệu quả đối ngoại và hội nhập quốc tế</x:v>
      </x:c>
      <x:c r="E60" s="28" t="str">
        <x:v>6. Trục (6) - Củng cố quốc phòng, an ninh, giữ vững ổn định chính trị - xã hội, nâng cao hiệu quả đối ngoại và hội nhập quốc tế</x:v>
      </x:c>
      <x:c r="F60" s="28" t="str">
        <x:v>6. Trục (6) - Củng cố quốc phòng, an ninh, giữ vững ổn định chính trị - xã hội, nâng cao hiệu quả đối ngoại và hội nhập quốc tế</x:v>
      </x:c>
      <x:c r="G60" s="28" t="str">
        <x:v>6. Trục (6) - Củng cố quốc phòng, an ninh, giữ vững ổn định chính trị - xã hội, nâng cao hiệu quả đối ngoại và hội nhập quốc tế</x:v>
      </x:c>
      <x:c r="H60" s="28" t="str">
        <x:v>6. Trục (6) - Củng cố quốc phòng, an ninh, giữ vững ổn định chính trị - xã hội, nâng cao hiệu quả đối ngoại và hội nhập quốc tế</x:v>
      </x:c>
      <x:c r="I60" s="28" t="str">
        <x:v>6. Trục (6) - Củng cố quốc phòng, an ninh, giữ vững ổn định chính trị - xã hội, nâng cao hiệu quả đối ngoại và hội nhập quốc tế</x:v>
      </x:c>
      <x:c r="J60" s="28" t="str">
        <x:v>6. Trục (6) - Củng cố quốc phòng, an ninh, giữ vững ổn định chính trị - xã hội, nâng cao hiệu quả đối ngoại và hội nhập quốc tế</x:v>
      </x:c>
      <x:c r="K60" s="28" t="str">
        <x:v>6. Trục (6) - Củng cố quốc phòng, an ninh, giữ vững ổn định chính trị - xã hội, nâng cao hiệu quả đối ngoại và hội nhập quốc tế</x:v>
      </x:c>
    </x:row>
    <x:row r="61">
      <x:c r="A61" s="33" t="str">
        <x:v>6.1</x:v>
      </x:c>
      <x:c r="B61" s="32" t="str">
        <x:v>Thông báo hướng dẫn triển khai thực hiện công tác đào tạo nghề trình độ sơ cấp và đào tạo dưới 3 tháng</x:v>
      </x:c>
      <x:c r="C61" s="33" t="str">
        <x:v>Hiệu trưởng</x:v>
      </x:c>
      <x:c r="D61" s="33" t="str">
        <x:v>Phòng QLĐT&amp;BĐCL</x:v>
      </x:c>
      <x:c r="E61" s="33" t="str">
        <x:v>Thông báo</x:v>
      </x:c>
      <x:c r="F61" s="33" t="n">
        <x:v>1</x:v>
      </x:c>
      <x:c r="G61" s="33" t="str">
        <x:v>Trung bình</x:v>
      </x:c>
      <x:c r="H61" s="33" t="str">
        <x:v>7</x:v>
      </x:c>
      <x:c r="I61" s="33" t="n">
        <x:v>120</x:v>
      </x:c>
      <x:c r="J61" s="33" t="n">
        <x:f>I61*1%</x:f>
        <x:v>1.2</x:v>
      </x:c>
      <x:c r="K61" s="32" t="str"/>
    </x:row>
    <x:row r="62">
      <x:c r="A62" s="33" t="str">
        <x:v>6.2</x:v>
      </x:c>
      <x:c r="B62" s="32" t="str">
        <x:v>Toàn thể viên chức Phòng thực hiện giữ vững an ninh trật tự; tham gia công tác phòng cháy, chữa cháy; chủ động đấu tranh với các thông tin sai trái, xuyên tạc; tham gia hoạt động kết nối doanh nghiệp, phối hợp DN trong thực tập, thực hành nghề; tham gia/phục vụ hội thảo, hợp tác chuyên môn, kết nối ngoài trường và các hoạt động hội nhập khác,...</x:v>
      </x:c>
      <x:c r="C62" s="33" t="str"/>
      <x:c r="D62" s="33" t="str">
        <x:v>Phòng QLKHCN&amp;HTPT</x:v>
      </x:c>
      <x:c r="E62" s="33" t="str"/>
      <x:c r="F62" s="33" t="str"/>
      <x:c r="G62" s="33" t="str"/>
      <x:c r="H62" s="33" t="str">
        <x:v>Trong tháng 8/2026</x:v>
      </x:c>
      <x:c r="I62" s="33" t="str"/>
      <x:c r="J62" s="33" t="str"/>
      <x:c r="K62" s="32" t="str">
        <x:v>Trích báo cáo thuyết minh của đơn vị; cần chuẩn hóa đủ trường TB736.</x:v>
      </x:c>
    </x:row>
    <x:row r="63">
      <x:c r="A63" s="33" t="str">
        <x:v>6.3</x:v>
      </x:c>
      <x:c r="B63" s="32" t="str">
        <x:v>Cung cấp thông tin tình hình hợp tác với 4 tỉnh Nam Lào, hoàn thành trước ngày 20/7/2026.</x:v>
      </x:c>
      <x:c r="C63" s="33" t="str"/>
      <x:c r="D63" s="33" t="str">
        <x:v>Phòng QLKHCN&amp;HTPT</x:v>
      </x:c>
      <x:c r="E63" s="33" t="str"/>
      <x:c r="F63" s="33" t="str"/>
      <x:c r="G63" s="33" t="str"/>
      <x:c r="H63" s="33" t="str">
        <x:v>Trong tháng 8/2026</x:v>
      </x:c>
      <x:c r="I63" s="33" t="str"/>
      <x:c r="J63" s="33" t="str"/>
      <x:c r="K63" s="32" t="str">
        <x:v>Trích báo cáo thuyết minh của đơn vị; cần chuẩn hóa đủ trường TB736.</x:v>
      </x:c>
    </x:row>
    <x:row r="64">
      <x:c r="A64" s="33" t="str">
        <x:v>6.4</x:v>
      </x:c>
      <x:c r="B64" s="32" t="str">
        <x:v>Triển khai thực hiện nhiệm vụ về công tác đối ngoại giai đoạn 2026-2030.</x:v>
      </x:c>
      <x:c r="C64" s="33" t="str"/>
      <x:c r="D64" s="33" t="str">
        <x:v>Phòng QLKHCN&amp;HTPT</x:v>
      </x:c>
      <x:c r="E64" s="33" t="str"/>
      <x:c r="F64" s="33" t="str"/>
      <x:c r="G64" s="33" t="str"/>
      <x:c r="H64" s="33" t="str">
        <x:v>Trong tháng 8/2026</x:v>
      </x:c>
      <x:c r="I64" s="33" t="str"/>
      <x:c r="J64" s="33" t="str"/>
      <x:c r="K64" s="32" t="str">
        <x:v>Trích báo cáo thuyết minh của đơn vị; cần chuẩn hóa đủ trường TB736.</x:v>
      </x:c>
    </x:row>
    <x:row r="65">
      <x:c r="A65" s="33" t="str">
        <x:v>6.5</x:v>
      </x:c>
      <x:c r="B65" s="32" t="str">
        <x:v>Phối hợp với phía Bạn (các Sở Giáo dục và Thể thao của các tỉnh Nam Lào năm 2026) để thống nhất các nội dung trong Dự thảo bản Ghi nhớ hợp tác.</x:v>
      </x:c>
      <x:c r="C65" s="33" t="str"/>
      <x:c r="D65" s="33" t="str">
        <x:v>Phòng QLKHCN&amp;HTPT</x:v>
      </x:c>
      <x:c r="E65" s="33" t="str"/>
      <x:c r="F65" s="33" t="str"/>
      <x:c r="G65" s="33" t="str"/>
      <x:c r="H65" s="33" t="str">
        <x:v>Trong tháng 8/2026</x:v>
      </x:c>
      <x:c r="I65" s="33" t="str"/>
      <x:c r="J65" s="33" t="str"/>
      <x:c r="K65" s="32" t="str">
        <x:v>Trích báo cáo thuyết minh của đơn vị; cần chuẩn hóa đủ trường TB736.</x:v>
      </x:c>
    </x:row>
    <x:row r="66">
      <x:c r="A66" s="33" t="str">
        <x:v>6.6</x:v>
      </x:c>
      <x:c r="B66" s="32" t="str">
        <x:v>Phối hợp hoàn thiện Đề án xây dựng Trường Cao đẳng Kon Tum trở thành trường cao đẳng chất lượng cao giai đoạn 2026-2030, phối hợp các đơn vị liên quan trong quá trình triển khai phát triển chương trình đào tạo theo chuẩn quốc tế và khu vực.</x:v>
      </x:c>
      <x:c r="C66" s="33" t="str"/>
      <x:c r="D66" s="33" t="str">
        <x:v>Phòng QLKHCN&amp;HTPT</x:v>
      </x:c>
      <x:c r="E66" s="33" t="str"/>
      <x:c r="F66" s="33" t="str"/>
      <x:c r="G66" s="33" t="str"/>
      <x:c r="H66" s="33" t="str">
        <x:v>Trong tháng 8/2026</x:v>
      </x:c>
      <x:c r="I66" s="33" t="str"/>
      <x:c r="J66" s="33" t="str"/>
      <x:c r="K66" s="32" t="str">
        <x:v>Trích báo cáo thuyết minh của đơn vị; cần chuẩn hóa đủ trường TB736.</x:v>
      </x:c>
    </x:row>
    <x:row r="67">
      <x:c r="A67" s="23" t="str">
        <x:v>II. CÁC NHIỆM VỤ TỪ THÁNG TRƯỚC CHUYỂN SANG (NẾU CÓ)</x:v>
      </x:c>
      <x:c r="B67" s="23" t="str">
        <x:v>II. CÁC NHIỆM VỤ TỪ THÁNG TRƯỚC CHUYỂN SANG (NẾU CÓ)</x:v>
      </x:c>
      <x:c r="C67" s="23" t="str">
        <x:v>II. CÁC NHIỆM VỤ TỪ THÁNG TRƯỚC CHUYỂN SANG (NẾU CÓ)</x:v>
      </x:c>
      <x:c r="D67" s="23" t="str">
        <x:v>II. CÁC NHIỆM VỤ TỪ THÁNG TRƯỚC CHUYỂN SANG (NẾU CÓ)</x:v>
      </x:c>
      <x:c r="E67" s="23" t="str">
        <x:v>II. CÁC NHIỆM VỤ TỪ THÁNG TRƯỚC CHUYỂN SANG (NẾU CÓ)</x:v>
      </x:c>
      <x:c r="F67" s="23" t="str">
        <x:v>II. CÁC NHIỆM VỤ TỪ THÁNG TRƯỚC CHUYỂN SANG (NẾU CÓ)</x:v>
      </x:c>
      <x:c r="G67" s="23" t="str">
        <x:v>II. CÁC NHIỆM VỤ TỪ THÁNG TRƯỚC CHUYỂN SANG (NẾU CÓ)</x:v>
      </x:c>
      <x:c r="H67" s="23" t="str">
        <x:v>II. CÁC NHIỆM VỤ TỪ THÁNG TRƯỚC CHUYỂN SANG (NẾU CÓ)</x:v>
      </x:c>
      <x:c r="I67" s="23" t="str">
        <x:v>II. CÁC NHIỆM VỤ TỪ THÁNG TRƯỚC CHUYỂN SANG (NẾU CÓ)</x:v>
      </x:c>
      <x:c r="J67" s="23" t="str">
        <x:v>II. CÁC NHIỆM VỤ TỪ THÁNG TRƯỚC CHUYỂN SANG (NẾU CÓ)</x:v>
      </x:c>
      <x:c r="K67" s="23" t="str">
        <x:v>II. CÁC NHIỆM VỤ TỪ THÁNG TRƯỚC CHUYỂN SANG (NẾU CÓ)</x:v>
      </x:c>
    </x:row>
    <x:row r="68">
      <x:c r="A68" s="39" t="str">
        <x:v>Ghi chú: Những trường chưa có trong báo cáo thuyết minh của đơn vị được để trống và đánh dấu tại cột Ghi chú; không tự suy diễn.</x:v>
      </x:c>
      <x:c r="B68" s="39" t="str">
        <x:v>Ghi chú: Những trường chưa có trong báo cáo thuyết minh của đơn vị được để trống và đánh dấu tại cột Ghi chú; không tự suy diễn.</x:v>
      </x:c>
      <x:c r="C68" s="39" t="str">
        <x:v>Ghi chú: Những trường chưa có trong báo cáo thuyết minh của đơn vị được để trống và đánh dấu tại cột Ghi chú; không tự suy diễn.</x:v>
      </x:c>
      <x:c r="D68" s="39" t="str">
        <x:v>Ghi chú: Những trường chưa có trong báo cáo thuyết minh của đơn vị được để trống và đánh dấu tại cột Ghi chú; không tự suy diễn.</x:v>
      </x:c>
      <x:c r="E68" s="39" t="str">
        <x:v>Ghi chú: Những trường chưa có trong báo cáo thuyết minh của đơn vị được để trống và đánh dấu tại cột Ghi chú; không tự suy diễn.</x:v>
      </x:c>
      <x:c r="F68" s="39" t="str">
        <x:v>Ghi chú: Những trường chưa có trong báo cáo thuyết minh của đơn vị được để trống và đánh dấu tại cột Ghi chú; không tự suy diễn.</x:v>
      </x:c>
      <x:c r="G68" s="39" t="str">
        <x:v>Ghi chú: Những trường chưa có trong báo cáo thuyết minh của đơn vị được để trống và đánh dấu tại cột Ghi chú; không tự suy diễn.</x:v>
      </x:c>
      <x:c r="H68" s="39" t="str">
        <x:v>Ghi chú: Những trường chưa có trong báo cáo thuyết minh của đơn vị được để trống và đánh dấu tại cột Ghi chú; không tự suy diễn.</x:v>
      </x:c>
      <x:c r="I68" s="39" t="str">
        <x:v>Ghi chú: Những trường chưa có trong báo cáo thuyết minh của đơn vị được để trống và đánh dấu tại cột Ghi chú; không tự suy diễn.</x:v>
      </x:c>
      <x:c r="J68" s="39" t="str">
        <x:v>Ghi chú: Những trường chưa có trong báo cáo thuyết minh của đơn vị được để trống và đánh dấu tại cột Ghi chú; không tự suy diễn.</x:v>
      </x:c>
      <x:c r="K68" s="39" t="str">
        <x:v>Ghi chú: Những trường chưa có trong báo cáo thuyết minh của đơn vị được để trống và đánh dấu tại cột Ghi chú; không tự suy diễn.</x:v>
      </x:c>
    </x:row>
  </x:sheetData>
  <x:mergeCells>
    <x:mergeCell ref="A1:D1"/>
    <x:mergeCell ref="A2:D2"/>
    <x:mergeCell ref="E1:K1"/>
    <x:mergeCell ref="E2:K2"/>
    <x:mergeCell ref="A4:K4"/>
    <x:mergeCell ref="A5:K5"/>
    <x:mergeCell ref="A6:K6"/>
    <x:mergeCell ref="A9:K9"/>
    <x:mergeCell ref="A10:K10"/>
    <x:mergeCell ref="A42:K42"/>
    <x:mergeCell ref="A49:K49"/>
    <x:mergeCell ref="A54:K54"/>
    <x:mergeCell ref="A58:K58"/>
    <x:mergeCell ref="A60:K60"/>
    <x:mergeCell ref="A67:K67"/>
    <x:mergeCell ref="A68:K68"/>
  </x:mergeCells>
  <x:pageMargins left="0.7" right="0.7" top="0.75" bottom="0.75" header="0.3" footer="0.3"/>
</x:worksheet>
</file>