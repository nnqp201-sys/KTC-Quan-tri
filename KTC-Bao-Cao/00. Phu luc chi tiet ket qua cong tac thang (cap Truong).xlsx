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PC\AppData\Local\Temp\VNPT Plugin\2b3bccaa-2fc7-45e1-91b3-10242eeb5d8a\"/>
    </mc:Choice>
  </mc:AlternateContent>
  <xr:revisionPtr revIDLastSave="0" documentId="13_ncr:1_{113FA45F-F817-4D46-8796-BC93ECD7731D}" xr6:coauthVersionLast="47" xr6:coauthVersionMax="47" xr10:uidLastSave="{00000000-0000-0000-0000-000000000000}"/>
  <bookViews>
    <workbookView xWindow="-110" yWindow="-110" windowWidth="19420" windowHeight="10420" xr2:uid="{CF09AA7D-F157-435F-8730-78D5FF9F5A39}"/>
  </bookViews>
  <sheets>
    <sheet name="BC Kết quả tháng 7" sheetId="1" r:id="rId1"/>
  </sheets>
  <definedNames>
    <definedName name="_xlnm.Print_Area" localSheetId="0">'BC Kết quả tháng 7'!$A$1:$P$54</definedName>
    <definedName name="_xlnm.Print_Titles" localSheetId="0">'BC Kết quả tháng 7'!$5:$6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9" i="1" l="1"/>
  <c r="M9" i="1"/>
  <c r="N9" i="1"/>
  <c r="O9" i="1"/>
  <c r="P9" i="1"/>
  <c r="K9" i="1"/>
  <c r="K21" i="1"/>
  <c r="M21" i="1" s="1"/>
  <c r="H21" i="1"/>
  <c r="I21" i="1" s="1"/>
  <c r="N21" i="1" l="1"/>
  <c r="J21" i="1"/>
  <c r="L21" i="1"/>
  <c r="O21" i="1"/>
  <c r="P21" i="1" s="1"/>
  <c r="K35" i="1" l="1"/>
  <c r="O35" i="1" s="1"/>
  <c r="H35" i="1"/>
  <c r="I35" i="1" s="1"/>
  <c r="H45" i="1"/>
  <c r="I45" i="1" s="1"/>
  <c r="J45" i="1" s="1"/>
  <c r="H46" i="1"/>
  <c r="I46" i="1" s="1"/>
  <c r="J46" i="1" s="1"/>
  <c r="H47" i="1"/>
  <c r="I47" i="1" s="1"/>
  <c r="J47" i="1" s="1"/>
  <c r="H48" i="1"/>
  <c r="I48" i="1" s="1"/>
  <c r="J48" i="1" s="1"/>
  <c r="H49" i="1"/>
  <c r="I49" i="1" s="1"/>
  <c r="J49" i="1" s="1"/>
  <c r="H50" i="1"/>
  <c r="I50" i="1" s="1"/>
  <c r="J50" i="1" s="1"/>
  <c r="H51" i="1"/>
  <c r="I51" i="1" s="1"/>
  <c r="J51" i="1" s="1"/>
  <c r="H52" i="1"/>
  <c r="I52" i="1" s="1"/>
  <c r="J52" i="1" s="1"/>
  <c r="H53" i="1"/>
  <c r="I53" i="1" s="1"/>
  <c r="J53" i="1" s="1"/>
  <c r="H54" i="1"/>
  <c r="I54" i="1" s="1"/>
  <c r="J54" i="1" s="1"/>
  <c r="K38" i="1"/>
  <c r="O38" i="1" s="1"/>
  <c r="H38" i="1"/>
  <c r="I38" i="1" s="1"/>
  <c r="K34" i="1"/>
  <c r="M34" i="1" s="1"/>
  <c r="H34" i="1"/>
  <c r="I34" i="1" s="1"/>
  <c r="K33" i="1"/>
  <c r="O33" i="1" s="1"/>
  <c r="H33" i="1"/>
  <c r="I33" i="1" s="1"/>
  <c r="K31" i="1"/>
  <c r="O31" i="1" s="1"/>
  <c r="H31" i="1"/>
  <c r="I31" i="1" s="1"/>
  <c r="K30" i="1"/>
  <c r="H30" i="1"/>
  <c r="I30" i="1" s="1"/>
  <c r="J30" i="1" s="1"/>
  <c r="K29" i="1"/>
  <c r="O29" i="1" s="1"/>
  <c r="H29" i="1"/>
  <c r="I29" i="1" s="1"/>
  <c r="K28" i="1"/>
  <c r="O28" i="1" s="1"/>
  <c r="H28" i="1"/>
  <c r="I28" i="1" s="1"/>
  <c r="K26" i="1"/>
  <c r="M26" i="1" s="1"/>
  <c r="H26" i="1"/>
  <c r="I26" i="1" s="1"/>
  <c r="H24" i="1"/>
  <c r="I24" i="1" s="1"/>
  <c r="K24" i="1"/>
  <c r="O24" i="1" s="1"/>
  <c r="K23" i="1"/>
  <c r="O23" i="1" s="1"/>
  <c r="H23" i="1"/>
  <c r="I23" i="1" s="1"/>
  <c r="K36" i="1"/>
  <c r="O36" i="1" s="1"/>
  <c r="H36" i="1"/>
  <c r="I36" i="1" s="1"/>
  <c r="K20" i="1"/>
  <c r="O20" i="1" s="1"/>
  <c r="H20" i="1"/>
  <c r="I20" i="1" s="1"/>
  <c r="K19" i="1"/>
  <c r="M19" i="1" s="1"/>
  <c r="H19" i="1"/>
  <c r="I19" i="1" s="1"/>
  <c r="K18" i="1"/>
  <c r="M18" i="1" s="1"/>
  <c r="H18" i="1"/>
  <c r="I18" i="1" s="1"/>
  <c r="K17" i="1"/>
  <c r="O17" i="1" s="1"/>
  <c r="H17" i="1"/>
  <c r="I17" i="1" s="1"/>
  <c r="K16" i="1"/>
  <c r="O16" i="1" s="1"/>
  <c r="H16" i="1"/>
  <c r="I16" i="1" s="1"/>
  <c r="J16" i="1" s="1"/>
  <c r="K15" i="1"/>
  <c r="O15" i="1" s="1"/>
  <c r="H15" i="1"/>
  <c r="I15" i="1" s="1"/>
  <c r="K14" i="1"/>
  <c r="H14" i="1"/>
  <c r="I14" i="1" s="1"/>
  <c r="K13" i="1"/>
  <c r="O13" i="1" s="1"/>
  <c r="H13" i="1"/>
  <c r="I13" i="1" s="1"/>
  <c r="K12" i="1"/>
  <c r="O12" i="1" s="1"/>
  <c r="H12" i="1"/>
  <c r="I12" i="1" s="1"/>
  <c r="K11" i="1"/>
  <c r="M11" i="1" s="1"/>
  <c r="H11" i="1"/>
  <c r="I11" i="1" s="1"/>
  <c r="K10" i="1"/>
  <c r="M10" i="1" s="1"/>
  <c r="O10" i="1" s="1"/>
  <c r="H10" i="1"/>
  <c r="I10" i="1" s="1"/>
  <c r="J35" i="1" l="1"/>
  <c r="P35" i="1"/>
  <c r="L35" i="1"/>
  <c r="M35" i="1"/>
  <c r="N35" i="1" s="1"/>
  <c r="O34" i="1"/>
  <c r="P34" i="1" s="1"/>
  <c r="P31" i="1"/>
  <c r="M24" i="1"/>
  <c r="P38" i="1"/>
  <c r="J38" i="1"/>
  <c r="M38" i="1"/>
  <c r="N38" i="1" s="1"/>
  <c r="L38" i="1"/>
  <c r="M28" i="1"/>
  <c r="N28" i="1" s="1"/>
  <c r="P33" i="1"/>
  <c r="J33" i="1"/>
  <c r="J34" i="1"/>
  <c r="L33" i="1"/>
  <c r="M33" i="1"/>
  <c r="N33" i="1" s="1"/>
  <c r="L34" i="1"/>
  <c r="N34" i="1"/>
  <c r="L30" i="1"/>
  <c r="O26" i="1"/>
  <c r="P26" i="1" s="1"/>
  <c r="J28" i="1"/>
  <c r="P28" i="1"/>
  <c r="L28" i="1"/>
  <c r="J29" i="1"/>
  <c r="P29" i="1"/>
  <c r="J31" i="1"/>
  <c r="L31" i="1"/>
  <c r="M31" i="1"/>
  <c r="N31" i="1" s="1"/>
  <c r="L29" i="1"/>
  <c r="M29" i="1"/>
  <c r="N29" i="1" s="1"/>
  <c r="M30" i="1"/>
  <c r="N30" i="1" s="1"/>
  <c r="O30" i="1"/>
  <c r="P30" i="1" s="1"/>
  <c r="N26" i="1"/>
  <c r="J26" i="1"/>
  <c r="L26" i="1"/>
  <c r="P24" i="1"/>
  <c r="J24" i="1"/>
  <c r="N24" i="1"/>
  <c r="L24" i="1"/>
  <c r="M13" i="1"/>
  <c r="N13" i="1" s="1"/>
  <c r="P23" i="1"/>
  <c r="J23" i="1"/>
  <c r="M23" i="1"/>
  <c r="N23" i="1" s="1"/>
  <c r="L23" i="1"/>
  <c r="M12" i="1"/>
  <c r="N12" i="1" s="1"/>
  <c r="O19" i="1"/>
  <c r="P19" i="1" s="1"/>
  <c r="O11" i="1"/>
  <c r="P11" i="1" s="1"/>
  <c r="M20" i="1"/>
  <c r="N20" i="1" s="1"/>
  <c r="O18" i="1"/>
  <c r="P18" i="1" s="1"/>
  <c r="L13" i="1"/>
  <c r="J13" i="1"/>
  <c r="P13" i="1"/>
  <c r="P17" i="1"/>
  <c r="J17" i="1"/>
  <c r="J12" i="1"/>
  <c r="P12" i="1"/>
  <c r="J14" i="1"/>
  <c r="L20" i="1"/>
  <c r="L14" i="1"/>
  <c r="J15" i="1"/>
  <c r="P15" i="1"/>
  <c r="N19" i="1"/>
  <c r="J19" i="1"/>
  <c r="N11" i="1"/>
  <c r="J11" i="1"/>
  <c r="J20" i="1"/>
  <c r="P20" i="1"/>
  <c r="L12" i="1"/>
  <c r="N18" i="1"/>
  <c r="J18" i="1"/>
  <c r="P10" i="1"/>
  <c r="N10" i="1"/>
  <c r="J10" i="1"/>
  <c r="P36" i="1"/>
  <c r="J36" i="1"/>
  <c r="M14" i="1"/>
  <c r="N14" i="1" s="1"/>
  <c r="L15" i="1"/>
  <c r="M15" i="1"/>
  <c r="N15" i="1" s="1"/>
  <c r="L16" i="1"/>
  <c r="O14" i="1"/>
  <c r="P14" i="1" s="1"/>
  <c r="M16" i="1"/>
  <c r="N16" i="1" s="1"/>
  <c r="L17" i="1"/>
  <c r="L10" i="1"/>
  <c r="M17" i="1"/>
  <c r="N17" i="1" s="1"/>
  <c r="L18" i="1"/>
  <c r="L11" i="1"/>
  <c r="L19" i="1"/>
  <c r="P16" i="1"/>
  <c r="L36" i="1"/>
  <c r="M36" i="1"/>
  <c r="N36" i="1" s="1"/>
  <c r="H43" i="1" l="1"/>
  <c r="I43" i="1" s="1"/>
  <c r="J43" i="1" s="1"/>
  <c r="H42" i="1"/>
  <c r="I42" i="1" s="1"/>
  <c r="H44" i="1"/>
  <c r="I44" i="1" s="1"/>
  <c r="J44" i="1" s="1"/>
  <c r="H41" i="1"/>
  <c r="I41" i="1" s="1"/>
  <c r="J41" i="1" s="1"/>
  <c r="H40" i="1"/>
  <c r="I40" i="1" s="1"/>
  <c r="J40" i="1" s="1"/>
  <c r="J42" i="1" l="1"/>
  <c r="F25" i="1" l="1"/>
  <c r="F27" i="1"/>
  <c r="F32" i="1"/>
  <c r="F37" i="1"/>
  <c r="F22" i="1"/>
  <c r="K25" i="1" l="1"/>
  <c r="J37" i="1"/>
  <c r="J27" i="1"/>
  <c r="J22" i="1"/>
  <c r="K22" i="1"/>
  <c r="M37" i="1"/>
  <c r="K37" i="1"/>
  <c r="J32" i="1"/>
  <c r="K32" i="1"/>
  <c r="K27" i="1"/>
  <c r="J25" i="1"/>
  <c r="L22" i="1" l="1"/>
  <c r="L25" i="1"/>
  <c r="N37" i="1"/>
  <c r="M27" i="1"/>
  <c r="N25" i="1"/>
  <c r="J9" i="1"/>
  <c r="N27" i="1"/>
  <c r="L37" i="1"/>
  <c r="M25" i="1"/>
  <c r="N22" i="1"/>
  <c r="M22" i="1"/>
  <c r="P37" i="1"/>
  <c r="O37" i="1"/>
  <c r="M32" i="1"/>
  <c r="N32" i="1"/>
  <c r="L32" i="1"/>
  <c r="P32" i="1"/>
  <c r="O32" i="1"/>
  <c r="L27" i="1"/>
  <c r="P27" i="1"/>
  <c r="O27" i="1"/>
  <c r="P25" i="1"/>
  <c r="O25" i="1"/>
  <c r="P22" i="1"/>
  <c r="O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tc={B08E645A-0126-4B9E-9925-17849C1DD419}</author>
  </authors>
  <commentList>
    <comment ref="K15" authorId="0" shapeId="0" xr:uid="{B08E645A-0126-4B9E-9925-17849C1DD41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Chỉ có 5 quyết định</t>
        </r>
      </text>
    </comment>
  </commentList>
</comments>
</file>

<file path=xl/sharedStrings.xml><?xml version="1.0" encoding="utf-8"?>
<sst xmlns="http://schemas.openxmlformats.org/spreadsheetml/2006/main" count="265" uniqueCount="145">
  <si>
    <t>TT</t>
  </si>
  <si>
    <t>NỘI DUNG CÔNG VIỆC</t>
  </si>
  <si>
    <t>Người trực tiếp chỉ đạo</t>
  </si>
  <si>
    <t>I</t>
  </si>
  <si>
    <t xml:space="preserve">Trục (1) - Thực hiện mục tiêu phát triển Kinh tế - xã hội và nhiệm vụ chính trị được giao </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</si>
  <si>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</si>
  <si>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</si>
  <si>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</si>
  <si>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</si>
  <si>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</si>
  <si>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</si>
  <si>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</si>
  <si>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</si>
  <si>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</si>
  <si>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</si>
  <si>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</si>
  <si>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</si>
  <si>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</si>
  <si>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</si>
  <si>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</si>
  <si>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</si>
  <si>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1.1</t>
  </si>
  <si>
    <t>1.2</t>
  </si>
  <si>
    <t>TRƯỜNG CAO ĐẲNG KON TUM</t>
  </si>
  <si>
    <t>Đơn vị chủ trì</t>
  </si>
  <si>
    <t>PHT Dương Văn Anh Dũng</t>
  </si>
  <si>
    <t>Hiệu trưởng</t>
  </si>
  <si>
    <t>PHT Huỳnh Văn Chung</t>
  </si>
  <si>
    <t>Phòng  TCCB&amp;CTHSSV</t>
  </si>
  <si>
    <t>Chủ tịch Công đoàn</t>
  </si>
  <si>
    <t>Quyết định</t>
  </si>
  <si>
    <t>Trung bình</t>
  </si>
  <si>
    <t>Cao</t>
  </si>
  <si>
    <t>Khó và phức tạp</t>
  </si>
  <si>
    <t>Phòng TH-HC&amp;QT</t>
  </si>
  <si>
    <t>Phòng QLKHCN&amp;HTPT</t>
  </si>
  <si>
    <t>Phòng QLĐT&amp;BĐCL</t>
  </si>
  <si>
    <t>Điểm chấm công việc</t>
  </si>
  <si>
    <t>Hệ số quy đổi</t>
  </si>
  <si>
    <t>KPI (số lượng)</t>
  </si>
  <si>
    <t>KPI (chất lượng)</t>
  </si>
  <si>
    <t>KPI (tiến độ)</t>
  </si>
  <si>
    <t>Thực tế hoàn thành</t>
  </si>
  <si>
    <t>Quy đổi</t>
  </si>
  <si>
    <t>Số lượng quy đổi</t>
  </si>
  <si>
    <t>Thấp</t>
  </si>
  <si>
    <t>Phòng TC-KT</t>
  </si>
  <si>
    <t>Khoa Sư phạm</t>
  </si>
  <si>
    <t> Các nhiệm vụ theo kế hoạch (chương trình) công tác đã đề ra từ đầu tháng</t>
  </si>
  <si>
    <t>Sản phẩm/ Công việc</t>
  </si>
  <si>
    <t>(8)</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</si>
  <si>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</si>
  <si>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</si>
  <si>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</si>
  <si>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</si>
  <si>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</si>
  <si>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</si>
  <si>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</si>
  <si>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</si>
  <si>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</si>
  <si>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UBND TỈNH QUẢNG NGÃI</t>
  </si>
  <si>
    <t>1.10</t>
  </si>
  <si>
    <t>1.11</t>
  </si>
  <si>
    <t>1.12</t>
  </si>
  <si>
    <t>Khoa ĐT&amp;SHLX</t>
  </si>
  <si>
    <t>Khoa KT&amp;NL</t>
  </si>
  <si>
    <t>Kế hoạch</t>
  </si>
  <si>
    <t>Báo cáo</t>
  </si>
  <si>
    <t>Duy trì ổn định chính trị nội bộ, đảm bảo an ninh trật tự trường học và thực hiện Đề án xây dựng xã hội trật tự, kỷ cương</t>
  </si>
  <si>
    <t>Theo dõi, Giám sát, Báo cáo</t>
  </si>
  <si>
    <t>1.3</t>
  </si>
  <si>
    <t>1.4</t>
  </si>
  <si>
    <t>1.5</t>
  </si>
  <si>
    <t>1.6</t>
  </si>
  <si>
    <t>1.7</t>
  </si>
  <si>
    <t>1.8</t>
  </si>
  <si>
    <t>1.9</t>
  </si>
  <si>
    <t>6.1</t>
  </si>
  <si>
    <t>2.1</t>
  </si>
  <si>
    <t>2.2</t>
  </si>
  <si>
    <t>3.1</t>
  </si>
  <si>
    <t>5.1</t>
  </si>
  <si>
    <t>5.2</t>
  </si>
  <si>
    <t>5.3</t>
  </si>
  <si>
    <t>5.4</t>
  </si>
  <si>
    <r>
      <t xml:space="preserve">Phụ lục
</t>
    </r>
    <r>
      <rPr>
        <b/>
        <sz val="13"/>
        <color theme="1"/>
        <rFont val="Times New Roman"/>
        <family val="1"/>
      </rPr>
      <t>KẾT QUẢ THỰC HIỆN CÔNG TÁC THÁNG 7 NĂM 2026 CỦA TRƯỜNG CAO ĐẲNG KON TUM</t>
    </r>
  </si>
  <si>
    <t>Triển khai Phương án khai thác, sử dụng hiệu quả Khu thực nghiệm</t>
  </si>
  <si>
    <t>Ban hành Chiến lược phát triển khoa Sư phạm đến năm 2030 và tầm nhìn đến năm 2045</t>
  </si>
  <si>
    <t>Công bố ngưỡng đầu vào trình độ cao đẳng ngành Giáo dục Mầm non, hình thức đào tạo chính quy năm 2026</t>
  </si>
  <si>
    <t>Tổ chức Ngày hội việc làm cho học sinh, sinh viên năm học 2025-2026</t>
  </si>
  <si>
    <t>Báo cáo; Kế hoạch</t>
  </si>
  <si>
    <t>Báo cáo đánh giá tình hình thực hiện phát triển sự nghiệp giáo dục nghề nghiệp và đào tạo giáo viên, nhiệm vụ dự toán NSNN năm 2026 và xây dựng kế hoạch phát triển sự nghiệp giáo dục nghề nghiệp và đào tạo giáo viên, xây dựng dự toán ngân sách nhà nước năm 2027</t>
  </si>
  <si>
    <t>Phòng TC-KT; phòng TH-HC&amp;QT</t>
  </si>
  <si>
    <t>Ban hành Quyết định cập nhật, cải tiến chương trình, giáo trình đào tạo lái xe mô tô hạng A1, hạng B và hạng C1</t>
  </si>
  <si>
    <t>Văn bản giao nhiệm vụ cho viên chức làm công tác tư vấn hướng nghiệp, tuyển sinh hoặc tiếp nhận hồ sơ tuyển sinh có trách nhiệm tư vấn, theo dõi, hỗ trợ người học trong suốt quá trình theo học tại Trường và đề xuất các biện pháp hỗ trợ cụ thể của nhà trường đối với từng người học trong trường hợp cần thiết, hạn chế tối đa tình trạng bỏ học giữa chừng</t>
  </si>
  <si>
    <t>Văn bản</t>
  </si>
  <si>
    <t>Kế hoạch phối hợp triển khai thực hiện Văn bản số 1642/UBND-KTHTĐT ngày 21/6/2026 của UBND phường Đăk Cấm tăng cường công tác quản lý, sử dụng đất tại Cơ sở 5 thuộc Trường Cao đẳng Kon Tum</t>
  </si>
  <si>
    <t>Kế hoạch triển khai thực hiện Thông tư số 43/2026/TT-BGDĐT ngày 09/6/2026 của Bộ trưởng Bộ Giáo dục và Đào tạo quy định tiêu chuẩn người dạy nghề</t>
  </si>
  <si>
    <t>Kế hoạch triển khai thực hiện Nghị định số 159/2026/NĐ-CP ngày 15/5/2026 của Chính phủ quy định về giảng viên đồng cơ hữu trong các cơ sở giáo dục nghề nghiệp, cơ sở giáo dục đại học công lập</t>
  </si>
  <si>
    <t>Kế hoạch  tổ chức tọa đàm về đánh giá viên chức lãnh đạo, quản lý theo KPI và ký cam kết thực hiện nhiệm vụ theo KPI; thành phần gồm tập thể Lãnh đạo Trường, Lãnh đạo các đơn vị thuộc Trường, Trưởng, Phó Trưởng bộ môn và tương đương</t>
  </si>
  <si>
    <t>Tờ trình</t>
  </si>
  <si>
    <t>Ban hành Quy định tiêu chuẩn chức danh do nhà trường quản lý (thay thế Quyết định số 2110/QĐ-CĐKT ngày 10/12/2024)</t>
  </si>
  <si>
    <t>Ban hành Quy chế bổ nhiệm, bổ nhiệm lại, kéo dài thời gian giữ chức vụ quản lý, từ chức cho thôi giữ chức vụ, miễn nhiệm đối với chức danh nhà trường quản lý (thay thế Quyết định số 233/QĐ-CĐKT ngày 26/02/2024)</t>
  </si>
  <si>
    <t>Ban hành Quyết định công nhận kết quả bồi dưỡng và cấp Giấy chứng nhận cho học viên các lớp bồi dưỡng Ứng dụng trí tuệ nhân tạo trong công tác hành chính năm 2026</t>
  </si>
  <si>
    <t>Tổ chức Hội nghị sơ kết 6 tháng đầu năm 2026 của Đảng bộ Trường</t>
  </si>
  <si>
    <t>Hiệu trưởng, Bí thư Đảng ủy</t>
  </si>
  <si>
    <t>BPVPĐU</t>
  </si>
  <si>
    <t>Hồ sơ Hội nghị</t>
  </si>
  <si>
    <t>Bổ sung, điều chỉnh Chương trình kiểm tra, giám sát của Đảng ủy và Ủy ban Kiểm tra Đảng ủy năm 2026, theo chỉ đạo của Ban Thường vụ Đảng ủy UBND tỉnh tại Công văn số 2136-CV/ĐU ngày 24/6/2026 thực hiện công tác kiểm tra</t>
  </si>
  <si>
    <t>UBKTĐU</t>
  </si>
  <si>
    <t>Chương trình</t>
  </si>
  <si>
    <t>Tổ chức, triển khai Chiến dịch Thanh niên tình nguyện hè năm 2026</t>
  </si>
  <si>
    <t>Đoàn TN;
Hội SV</t>
  </si>
  <si>
    <t>Triển khai Kế hoạch công tác Công đoàn Quý III/2026</t>
  </si>
  <si>
    <t>Ban Chấp hành CĐCS</t>
  </si>
  <si>
    <t>Ban hành Kế hoạch triển khai các công trình thanh niên chào mừng kỷ niệm 10 năm thành lập Trường (24/10/2017-24/10/2027)</t>
  </si>
  <si>
    <t>Tổ chức các hoạt động kỷ niệm 79 năm Ngày Thương binh – Liệt sĩ (27/7/1947 - 27/7/2026)</t>
  </si>
  <si>
    <t>Ban hành Chiến lược phát triển khoa Kinh tế và Nông Lâm đến năm 2030 và tầm nhìn đến năm 2045</t>
  </si>
  <si>
    <t>Xây dựng Đề án vị trí việc làm sau khi sắp xếp lại các đơn vị thuộc Trường.</t>
  </si>
  <si>
    <t>Ban hành Quyết định kiện toàn Hội đồng và các Nhóm chuyên trách của Hội đồng tự đánh giá CTĐT Giáo dục mầm non năm 2026</t>
  </si>
  <si>
    <t>Ban hành kế hoạch triển khai thực hiện gạch đầu dòng thứ 2 Mục 8 Công văn số 5639/UBND-KGVX ngày 15/6/2026 của UBND tỉnh thực hiện chính sách hỗ trợ đào tạo nghề cho người lao động ở khu vực nông thôn, người lao động là thanh niên trên địa bàn tỉnh theo Nghị định số 338/2025/NĐ-CP ngày 25/12/2025 của Chính phủ</t>
  </si>
  <si>
    <t>Kết luận</t>
  </si>
  <si>
    <t>Ban hành Phương án giá dịch vụ đào tạo các ngành, nghề trình độ cao đẳng, trung cấp</t>
  </si>
  <si>
    <t>Quyết định; Tờ trình</t>
  </si>
  <si>
    <t xml:space="preserve">Ban hành mức thu học phí năm học 2026-2027 </t>
  </si>
  <si>
    <t>Thi học kỳ bằng hình thức thi trắc nghiệm online trên phần mềm Unisoft</t>
  </si>
  <si>
    <t>Bảng thống kê</t>
  </si>
  <si>
    <t>Xây dựng phần mềm kiểm tra mô phỏng các tình huống giao thông</t>
  </si>
  <si>
    <t>Phần mềm</t>
  </si>
  <si>
    <t>Tham mưu xây dựng hoặc bổ sung phương hướng, nhiệm vụ, chương trình hành động của chi bộ nhiệm kỳ 2025-2030 trên cơ sở cụ thể hóa Nghị quyết Đại hội XIV của Đảng, nghị quyết của đại hội đảng bộ cấp trên và đề xuất kiện toàn bí thư, phó bí thư, chi ủy viên chi bộ nhiệm kỳ 2025 -2030 cho phù hợp; ban hành Quy chế làm việc của chi bộ</t>
  </si>
  <si>
    <t>Các chi bộ trực thuộc Đảng uỷ Trường</t>
  </si>
  <si>
    <t xml:space="preserve">Công nhận mô hình, điển hình "Dân vận khéo" cấp cơ sở </t>
  </si>
  <si>
    <t>Bí thư Đảng uỷ</t>
  </si>
  <si>
    <t>Hồ sơ công nhận</t>
  </si>
  <si>
    <t>Hồ sơ đề nghị công nhận mô hình "Dân vận khéo" cấp tỉnh năm 2026,</t>
  </si>
  <si>
    <t>Công nhận mô hình, điển hình "Dân vận khéo" cấp cơ sở. Đề nghị công nhận mô hình "Dân vận khéo" cấp tỉnh năm 2026.</t>
  </si>
  <si>
    <t>Hoàn thiện, trình cấp có thẩm quyền phê duyệt Đề án thành lập Trung tâm Đăng kiểm xe cơ giới trực thuộc Trường Cao đẳng Kon Tum</t>
  </si>
  <si>
    <t>Công văn</t>
  </si>
  <si>
    <t>Hoàn thiện, trình cấp có thẩm quyền phê duyệt Đề án xây dựng Trường Cao đẳng Kon Tum thành trường cao đẳng chất lượng cao giai đoạn 2026-2030</t>
  </si>
  <si>
    <t>Quyết định ban hành tiêu chuẩn, định mức diện tích công trình sự nghiệp của nhà trường và các đơn vị thuộc Trường</t>
  </si>
  <si>
    <t>Quyết định ban hành tiêu chuẩn, định mức sử dụng máy móc, thiết bị phục vụ hoạt động chung</t>
  </si>
  <si>
    <t>Đề án</t>
  </si>
  <si>
    <t>Thẩm định, ban hành tiêu chuẩn, định mức diện tích công trình sự nghiệp của Trường Cao đẳng Kon Tum</t>
  </si>
  <si>
    <t>Thẩm định, ban hành tiêu chuẩn, định mức sử dụng máy móc, thiết bị phục vụ hoạt động chung</t>
  </si>
  <si>
    <t>CÁC NHIỆM VỤ CHƯA HOÀN THÀNH, ĐANG TRIỂN KHAI THỰC HIỆN (CHUYỂN SANG THÁNG SAU)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</si>
</sst>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5" formatCode="_(* #,##0_);_(* \(#,##0\);_(* &quot;-&quot;??_);_(@_)"/>
  </numFmts>
  <fonts count="23" x14ac:knownFonts="1">
    <font>
      <sz val="11"/>
      <color theme="1"/>
      <name val="Calibri"/>
      <family val="2"/>
      <scheme val="minor"/>
    </font>
    <font>
      <b/>
      <sz val="14"/>
      <color theme="1"/>
      <name val="Times New Roman"/>
      <family val="1"/>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sz val="12"/>
      <name val="Times New Roman"/>
      <family val="1"/>
    </font>
    <font>
      <b/>
      <sz val="14"/>
      <name val="Times New Roman"/>
      <family val="1"/>
    </font>
    <font>
      <sz val="12"/>
      <name val="Times New Roman"/>
      <family val="1"/>
      <charset val="163"/>
    </font>
    <font>
      <sz val="13"/>
      <color theme="1"/>
      <name val="Times New Roman"/>
      <family val="1"/>
    </font>
    <font>
      <sz val="11"/>
      <color theme="1"/>
      <name val="Calibri"/>
      <family val="2"/>
      <scheme val="minor"/>
    </font>
    <font>
      <sz val="8"/>
      <name val="Calibri"/>
      <family val="2"/>
      <scheme val="minor"/>
    </font>
    <font>
      <sz val="14"/>
      <color rgb="FFFF0000"/>
      <name val="Times New Roman"/>
      <family val="1"/>
    </font>
    <font>
      <sz val="13"/>
      <name val="Times New Roman"/>
      <family val="1"/>
    </font>
    <font>
      <b/>
      <sz val="13"/>
      <name val="Times New Roman"/>
      <family val="1"/>
    </font>
    <font>
      <sz val="13"/>
      <name val="Times New Roman"/>
      <family val="1"/>
      <charset val="163"/>
    </font>
    <font>
      <b/>
      <sz val="13"/>
      <color theme="0"/>
      <name val="Times New Roman"/>
      <family val="1"/>
    </font>
    <font>
      <b/>
      <sz val="12"/>
      <name val="Times New Roman"/>
      <family val="1"/>
    </font>
    <font>
      <b/>
      <sz val="12"/>
      <name val="Times New Roman"/>
      <family val="1"/>
      <charset val="163"/>
    </font>
    <font>
      <sz val="12"/>
      <name val="Calibri"/>
      <family val="2"/>
    </font>
    <font>
      <sz val="10"/>
      <name val="Times New Roman"/>
      <family val="1"/>
      <charset val="163"/>
    </font>
    <font>
      <sz val="10"/>
      <color theme="1"/>
      <name val="Calibri"/>
      <family val="2"/>
      <scheme val="minor"/>
    </font>
  </fonts>
  <fills count="2">
    <fill>
      <patternFill patternType="none"/>
    </fill>
    <fill>
      <patternFill patternType="gray125"/>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1" fillId="0" borderId="0" applyFont="0" applyFill="0" applyBorder="0" applyAlignment="0" applyProtection="0"/>
  </cellStyleXfs>
  <cellXfs count="57">
    <xf numFmtId="0" fontId="0" fillId="0" borderId="0" xfId="0"/>
    <xf numFmtId="0" fontId="3" fillId="0" borderId="0" xfId="0" applyFont="1" applyAlignment="1">
      <alignment vertical="center"/>
    </xf>
    <xf numFmtId="0" fontId="1" fillId="0" borderId="0" xfId="0" applyFont="1" applyAlignment="1">
      <alignment vertical="center" wrapText="1"/>
    </xf>
    <xf numFmtId="0" fontId="4" fillId="0" borderId="0" xfId="0" applyFont="1" applyAlignment="1">
      <alignment vertical="center"/>
    </xf>
    <xf numFmtId="0" fontId="5" fillId="0" borderId="0" xfId="0" applyFont="1" applyAlignment="1">
      <alignment vertical="center" wrapText="1"/>
    </xf>
    <xf numFmtId="0" fontId="0" fillId="0" borderId="0" xfId="0" applyAlignment="1">
      <alignment vertical="center"/>
    </xf>
    <xf numFmtId="0" fontId="6" fillId="0" borderId="0" xfId="0" applyFont="1" applyAlignment="1">
      <alignment vertical="center"/>
    </xf>
    <xf numFmtId="0" fontId="1" fillId="0" borderId="0" xfId="0" applyFont="1" applyAlignment="1">
      <alignment vertical="center"/>
    </xf>
    <xf numFmtId="0" fontId="13" fillId="0" borderId="0" xfId="0" applyFont="1" applyAlignment="1">
      <alignment vertical="center"/>
    </xf>
    <xf numFmtId="0" fontId="14"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2" xfId="0" applyFont="1" applyBorder="1" applyAlignment="1">
      <alignment horizontal="center" vertical="center"/>
    </xf>
    <xf numFmtId="0" fontId="17" fillId="0" borderId="2" xfId="0" applyFont="1" applyBorder="1" applyAlignment="1">
      <alignment horizontal="center" vertical="center"/>
    </xf>
    <xf numFmtId="0" fontId="17" fillId="0" borderId="2" xfId="0" applyFont="1" applyBorder="1" applyAlignment="1">
      <alignment vertical="center"/>
    </xf>
    <xf numFmtId="0" fontId="16" fillId="0" borderId="2" xfId="0" applyFont="1" applyBorder="1" applyAlignment="1">
      <alignment horizontal="center" vertical="center" wrapText="1"/>
    </xf>
    <xf numFmtId="0" fontId="14" fillId="0" borderId="2" xfId="0" applyFont="1" applyBorder="1" applyAlignment="1">
      <alignment horizontal="left" vertical="center" wrapText="1"/>
    </xf>
    <xf numFmtId="0" fontId="14" fillId="0" borderId="2" xfId="0" applyFont="1" applyBorder="1" applyAlignment="1">
      <alignment horizontal="justify" vertical="center"/>
    </xf>
    <xf numFmtId="0" fontId="14" fillId="0" borderId="2" xfId="0" applyFont="1" applyBorder="1" applyAlignment="1">
      <alignment horizontal="justify" vertical="center" wrapText="1"/>
    </xf>
    <xf numFmtId="0" fontId="15" fillId="0" borderId="2" xfId="0" applyFont="1" applyBorder="1" applyAlignment="1">
      <alignment vertical="center"/>
    </xf>
    <xf numFmtId="2" fontId="18" fillId="0" borderId="7" xfId="0" applyNumberFormat="1" applyFont="1" applyBorder="1" applyAlignment="1">
      <alignment horizontal="center" vertical="center" wrapText="1"/>
    </xf>
    <xf numFmtId="0" fontId="21" fillId="0" borderId="2" xfId="0" quotePrefix="1" applyFont="1" applyBorder="1" applyAlignment="1">
      <alignment horizontal="center" vertical="center" wrapText="1"/>
    </xf>
    <xf numFmtId="0" fontId="22" fillId="0" borderId="0" xfId="0" applyFont="1" applyAlignment="1">
      <alignment vertical="center"/>
    </xf>
    <xf numFmtId="0" fontId="18" fillId="0" borderId="2" xfId="0" applyFont="1" applyBorder="1" applyAlignment="1">
      <alignment vertical="center" wrapText="1"/>
    </xf>
    <xf numFmtId="0" fontId="18" fillId="0" borderId="2" xfId="0" applyFont="1" applyBorder="1" applyAlignment="1">
      <alignment horizontal="center" vertical="center"/>
    </xf>
    <xf numFmtId="43" fontId="7" fillId="0" borderId="2" xfId="1" applyFont="1" applyFill="1" applyBorder="1" applyAlignment="1">
      <alignment horizontal="center" vertical="center" wrapText="1"/>
    </xf>
    <xf numFmtId="164" fontId="7" fillId="0" borderId="2" xfId="1" applyNumberFormat="1" applyFont="1" applyFill="1" applyBorder="1" applyAlignment="1">
      <alignment horizontal="center" vertical="center" wrapText="1"/>
    </xf>
    <xf numFmtId="0" fontId="9" fillId="0" borderId="2" xfId="0" applyFont="1" applyBorder="1" applyAlignment="1">
      <alignment horizontal="center" vertical="center" wrapText="1"/>
    </xf>
    <xf numFmtId="43" fontId="9" fillId="0" borderId="2" xfId="1" applyFont="1" applyFill="1" applyBorder="1" applyAlignment="1">
      <alignment horizontal="center" vertical="center" wrapText="1"/>
    </xf>
    <xf numFmtId="164" fontId="9" fillId="0" borderId="2" xfId="1" applyNumberFormat="1" applyFont="1" applyFill="1" applyBorder="1" applyAlignment="1">
      <alignment horizontal="center" vertical="center" wrapText="1"/>
    </xf>
    <xf numFmtId="0" fontId="7" fillId="0" borderId="2" xfId="0" applyFont="1" applyBorder="1" applyAlignment="1">
      <alignment horizontal="center" vertical="center" wrapText="1"/>
    </xf>
    <xf numFmtId="0" fontId="6" fillId="0" borderId="2" xfId="0" applyFont="1" applyBorder="1" applyAlignment="1">
      <alignment vertical="center"/>
    </xf>
    <xf numFmtId="0" fontId="8" fillId="0" borderId="0" xfId="0" applyFont="1" applyAlignment="1">
      <alignment vertical="center"/>
    </xf>
    <xf numFmtId="0" fontId="14" fillId="0" borderId="2" xfId="0" applyFont="1" applyBorder="1" applyAlignment="1">
      <alignment horizontal="center" vertical="center"/>
    </xf>
    <xf numFmtId="165" fontId="18" fillId="0" borderId="2" xfId="1" applyNumberFormat="1" applyFont="1" applyBorder="1" applyAlignment="1">
      <alignment horizontal="center" vertical="center"/>
    </xf>
    <xf numFmtId="0" fontId="18" fillId="0" borderId="3" xfId="0" applyFont="1" applyBorder="1" applyAlignment="1">
      <alignment vertical="center"/>
    </xf>
    <xf numFmtId="0" fontId="18" fillId="0" borderId="4" xfId="0" applyFont="1" applyBorder="1" applyAlignment="1">
      <alignment vertical="center"/>
    </xf>
    <xf numFmtId="0" fontId="15" fillId="0" borderId="3" xfId="0" applyFont="1" applyBorder="1" applyAlignment="1">
      <alignment vertical="center" wrapText="1"/>
    </xf>
    <xf numFmtId="0" fontId="15" fillId="0" borderId="4" xfId="0" applyFont="1" applyBorder="1" applyAlignment="1">
      <alignment vertical="center" wrapText="1"/>
    </xf>
    <xf numFmtId="0" fontId="15" fillId="0" borderId="12" xfId="0" applyFont="1" applyBorder="1" applyAlignment="1">
      <alignment vertical="center" wrapText="1"/>
    </xf>
    <xf numFmtId="2" fontId="18" fillId="0" borderId="7" xfId="0" applyNumberFormat="1" applyFont="1" applyBorder="1" applyAlignment="1">
      <alignment horizontal="center" vertical="center" wrapText="1"/>
    </xf>
    <xf numFmtId="2" fontId="20" fillId="0" borderId="8" xfId="0" applyNumberFormat="1" applyFont="1" applyBorder="1" applyAlignment="1">
      <alignment vertical="center" wrapText="1"/>
    </xf>
    <xf numFmtId="0" fontId="2" fillId="0" borderId="1" xfId="0" applyFont="1" applyBorder="1" applyAlignment="1">
      <alignment horizontal="left" vertical="center"/>
    </xf>
    <xf numFmtId="0" fontId="18" fillId="0" borderId="7" xfId="0" applyFont="1" applyBorder="1" applyAlignment="1">
      <alignment horizontal="center" vertical="center" wrapText="1"/>
    </xf>
    <xf numFmtId="0" fontId="20" fillId="0" borderId="9" xfId="0" applyFont="1" applyBorder="1" applyAlignment="1">
      <alignment vertical="center"/>
    </xf>
    <xf numFmtId="0" fontId="18" fillId="0" borderId="10" xfId="0" applyFont="1" applyBorder="1" applyAlignment="1">
      <alignment horizontal="center" vertical="center" wrapText="1"/>
    </xf>
    <xf numFmtId="0" fontId="18" fillId="0" borderId="11" xfId="0" applyFont="1" applyBorder="1" applyAlignment="1">
      <alignment horizontal="center" vertical="center" wrapText="1"/>
    </xf>
    <xf numFmtId="0" fontId="15" fillId="0" borderId="2" xfId="0" applyFont="1" applyBorder="1" applyAlignment="1">
      <alignment horizontal="left" vertical="center" wrapText="1"/>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10" fillId="0" borderId="0" xfId="0" applyFont="1" applyAlignment="1">
      <alignment horizontal="center" vertical="center"/>
    </xf>
    <xf numFmtId="0" fontId="18" fillId="0" borderId="5" xfId="0" applyFont="1" applyBorder="1" applyAlignment="1">
      <alignment horizontal="center" vertical="center" wrapText="1"/>
    </xf>
    <xf numFmtId="0" fontId="18" fillId="0" borderId="6"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6"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36435</xdr:colOff>
      <xdr:row>3</xdr:row>
      <xdr:rowOff>34714</xdr:rowOff>
    </xdr:from>
    <xdr:to>
      <xdr:col>6</xdr:col>
      <xdr:colOff>16298</xdr:colOff>
      <xdr:row>3</xdr:row>
      <xdr:rowOff>34714</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4809518" y="521547"/>
          <a:ext cx="144036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phuc Nguyen" id="{C57DFED5-1EFE-4896-B9CF-54343C99E4CA}" userId="626254c82644ba00"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5" dT="2026-07-20T03:50:11.16" personId="{C57DFED5-1EFE-4896-B9CF-54343C99E4CA}" id="{B08E645A-0126-4B9E-9925-17849C1DD419}">
    <text>Chỉ có 5 quyết định</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Q54"/>
  <sheetViews>
    <sheetView tabSelected="1" view="pageBreakPreview" topLeftCell="A3" zoomScale="90" zoomScaleNormal="70" zoomScaleSheetLayoutView="90" workbookViewId="0">
      <selection activeCell="B11" sqref="B11"/>
    </sheetView>
  </sheetViews>
  <sheetFormatPr defaultColWidth="8.90625" defaultRowHeight="32.5" customHeight="1" x14ac:dyDescent="0.35"/>
  <cols>
    <col min="1" max="1" width="5.453125" style="5" customWidth="1"/>
    <col min="2" max="2" width="31.08984375" style="5" customWidth="1"/>
    <col min="3" max="3" width="12.7265625" style="5" customWidth="1"/>
    <col min="4" max="4" width="13.08984375" style="5" customWidth="1"/>
    <col min="5" max="5" width="13" style="5" customWidth="1"/>
    <col min="6" max="6" width="6.08984375" style="5" customWidth="1"/>
    <col min="7" max="7" width="8.7265625" style="5" customWidth="1"/>
    <col min="8" max="8" width="7" style="5" customWidth="1"/>
    <col min="9" max="9" width="6.08984375" style="5" customWidth="1"/>
    <col min="10" max="10" width="5.6328125" style="5" customWidth="1"/>
    <col min="11" max="11" width="6.08984375" style="6" customWidth="1"/>
    <col min="12" max="12" width="5.26953125" style="6" customWidth="1"/>
    <col min="13" max="13" width="6.453125" style="6" customWidth="1"/>
    <col min="14" max="14" width="5.26953125" style="6" customWidth="1"/>
    <col min="15" max="15" width="6.90625" style="6" customWidth="1"/>
    <col min="16" max="16" width="5.453125" style="6" customWidth="1"/>
    <col min="17" max="16384" width="8.90625" style="5"/>
  </cols>
  <sheetData>
    <row r="1" spans="1:17" s="3" customFormat="1" ht="16.5" hidden="1" x14ac:dyDescent="0.35">
      <c r="A1" s="52" t="s">
        <v>60</v>
      </c>
      <c r="B1" s="52"/>
      <c r="E1" s="4"/>
      <c r="F1" s="4"/>
      <c r="G1" s="50" t="s">
        <v>19</v>
      </c>
      <c r="H1" s="50"/>
      <c r="I1" s="50"/>
      <c r="J1" s="50"/>
      <c r="K1" s="50"/>
      <c r="L1" s="50"/>
      <c r="M1" s="50"/>
      <c r="N1" s="50"/>
      <c r="O1" s="50"/>
      <c r="P1" s="50"/>
    </row>
    <row r="2" spans="1:17" s="3" customFormat="1" ht="17.5" hidden="1" x14ac:dyDescent="0.35">
      <c r="A2" s="51" t="s">
        <v>23</v>
      </c>
      <c r="B2" s="51"/>
      <c r="C2" s="1"/>
      <c r="E2" s="2"/>
      <c r="F2" s="2"/>
      <c r="G2" s="49" t="s">
        <v>20</v>
      </c>
      <c r="H2" s="49"/>
      <c r="I2" s="49"/>
      <c r="J2" s="49"/>
      <c r="K2" s="49"/>
      <c r="L2" s="49"/>
      <c r="M2" s="49"/>
      <c r="N2" s="49"/>
      <c r="O2" s="49"/>
      <c r="P2" s="49"/>
    </row>
    <row r="3" spans="1:17" ht="38.25" customHeight="1" x14ac:dyDescent="0.35">
      <c r="A3" s="49" t="s">
        <v>85</v>
      </c>
      <c r="B3" s="49"/>
      <c r="C3" s="49"/>
      <c r="D3" s="49"/>
      <c r="E3" s="49"/>
      <c r="F3" s="49"/>
      <c r="G3" s="49"/>
      <c r="H3" s="49"/>
      <c r="I3" s="49"/>
      <c r="J3" s="49"/>
      <c r="K3" s="49"/>
      <c r="L3" s="49"/>
      <c r="M3" s="49"/>
      <c r="N3" s="49"/>
      <c r="O3" s="49"/>
      <c r="P3" s="49"/>
    </row>
    <row r="4" spans="1:17" ht="24.65" customHeight="1" x14ac:dyDescent="0.35">
      <c r="A4" s="41"/>
      <c r="B4" s="41"/>
      <c r="C4" s="41"/>
      <c r="D4" s="41"/>
      <c r="E4" s="41"/>
      <c r="F4" s="41"/>
      <c r="G4" s="41"/>
      <c r="H4" s="41"/>
      <c r="I4" s="41"/>
      <c r="J4" s="41"/>
      <c r="K4" s="41"/>
      <c r="L4" s="41"/>
      <c r="M4" s="41"/>
      <c r="N4" s="41"/>
      <c r="O4" s="41"/>
      <c r="P4" s="41"/>
    </row>
    <row r="5" spans="1:17" ht="30.75" customHeight="1" x14ac:dyDescent="0.35">
      <c r="A5" s="53" t="s">
        <v>0</v>
      </c>
      <c r="B5" s="53" t="s">
        <v>1</v>
      </c>
      <c r="C5" s="53" t="s">
        <v>2</v>
      </c>
      <c r="D5" s="53" t="s">
        <v>24</v>
      </c>
      <c r="E5" s="53" t="s">
        <v>49</v>
      </c>
      <c r="F5" s="53" t="s">
        <v>11</v>
      </c>
      <c r="G5" s="55" t="s">
        <v>54</v>
      </c>
      <c r="H5" s="42" t="s">
        <v>37</v>
      </c>
      <c r="I5" s="42" t="s">
        <v>38</v>
      </c>
      <c r="J5" s="44" t="s">
        <v>44</v>
      </c>
      <c r="K5" s="39" t="s">
        <v>39</v>
      </c>
      <c r="L5" s="40"/>
      <c r="M5" s="39" t="s">
        <v>40</v>
      </c>
      <c r="N5" s="40"/>
      <c r="O5" s="39" t="s">
        <v>41</v>
      </c>
      <c r="P5" s="40"/>
      <c r="Q5" s="3"/>
    </row>
    <row r="6" spans="1:17" ht="65.25" customHeight="1" x14ac:dyDescent="0.35">
      <c r="A6" s="54"/>
      <c r="B6" s="54"/>
      <c r="C6" s="54"/>
      <c r="D6" s="54"/>
      <c r="E6" s="54"/>
      <c r="F6" s="54"/>
      <c r="G6" s="56"/>
      <c r="H6" s="43"/>
      <c r="I6" s="43"/>
      <c r="J6" s="45"/>
      <c r="K6" s="19" t="s">
        <v>42</v>
      </c>
      <c r="L6" s="19" t="s">
        <v>43</v>
      </c>
      <c r="M6" s="19" t="s">
        <v>42</v>
      </c>
      <c r="N6" s="19" t="s">
        <v>43</v>
      </c>
      <c r="O6" s="19" t="s">
        <v>42</v>
      </c>
      <c r="P6" s="19" t="s">
        <v>43</v>
      </c>
      <c r="Q6" s="3"/>
    </row>
    <row r="7" spans="1:17" s="21" customFormat="1" ht="18" hidden="1" customHeight="1" x14ac:dyDescent="0.35">
      <c r="A7" s="20" t="s">
        <v>12</v>
      </c>
      <c r="B7" s="20" t="s">
        <v>13</v>
      </c>
      <c r="C7" s="20" t="s">
        <v>14</v>
      </c>
      <c r="D7" s="20" t="s">
        <v>15</v>
      </c>
      <c r="E7" s="20" t="s">
        <v>16</v>
      </c>
      <c r="F7" s="20" t="s">
        <v>17</v>
      </c>
      <c r="G7" s="20" t="s">
        <v>18</v>
      </c>
      <c r="H7" s="20" t="s">
        <v>50</v>
      </c>
      <c r="I7" s="20" t="s">
        <v>59</v>
      </c>
      <c r="J7" s="20" t="s">
        <v>58</v>
      </c>
      <c r="K7" s="20" t="s">
        <v>52</v>
      </c>
      <c r="L7" s="20" t="s">
        <v>57</v>
      </c>
      <c r="M7" s="20" t="s">
        <v>51</v>
      </c>
      <c r="N7" s="20" t="s">
        <v>55</v>
      </c>
      <c r="O7" s="20" t="s">
        <v>53</v>
      </c>
      <c r="P7" s="20" t="s">
        <v>56</v>
      </c>
    </row>
    <row r="8" spans="1:17" ht="16.5" x14ac:dyDescent="0.35">
      <c r="A8" s="10" t="s">
        <v>3</v>
      </c>
      <c r="B8" s="36" t="s">
        <v>48</v>
      </c>
      <c r="C8" s="37"/>
      <c r="D8" s="37"/>
      <c r="E8" s="37"/>
      <c r="F8" s="37"/>
      <c r="G8" s="37"/>
      <c r="H8" s="37"/>
      <c r="I8" s="37"/>
      <c r="J8" s="38"/>
      <c r="K8" s="22"/>
      <c r="L8" s="22"/>
      <c r="M8" s="22"/>
      <c r="N8" s="22"/>
      <c r="O8" s="22"/>
      <c r="P8" s="22"/>
    </row>
    <row r="9" spans="1:17" ht="16.5" x14ac:dyDescent="0.35">
      <c r="A9" s="11">
        <v>1</v>
      </c>
      <c r="B9" s="18" t="s">
        <v>4</v>
      </c>
      <c r="C9" s="18"/>
      <c r="D9" s="18"/>
      <c r="E9" s="18"/>
      <c r="F9" s="12"/>
      <c r="G9" s="13"/>
      <c r="H9" s="13"/>
      <c r="I9" s="13"/>
      <c r="J9" s="12">
        <f t="shared" ref="J9" si="0">SUM(J10:J12)</f>
        <v>4.7</v>
      </c>
      <c r="K9" s="33">
        <f>SUM(K10:K21)</f>
        <v>17.04</v>
      </c>
      <c r="L9" s="33">
        <f t="shared" ref="L9:P9" si="1">SUM(L10:L21)</f>
        <v>23.247999999999998</v>
      </c>
      <c r="M9" s="33">
        <f t="shared" si="1"/>
        <v>16.04</v>
      </c>
      <c r="N9" s="33">
        <f t="shared" si="1"/>
        <v>22.047999999999995</v>
      </c>
      <c r="O9" s="33">
        <f t="shared" si="1"/>
        <v>16.04</v>
      </c>
      <c r="P9" s="33">
        <f t="shared" si="1"/>
        <v>22.048000000000002</v>
      </c>
    </row>
    <row r="10" spans="1:17" ht="49.5" x14ac:dyDescent="0.35">
      <c r="A10" s="14" t="s">
        <v>21</v>
      </c>
      <c r="B10" s="17" t="s">
        <v>86</v>
      </c>
      <c r="C10" s="9" t="s">
        <v>27</v>
      </c>
      <c r="D10" s="9" t="s">
        <v>65</v>
      </c>
      <c r="E10" s="9" t="s">
        <v>66</v>
      </c>
      <c r="F10" s="9">
        <v>1</v>
      </c>
      <c r="G10" s="9" t="s">
        <v>32</v>
      </c>
      <c r="H10" s="26">
        <f t="shared" ref="H10:H21" si="2">IF(G10="Khó và phức tạp",200,IF(G10="Cao",150,IF(G10="Trung bình",120,IF(G10="Thấp",100))))</f>
        <v>150</v>
      </c>
      <c r="I10" s="26">
        <f t="shared" ref="I10:I20" si="3">H10*0.01</f>
        <v>1.5</v>
      </c>
      <c r="J10" s="26">
        <f t="shared" ref="J10:J21" si="4">F10*I10</f>
        <v>1.5</v>
      </c>
      <c r="K10" s="27">
        <f t="shared" ref="K10:K21" si="5">F10*100%</f>
        <v>1</v>
      </c>
      <c r="L10" s="28">
        <f t="shared" ref="L10:L21" si="6">K10*I10</f>
        <v>1.5</v>
      </c>
      <c r="M10" s="27">
        <f t="shared" ref="M10:M15" si="7">K10*100%</f>
        <v>1</v>
      </c>
      <c r="N10" s="28">
        <f t="shared" ref="N10:N21" si="8">I10*M10</f>
        <v>1.5</v>
      </c>
      <c r="O10" s="27">
        <f>M10*100%</f>
        <v>1</v>
      </c>
      <c r="P10" s="28">
        <f t="shared" ref="P10:P21" si="9">I10*O10</f>
        <v>1.5</v>
      </c>
    </row>
    <row r="11" spans="1:17" ht="66" x14ac:dyDescent="0.35">
      <c r="A11" s="14" t="s">
        <v>22</v>
      </c>
      <c r="B11" s="17" t="s">
        <v>87</v>
      </c>
      <c r="C11" s="9" t="s">
        <v>25</v>
      </c>
      <c r="D11" s="9" t="s">
        <v>47</v>
      </c>
      <c r="E11" s="9" t="s">
        <v>30</v>
      </c>
      <c r="F11" s="9">
        <v>1</v>
      </c>
      <c r="G11" s="9" t="s">
        <v>33</v>
      </c>
      <c r="H11" s="26">
        <f t="shared" si="2"/>
        <v>200</v>
      </c>
      <c r="I11" s="26">
        <f t="shared" si="3"/>
        <v>2</v>
      </c>
      <c r="J11" s="26">
        <f t="shared" si="4"/>
        <v>2</v>
      </c>
      <c r="K11" s="27">
        <f t="shared" si="5"/>
        <v>1</v>
      </c>
      <c r="L11" s="28">
        <f t="shared" si="6"/>
        <v>2</v>
      </c>
      <c r="M11" s="27">
        <f t="shared" si="7"/>
        <v>1</v>
      </c>
      <c r="N11" s="28">
        <f t="shared" si="8"/>
        <v>2</v>
      </c>
      <c r="O11" s="27">
        <f t="shared" ref="O11:O18" si="10">K11*100%</f>
        <v>1</v>
      </c>
      <c r="P11" s="28">
        <f t="shared" si="9"/>
        <v>2</v>
      </c>
    </row>
    <row r="12" spans="1:17" ht="66" x14ac:dyDescent="0.35">
      <c r="A12" s="14" t="s">
        <v>70</v>
      </c>
      <c r="B12" s="17" t="s">
        <v>88</v>
      </c>
      <c r="C12" s="9" t="s">
        <v>26</v>
      </c>
      <c r="D12" s="9" t="s">
        <v>36</v>
      </c>
      <c r="E12" s="9" t="s">
        <v>30</v>
      </c>
      <c r="F12" s="9">
        <v>1</v>
      </c>
      <c r="G12" s="9" t="s">
        <v>31</v>
      </c>
      <c r="H12" s="26">
        <f t="shared" si="2"/>
        <v>120</v>
      </c>
      <c r="I12" s="26">
        <f t="shared" si="3"/>
        <v>1.2</v>
      </c>
      <c r="J12" s="26">
        <f t="shared" si="4"/>
        <v>1.2</v>
      </c>
      <c r="K12" s="27">
        <f t="shared" si="5"/>
        <v>1</v>
      </c>
      <c r="L12" s="28">
        <f t="shared" si="6"/>
        <v>1.2</v>
      </c>
      <c r="M12" s="27">
        <f t="shared" si="7"/>
        <v>1</v>
      </c>
      <c r="N12" s="28">
        <f t="shared" si="8"/>
        <v>1.2</v>
      </c>
      <c r="O12" s="27">
        <f>K12*100%</f>
        <v>1</v>
      </c>
      <c r="P12" s="28">
        <f t="shared" si="9"/>
        <v>1.2</v>
      </c>
    </row>
    <row r="13" spans="1:17" ht="49.5" x14ac:dyDescent="0.35">
      <c r="A13" s="14" t="s">
        <v>71</v>
      </c>
      <c r="B13" s="17" t="s">
        <v>89</v>
      </c>
      <c r="C13" s="9" t="s">
        <v>26</v>
      </c>
      <c r="D13" s="9" t="s">
        <v>35</v>
      </c>
      <c r="E13" s="9" t="s">
        <v>90</v>
      </c>
      <c r="F13" s="9">
        <v>2</v>
      </c>
      <c r="G13" s="9" t="s">
        <v>32</v>
      </c>
      <c r="H13" s="26">
        <f t="shared" si="2"/>
        <v>150</v>
      </c>
      <c r="I13" s="26">
        <f t="shared" si="3"/>
        <v>1.5</v>
      </c>
      <c r="J13" s="26">
        <f t="shared" si="4"/>
        <v>3</v>
      </c>
      <c r="K13" s="27">
        <f t="shared" si="5"/>
        <v>2</v>
      </c>
      <c r="L13" s="28">
        <f t="shared" si="6"/>
        <v>3</v>
      </c>
      <c r="M13" s="27">
        <f t="shared" si="7"/>
        <v>2</v>
      </c>
      <c r="N13" s="28">
        <f t="shared" si="8"/>
        <v>3</v>
      </c>
      <c r="O13" s="27">
        <f t="shared" si="10"/>
        <v>2</v>
      </c>
      <c r="P13" s="28">
        <f t="shared" si="9"/>
        <v>3</v>
      </c>
    </row>
    <row r="14" spans="1:17" ht="165" x14ac:dyDescent="0.35">
      <c r="A14" s="14" t="s">
        <v>72</v>
      </c>
      <c r="B14" s="17" t="s">
        <v>91</v>
      </c>
      <c r="C14" s="9" t="s">
        <v>26</v>
      </c>
      <c r="D14" s="9" t="s">
        <v>92</v>
      </c>
      <c r="E14" s="9" t="s">
        <v>67</v>
      </c>
      <c r="F14" s="9">
        <v>1</v>
      </c>
      <c r="G14" s="9" t="s">
        <v>32</v>
      </c>
      <c r="H14" s="26">
        <f t="shared" si="2"/>
        <v>150</v>
      </c>
      <c r="I14" s="26">
        <f t="shared" si="3"/>
        <v>1.5</v>
      </c>
      <c r="J14" s="26">
        <f t="shared" si="4"/>
        <v>1.5</v>
      </c>
      <c r="K14" s="27">
        <f t="shared" si="5"/>
        <v>1</v>
      </c>
      <c r="L14" s="28">
        <f t="shared" si="6"/>
        <v>1.5</v>
      </c>
      <c r="M14" s="27">
        <f t="shared" si="7"/>
        <v>1</v>
      </c>
      <c r="N14" s="28">
        <f t="shared" si="8"/>
        <v>1.5</v>
      </c>
      <c r="O14" s="27">
        <f t="shared" si="10"/>
        <v>1</v>
      </c>
      <c r="P14" s="28">
        <f t="shared" si="9"/>
        <v>1.5</v>
      </c>
    </row>
    <row r="15" spans="1:17" ht="66" x14ac:dyDescent="0.35">
      <c r="A15" s="14" t="s">
        <v>73</v>
      </c>
      <c r="B15" s="17" t="s">
        <v>93</v>
      </c>
      <c r="C15" s="9" t="s">
        <v>25</v>
      </c>
      <c r="D15" s="9" t="s">
        <v>64</v>
      </c>
      <c r="E15" s="9" t="s">
        <v>30</v>
      </c>
      <c r="F15" s="9">
        <v>8</v>
      </c>
      <c r="G15" s="9" t="s">
        <v>31</v>
      </c>
      <c r="H15" s="26">
        <f t="shared" si="2"/>
        <v>120</v>
      </c>
      <c r="I15" s="26">
        <f t="shared" si="3"/>
        <v>1.2</v>
      </c>
      <c r="J15" s="26">
        <f t="shared" si="4"/>
        <v>9.6</v>
      </c>
      <c r="K15" s="27">
        <f>F15*63%</f>
        <v>5.04</v>
      </c>
      <c r="L15" s="28">
        <f t="shared" si="6"/>
        <v>6.048</v>
      </c>
      <c r="M15" s="27">
        <f t="shared" si="7"/>
        <v>5.04</v>
      </c>
      <c r="N15" s="28">
        <f t="shared" si="8"/>
        <v>6.048</v>
      </c>
      <c r="O15" s="27">
        <f t="shared" si="10"/>
        <v>5.04</v>
      </c>
      <c r="P15" s="28">
        <f t="shared" si="9"/>
        <v>6.048</v>
      </c>
    </row>
    <row r="16" spans="1:17" ht="214.5" x14ac:dyDescent="0.35">
      <c r="A16" s="14" t="s">
        <v>74</v>
      </c>
      <c r="B16" s="17" t="s">
        <v>94</v>
      </c>
      <c r="C16" s="9" t="s">
        <v>26</v>
      </c>
      <c r="D16" s="9" t="s">
        <v>35</v>
      </c>
      <c r="E16" s="9" t="s">
        <v>95</v>
      </c>
      <c r="F16" s="9">
        <v>1</v>
      </c>
      <c r="G16" s="9" t="s">
        <v>31</v>
      </c>
      <c r="H16" s="26">
        <f t="shared" si="2"/>
        <v>120</v>
      </c>
      <c r="I16" s="26">
        <f t="shared" si="3"/>
        <v>1.2</v>
      </c>
      <c r="J16" s="26">
        <f t="shared" si="4"/>
        <v>1.2</v>
      </c>
      <c r="K16" s="27">
        <f t="shared" si="5"/>
        <v>1</v>
      </c>
      <c r="L16" s="28">
        <f t="shared" si="6"/>
        <v>1.2</v>
      </c>
      <c r="M16" s="27">
        <f>K16*100%</f>
        <v>1</v>
      </c>
      <c r="N16" s="28">
        <f t="shared" si="8"/>
        <v>1.2</v>
      </c>
      <c r="O16" s="27">
        <f>K16*100%</f>
        <v>1</v>
      </c>
      <c r="P16" s="28">
        <f t="shared" si="9"/>
        <v>1.2</v>
      </c>
    </row>
    <row r="17" spans="1:17" ht="132" x14ac:dyDescent="0.35">
      <c r="A17" s="14" t="s">
        <v>75</v>
      </c>
      <c r="B17" s="17" t="s">
        <v>96</v>
      </c>
      <c r="C17" s="9" t="s">
        <v>26</v>
      </c>
      <c r="D17" s="9" t="s">
        <v>34</v>
      </c>
      <c r="E17" s="9" t="s">
        <v>66</v>
      </c>
      <c r="F17" s="9">
        <v>1</v>
      </c>
      <c r="G17" s="9" t="s">
        <v>31</v>
      </c>
      <c r="H17" s="26">
        <f t="shared" si="2"/>
        <v>120</v>
      </c>
      <c r="I17" s="26">
        <f t="shared" si="3"/>
        <v>1.2</v>
      </c>
      <c r="J17" s="26">
        <f t="shared" si="4"/>
        <v>1.2</v>
      </c>
      <c r="K17" s="27">
        <f t="shared" si="5"/>
        <v>1</v>
      </c>
      <c r="L17" s="28">
        <f t="shared" si="6"/>
        <v>1.2</v>
      </c>
      <c r="M17" s="27">
        <f t="shared" ref="M17:M19" si="11">K17*75%</f>
        <v>0.75</v>
      </c>
      <c r="N17" s="28">
        <f t="shared" si="8"/>
        <v>0.89999999999999991</v>
      </c>
      <c r="O17" s="27">
        <f>K17*100%</f>
        <v>1</v>
      </c>
      <c r="P17" s="28">
        <f t="shared" si="9"/>
        <v>1.2</v>
      </c>
    </row>
    <row r="18" spans="1:17" ht="99" x14ac:dyDescent="0.35">
      <c r="A18" s="14" t="s">
        <v>76</v>
      </c>
      <c r="B18" s="17" t="s">
        <v>97</v>
      </c>
      <c r="C18" s="9" t="s">
        <v>26</v>
      </c>
      <c r="D18" s="9" t="s">
        <v>36</v>
      </c>
      <c r="E18" s="9" t="s">
        <v>66</v>
      </c>
      <c r="F18" s="9">
        <v>1</v>
      </c>
      <c r="G18" s="9" t="s">
        <v>31</v>
      </c>
      <c r="H18" s="26">
        <f t="shared" si="2"/>
        <v>120</v>
      </c>
      <c r="I18" s="26">
        <f t="shared" si="3"/>
        <v>1.2</v>
      </c>
      <c r="J18" s="26">
        <f t="shared" si="4"/>
        <v>1.2</v>
      </c>
      <c r="K18" s="27">
        <f t="shared" si="5"/>
        <v>1</v>
      </c>
      <c r="L18" s="28">
        <f t="shared" si="6"/>
        <v>1.2</v>
      </c>
      <c r="M18" s="27">
        <f>K18*75%</f>
        <v>0.75</v>
      </c>
      <c r="N18" s="28">
        <f t="shared" si="8"/>
        <v>0.89999999999999991</v>
      </c>
      <c r="O18" s="27">
        <f t="shared" si="10"/>
        <v>1</v>
      </c>
      <c r="P18" s="28">
        <f t="shared" si="9"/>
        <v>1.2</v>
      </c>
    </row>
    <row r="19" spans="1:17" ht="115.5" x14ac:dyDescent="0.35">
      <c r="A19" s="14" t="s">
        <v>61</v>
      </c>
      <c r="B19" s="17" t="s">
        <v>98</v>
      </c>
      <c r="C19" s="9" t="s">
        <v>26</v>
      </c>
      <c r="D19" s="9" t="s">
        <v>28</v>
      </c>
      <c r="E19" s="9" t="s">
        <v>66</v>
      </c>
      <c r="F19" s="9">
        <v>1</v>
      </c>
      <c r="G19" s="9" t="s">
        <v>31</v>
      </c>
      <c r="H19" s="26">
        <f t="shared" si="2"/>
        <v>120</v>
      </c>
      <c r="I19" s="26">
        <f t="shared" si="3"/>
        <v>1.2</v>
      </c>
      <c r="J19" s="26">
        <f t="shared" si="4"/>
        <v>1.2</v>
      </c>
      <c r="K19" s="27">
        <f t="shared" si="5"/>
        <v>1</v>
      </c>
      <c r="L19" s="28">
        <f t="shared" si="6"/>
        <v>1.2</v>
      </c>
      <c r="M19" s="27">
        <f t="shared" si="11"/>
        <v>0.75</v>
      </c>
      <c r="N19" s="28">
        <f t="shared" si="8"/>
        <v>0.89999999999999991</v>
      </c>
      <c r="O19" s="27">
        <f>K19*50%</f>
        <v>0.5</v>
      </c>
      <c r="P19" s="28">
        <f t="shared" si="9"/>
        <v>0.6</v>
      </c>
    </row>
    <row r="20" spans="1:17" ht="148.5" x14ac:dyDescent="0.35">
      <c r="A20" s="14" t="s">
        <v>62</v>
      </c>
      <c r="B20" s="17" t="s">
        <v>99</v>
      </c>
      <c r="C20" s="9" t="s">
        <v>26</v>
      </c>
      <c r="D20" s="9" t="s">
        <v>28</v>
      </c>
      <c r="E20" s="9" t="s">
        <v>66</v>
      </c>
      <c r="F20" s="9">
        <v>1</v>
      </c>
      <c r="G20" s="9" t="s">
        <v>31</v>
      </c>
      <c r="H20" s="26">
        <f t="shared" si="2"/>
        <v>120</v>
      </c>
      <c r="I20" s="26">
        <f t="shared" si="3"/>
        <v>1.2</v>
      </c>
      <c r="J20" s="26">
        <f t="shared" si="4"/>
        <v>1.2</v>
      </c>
      <c r="K20" s="27">
        <f t="shared" si="5"/>
        <v>1</v>
      </c>
      <c r="L20" s="28">
        <f t="shared" si="6"/>
        <v>1.2</v>
      </c>
      <c r="M20" s="24">
        <f>K20*75%</f>
        <v>0.75</v>
      </c>
      <c r="N20" s="28">
        <f t="shared" si="8"/>
        <v>0.89999999999999991</v>
      </c>
      <c r="O20" s="24">
        <f>K20*50%</f>
        <v>0.5</v>
      </c>
      <c r="P20" s="28">
        <f t="shared" si="9"/>
        <v>0.6</v>
      </c>
    </row>
    <row r="21" spans="1:17" s="6" customFormat="1" ht="99" x14ac:dyDescent="0.35">
      <c r="A21" s="14" t="s">
        <v>63</v>
      </c>
      <c r="B21" s="17" t="s">
        <v>138</v>
      </c>
      <c r="C21" s="9" t="s">
        <v>26</v>
      </c>
      <c r="D21" s="9" t="s">
        <v>36</v>
      </c>
      <c r="E21" s="9" t="s">
        <v>141</v>
      </c>
      <c r="F21" s="9">
        <v>1</v>
      </c>
      <c r="G21" s="9" t="s">
        <v>33</v>
      </c>
      <c r="H21" s="26">
        <f t="shared" si="2"/>
        <v>200</v>
      </c>
      <c r="I21" s="26">
        <f>H21*0.01</f>
        <v>2</v>
      </c>
      <c r="J21" s="26">
        <f t="shared" si="4"/>
        <v>2</v>
      </c>
      <c r="K21" s="27">
        <f t="shared" si="5"/>
        <v>1</v>
      </c>
      <c r="L21" s="28">
        <f t="shared" si="6"/>
        <v>2</v>
      </c>
      <c r="M21" s="27">
        <f>K21*100%</f>
        <v>1</v>
      </c>
      <c r="N21" s="28">
        <f t="shared" si="8"/>
        <v>2</v>
      </c>
      <c r="O21" s="27">
        <f t="shared" ref="O21" si="12">K21*100%</f>
        <v>1</v>
      </c>
      <c r="P21" s="28">
        <f t="shared" si="9"/>
        <v>2</v>
      </c>
      <c r="Q21" s="31"/>
    </row>
    <row r="22" spans="1:17" ht="16.5" x14ac:dyDescent="0.35">
      <c r="A22" s="11">
        <v>2</v>
      </c>
      <c r="B22" s="46" t="s">
        <v>5</v>
      </c>
      <c r="C22" s="46"/>
      <c r="D22" s="46"/>
      <c r="E22" s="46"/>
      <c r="F22" s="12">
        <f>SUM(F23:F24)</f>
        <v>2</v>
      </c>
      <c r="G22" s="13"/>
      <c r="H22" s="13"/>
      <c r="I22" s="13"/>
      <c r="J22" s="12">
        <f t="shared" ref="J22:P22" si="13">SUM(J23:J24)</f>
        <v>2.4</v>
      </c>
      <c r="K22" s="23">
        <f t="shared" si="13"/>
        <v>2</v>
      </c>
      <c r="L22" s="23">
        <f t="shared" si="13"/>
        <v>2.4</v>
      </c>
      <c r="M22" s="23">
        <f t="shared" si="13"/>
        <v>1.5</v>
      </c>
      <c r="N22" s="23">
        <f t="shared" si="13"/>
        <v>1.7999999999999998</v>
      </c>
      <c r="O22" s="23">
        <f t="shared" si="13"/>
        <v>1</v>
      </c>
      <c r="P22" s="23">
        <f t="shared" si="13"/>
        <v>1.2</v>
      </c>
    </row>
    <row r="23" spans="1:17" ht="82.5" x14ac:dyDescent="0.35">
      <c r="A23" s="14" t="s">
        <v>78</v>
      </c>
      <c r="B23" s="16" t="s">
        <v>101</v>
      </c>
      <c r="C23" s="9" t="s">
        <v>26</v>
      </c>
      <c r="D23" s="9" t="s">
        <v>28</v>
      </c>
      <c r="E23" s="9" t="s">
        <v>66</v>
      </c>
      <c r="F23" s="9">
        <v>1</v>
      </c>
      <c r="G23" s="9" t="s">
        <v>31</v>
      </c>
      <c r="H23" s="29">
        <f t="shared" ref="H23" si="14">IF(G23="Khó và phức tạp",200,IF(G23="Cao",150,IF(G23="Trung bình",120,IF(G23="Thấp",100))))</f>
        <v>120</v>
      </c>
      <c r="I23" s="29">
        <f t="shared" ref="I23" si="15">H23*0.01</f>
        <v>1.2</v>
      </c>
      <c r="J23" s="29">
        <f t="shared" ref="J23" si="16">F23*I23</f>
        <v>1.2</v>
      </c>
      <c r="K23" s="24">
        <f t="shared" ref="K23" si="17">F23*100%</f>
        <v>1</v>
      </c>
      <c r="L23" s="25">
        <f t="shared" ref="L23" si="18">K23*I23</f>
        <v>1.2</v>
      </c>
      <c r="M23" s="24">
        <f>K23*75%</f>
        <v>0.75</v>
      </c>
      <c r="N23" s="25">
        <f t="shared" ref="N23" si="19">I23*M23</f>
        <v>0.89999999999999991</v>
      </c>
      <c r="O23" s="24">
        <f>K23*50%</f>
        <v>0.5</v>
      </c>
      <c r="P23" s="25">
        <f t="shared" ref="P23" si="20">I23*O23</f>
        <v>0.6</v>
      </c>
    </row>
    <row r="24" spans="1:17" ht="132" x14ac:dyDescent="0.35">
      <c r="A24" s="14" t="s">
        <v>79</v>
      </c>
      <c r="B24" s="16" t="s">
        <v>102</v>
      </c>
      <c r="C24" s="9" t="s">
        <v>26</v>
      </c>
      <c r="D24" s="9" t="s">
        <v>28</v>
      </c>
      <c r="E24" s="9" t="s">
        <v>66</v>
      </c>
      <c r="F24" s="9">
        <v>1</v>
      </c>
      <c r="G24" s="9" t="s">
        <v>31</v>
      </c>
      <c r="H24" s="26">
        <f>IF(G24="Khó và phức tạp",200,IF(G24="Cao",150,IF(G24="Trung bình",120,IF(G24="Thấp",100))))</f>
        <v>120</v>
      </c>
      <c r="I24" s="26">
        <f>H24*0.01</f>
        <v>1.2</v>
      </c>
      <c r="J24" s="26">
        <f>F24*I24</f>
        <v>1.2</v>
      </c>
      <c r="K24" s="27">
        <f>F24*100%</f>
        <v>1</v>
      </c>
      <c r="L24" s="28">
        <f>K24*I24</f>
        <v>1.2</v>
      </c>
      <c r="M24" s="24">
        <f>K24*75%</f>
        <v>0.75</v>
      </c>
      <c r="N24" s="28">
        <f>I24*M24</f>
        <v>0.89999999999999991</v>
      </c>
      <c r="O24" s="24">
        <f>K24*50%</f>
        <v>0.5</v>
      </c>
      <c r="P24" s="28">
        <f>I24*O24</f>
        <v>0.6</v>
      </c>
    </row>
    <row r="25" spans="1:17" ht="16.5" x14ac:dyDescent="0.35">
      <c r="A25" s="11">
        <v>3</v>
      </c>
      <c r="B25" s="46" t="s">
        <v>6</v>
      </c>
      <c r="C25" s="46"/>
      <c r="D25" s="46"/>
      <c r="E25" s="46"/>
      <c r="F25" s="12">
        <f>SUM(F26:F26)</f>
        <v>2</v>
      </c>
      <c r="G25" s="13"/>
      <c r="H25" s="13"/>
      <c r="I25" s="13"/>
      <c r="J25" s="12">
        <f t="shared" ref="J25:P25" si="21">SUM(J26:J26)</f>
        <v>2</v>
      </c>
      <c r="K25" s="23">
        <f t="shared" si="21"/>
        <v>2</v>
      </c>
      <c r="L25" s="23">
        <f t="shared" si="21"/>
        <v>2</v>
      </c>
      <c r="M25" s="23">
        <f t="shared" si="21"/>
        <v>2</v>
      </c>
      <c r="N25" s="23">
        <f t="shared" si="21"/>
        <v>2</v>
      </c>
      <c r="O25" s="23">
        <f t="shared" si="21"/>
        <v>2</v>
      </c>
      <c r="P25" s="23">
        <f t="shared" si="21"/>
        <v>2</v>
      </c>
    </row>
    <row r="26" spans="1:17" ht="99" x14ac:dyDescent="0.35">
      <c r="A26" s="14" t="s">
        <v>80</v>
      </c>
      <c r="B26" s="17" t="s">
        <v>103</v>
      </c>
      <c r="C26" s="9" t="s">
        <v>26</v>
      </c>
      <c r="D26" s="9" t="s">
        <v>35</v>
      </c>
      <c r="E26" s="9" t="s">
        <v>30</v>
      </c>
      <c r="F26" s="9">
        <v>2</v>
      </c>
      <c r="G26" s="9" t="s">
        <v>45</v>
      </c>
      <c r="H26" s="26">
        <f t="shared" ref="H26" si="22">IF(G26="Khó và phức tạp",200,IF(G26="Cao",150,IF(G26="Trung bình",120,IF(G26="Thấp",100))))</f>
        <v>100</v>
      </c>
      <c r="I26" s="26">
        <f t="shared" ref="I26" si="23">H26*0.01</f>
        <v>1</v>
      </c>
      <c r="J26" s="26">
        <f t="shared" ref="J26" si="24">F26*I26</f>
        <v>2</v>
      </c>
      <c r="K26" s="27">
        <f t="shared" ref="K26" si="25">F26*100%</f>
        <v>2</v>
      </c>
      <c r="L26" s="28">
        <f t="shared" ref="L26" si="26">K26*I26</f>
        <v>2</v>
      </c>
      <c r="M26" s="27">
        <f>K26*100%</f>
        <v>2</v>
      </c>
      <c r="N26" s="28">
        <f t="shared" ref="N26" si="27">I26*M26</f>
        <v>2</v>
      </c>
      <c r="O26" s="27">
        <f t="shared" ref="O26" si="28">K26*100%</f>
        <v>2</v>
      </c>
      <c r="P26" s="28">
        <f t="shared" ref="P26" si="29">I26*O26</f>
        <v>2</v>
      </c>
    </row>
    <row r="27" spans="1:17" ht="16.5" x14ac:dyDescent="0.35">
      <c r="A27" s="11">
        <v>4</v>
      </c>
      <c r="B27" s="46" t="s">
        <v>7</v>
      </c>
      <c r="C27" s="46"/>
      <c r="D27" s="46"/>
      <c r="E27" s="46"/>
      <c r="F27" s="12">
        <f>SUM(F28:F31)</f>
        <v>6</v>
      </c>
      <c r="G27" s="13"/>
      <c r="H27" s="13"/>
      <c r="I27" s="13"/>
      <c r="J27" s="12">
        <f t="shared" ref="J27:P27" si="30">SUM(J28:J31)</f>
        <v>8</v>
      </c>
      <c r="K27" s="23">
        <f t="shared" si="30"/>
        <v>6</v>
      </c>
      <c r="L27" s="23">
        <f t="shared" si="30"/>
        <v>8</v>
      </c>
      <c r="M27" s="23">
        <f t="shared" si="30"/>
        <v>5.75</v>
      </c>
      <c r="N27" s="23">
        <f t="shared" si="30"/>
        <v>7.5</v>
      </c>
      <c r="O27" s="23">
        <f t="shared" si="30"/>
        <v>6</v>
      </c>
      <c r="P27" s="23">
        <f t="shared" si="30"/>
        <v>8</v>
      </c>
    </row>
    <row r="28" spans="1:17" ht="66" x14ac:dyDescent="0.35">
      <c r="A28" s="14">
        <v>4.0999999999999996</v>
      </c>
      <c r="B28" s="17" t="s">
        <v>104</v>
      </c>
      <c r="C28" s="9" t="s">
        <v>105</v>
      </c>
      <c r="D28" s="9" t="s">
        <v>106</v>
      </c>
      <c r="E28" s="9" t="s">
        <v>107</v>
      </c>
      <c r="F28" s="9">
        <v>3</v>
      </c>
      <c r="G28" s="9" t="s">
        <v>31</v>
      </c>
      <c r="H28" s="26">
        <f t="shared" ref="H28:H31" si="31">IF(G28="Khó và phức tạp",200,IF(G28="Cao",150,IF(G28="Trung bình",120,IF(G28="Thấp",100))))</f>
        <v>120</v>
      </c>
      <c r="I28" s="26">
        <f t="shared" ref="I28:I31" si="32">H28*0.01</f>
        <v>1.2</v>
      </c>
      <c r="J28" s="26">
        <f t="shared" ref="J28:J31" si="33">F28*I28</f>
        <v>3.5999999999999996</v>
      </c>
      <c r="K28" s="27">
        <f t="shared" ref="K28:K31" si="34">F28*100%</f>
        <v>3</v>
      </c>
      <c r="L28" s="28">
        <f t="shared" ref="L28:L31" si="35">K28*I28</f>
        <v>3.5999999999999996</v>
      </c>
      <c r="M28" s="27">
        <f>K28*100%</f>
        <v>3</v>
      </c>
      <c r="N28" s="28">
        <f t="shared" ref="N28:N31" si="36">I28*M28</f>
        <v>3.5999999999999996</v>
      </c>
      <c r="O28" s="27">
        <f t="shared" ref="O28:O31" si="37">K28*100%</f>
        <v>3</v>
      </c>
      <c r="P28" s="28">
        <f t="shared" ref="P28:P31" si="38">I28*O28</f>
        <v>3.5999999999999996</v>
      </c>
    </row>
    <row r="29" spans="1:17" ht="132" x14ac:dyDescent="0.35">
      <c r="A29" s="14">
        <v>4.2</v>
      </c>
      <c r="B29" s="17" t="s">
        <v>108</v>
      </c>
      <c r="C29" s="9" t="s">
        <v>105</v>
      </c>
      <c r="D29" s="9" t="s">
        <v>109</v>
      </c>
      <c r="E29" s="9" t="s">
        <v>110</v>
      </c>
      <c r="F29" s="9">
        <v>1</v>
      </c>
      <c r="G29" s="9" t="s">
        <v>31</v>
      </c>
      <c r="H29" s="26">
        <f t="shared" si="31"/>
        <v>120</v>
      </c>
      <c r="I29" s="26">
        <f t="shared" si="32"/>
        <v>1.2</v>
      </c>
      <c r="J29" s="26">
        <f t="shared" si="33"/>
        <v>1.2</v>
      </c>
      <c r="K29" s="27">
        <f t="shared" si="34"/>
        <v>1</v>
      </c>
      <c r="L29" s="28">
        <f t="shared" si="35"/>
        <v>1.2</v>
      </c>
      <c r="M29" s="27">
        <f>K29*100%</f>
        <v>1</v>
      </c>
      <c r="N29" s="28">
        <f t="shared" si="36"/>
        <v>1.2</v>
      </c>
      <c r="O29" s="27">
        <f t="shared" si="37"/>
        <v>1</v>
      </c>
      <c r="P29" s="28">
        <f t="shared" si="38"/>
        <v>1.2</v>
      </c>
    </row>
    <row r="30" spans="1:17" ht="49.5" x14ac:dyDescent="0.35">
      <c r="A30" s="14">
        <v>4.3</v>
      </c>
      <c r="B30" s="17" t="s">
        <v>111</v>
      </c>
      <c r="C30" s="9" t="s">
        <v>26</v>
      </c>
      <c r="D30" s="9" t="s">
        <v>112</v>
      </c>
      <c r="E30" s="9" t="s">
        <v>66</v>
      </c>
      <c r="F30" s="9">
        <v>1</v>
      </c>
      <c r="G30" s="9" t="s">
        <v>33</v>
      </c>
      <c r="H30" s="26">
        <f>IF(G30="Khó và phức tạp",200,IF(G30="Cao",150,IF(G30="Trung bình",120,IF(G30="Thấp",100))))</f>
        <v>200</v>
      </c>
      <c r="I30" s="26">
        <f>H30*0.01</f>
        <v>2</v>
      </c>
      <c r="J30" s="26">
        <f t="shared" si="33"/>
        <v>2</v>
      </c>
      <c r="K30" s="27">
        <f t="shared" si="34"/>
        <v>1</v>
      </c>
      <c r="L30" s="28">
        <f t="shared" si="35"/>
        <v>2</v>
      </c>
      <c r="M30" s="27">
        <f>K30*75%</f>
        <v>0.75</v>
      </c>
      <c r="N30" s="28">
        <f t="shared" si="36"/>
        <v>1.5</v>
      </c>
      <c r="O30" s="27">
        <f t="shared" si="37"/>
        <v>1</v>
      </c>
      <c r="P30" s="28">
        <f t="shared" si="38"/>
        <v>2</v>
      </c>
    </row>
    <row r="31" spans="1:17" ht="33" x14ac:dyDescent="0.35">
      <c r="A31" s="14">
        <v>4.4000000000000004</v>
      </c>
      <c r="B31" s="17" t="s">
        <v>113</v>
      </c>
      <c r="C31" s="9" t="s">
        <v>29</v>
      </c>
      <c r="D31" s="9" t="s">
        <v>114</v>
      </c>
      <c r="E31" s="9" t="s">
        <v>66</v>
      </c>
      <c r="F31" s="9">
        <v>1</v>
      </c>
      <c r="G31" s="9" t="s">
        <v>31</v>
      </c>
      <c r="H31" s="26">
        <f t="shared" si="31"/>
        <v>120</v>
      </c>
      <c r="I31" s="26">
        <f t="shared" si="32"/>
        <v>1.2</v>
      </c>
      <c r="J31" s="26">
        <f t="shared" si="33"/>
        <v>1.2</v>
      </c>
      <c r="K31" s="27">
        <f t="shared" si="34"/>
        <v>1</v>
      </c>
      <c r="L31" s="28">
        <f t="shared" si="35"/>
        <v>1.2</v>
      </c>
      <c r="M31" s="27">
        <f>K31*100%</f>
        <v>1</v>
      </c>
      <c r="N31" s="28">
        <f t="shared" si="36"/>
        <v>1.2</v>
      </c>
      <c r="O31" s="27">
        <f t="shared" si="37"/>
        <v>1</v>
      </c>
      <c r="P31" s="28">
        <f t="shared" si="38"/>
        <v>1.2</v>
      </c>
    </row>
    <row r="32" spans="1:17" ht="16.5" x14ac:dyDescent="0.35">
      <c r="A32" s="11">
        <v>5</v>
      </c>
      <c r="B32" s="46" t="s">
        <v>8</v>
      </c>
      <c r="C32" s="46"/>
      <c r="D32" s="46"/>
      <c r="E32" s="46"/>
      <c r="F32" s="12">
        <f>SUM(F33:F36)</f>
        <v>4</v>
      </c>
      <c r="G32" s="13"/>
      <c r="H32" s="13"/>
      <c r="I32" s="13"/>
      <c r="J32" s="12">
        <f t="shared" ref="J32:P32" si="39">SUM(J33:J36)</f>
        <v>6.2</v>
      </c>
      <c r="K32" s="23">
        <f t="shared" si="39"/>
        <v>4</v>
      </c>
      <c r="L32" s="23">
        <f t="shared" si="39"/>
        <v>6.2</v>
      </c>
      <c r="M32" s="23">
        <f t="shared" si="39"/>
        <v>3.5</v>
      </c>
      <c r="N32" s="23">
        <f t="shared" si="39"/>
        <v>5.4</v>
      </c>
      <c r="O32" s="23">
        <f t="shared" si="39"/>
        <v>4</v>
      </c>
      <c r="P32" s="23">
        <f t="shared" si="39"/>
        <v>6.2</v>
      </c>
    </row>
    <row r="33" spans="1:17" ht="82.5" x14ac:dyDescent="0.35">
      <c r="A33" s="14" t="s">
        <v>81</v>
      </c>
      <c r="B33" s="16" t="s">
        <v>115</v>
      </c>
      <c r="C33" s="9" t="s">
        <v>27</v>
      </c>
      <c r="D33" s="9" t="s">
        <v>112</v>
      </c>
      <c r="E33" s="9" t="s">
        <v>66</v>
      </c>
      <c r="F33" s="9">
        <v>1</v>
      </c>
      <c r="G33" s="9" t="s">
        <v>33</v>
      </c>
      <c r="H33" s="26">
        <f t="shared" ref="H33:H35" si="40">IF(G33="Khó và phức tạp",200,IF(G33="Cao",150,IF(G33="Trung bình",120,IF(G33="Thấp",100))))</f>
        <v>200</v>
      </c>
      <c r="I33" s="26">
        <f t="shared" ref="I33:I34" si="41">H33*0.01</f>
        <v>2</v>
      </c>
      <c r="J33" s="26">
        <f t="shared" ref="J33:J35" si="42">F33*I33</f>
        <v>2</v>
      </c>
      <c r="K33" s="27">
        <f t="shared" ref="K33:K35" si="43">F33*100%</f>
        <v>1</v>
      </c>
      <c r="L33" s="28">
        <f t="shared" ref="L33:L35" si="44">K33*I33</f>
        <v>2</v>
      </c>
      <c r="M33" s="27">
        <f t="shared" ref="M33:M34" si="45">K33*75%</f>
        <v>0.75</v>
      </c>
      <c r="N33" s="28">
        <f t="shared" ref="N33:N35" si="46">I33*M33</f>
        <v>1.5</v>
      </c>
      <c r="O33" s="27">
        <f t="shared" ref="O33:O35" si="47">K33*100%</f>
        <v>1</v>
      </c>
      <c r="P33" s="28">
        <f t="shared" ref="P33:P35" si="48">I33*O33</f>
        <v>2</v>
      </c>
    </row>
    <row r="34" spans="1:17" ht="66" x14ac:dyDescent="0.35">
      <c r="A34" s="14" t="s">
        <v>82</v>
      </c>
      <c r="B34" s="15" t="s">
        <v>116</v>
      </c>
      <c r="C34" s="9" t="s">
        <v>27</v>
      </c>
      <c r="D34" s="9" t="s">
        <v>112</v>
      </c>
      <c r="E34" s="9" t="s">
        <v>66</v>
      </c>
      <c r="F34" s="14">
        <v>1</v>
      </c>
      <c r="G34" s="9" t="s">
        <v>31</v>
      </c>
      <c r="H34" s="26">
        <f t="shared" si="40"/>
        <v>120</v>
      </c>
      <c r="I34" s="26">
        <f t="shared" si="41"/>
        <v>1.2</v>
      </c>
      <c r="J34" s="26">
        <f t="shared" si="42"/>
        <v>1.2</v>
      </c>
      <c r="K34" s="27">
        <f t="shared" si="43"/>
        <v>1</v>
      </c>
      <c r="L34" s="28">
        <f t="shared" si="44"/>
        <v>1.2</v>
      </c>
      <c r="M34" s="27">
        <f t="shared" si="45"/>
        <v>0.75</v>
      </c>
      <c r="N34" s="28">
        <f t="shared" si="46"/>
        <v>0.89999999999999991</v>
      </c>
      <c r="O34" s="27">
        <f t="shared" si="47"/>
        <v>1</v>
      </c>
      <c r="P34" s="28">
        <f t="shared" si="48"/>
        <v>1.2</v>
      </c>
    </row>
    <row r="35" spans="1:17" ht="66" x14ac:dyDescent="0.35">
      <c r="A35" s="14" t="s">
        <v>83</v>
      </c>
      <c r="B35" s="17" t="s">
        <v>142</v>
      </c>
      <c r="C35" s="9" t="s">
        <v>26</v>
      </c>
      <c r="D35" s="9" t="s">
        <v>34</v>
      </c>
      <c r="E35" s="9" t="s">
        <v>100</v>
      </c>
      <c r="F35" s="9">
        <v>1</v>
      </c>
      <c r="G35" s="9" t="s">
        <v>32</v>
      </c>
      <c r="H35" s="26">
        <f t="shared" si="40"/>
        <v>150</v>
      </c>
      <c r="I35" s="26">
        <f>H35*0.01</f>
        <v>1.5</v>
      </c>
      <c r="J35" s="26">
        <f t="shared" si="42"/>
        <v>1.5</v>
      </c>
      <c r="K35" s="27">
        <f t="shared" si="43"/>
        <v>1</v>
      </c>
      <c r="L35" s="28">
        <f t="shared" si="44"/>
        <v>1.5</v>
      </c>
      <c r="M35" s="27">
        <f>K35*100%</f>
        <v>1</v>
      </c>
      <c r="N35" s="28">
        <f t="shared" si="46"/>
        <v>1.5</v>
      </c>
      <c r="O35" s="27">
        <f t="shared" si="47"/>
        <v>1</v>
      </c>
      <c r="P35" s="28">
        <f t="shared" si="48"/>
        <v>1.5</v>
      </c>
    </row>
    <row r="36" spans="1:17" ht="66" x14ac:dyDescent="0.35">
      <c r="A36" s="14" t="s">
        <v>84</v>
      </c>
      <c r="B36" s="17" t="s">
        <v>143</v>
      </c>
      <c r="C36" s="9" t="s">
        <v>26</v>
      </c>
      <c r="D36" s="9" t="s">
        <v>34</v>
      </c>
      <c r="E36" s="9" t="s">
        <v>100</v>
      </c>
      <c r="F36" s="9">
        <v>1</v>
      </c>
      <c r="G36" s="9" t="s">
        <v>32</v>
      </c>
      <c r="H36" s="26">
        <f>IF(G36="Khó và phức tạp",200,IF(G36="Cao",150,IF(G36="Trung bình",120,IF(G36="Thấp",100))))</f>
        <v>150</v>
      </c>
      <c r="I36" s="26">
        <f>H36*0.01</f>
        <v>1.5</v>
      </c>
      <c r="J36" s="26">
        <f>F36*I36</f>
        <v>1.5</v>
      </c>
      <c r="K36" s="27">
        <f>F36*100%</f>
        <v>1</v>
      </c>
      <c r="L36" s="28">
        <f>K36*I36</f>
        <v>1.5</v>
      </c>
      <c r="M36" s="27">
        <f>K36*100%</f>
        <v>1</v>
      </c>
      <c r="N36" s="28">
        <f>I36*M36</f>
        <v>1.5</v>
      </c>
      <c r="O36" s="27">
        <f>K36*100%</f>
        <v>1</v>
      </c>
      <c r="P36" s="28">
        <f>I36*O36</f>
        <v>1.5</v>
      </c>
    </row>
    <row r="37" spans="1:17" ht="16.5" x14ac:dyDescent="0.35">
      <c r="A37" s="11">
        <v>6</v>
      </c>
      <c r="B37" s="47" t="s">
        <v>9</v>
      </c>
      <c r="C37" s="48"/>
      <c r="D37" s="48"/>
      <c r="E37" s="48"/>
      <c r="F37" s="12">
        <f>SUM(F38:F38)</f>
        <v>3</v>
      </c>
      <c r="G37" s="13"/>
      <c r="H37" s="13"/>
      <c r="I37" s="13"/>
      <c r="J37" s="12">
        <f t="shared" ref="J37:P37" si="49">SUM(J38:J38)</f>
        <v>3</v>
      </c>
      <c r="K37" s="23">
        <f t="shared" si="49"/>
        <v>3</v>
      </c>
      <c r="L37" s="23">
        <f t="shared" si="49"/>
        <v>3</v>
      </c>
      <c r="M37" s="23">
        <f t="shared" si="49"/>
        <v>3</v>
      </c>
      <c r="N37" s="23">
        <f t="shared" si="49"/>
        <v>3</v>
      </c>
      <c r="O37" s="23">
        <f t="shared" si="49"/>
        <v>3</v>
      </c>
      <c r="P37" s="23">
        <f t="shared" si="49"/>
        <v>3</v>
      </c>
    </row>
    <row r="38" spans="1:17" ht="82.5" x14ac:dyDescent="0.35">
      <c r="A38" s="14" t="s">
        <v>77</v>
      </c>
      <c r="B38" s="17" t="s">
        <v>68</v>
      </c>
      <c r="C38" s="9" t="s">
        <v>26</v>
      </c>
      <c r="D38" s="9" t="s">
        <v>28</v>
      </c>
      <c r="E38" s="9" t="s">
        <v>69</v>
      </c>
      <c r="F38" s="9">
        <v>3</v>
      </c>
      <c r="G38" s="9" t="s">
        <v>45</v>
      </c>
      <c r="H38" s="26">
        <f t="shared" ref="H38" si="50">IF(G38="Khó và phức tạp",200,IF(G38="Cao",150,IF(G38="Trung bình",120,IF(G38="Thấp",100))))</f>
        <v>100</v>
      </c>
      <c r="I38" s="26">
        <f>H38*0.01</f>
        <v>1</v>
      </c>
      <c r="J38" s="26">
        <f t="shared" ref="J38" si="51">F38*I38</f>
        <v>3</v>
      </c>
      <c r="K38" s="27">
        <f t="shared" ref="K38" si="52">F38*100%</f>
        <v>3</v>
      </c>
      <c r="L38" s="28">
        <f t="shared" ref="L38" si="53">K38*I38</f>
        <v>3</v>
      </c>
      <c r="M38" s="27">
        <f>K38*100%</f>
        <v>3</v>
      </c>
      <c r="N38" s="28">
        <f t="shared" ref="N38" si="54">I38*M38</f>
        <v>3</v>
      </c>
      <c r="O38" s="27">
        <f t="shared" ref="O38" si="55">K38*100%</f>
        <v>3</v>
      </c>
      <c r="P38" s="28">
        <f t="shared" ref="P38" si="56">I38*O38</f>
        <v>3</v>
      </c>
    </row>
    <row r="39" spans="1:17" ht="16.5" x14ac:dyDescent="0.35">
      <c r="A39" s="11" t="s">
        <v>10</v>
      </c>
      <c r="B39" s="34" t="s">
        <v>144</v>
      </c>
      <c r="C39" s="35"/>
      <c r="D39" s="35"/>
      <c r="E39" s="35"/>
      <c r="F39" s="11"/>
      <c r="G39" s="18"/>
      <c r="H39" s="18"/>
      <c r="I39" s="18"/>
      <c r="J39" s="11"/>
      <c r="K39" s="23"/>
      <c r="L39" s="23"/>
      <c r="M39" s="23"/>
      <c r="N39" s="23"/>
      <c r="O39" s="23"/>
      <c r="P39" s="23"/>
    </row>
    <row r="40" spans="1:17" ht="66" x14ac:dyDescent="0.35">
      <c r="A40" s="14">
        <v>1</v>
      </c>
      <c r="B40" s="17" t="s">
        <v>117</v>
      </c>
      <c r="C40" s="9" t="s">
        <v>27</v>
      </c>
      <c r="D40" s="9" t="s">
        <v>65</v>
      </c>
      <c r="E40" s="9" t="s">
        <v>66</v>
      </c>
      <c r="F40" s="9">
        <v>1</v>
      </c>
      <c r="G40" s="9" t="s">
        <v>33</v>
      </c>
      <c r="H40" s="14">
        <f t="shared" ref="H40:H44" si="57">IF(G40="Khó và phức tạp",200,IF(G40="Cao",150,IF(G40="Trung bình",120,IF(G40="Thấp",100))))</f>
        <v>200</v>
      </c>
      <c r="I40" s="14">
        <f>H40*0.01</f>
        <v>2</v>
      </c>
      <c r="J40" s="14">
        <f t="shared" ref="J40:J42" si="58">F40*I40</f>
        <v>2</v>
      </c>
      <c r="K40" s="24"/>
      <c r="L40" s="25"/>
      <c r="M40" s="24"/>
      <c r="N40" s="25"/>
      <c r="O40" s="24"/>
      <c r="P40" s="25"/>
    </row>
    <row r="41" spans="1:17" ht="49.5" x14ac:dyDescent="0.35">
      <c r="A41" s="14">
        <v>2</v>
      </c>
      <c r="B41" s="17" t="s">
        <v>118</v>
      </c>
      <c r="C41" s="9" t="s">
        <v>26</v>
      </c>
      <c r="D41" s="9" t="s">
        <v>28</v>
      </c>
      <c r="E41" s="9" t="s">
        <v>66</v>
      </c>
      <c r="F41" s="9">
        <v>1</v>
      </c>
      <c r="G41" s="9" t="s">
        <v>33</v>
      </c>
      <c r="H41" s="14">
        <f t="shared" si="57"/>
        <v>200</v>
      </c>
      <c r="I41" s="14">
        <f>H41*0.01</f>
        <v>2</v>
      </c>
      <c r="J41" s="14">
        <f t="shared" si="58"/>
        <v>2</v>
      </c>
      <c r="K41" s="24"/>
      <c r="L41" s="25"/>
      <c r="M41" s="24"/>
      <c r="N41" s="25"/>
      <c r="O41" s="24"/>
      <c r="P41" s="25"/>
      <c r="Q41" s="7"/>
    </row>
    <row r="42" spans="1:17" ht="82.5" x14ac:dyDescent="0.35">
      <c r="A42" s="14">
        <v>3</v>
      </c>
      <c r="B42" s="17" t="s">
        <v>119</v>
      </c>
      <c r="C42" s="9" t="s">
        <v>26</v>
      </c>
      <c r="D42" s="9" t="s">
        <v>36</v>
      </c>
      <c r="E42" s="9" t="s">
        <v>30</v>
      </c>
      <c r="F42" s="32">
        <v>1</v>
      </c>
      <c r="G42" s="9" t="s">
        <v>31</v>
      </c>
      <c r="H42" s="14">
        <f t="shared" ref="H42" si="59">IF(G42="Khó và phức tạp",200,IF(G42="Cao",150,IF(G42="Trung bình",120,IF(G42="Thấp",100))))</f>
        <v>120</v>
      </c>
      <c r="I42" s="14">
        <f t="shared" ref="I42" si="60">H42*0.01</f>
        <v>1.2</v>
      </c>
      <c r="J42" s="14">
        <f t="shared" si="58"/>
        <v>1.2</v>
      </c>
      <c r="K42" s="24"/>
      <c r="L42" s="25"/>
      <c r="M42" s="24"/>
      <c r="N42" s="25"/>
      <c r="O42" s="24"/>
      <c r="P42" s="25"/>
    </row>
    <row r="43" spans="1:17" ht="198" x14ac:dyDescent="0.35">
      <c r="A43" s="14">
        <v>4</v>
      </c>
      <c r="B43" s="17" t="s">
        <v>120</v>
      </c>
      <c r="C43" s="9" t="s">
        <v>26</v>
      </c>
      <c r="D43" s="9" t="s">
        <v>46</v>
      </c>
      <c r="E43" s="9" t="s">
        <v>121</v>
      </c>
      <c r="F43" s="9">
        <v>1</v>
      </c>
      <c r="G43" s="9" t="s">
        <v>31</v>
      </c>
      <c r="H43" s="14">
        <f t="shared" ref="H43" si="61">IF(G43="Khó và phức tạp",200,IF(G43="Cao",150,IF(G43="Trung bình",120,IF(G43="Thấp",100))))</f>
        <v>120</v>
      </c>
      <c r="I43" s="14">
        <f t="shared" ref="I43" si="62">H43*0.01</f>
        <v>1.2</v>
      </c>
      <c r="J43" s="14">
        <f t="shared" ref="J43:J44" si="63">F43*I43</f>
        <v>1.2</v>
      </c>
      <c r="K43" s="24"/>
      <c r="L43" s="25"/>
      <c r="M43" s="24"/>
      <c r="N43" s="25"/>
      <c r="O43" s="24"/>
      <c r="P43" s="25"/>
    </row>
    <row r="44" spans="1:17" ht="49.5" x14ac:dyDescent="0.35">
      <c r="A44" s="14">
        <v>5</v>
      </c>
      <c r="B44" s="17" t="s">
        <v>122</v>
      </c>
      <c r="C44" s="9" t="s">
        <v>26</v>
      </c>
      <c r="D44" s="9" t="s">
        <v>46</v>
      </c>
      <c r="E44" s="9" t="s">
        <v>123</v>
      </c>
      <c r="F44" s="9">
        <v>3</v>
      </c>
      <c r="G44" s="9" t="s">
        <v>32</v>
      </c>
      <c r="H44" s="14">
        <f t="shared" si="57"/>
        <v>150</v>
      </c>
      <c r="I44" s="14">
        <f>H44*0.01</f>
        <v>1.5</v>
      </c>
      <c r="J44" s="14">
        <f t="shared" si="63"/>
        <v>4.5</v>
      </c>
      <c r="K44" s="24"/>
      <c r="L44" s="25"/>
      <c r="M44" s="24"/>
      <c r="N44" s="25"/>
      <c r="O44" s="24"/>
      <c r="P44" s="25"/>
      <c r="Q44" s="8"/>
    </row>
    <row r="45" spans="1:17" ht="33" x14ac:dyDescent="0.35">
      <c r="A45" s="14">
        <v>6</v>
      </c>
      <c r="B45" s="17" t="s">
        <v>124</v>
      </c>
      <c r="C45" s="9" t="s">
        <v>26</v>
      </c>
      <c r="D45" s="9" t="s">
        <v>46</v>
      </c>
      <c r="E45" s="9" t="s">
        <v>30</v>
      </c>
      <c r="F45" s="9">
        <v>1</v>
      </c>
      <c r="G45" s="9" t="s">
        <v>31</v>
      </c>
      <c r="H45" s="14">
        <f t="shared" ref="H45:H54" si="64">IF(G45="Khó và phức tạp",200,IF(G45="Cao",150,IF(G45="Trung bình",120,IF(G45="Thấp",100))))</f>
        <v>120</v>
      </c>
      <c r="I45" s="14">
        <f t="shared" ref="I45:I54" si="65">H45*0.01</f>
        <v>1.2</v>
      </c>
      <c r="J45" s="14">
        <f t="shared" ref="J45:J54" si="66">F45*I45</f>
        <v>1.2</v>
      </c>
      <c r="K45" s="30"/>
      <c r="L45" s="30"/>
      <c r="M45" s="30"/>
      <c r="N45" s="30"/>
      <c r="O45" s="30"/>
      <c r="P45" s="30"/>
    </row>
    <row r="46" spans="1:17" ht="49.5" x14ac:dyDescent="0.35">
      <c r="A46" s="14">
        <v>7</v>
      </c>
      <c r="B46" s="17" t="s">
        <v>125</v>
      </c>
      <c r="C46" s="9" t="s">
        <v>25</v>
      </c>
      <c r="D46" s="9" t="s">
        <v>36</v>
      </c>
      <c r="E46" s="9" t="s">
        <v>126</v>
      </c>
      <c r="F46" s="9">
        <v>1</v>
      </c>
      <c r="G46" s="9" t="s">
        <v>31</v>
      </c>
      <c r="H46" s="14">
        <f t="shared" si="64"/>
        <v>120</v>
      </c>
      <c r="I46" s="14">
        <f t="shared" si="65"/>
        <v>1.2</v>
      </c>
      <c r="J46" s="14">
        <f t="shared" si="66"/>
        <v>1.2</v>
      </c>
      <c r="K46" s="30"/>
      <c r="L46" s="30"/>
      <c r="M46" s="30"/>
      <c r="N46" s="30"/>
      <c r="O46" s="30"/>
      <c r="P46" s="30"/>
    </row>
    <row r="47" spans="1:17" ht="49.5" x14ac:dyDescent="0.35">
      <c r="A47" s="14">
        <v>8</v>
      </c>
      <c r="B47" s="17" t="s">
        <v>127</v>
      </c>
      <c r="C47" s="9" t="s">
        <v>25</v>
      </c>
      <c r="D47" s="9" t="s">
        <v>64</v>
      </c>
      <c r="E47" s="9" t="s">
        <v>128</v>
      </c>
      <c r="F47" s="9">
        <v>1</v>
      </c>
      <c r="G47" s="9" t="s">
        <v>32</v>
      </c>
      <c r="H47" s="14">
        <f t="shared" si="64"/>
        <v>150</v>
      </c>
      <c r="I47" s="14">
        <f t="shared" si="65"/>
        <v>1.5</v>
      </c>
      <c r="J47" s="14">
        <f t="shared" si="66"/>
        <v>1.5</v>
      </c>
      <c r="K47" s="30"/>
      <c r="L47" s="30"/>
      <c r="M47" s="30"/>
      <c r="N47" s="30"/>
      <c r="O47" s="30"/>
      <c r="P47" s="30"/>
    </row>
    <row r="48" spans="1:17" ht="198" x14ac:dyDescent="0.35">
      <c r="A48" s="14">
        <v>9</v>
      </c>
      <c r="B48" s="17" t="s">
        <v>129</v>
      </c>
      <c r="C48" s="9" t="s">
        <v>105</v>
      </c>
      <c r="D48" s="9" t="s">
        <v>130</v>
      </c>
      <c r="E48" s="9" t="s">
        <v>95</v>
      </c>
      <c r="F48" s="9">
        <v>1</v>
      </c>
      <c r="G48" s="9" t="s">
        <v>31</v>
      </c>
      <c r="H48" s="14">
        <f t="shared" si="64"/>
        <v>120</v>
      </c>
      <c r="I48" s="14">
        <f t="shared" si="65"/>
        <v>1.2</v>
      </c>
      <c r="J48" s="14">
        <f t="shared" si="66"/>
        <v>1.2</v>
      </c>
      <c r="K48" s="30"/>
      <c r="L48" s="30"/>
      <c r="M48" s="30"/>
      <c r="N48" s="30"/>
      <c r="O48" s="30"/>
      <c r="P48" s="30"/>
    </row>
    <row r="49" spans="1:16" ht="33" x14ac:dyDescent="0.35">
      <c r="A49" s="14">
        <v>10</v>
      </c>
      <c r="B49" s="16" t="s">
        <v>131</v>
      </c>
      <c r="C49" s="9" t="s">
        <v>132</v>
      </c>
      <c r="D49" s="9" t="s">
        <v>106</v>
      </c>
      <c r="E49" s="9" t="s">
        <v>133</v>
      </c>
      <c r="F49" s="9">
        <v>2</v>
      </c>
      <c r="G49" s="9" t="s">
        <v>31</v>
      </c>
      <c r="H49" s="14">
        <f t="shared" si="64"/>
        <v>120</v>
      </c>
      <c r="I49" s="14">
        <f t="shared" si="65"/>
        <v>1.2</v>
      </c>
      <c r="J49" s="14">
        <f t="shared" si="66"/>
        <v>2.4</v>
      </c>
      <c r="K49" s="30"/>
      <c r="L49" s="30"/>
      <c r="M49" s="30"/>
      <c r="N49" s="30"/>
      <c r="O49" s="30"/>
      <c r="P49" s="30"/>
    </row>
    <row r="50" spans="1:16" ht="66" x14ac:dyDescent="0.35">
      <c r="A50" s="14">
        <v>11</v>
      </c>
      <c r="B50" s="16" t="s">
        <v>134</v>
      </c>
      <c r="C50" s="9" t="s">
        <v>105</v>
      </c>
      <c r="D50" s="9" t="s">
        <v>106</v>
      </c>
      <c r="E50" s="9" t="s">
        <v>133</v>
      </c>
      <c r="F50" s="9">
        <v>2</v>
      </c>
      <c r="G50" s="9" t="s">
        <v>31</v>
      </c>
      <c r="H50" s="14">
        <f t="shared" si="64"/>
        <v>120</v>
      </c>
      <c r="I50" s="14">
        <f t="shared" si="65"/>
        <v>1.2</v>
      </c>
      <c r="J50" s="14">
        <f t="shared" si="66"/>
        <v>2.4</v>
      </c>
      <c r="K50" s="30"/>
      <c r="L50" s="30"/>
      <c r="M50" s="30"/>
      <c r="N50" s="30"/>
      <c r="O50" s="30"/>
      <c r="P50" s="30"/>
    </row>
    <row r="51" spans="1:16" ht="66" x14ac:dyDescent="0.35">
      <c r="A51" s="14">
        <v>12</v>
      </c>
      <c r="B51" s="17" t="s">
        <v>135</v>
      </c>
      <c r="C51" s="9" t="s">
        <v>132</v>
      </c>
      <c r="D51" s="9" t="s">
        <v>28</v>
      </c>
      <c r="E51" s="9" t="s">
        <v>67</v>
      </c>
      <c r="F51" s="9">
        <v>2</v>
      </c>
      <c r="G51" s="9" t="s">
        <v>45</v>
      </c>
      <c r="H51" s="14">
        <f t="shared" si="64"/>
        <v>100</v>
      </c>
      <c r="I51" s="14">
        <f t="shared" si="65"/>
        <v>1</v>
      </c>
      <c r="J51" s="14">
        <f t="shared" si="66"/>
        <v>2</v>
      </c>
      <c r="K51" s="30"/>
      <c r="L51" s="30"/>
      <c r="M51" s="30"/>
      <c r="N51" s="30"/>
      <c r="O51" s="30"/>
      <c r="P51" s="30"/>
    </row>
    <row r="52" spans="1:16" ht="82.5" x14ac:dyDescent="0.35">
      <c r="A52" s="14">
        <v>13</v>
      </c>
      <c r="B52" s="17" t="s">
        <v>136</v>
      </c>
      <c r="C52" s="9" t="s">
        <v>26</v>
      </c>
      <c r="D52" s="9" t="s">
        <v>34</v>
      </c>
      <c r="E52" s="9" t="s">
        <v>137</v>
      </c>
      <c r="F52" s="9">
        <v>1</v>
      </c>
      <c r="G52" s="9" t="s">
        <v>33</v>
      </c>
      <c r="H52" s="14">
        <f t="shared" si="64"/>
        <v>200</v>
      </c>
      <c r="I52" s="14">
        <f t="shared" si="65"/>
        <v>2</v>
      </c>
      <c r="J52" s="14">
        <f t="shared" si="66"/>
        <v>2</v>
      </c>
      <c r="K52" s="30"/>
      <c r="L52" s="30"/>
      <c r="M52" s="30"/>
      <c r="N52" s="30"/>
      <c r="O52" s="30"/>
      <c r="P52" s="30"/>
    </row>
    <row r="53" spans="1:16" ht="82.5" x14ac:dyDescent="0.35">
      <c r="A53" s="14">
        <v>14</v>
      </c>
      <c r="B53" s="17" t="s">
        <v>139</v>
      </c>
      <c r="C53" s="9" t="s">
        <v>26</v>
      </c>
      <c r="D53" s="9" t="s">
        <v>34</v>
      </c>
      <c r="E53" s="9" t="s">
        <v>30</v>
      </c>
      <c r="F53" s="9">
        <v>1</v>
      </c>
      <c r="G53" s="9" t="s">
        <v>32</v>
      </c>
      <c r="H53" s="14">
        <f t="shared" si="64"/>
        <v>150</v>
      </c>
      <c r="I53" s="14">
        <f t="shared" si="65"/>
        <v>1.5</v>
      </c>
      <c r="J53" s="14">
        <f t="shared" si="66"/>
        <v>1.5</v>
      </c>
      <c r="K53" s="30"/>
      <c r="L53" s="30"/>
      <c r="M53" s="30"/>
      <c r="N53" s="30"/>
      <c r="O53" s="30"/>
      <c r="P53" s="30"/>
    </row>
    <row r="54" spans="1:16" ht="58.5" customHeight="1" x14ac:dyDescent="0.35">
      <c r="A54" s="14">
        <v>15</v>
      </c>
      <c r="B54" s="17" t="s">
        <v>140</v>
      </c>
      <c r="C54" s="9" t="s">
        <v>26</v>
      </c>
      <c r="D54" s="9" t="s">
        <v>34</v>
      </c>
      <c r="E54" s="9" t="s">
        <v>30</v>
      </c>
      <c r="F54" s="9">
        <v>1</v>
      </c>
      <c r="G54" s="9" t="s">
        <v>32</v>
      </c>
      <c r="H54" s="14">
        <f t="shared" si="64"/>
        <v>150</v>
      </c>
      <c r="I54" s="14">
        <f t="shared" si="65"/>
        <v>1.5</v>
      </c>
      <c r="J54" s="14">
        <f t="shared" si="66"/>
        <v>1.5</v>
      </c>
      <c r="K54" s="30"/>
      <c r="L54" s="30"/>
      <c r="M54" s="30"/>
      <c r="N54" s="30"/>
      <c r="O54" s="30"/>
      <c r="P54" s="30"/>
    </row>
  </sheetData>
  <mergeCells count="25">
    <mergeCell ref="G2:P2"/>
    <mergeCell ref="G1:P1"/>
    <mergeCell ref="A2:B2"/>
    <mergeCell ref="A1:B1"/>
    <mergeCell ref="F5:F6"/>
    <mergeCell ref="G5:G6"/>
    <mergeCell ref="A5:A6"/>
    <mergeCell ref="B5:B6"/>
    <mergeCell ref="C5:C6"/>
    <mergeCell ref="D5:D6"/>
    <mergeCell ref="E5:E6"/>
    <mergeCell ref="H5:H6"/>
    <mergeCell ref="A3:P3"/>
    <mergeCell ref="B22:E22"/>
    <mergeCell ref="B27:E27"/>
    <mergeCell ref="B25:E25"/>
    <mergeCell ref="B32:E32"/>
    <mergeCell ref="B37:E37"/>
    <mergeCell ref="B8:J8"/>
    <mergeCell ref="K5:L5"/>
    <mergeCell ref="M5:N5"/>
    <mergeCell ref="O5:P5"/>
    <mergeCell ref="A4:P4"/>
    <mergeCell ref="I5:I6"/>
    <mergeCell ref="J5:J6"/>
  </mergeCells>
  <phoneticPr fontId="12" type="noConversion"/>
  <conditionalFormatting sqref="B28">
    <cfRule type="dataBar" priority="20">
      <dataBar>
        <cfvo type="min"/>
        <cfvo type="max"/>
        <color rgb="FF638EC6"/>
      </dataBar>
      <extLst>
        <ext xmlns:x14="http://schemas.microsoft.com/office/spreadsheetml/2009/9/main" uri="{B025F937-C7B1-47D3-B67F-A62EFF666E3E}">
          <x14:id>{3809676B-AC0A-4633-A13A-6BC0143ABF7F}</x14:id>
        </ext>
      </extLst>
    </cfRule>
  </conditionalFormatting>
  <conditionalFormatting sqref="B29">
    <cfRule type="dataBar" priority="21">
      <dataBar>
        <cfvo type="min"/>
        <cfvo type="max"/>
        <color rgb="FF638EC6"/>
      </dataBar>
      <extLst>
        <ext xmlns:x14="http://schemas.microsoft.com/office/spreadsheetml/2009/9/main" uri="{B025F937-C7B1-47D3-B67F-A62EFF666E3E}">
          <x14:id>{FCFCEBB6-7CAF-48B6-B6C3-84B099DBF898}</x14:id>
        </ext>
      </extLst>
    </cfRule>
  </conditionalFormatting>
  <conditionalFormatting sqref="B33">
    <cfRule type="dataBar" priority="15">
      <dataBar>
        <cfvo type="min"/>
        <cfvo type="max"/>
        <color rgb="FF638EC6"/>
      </dataBar>
      <extLst>
        <ext xmlns:x14="http://schemas.microsoft.com/office/spreadsheetml/2009/9/main" uri="{B025F937-C7B1-47D3-B67F-A62EFF666E3E}">
          <x14:id>{AC83A65B-96E8-4215-9A2D-4C3008DAFA2B}</x14:id>
        </ext>
      </extLst>
    </cfRule>
  </conditionalFormatting>
  <conditionalFormatting sqref="B45">
    <cfRule type="dataBar" priority="5">
      <dataBar>
        <cfvo type="min"/>
        <cfvo type="max"/>
        <color rgb="FF638EC6"/>
      </dataBar>
      <extLst>
        <ext xmlns:x14="http://schemas.microsoft.com/office/spreadsheetml/2009/9/main" uri="{B025F937-C7B1-47D3-B67F-A62EFF666E3E}">
          <x14:id>{4AD3EAB6-B780-4DDA-97C0-9321E7CA2641}</x14:id>
        </ext>
      </extLst>
    </cfRule>
  </conditionalFormatting>
  <conditionalFormatting sqref="C10:C20 C36">
    <cfRule type="dataBar" priority="35">
      <dataBar>
        <cfvo type="min"/>
        <cfvo type="max"/>
        <color rgb="FF638EC6"/>
      </dataBar>
      <extLst>
        <ext xmlns:x14="http://schemas.microsoft.com/office/spreadsheetml/2009/9/main" uri="{B025F937-C7B1-47D3-B67F-A62EFF666E3E}">
          <x14:id>{3B29757C-3BD8-4C37-B182-9A81FF78444B}</x14:id>
        </ext>
      </extLst>
    </cfRule>
  </conditionalFormatting>
  <conditionalFormatting sqref="C21">
    <cfRule type="dataBar" priority="1">
      <dataBar>
        <cfvo type="min"/>
        <cfvo type="max"/>
        <color rgb="FF638EC6"/>
      </dataBar>
      <extLst>
        <ext xmlns:x14="http://schemas.microsoft.com/office/spreadsheetml/2009/9/main" uri="{B025F937-C7B1-47D3-B67F-A62EFF666E3E}">
          <x14:id>{6A4489E0-2684-465E-8590-57D20B4D1B88}</x14:id>
        </ext>
      </extLst>
    </cfRule>
  </conditionalFormatting>
  <conditionalFormatting sqref="C23">
    <cfRule type="dataBar" priority="24">
      <dataBar>
        <cfvo type="min"/>
        <cfvo type="max"/>
        <color rgb="FF638EC6"/>
      </dataBar>
      <extLst>
        <ext xmlns:x14="http://schemas.microsoft.com/office/spreadsheetml/2009/9/main" uri="{B025F937-C7B1-47D3-B67F-A62EFF666E3E}">
          <x14:id>{E9295D53-C2C3-4273-B5E4-E8F61F691D47}</x14:id>
        </ext>
      </extLst>
    </cfRule>
  </conditionalFormatting>
  <conditionalFormatting sqref="C24">
    <cfRule type="dataBar" priority="25">
      <dataBar>
        <cfvo type="min"/>
        <cfvo type="max"/>
        <color rgb="FF638EC6"/>
      </dataBar>
      <extLst>
        <ext xmlns:x14="http://schemas.microsoft.com/office/spreadsheetml/2009/9/main" uri="{B025F937-C7B1-47D3-B67F-A62EFF666E3E}">
          <x14:id>{B4DBE5CB-68A1-4E43-A184-6702FF218923}</x14:id>
        </ext>
      </extLst>
    </cfRule>
  </conditionalFormatting>
  <conditionalFormatting sqref="C26">
    <cfRule type="dataBar" priority="23">
      <dataBar>
        <cfvo type="min"/>
        <cfvo type="max"/>
        <color rgb="FF638EC6"/>
      </dataBar>
      <extLst>
        <ext xmlns:x14="http://schemas.microsoft.com/office/spreadsheetml/2009/9/main" uri="{B025F937-C7B1-47D3-B67F-A62EFF666E3E}">
          <x14:id>{7708E59D-98D2-4F05-A2FF-CD923F8F8D5F}</x14:id>
        </ext>
      </extLst>
    </cfRule>
  </conditionalFormatting>
  <conditionalFormatting sqref="C28:C29 C31">
    <cfRule type="dataBar" priority="22">
      <dataBar>
        <cfvo type="min"/>
        <cfvo type="max"/>
        <color rgb="FF638EC6"/>
      </dataBar>
      <extLst>
        <ext xmlns:x14="http://schemas.microsoft.com/office/spreadsheetml/2009/9/main" uri="{B025F937-C7B1-47D3-B67F-A62EFF666E3E}">
          <x14:id>{4FDC448B-F332-410C-A9D2-5BD31AF28B0E}</x14:id>
        </ext>
      </extLst>
    </cfRule>
  </conditionalFormatting>
  <conditionalFormatting sqref="C30">
    <cfRule type="dataBar" priority="17">
      <dataBar>
        <cfvo type="min"/>
        <cfvo type="max"/>
        <color rgb="FF638EC6"/>
      </dataBar>
      <extLst>
        <ext xmlns:x14="http://schemas.microsoft.com/office/spreadsheetml/2009/9/main" uri="{B025F937-C7B1-47D3-B67F-A62EFF666E3E}">
          <x14:id>{662F3258-7C89-44A9-994F-325BE6CB4C3B}</x14:id>
        </ext>
      </extLst>
    </cfRule>
  </conditionalFormatting>
  <conditionalFormatting sqref="C33:C34">
    <cfRule type="dataBar" priority="16">
      <dataBar>
        <cfvo type="min"/>
        <cfvo type="max"/>
        <color rgb="FF638EC6"/>
      </dataBar>
      <extLst>
        <ext xmlns:x14="http://schemas.microsoft.com/office/spreadsheetml/2009/9/main" uri="{B025F937-C7B1-47D3-B67F-A62EFF666E3E}">
          <x14:id>{F5D3DF3C-B204-4C84-98D0-A650CBD7CEA9}</x14:id>
        </ext>
      </extLst>
    </cfRule>
  </conditionalFormatting>
  <conditionalFormatting sqref="C35">
    <cfRule type="dataBar" priority="2">
      <dataBar>
        <cfvo type="min"/>
        <cfvo type="max"/>
        <color rgb="FF638EC6"/>
      </dataBar>
      <extLst>
        <ext xmlns:x14="http://schemas.microsoft.com/office/spreadsheetml/2009/9/main" uri="{B025F937-C7B1-47D3-B67F-A62EFF666E3E}">
          <x14:id>{4CFF49EF-2504-4FCA-BDB4-03F2ED823A07}</x14:id>
        </ext>
      </extLst>
    </cfRule>
  </conditionalFormatting>
  <conditionalFormatting sqref="C38">
    <cfRule type="dataBar" priority="12">
      <dataBar>
        <cfvo type="min"/>
        <cfvo type="max"/>
        <color rgb="FF638EC6"/>
      </dataBar>
      <extLst>
        <ext xmlns:x14="http://schemas.microsoft.com/office/spreadsheetml/2009/9/main" uri="{B025F937-C7B1-47D3-B67F-A62EFF666E3E}">
          <x14:id>{5F4AFC85-7735-4BC9-9C47-8D785EAB3EF5}</x14:id>
        </ext>
      </extLst>
    </cfRule>
  </conditionalFormatting>
  <conditionalFormatting sqref="C40:C43 C52:C54">
    <cfRule type="dataBar" priority="34">
      <dataBar>
        <cfvo type="min"/>
        <cfvo type="max"/>
        <color rgb="FF638EC6"/>
      </dataBar>
      <extLst>
        <ext xmlns:x14="http://schemas.microsoft.com/office/spreadsheetml/2009/9/main" uri="{B025F937-C7B1-47D3-B67F-A62EFF666E3E}">
          <x14:id>{10C4A756-92FA-4B18-8DDA-5B5153C51585}</x14:id>
        </ext>
      </extLst>
    </cfRule>
  </conditionalFormatting>
  <conditionalFormatting sqref="C44:C45">
    <cfRule type="dataBar" priority="7">
      <dataBar>
        <cfvo type="min"/>
        <cfvo type="max"/>
        <color rgb="FF638EC6"/>
      </dataBar>
      <extLst>
        <ext xmlns:x14="http://schemas.microsoft.com/office/spreadsheetml/2009/9/main" uri="{B025F937-C7B1-47D3-B67F-A62EFF666E3E}">
          <x14:id>{E0838E44-CC22-4DE2-A6CF-3929A7DEE510}</x14:id>
        </ext>
      </extLst>
    </cfRule>
  </conditionalFormatting>
  <conditionalFormatting sqref="C46:C47">
    <cfRule type="dataBar" priority="10">
      <dataBar>
        <cfvo type="min"/>
        <cfvo type="max"/>
        <color rgb="FF638EC6"/>
      </dataBar>
      <extLst>
        <ext xmlns:x14="http://schemas.microsoft.com/office/spreadsheetml/2009/9/main" uri="{B025F937-C7B1-47D3-B67F-A62EFF666E3E}">
          <x14:id>{2DADD2B9-877B-48C7-A7FE-8919B2789D0D}</x14:id>
        </ext>
      </extLst>
    </cfRule>
  </conditionalFormatting>
  <conditionalFormatting sqref="C48:C50">
    <cfRule type="dataBar" priority="9">
      <dataBar>
        <cfvo type="min"/>
        <cfvo type="max"/>
        <color rgb="FF638EC6"/>
      </dataBar>
      <extLst>
        <ext xmlns:x14="http://schemas.microsoft.com/office/spreadsheetml/2009/9/main" uri="{B025F937-C7B1-47D3-B67F-A62EFF666E3E}">
          <x14:id>{5AE91660-FD9E-41C1-8255-C29610F18F5E}</x14:id>
        </ext>
      </extLst>
    </cfRule>
  </conditionalFormatting>
  <conditionalFormatting sqref="C51">
    <cfRule type="dataBar" priority="6">
      <dataBar>
        <cfvo type="min"/>
        <cfvo type="max"/>
        <color rgb="FF638EC6"/>
      </dataBar>
      <extLst>
        <ext xmlns:x14="http://schemas.microsoft.com/office/spreadsheetml/2009/9/main" uri="{B025F937-C7B1-47D3-B67F-A62EFF666E3E}">
          <x14:id>{28519EA6-B382-41A7-9B18-F21683888244}</x14:id>
        </ext>
      </extLst>
    </cfRule>
  </conditionalFormatting>
  <conditionalFormatting sqref="D28">
    <cfRule type="dataBar" priority="19">
      <dataBar>
        <cfvo type="min"/>
        <cfvo type="max"/>
        <color rgb="FF638EC6"/>
      </dataBar>
      <extLst>
        <ext xmlns:x14="http://schemas.microsoft.com/office/spreadsheetml/2009/9/main" uri="{B025F937-C7B1-47D3-B67F-A62EFF666E3E}">
          <x14:id>{1B2B531A-BC49-4780-9D39-24676D562D37}</x14:id>
        </ext>
      </extLst>
    </cfRule>
  </conditionalFormatting>
  <conditionalFormatting sqref="D29">
    <cfRule type="dataBar" priority="18">
      <dataBar>
        <cfvo type="min"/>
        <cfvo type="max"/>
        <color rgb="FF638EC6"/>
      </dataBar>
      <extLst>
        <ext xmlns:x14="http://schemas.microsoft.com/office/spreadsheetml/2009/9/main" uri="{B025F937-C7B1-47D3-B67F-A62EFF666E3E}">
          <x14:id>{38BA1BA6-FBEC-4A78-8C0A-A718AF26E614}</x14:id>
        </ext>
      </extLst>
    </cfRule>
  </conditionalFormatting>
  <conditionalFormatting sqref="D33">
    <cfRule type="dataBar" priority="13">
      <dataBar>
        <cfvo type="min"/>
        <cfvo type="max"/>
        <color rgb="FF638EC6"/>
      </dataBar>
      <extLst>
        <ext xmlns:x14="http://schemas.microsoft.com/office/spreadsheetml/2009/9/main" uri="{B025F937-C7B1-47D3-B67F-A62EFF666E3E}">
          <x14:id>{386D70AB-A1E4-4B0C-88D0-2BF2B22A9B55}</x14:id>
        </ext>
      </extLst>
    </cfRule>
  </conditionalFormatting>
  <conditionalFormatting sqref="D38">
    <cfRule type="dataBar" priority="11">
      <dataBar>
        <cfvo type="min"/>
        <cfvo type="max"/>
        <color rgb="FF638EC6"/>
      </dataBar>
      <extLst>
        <ext xmlns:x14="http://schemas.microsoft.com/office/spreadsheetml/2009/9/main" uri="{B025F937-C7B1-47D3-B67F-A62EFF666E3E}">
          <x14:id>{8DAF8369-9D7A-4327-BDF0-14C3045609C0}</x14:id>
        </ext>
      </extLst>
    </cfRule>
  </conditionalFormatting>
  <conditionalFormatting sqref="D45">
    <cfRule type="dataBar" priority="3">
      <dataBar>
        <cfvo type="min"/>
        <cfvo type="max"/>
        <color rgb="FF638EC6"/>
      </dataBar>
      <extLst>
        <ext xmlns:x14="http://schemas.microsoft.com/office/spreadsheetml/2009/9/main" uri="{B025F937-C7B1-47D3-B67F-A62EFF666E3E}">
          <x14:id>{FA08A581-F432-46BA-8F68-96F6DBBEF126}</x14:id>
        </ext>
      </extLst>
    </cfRule>
  </conditionalFormatting>
  <conditionalFormatting sqref="E33">
    <cfRule type="dataBar" priority="14">
      <dataBar>
        <cfvo type="min"/>
        <cfvo type="max"/>
        <color rgb="FF638EC6"/>
      </dataBar>
      <extLst>
        <ext xmlns:x14="http://schemas.microsoft.com/office/spreadsheetml/2009/9/main" uri="{B025F937-C7B1-47D3-B67F-A62EFF666E3E}">
          <x14:id>{53D95F45-34CF-4F41-A666-3BDC91847A3A}</x14:id>
        </ext>
      </extLst>
    </cfRule>
  </conditionalFormatting>
  <conditionalFormatting sqref="E45">
    <cfRule type="dataBar" priority="4">
      <dataBar>
        <cfvo type="min"/>
        <cfvo type="max"/>
        <color rgb="FF638EC6"/>
      </dataBar>
      <extLst>
        <ext xmlns:x14="http://schemas.microsoft.com/office/spreadsheetml/2009/9/main" uri="{B025F937-C7B1-47D3-B67F-A62EFF666E3E}">
          <x14:id>{023F80B0-8649-4CAC-B7EB-EA9F62444DDB}</x14:id>
        </ext>
      </extLst>
    </cfRule>
  </conditionalFormatting>
  <dataValidations count="6">
    <dataValidation type="list" allowBlank="1" showInputMessage="1" sqref="D10:D14 D24 D30 D26 D40:D54 D35:D36 D16:D21"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23:C24 C26 C28:C31 C38 C40:C54 C33:C36 C10:C21"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23:G24 G26 G28:G31 G38 G40:G54 G33:G36 G10:G21" xr:uid="{242DABCC-F988-4BD7-A39A-B18DD09F67B5}">
      <formula1>"Thấp,Trung bình,Cao,Khó và phức tạp"</formula1>
    </dataValidation>
    <dataValidation allowBlank="1" showInputMessage="1" sqref="H28:K31 H26:K26 H23:K24 H40:K44 H38:K38 H45:J54 H33:K36 H10:K21" xr:uid="{10642937-B860-4152-A8CB-DF82470CE8F3}"/>
    <dataValidation type="list" allowBlank="1" showErrorMessage="1" sqref="E24 E15:E17 E13 E42:E51 E35:E36 E19:E21" xr:uid="{7F27B628-9211-436B-B768-EF86D75BAF29}">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type="list" allowBlank="1" showInputMessage="1" sqref="E11:E12" xr:uid="{7EF97A18-0333-47DD-9868-6B5EBCFE9A74}">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printOptions horizontalCentered="1"/>
  <pageMargins left="0.56496062999999996" right="0.56496062999999996" top="0.893700787" bottom="0.39370078740157499" header="0.31496062992126" footer="0.31496062992126"/>
  <pageSetup paperSize="9" scale="85" orientation="landscape" r:id="rId1"/>
  <headerFooter>
    <oddHeader>&amp;L
&amp;C&amp;"Times New Roman,Regular"&amp;14&amp;P</oddHead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3809676B-AC0A-4633-A13A-6BC0143ABF7F}">
            <x14:dataBar minLength="0" maxLength="100" gradient="0">
              <x14:cfvo type="autoMin"/>
              <x14:cfvo type="autoMax"/>
              <x14:negativeFillColor rgb="FFFF0000"/>
              <x14:axisColor rgb="FF000000"/>
            </x14:dataBar>
          </x14:cfRule>
          <xm:sqref>B28</xm:sqref>
        </x14:conditionalFormatting>
        <x14:conditionalFormatting xmlns:xm="http://schemas.microsoft.com/office/excel/2006/main">
          <x14:cfRule type="dataBar" id="{FCFCEBB6-7CAF-48B6-B6C3-84B099DBF898}">
            <x14:dataBar minLength="0" maxLength="100" gradient="0">
              <x14:cfvo type="autoMin"/>
              <x14:cfvo type="autoMax"/>
              <x14:negativeFillColor rgb="FFFF0000"/>
              <x14:axisColor rgb="FF000000"/>
            </x14:dataBar>
          </x14:cfRule>
          <xm:sqref>B29</xm:sqref>
        </x14:conditionalFormatting>
        <x14:conditionalFormatting xmlns:xm="http://schemas.microsoft.com/office/excel/2006/main">
          <x14:cfRule type="dataBar" id="{AC83A65B-96E8-4215-9A2D-4C3008DAFA2B}">
            <x14:dataBar minLength="0" maxLength="100" gradient="0">
              <x14:cfvo type="autoMin"/>
              <x14:cfvo type="autoMax"/>
              <x14:negativeFillColor rgb="FFFF0000"/>
              <x14:axisColor rgb="FF000000"/>
            </x14:dataBar>
          </x14:cfRule>
          <xm:sqref>B33</xm:sqref>
        </x14:conditionalFormatting>
        <x14:conditionalFormatting xmlns:xm="http://schemas.microsoft.com/office/excel/2006/main">
          <x14:cfRule type="dataBar" id="{4AD3EAB6-B780-4DDA-97C0-9321E7CA2641}">
            <x14:dataBar minLength="0" maxLength="100" gradient="0">
              <x14:cfvo type="autoMin"/>
              <x14:cfvo type="autoMax"/>
              <x14:negativeFillColor rgb="FFFF0000"/>
              <x14:axisColor rgb="FF000000"/>
            </x14:dataBar>
          </x14:cfRule>
          <xm:sqref>B45</xm:sqref>
        </x14:conditionalFormatting>
        <x14:conditionalFormatting xmlns:xm="http://schemas.microsoft.com/office/excel/2006/main">
          <x14:cfRule type="dataBar" id="{3B29757C-3BD8-4C37-B182-9A81FF78444B}">
            <x14:dataBar minLength="0" maxLength="100" gradient="0">
              <x14:cfvo type="autoMin"/>
              <x14:cfvo type="autoMax"/>
              <x14:negativeFillColor rgb="FFFF0000"/>
              <x14:axisColor rgb="FF000000"/>
            </x14:dataBar>
          </x14:cfRule>
          <xm:sqref>C10:C20 C36</xm:sqref>
        </x14:conditionalFormatting>
        <x14:conditionalFormatting xmlns:xm="http://schemas.microsoft.com/office/excel/2006/main">
          <x14:cfRule type="dataBar" id="{6A4489E0-2684-465E-8590-57D20B4D1B88}">
            <x14:dataBar minLength="0" maxLength="100" gradient="0">
              <x14:cfvo type="autoMin"/>
              <x14:cfvo type="autoMax"/>
              <x14:negativeFillColor rgb="FFFF0000"/>
              <x14:axisColor rgb="FF000000"/>
            </x14:dataBar>
          </x14:cfRule>
          <xm:sqref>C21</xm:sqref>
        </x14:conditionalFormatting>
        <x14:conditionalFormatting xmlns:xm="http://schemas.microsoft.com/office/excel/2006/main">
          <x14:cfRule type="dataBar" id="{E9295D53-C2C3-4273-B5E4-E8F61F691D47}">
            <x14:dataBar minLength="0" maxLength="100" gradient="0">
              <x14:cfvo type="autoMin"/>
              <x14:cfvo type="autoMax"/>
              <x14:negativeFillColor rgb="FFFF0000"/>
              <x14:axisColor rgb="FF000000"/>
            </x14:dataBar>
          </x14:cfRule>
          <xm:sqref>C23</xm:sqref>
        </x14:conditionalFormatting>
        <x14:conditionalFormatting xmlns:xm="http://schemas.microsoft.com/office/excel/2006/main">
          <x14:cfRule type="dataBar" id="{B4DBE5CB-68A1-4E43-A184-6702FF218923}">
            <x14:dataBar minLength="0" maxLength="100" gradient="0">
              <x14:cfvo type="autoMin"/>
              <x14:cfvo type="autoMax"/>
              <x14:negativeFillColor rgb="FFFF0000"/>
              <x14:axisColor rgb="FF000000"/>
            </x14:dataBar>
          </x14:cfRule>
          <xm:sqref>C24</xm:sqref>
        </x14:conditionalFormatting>
        <x14:conditionalFormatting xmlns:xm="http://schemas.microsoft.com/office/excel/2006/main">
          <x14:cfRule type="dataBar" id="{7708E59D-98D2-4F05-A2FF-CD923F8F8D5F}">
            <x14:dataBar minLength="0" maxLength="100" gradient="0">
              <x14:cfvo type="autoMin"/>
              <x14:cfvo type="autoMax"/>
              <x14:negativeFillColor rgb="FFFF0000"/>
              <x14:axisColor rgb="FF000000"/>
            </x14:dataBar>
          </x14:cfRule>
          <xm:sqref>C26</xm:sqref>
        </x14:conditionalFormatting>
        <x14:conditionalFormatting xmlns:xm="http://schemas.microsoft.com/office/excel/2006/main">
          <x14:cfRule type="dataBar" id="{4FDC448B-F332-410C-A9D2-5BD31AF28B0E}">
            <x14:dataBar minLength="0" maxLength="100" gradient="0">
              <x14:cfvo type="autoMin"/>
              <x14:cfvo type="autoMax"/>
              <x14:negativeFillColor rgb="FFFF0000"/>
              <x14:axisColor rgb="FF000000"/>
            </x14:dataBar>
          </x14:cfRule>
          <xm:sqref>C28:C29 C31</xm:sqref>
        </x14:conditionalFormatting>
        <x14:conditionalFormatting xmlns:xm="http://schemas.microsoft.com/office/excel/2006/main">
          <x14:cfRule type="dataBar" id="{662F3258-7C89-44A9-994F-325BE6CB4C3B}">
            <x14:dataBar minLength="0" maxLength="100" gradient="0">
              <x14:cfvo type="autoMin"/>
              <x14:cfvo type="autoMax"/>
              <x14:negativeFillColor rgb="FFFF0000"/>
              <x14:axisColor rgb="FF000000"/>
            </x14:dataBar>
          </x14:cfRule>
          <xm:sqref>C30</xm:sqref>
        </x14:conditionalFormatting>
        <x14:conditionalFormatting xmlns:xm="http://schemas.microsoft.com/office/excel/2006/main">
          <x14:cfRule type="dataBar" id="{F5D3DF3C-B204-4C84-98D0-A650CBD7CEA9}">
            <x14:dataBar minLength="0" maxLength="100" gradient="0">
              <x14:cfvo type="autoMin"/>
              <x14:cfvo type="autoMax"/>
              <x14:negativeFillColor rgb="FFFF0000"/>
              <x14:axisColor rgb="FF000000"/>
            </x14:dataBar>
          </x14:cfRule>
          <xm:sqref>C33:C34</xm:sqref>
        </x14:conditionalFormatting>
        <x14:conditionalFormatting xmlns:xm="http://schemas.microsoft.com/office/excel/2006/main">
          <x14:cfRule type="dataBar" id="{4CFF49EF-2504-4FCA-BDB4-03F2ED823A07}">
            <x14:dataBar minLength="0" maxLength="100" gradient="0">
              <x14:cfvo type="autoMin"/>
              <x14:cfvo type="autoMax"/>
              <x14:negativeFillColor rgb="FFFF0000"/>
              <x14:axisColor rgb="FF000000"/>
            </x14:dataBar>
          </x14:cfRule>
          <xm:sqref>C35</xm:sqref>
        </x14:conditionalFormatting>
        <x14:conditionalFormatting xmlns:xm="http://schemas.microsoft.com/office/excel/2006/main">
          <x14:cfRule type="dataBar" id="{5F4AFC85-7735-4BC9-9C47-8D785EAB3EF5}">
            <x14:dataBar minLength="0" maxLength="100" gradient="0">
              <x14:cfvo type="autoMin"/>
              <x14:cfvo type="autoMax"/>
              <x14:negativeFillColor rgb="FFFF0000"/>
              <x14:axisColor rgb="FF000000"/>
            </x14:dataBar>
          </x14:cfRule>
          <xm:sqref>C38</xm:sqref>
        </x14:conditionalFormatting>
        <x14:conditionalFormatting xmlns:xm="http://schemas.microsoft.com/office/excel/2006/main">
          <x14:cfRule type="dataBar" id="{10C4A756-92FA-4B18-8DDA-5B5153C51585}">
            <x14:dataBar minLength="0" maxLength="100" gradient="0">
              <x14:cfvo type="autoMin"/>
              <x14:cfvo type="autoMax"/>
              <x14:negativeFillColor rgb="FFFF0000"/>
              <x14:axisColor rgb="FF000000"/>
            </x14:dataBar>
          </x14:cfRule>
          <xm:sqref>C40:C43 C52:C54</xm:sqref>
        </x14:conditionalFormatting>
        <x14:conditionalFormatting xmlns:xm="http://schemas.microsoft.com/office/excel/2006/main">
          <x14:cfRule type="dataBar" id="{E0838E44-CC22-4DE2-A6CF-3929A7DEE510}">
            <x14:dataBar minLength="0" maxLength="100" gradient="0">
              <x14:cfvo type="autoMin"/>
              <x14:cfvo type="autoMax"/>
              <x14:negativeFillColor rgb="FFFF0000"/>
              <x14:axisColor rgb="FF000000"/>
            </x14:dataBar>
          </x14:cfRule>
          <xm:sqref>C44:C45</xm:sqref>
        </x14:conditionalFormatting>
        <x14:conditionalFormatting xmlns:xm="http://schemas.microsoft.com/office/excel/2006/main">
          <x14:cfRule type="dataBar" id="{2DADD2B9-877B-48C7-A7FE-8919B2789D0D}">
            <x14:dataBar minLength="0" maxLength="100" gradient="0">
              <x14:cfvo type="autoMin"/>
              <x14:cfvo type="autoMax"/>
              <x14:negativeFillColor rgb="FFFF0000"/>
              <x14:axisColor rgb="FF000000"/>
            </x14:dataBar>
          </x14:cfRule>
          <xm:sqref>C46:C47</xm:sqref>
        </x14:conditionalFormatting>
        <x14:conditionalFormatting xmlns:xm="http://schemas.microsoft.com/office/excel/2006/main">
          <x14:cfRule type="dataBar" id="{5AE91660-FD9E-41C1-8255-C29610F18F5E}">
            <x14:dataBar minLength="0" maxLength="100" gradient="0">
              <x14:cfvo type="autoMin"/>
              <x14:cfvo type="autoMax"/>
              <x14:negativeFillColor rgb="FFFF0000"/>
              <x14:axisColor rgb="FF000000"/>
            </x14:dataBar>
          </x14:cfRule>
          <xm:sqref>C48:C50</xm:sqref>
        </x14:conditionalFormatting>
        <x14:conditionalFormatting xmlns:xm="http://schemas.microsoft.com/office/excel/2006/main">
          <x14:cfRule type="dataBar" id="{28519EA6-B382-41A7-9B18-F21683888244}">
            <x14:dataBar minLength="0" maxLength="100" gradient="0">
              <x14:cfvo type="autoMin"/>
              <x14:cfvo type="autoMax"/>
              <x14:negativeFillColor rgb="FFFF0000"/>
              <x14:axisColor rgb="FF000000"/>
            </x14:dataBar>
          </x14:cfRule>
          <xm:sqref>C51</xm:sqref>
        </x14:conditionalFormatting>
        <x14:conditionalFormatting xmlns:xm="http://schemas.microsoft.com/office/excel/2006/main">
          <x14:cfRule type="dataBar" id="{1B2B531A-BC49-4780-9D39-24676D562D37}">
            <x14:dataBar minLength="0" maxLength="100" gradient="0">
              <x14:cfvo type="autoMin"/>
              <x14:cfvo type="autoMax"/>
              <x14:negativeFillColor rgb="FFFF0000"/>
              <x14:axisColor rgb="FF000000"/>
            </x14:dataBar>
          </x14:cfRule>
          <xm:sqref>D28</xm:sqref>
        </x14:conditionalFormatting>
        <x14:conditionalFormatting xmlns:xm="http://schemas.microsoft.com/office/excel/2006/main">
          <x14:cfRule type="dataBar" id="{38BA1BA6-FBEC-4A78-8C0A-A718AF26E614}">
            <x14:dataBar minLength="0" maxLength="100" gradient="0">
              <x14:cfvo type="autoMin"/>
              <x14:cfvo type="autoMax"/>
              <x14:negativeFillColor rgb="FFFF0000"/>
              <x14:axisColor rgb="FF000000"/>
            </x14:dataBar>
          </x14:cfRule>
          <xm:sqref>D29</xm:sqref>
        </x14:conditionalFormatting>
        <x14:conditionalFormatting xmlns:xm="http://schemas.microsoft.com/office/excel/2006/main">
          <x14:cfRule type="dataBar" id="{386D70AB-A1E4-4B0C-88D0-2BF2B22A9B55}">
            <x14:dataBar minLength="0" maxLength="100" gradient="0">
              <x14:cfvo type="autoMin"/>
              <x14:cfvo type="autoMax"/>
              <x14:negativeFillColor rgb="FFFF0000"/>
              <x14:axisColor rgb="FF000000"/>
            </x14:dataBar>
          </x14:cfRule>
          <xm:sqref>D33</xm:sqref>
        </x14:conditionalFormatting>
        <x14:conditionalFormatting xmlns:xm="http://schemas.microsoft.com/office/excel/2006/main">
          <x14:cfRule type="dataBar" id="{8DAF8369-9D7A-4327-BDF0-14C3045609C0}">
            <x14:dataBar minLength="0" maxLength="100" gradient="0">
              <x14:cfvo type="autoMin"/>
              <x14:cfvo type="autoMax"/>
              <x14:negativeFillColor rgb="FFFF0000"/>
              <x14:axisColor rgb="FF000000"/>
            </x14:dataBar>
          </x14:cfRule>
          <xm:sqref>D38</xm:sqref>
        </x14:conditionalFormatting>
        <x14:conditionalFormatting xmlns:xm="http://schemas.microsoft.com/office/excel/2006/main">
          <x14:cfRule type="dataBar" id="{FA08A581-F432-46BA-8F68-96F6DBBEF126}">
            <x14:dataBar minLength="0" maxLength="100" gradient="0">
              <x14:cfvo type="autoMin"/>
              <x14:cfvo type="autoMax"/>
              <x14:negativeFillColor rgb="FFFF0000"/>
              <x14:axisColor rgb="FF000000"/>
            </x14:dataBar>
          </x14:cfRule>
          <xm:sqref>D45</xm:sqref>
        </x14:conditionalFormatting>
        <x14:conditionalFormatting xmlns:xm="http://schemas.microsoft.com/office/excel/2006/main">
          <x14:cfRule type="dataBar" id="{53D95F45-34CF-4F41-A666-3BDC91847A3A}">
            <x14:dataBar minLength="0" maxLength="100" gradient="0">
              <x14:cfvo type="autoMin"/>
              <x14:cfvo type="autoMax"/>
              <x14:negativeFillColor rgb="FFFF0000"/>
              <x14:axisColor rgb="FF000000"/>
            </x14:dataBar>
          </x14:cfRule>
          <xm:sqref>E33</xm:sqref>
        </x14:conditionalFormatting>
        <x14:conditionalFormatting xmlns:xm="http://schemas.microsoft.com/office/excel/2006/main">
          <x14:cfRule type="dataBar" id="{023F80B0-8649-4CAC-B7EB-EA9F62444DDB}">
            <x14:dataBar minLength="0" maxLength="100" gradient="0">
              <x14:cfvo type="autoMin"/>
              <x14:cfvo type="autoMax"/>
              <x14:negativeFillColor rgb="FFFF0000"/>
              <x14:axisColor rgb="FF000000"/>
            </x14:dataBar>
          </x14:cfRule>
          <xm:sqref>E45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BC Kết quả tháng 7</vt:lpstr>
      <vt:lpstr>'BC Kết quả tháng 7'!Print_Area</vt:lpstr>
      <vt:lpstr>'BC Kết quả tháng 7'!Print_Titles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Lê Trí Khải</cp:lastModifiedBy>
  <cp:lastPrinted>2026-07-22T07:28:53Z</cp:lastPrinted>
  <dcterms:created xsi:type="dcterms:W3CDTF">2026-05-27T07:08:41Z</dcterms:created>
  <dcterms:modified xsi:type="dcterms:W3CDTF">2026-07-22T07:29:03Z</dcterms:modified>
</cp:coreProperties>
</file>