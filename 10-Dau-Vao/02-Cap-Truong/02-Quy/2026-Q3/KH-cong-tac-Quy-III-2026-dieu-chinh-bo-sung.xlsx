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yPC\Documents\"/>
    </mc:Choice>
  </mc:AlternateContent>
  <xr:revisionPtr revIDLastSave="0" documentId="13_ncr:1_{C74EE7C6-3BB5-435A-A4AD-175D9FAA1C88}" xr6:coauthVersionLast="47" xr6:coauthVersionMax="47" xr10:uidLastSave="{00000000-0000-0000-0000-000000000000}"/>
  <bookViews>
    <workbookView xWindow="-120" yWindow="-120" windowWidth="24240" windowHeight="13020" xr2:uid="{00000000-000D-0000-FFFF-FFFF00000000}"/>
  </bookViews>
  <sheets>
    <sheet name="KH Quý III" sheetId="2" r:id="rId1"/>
    <sheet name="Nhật ký thay đổi" sheetId="3" r:id="rId2"/>
    <sheet name="Nguồn đối chiếu" sheetId="4" r:id="rId3"/>
    <sheet name="Quy ước màu" sheetId="5" r:id="rId4"/>
  </sheets>
  <calcPr calcId="191029"/>
</workbook>
</file>

<file path=xl/calcChain.xml><?xml version="1.0" encoding="utf-8"?>
<calcChain xmlns="http://schemas.openxmlformats.org/spreadsheetml/2006/main">
  <c r="I80" i="2" l="1"/>
  <c r="J80" i="2" s="1"/>
  <c r="I79" i="2"/>
  <c r="J79" i="2" s="1"/>
  <c r="I78" i="2"/>
  <c r="J78" i="2" s="1"/>
  <c r="I77" i="2"/>
  <c r="J77" i="2" s="1"/>
  <c r="I76" i="2"/>
  <c r="J76" i="2" s="1"/>
  <c r="I75" i="2"/>
  <c r="J75" i="2" s="1"/>
  <c r="I73" i="2"/>
  <c r="J73" i="2" s="1"/>
  <c r="J71" i="2"/>
  <c r="I71" i="2"/>
  <c r="I70" i="2"/>
  <c r="J70" i="2" s="1"/>
  <c r="I69" i="2"/>
  <c r="J69" i="2" s="1"/>
  <c r="J68" i="2"/>
  <c r="I68" i="2"/>
  <c r="J67" i="2"/>
  <c r="I67" i="2"/>
  <c r="I66" i="2"/>
  <c r="J66" i="2" s="1"/>
  <c r="J65" i="2"/>
  <c r="I65" i="2"/>
  <c r="I63" i="2"/>
  <c r="J63" i="2" s="1"/>
  <c r="I62" i="2"/>
  <c r="J62" i="2" s="1"/>
  <c r="J61" i="2"/>
  <c r="I61" i="2"/>
  <c r="J60" i="2"/>
  <c r="I60" i="2"/>
  <c r="I59" i="2"/>
  <c r="J59" i="2" s="1"/>
  <c r="J58" i="2"/>
  <c r="I58" i="2"/>
  <c r="I57" i="2"/>
  <c r="J57" i="2" s="1"/>
  <c r="I56" i="2"/>
  <c r="J56" i="2" s="1"/>
  <c r="J55" i="2"/>
  <c r="I55" i="2"/>
  <c r="J54" i="2"/>
  <c r="I54" i="2"/>
  <c r="I53" i="2"/>
  <c r="J53" i="2" s="1"/>
  <c r="J52" i="2"/>
  <c r="I52" i="2"/>
  <c r="I51" i="2"/>
  <c r="J51" i="2" s="1"/>
  <c r="I49" i="2"/>
  <c r="J49" i="2" s="1"/>
  <c r="J48" i="2"/>
  <c r="I48" i="2"/>
  <c r="J47" i="2"/>
  <c r="I47" i="2"/>
  <c r="I45" i="2"/>
  <c r="J45" i="2" s="1"/>
  <c r="J44" i="2"/>
  <c r="I44" i="2"/>
  <c r="I43" i="2"/>
  <c r="J43" i="2" s="1"/>
  <c r="I42" i="2"/>
  <c r="J42" i="2" s="1"/>
  <c r="J41" i="2"/>
  <c r="I41" i="2"/>
  <c r="J40" i="2"/>
  <c r="I40" i="2"/>
  <c r="I39" i="2"/>
  <c r="J39" i="2" s="1"/>
  <c r="J38" i="2"/>
  <c r="I38" i="2"/>
  <c r="I36" i="2"/>
  <c r="J36" i="2" s="1"/>
  <c r="I35" i="2"/>
  <c r="J35" i="2" s="1"/>
  <c r="J34" i="2"/>
  <c r="I34" i="2"/>
  <c r="J33" i="2"/>
  <c r="I33" i="2"/>
  <c r="I32" i="2"/>
  <c r="J32" i="2" s="1"/>
  <c r="J31" i="2"/>
  <c r="I31" i="2"/>
  <c r="I30" i="2"/>
  <c r="J30" i="2" s="1"/>
  <c r="I29" i="2"/>
  <c r="J29" i="2" s="1"/>
  <c r="J28" i="2"/>
  <c r="I28" i="2"/>
  <c r="J27" i="2"/>
  <c r="I27" i="2"/>
  <c r="I26" i="2"/>
  <c r="J26" i="2" s="1"/>
  <c r="J25" i="2"/>
  <c r="I25" i="2"/>
  <c r="I24" i="2"/>
  <c r="J24" i="2" s="1"/>
  <c r="I23" i="2"/>
  <c r="J23" i="2" s="1"/>
  <c r="J22" i="2"/>
  <c r="I22" i="2"/>
  <c r="J21" i="2"/>
  <c r="I21" i="2"/>
  <c r="I20" i="2"/>
  <c r="J20" i="2" s="1"/>
  <c r="J19" i="2"/>
  <c r="I19" i="2"/>
  <c r="I18" i="2"/>
  <c r="J18" i="2" s="1"/>
  <c r="I17" i="2"/>
  <c r="J17" i="2" s="1"/>
  <c r="J16" i="2"/>
  <c r="I16" i="2"/>
  <c r="J15" i="2"/>
  <c r="I15" i="2"/>
  <c r="I14" i="2"/>
  <c r="J14" i="2" s="1"/>
</calcChain>
</file>

<file path=xl/sharedStrings.xml><?xml version="1.0" encoding="utf-8"?>
<sst xmlns="http://schemas.openxmlformats.org/spreadsheetml/2006/main" count="1317" uniqueCount="509">
  <si>
    <t>TT</t>
  </si>
  <si>
    <t>NỘI DUNG CÔNG VIỆC</t>
  </si>
  <si>
    <t>Người trực tiếp chỉ đạo</t>
  </si>
  <si>
    <t>Đơn vị chủ trì</t>
  </si>
  <si>
    <t>Sản phẩm/ công việc</t>
  </si>
  <si>
    <t>Số lượng</t>
  </si>
  <si>
    <t>Độ khó, mới, phức tạp; phạm vi tác động</t>
  </si>
  <si>
    <t>Thời gian hoàn thành</t>
  </si>
  <si>
    <t>Điểm chấm công việc</t>
  </si>
  <si>
    <t>Hệ số quy đổi</t>
  </si>
  <si>
    <t>Ghi chú</t>
  </si>
  <si>
    <t>(1)</t>
  </si>
  <si>
    <t>(2)</t>
  </si>
  <si>
    <t>(3)</t>
  </si>
  <si>
    <t>(4)</t>
  </si>
  <si>
    <t>(5)</t>
  </si>
  <si>
    <t>(6)</t>
  </si>
  <si>
    <t>(7)</t>
  </si>
  <si>
    <t>(8)</t>
  </si>
  <si>
    <t>(9)</t>
  </si>
  <si>
    <t>(10)</t>
  </si>
  <si>
    <t>(11)</t>
  </si>
  <si>
    <t>I</t>
  </si>
  <si>
    <t> Các nhiệm vụ theo kế hoạch (chương trình) công tác đã đề ra từ đầu năm</t>
  </si>
  <si>
    <t xml:space="preserve">Trục (1) - Thực hiện mục tiêu phát triển Kinh tế - xã hội và nhiệm vụ chính trị được giao </t>
  </si>
  <si>
    <t>1.1</t>
  </si>
  <si>
    <t>Ban hành Chiến lược phát triển khoa Kinh tế và Nông Lâm đến năm 2030 và tầm nhìn đến năm 2045</t>
  </si>
  <si>
    <t>PHT Huỳnh Văn Chung</t>
  </si>
  <si>
    <t>Khoa KT&amp;NL</t>
  </si>
  <si>
    <t>Kế hoạch</t>
  </si>
  <si>
    <t>Khó và phức tạp</t>
  </si>
  <si>
    <t>1.2</t>
  </si>
  <si>
    <t>Triển khai Phương án khai thác, sử dụng hiệu quả Khu thực nghiệm</t>
  </si>
  <si>
    <t>Cao</t>
  </si>
  <si>
    <t>Tháng 7</t>
  </si>
  <si>
    <t>1.3</t>
  </si>
  <si>
    <t>Ban hành Chiến lược phát triển khoa Sư phạm đến năm 2030 và tầm nhìn đến năm 2045</t>
  </si>
  <si>
    <t>PHT Dương Văn Anh Dũng</t>
  </si>
  <si>
    <t>Khoa Sư phạm</t>
  </si>
  <si>
    <t>1.4</t>
  </si>
  <si>
    <t>Xây dựng Chương trình đào tạo ngành, nghề Y sỹ đa khoa, trình độ cao đẳng</t>
  </si>
  <si>
    <t>PHT Nguyễn Trung Hiếu</t>
  </si>
  <si>
    <t>Khoa Y – Dược</t>
  </si>
  <si>
    <t>Quyết định</t>
  </si>
  <si>
    <t>Trung bình</t>
  </si>
  <si>
    <t>Tháng 9</t>
  </si>
  <si>
    <t>1.5</t>
  </si>
  <si>
    <t>Xây dựng Đề án vị trí việc làm sau khi sắp xếp lại các đơn vị thuộc Trường.</t>
  </si>
  <si>
    <t>Hiệu trưởng</t>
  </si>
  <si>
    <t>Phòng  TCCB&amp;CTHSSV</t>
  </si>
  <si>
    <t>1.6</t>
  </si>
  <si>
    <t>Tổ chức Lễ Khai giảng năm học 2026-2027</t>
  </si>
  <si>
    <t>Phòng QLĐT&amp;BĐCL</t>
  </si>
  <si>
    <t>Thấp</t>
  </si>
  <si>
    <t>1.7</t>
  </si>
  <si>
    <t>Công bố ngưỡng đầu vào trình độ cao đẳng ngành Giáo dục Mầm non, hình thức đào tạo chính quy năm 2026</t>
  </si>
  <si>
    <t>1.8</t>
  </si>
  <si>
    <t>Công bố danh sách thí sinh trúng tuyển đợt 1 (xét tuyển trên cổng tuyển sinh chung toàn quốc)</t>
  </si>
  <si>
    <t>Thông báo</t>
  </si>
  <si>
    <t>Tháng 8</t>
  </si>
  <si>
    <t>1.9</t>
  </si>
  <si>
    <t>Tổ chức Lễ tốt nghiệp và trao bằng tốt nghiệp năm 2026</t>
  </si>
  <si>
    <t>Chương trình</t>
  </si>
  <si>
    <t>1.10</t>
  </si>
  <si>
    <t>Triển khai hoạt động liên kết đào tạo với doanh nghiệp tổ chức chức thực hành, thực tập tạo cơ sở</t>
  </si>
  <si>
    <t>Quyết định; Kế hoạch</t>
  </si>
  <si>
    <t>1.11</t>
  </si>
  <si>
    <t>Xây dựng kế hoạch khảo thí năm học 2026-2027 cho các lớp trình độ cao đẳng, trung cấp (tuyển sinh năm 2024, 2025, 2026)</t>
  </si>
  <si>
    <t>1.12</t>
  </si>
  <si>
    <t>Rà soát, đăng ký loại bỏ các ngành, nghề đào tạo không còn phù hợp, nguồn tuyển sinh hạn chế</t>
  </si>
  <si>
    <t>Kế hoạch; Công văn</t>
  </si>
  <si>
    <t>1.13</t>
  </si>
  <si>
    <t>Tổ chức rà soát, đối chiếu mức độ đáp ứng chuẩn cơ sở giáo dục nghề nghiệp theo Thông tư số 38/2026/TT-BGDĐT</t>
  </si>
  <si>
    <t>1.14</t>
  </si>
  <si>
    <t>Tổ chức Ngày hội việc làm cho học sinh, sinh viên năm học 2025-2026</t>
  </si>
  <si>
    <t>Phòng QLKHCN&amp;HTPT</t>
  </si>
  <si>
    <t>Báo cáo; Kế hoạch</t>
  </si>
  <si>
    <t>1.15</t>
  </si>
  <si>
    <t>Ban hành Quyết định kiện toàn Hội đồng và các Nhóm chuyên trách của Hội đồng tự đánh giá CTĐT Giáo dục mầm non năm 2026</t>
  </si>
  <si>
    <t>1.16</t>
  </si>
  <si>
    <t>Xây dựng Báo cáo đánh giá tình hình thực hiện phát triển sự nghiệp giáo dục nghề nghiệp và đào tạo giáo viên, nhiệm vụ dự toán NSNN năm 2026 và xây dựng kế hoạch phát triển sự nghiệp giáo dục nghề nghiệp và đào tạo giáo viên, xây dựng dự toán ngân sách nhà nước năm 2027</t>
  </si>
  <si>
    <t>Phòng TC-KT; phòng TH-HC&amp;QT</t>
  </si>
  <si>
    <t>Báo cáo</t>
  </si>
  <si>
    <t>1.17</t>
  </si>
  <si>
    <t>Ban hành Quyết định cập nhật, cải tiến chương trình, giáo trình đào tạo lái xe mô tô hạng A1, hạng B và hạng C1</t>
  </si>
  <si>
    <t>Khoa ĐT&amp;SHLX</t>
  </si>
  <si>
    <t>1.18</t>
  </si>
  <si>
    <t xml:space="preserve">Ban hành kế hoạch triển khai thực hiện gạch đầu dòng thứ 2 Mục 8 Công văn số 5639/UBND-KGVX ngày 15/6/2026 của UBND tỉnh thực hiện chính sách hỗ trợ đào tạo nghề cho người lao động ở khu vực nông thôn, người lao động là thanh niên trên địa bàn tỉnh theo Nghị định số 338/2025/NĐ-CP ngày 25/12/2025 của Chính phủ, </t>
  </si>
  <si>
    <t>Phòng TC-KT</t>
  </si>
  <si>
    <t>Kết luận</t>
  </si>
  <si>
    <t>Kết luận giao ban</t>
  </si>
  <si>
    <t>1.19</t>
  </si>
  <si>
    <t>Văn bản giao nhiệm vụ cho viên chức làm công tác tư vấn hướng nghiệp, tuyển sinh hoặc tiếp nhận hồ sơ tuyển sinh có trách nhiệm tư vấn, theo dõi, hỗ trợ người học trong suốt quá trình theo học tại Trường và đề xuất các biện pháp hỗ trợ cụ thể của nhà trường đối với từng người học trong trường hợp cần thiết, hạn chế tối đa tình trạng bỏ học giữa chừng</t>
  </si>
  <si>
    <t>Văn bản</t>
  </si>
  <si>
    <t>1.20</t>
  </si>
  <si>
    <t>Kế hoạch phối hợp triển khai thực hiện Văn bản số 1642/UBND-KTHTĐT ngày 21/6/2026 của UBND phường Đăk Cấm tăng cường công tác quản lý, sử dụng đất tại Cơ sở 5 thuộc Trường Cao đẳng Kon Tum</t>
  </si>
  <si>
    <t>Phòng TH-HC&amp;QT</t>
  </si>
  <si>
    <t>1.21</t>
  </si>
  <si>
    <t>Kế hoạch triển khai thực hiện Thông tư số 43/2026/TT-BGDĐT ngày 09/6/2026 của Bộ trưởng Bộ Giáo dục và Đào tạo quy định tiêu chuẩn người dạy nghề</t>
  </si>
  <si>
    <t>1.22</t>
  </si>
  <si>
    <t>Kế hoạch triển khai thực hiện Nghị định số 159/2026/NĐ-CP ngày 15/5/2026 của Chính phủ quy định về giảng viên đồng cơ hữu trong các cơ sở giáo dục nghề nghiệp, cơ sở giáo dục đại học công lập</t>
  </si>
  <si>
    <t>1.23</t>
  </si>
  <si>
    <t>Kế hoạch  tổ chức tọa đàm về đánh giá viên chức lãnh đạo, quản lý theo KPI và ký cam kết thực hiện nhiệm vụ theo KPI; thành phần gồm tập thể Lãnh đạo Trường, Lãnh đạo các đơn vị thuộc Trường, Trưởng, Phó Trưởng bộ môn và tương đương</t>
  </si>
  <si>
    <t>Trục (2) - Hoàn thiện thể chế, đẩy mạnh phân cấp, phân quyền gắn với kiểm tra, giám sát</t>
  </si>
  <si>
    <t>2.1</t>
  </si>
  <si>
    <t>Ban hành kế hoạch kiểm tra năm học 2026-2027</t>
  </si>
  <si>
    <t>2.2</t>
  </si>
  <si>
    <t>Ban hành Quy định xây dựng ngân hàng đề thi (áp dụng dụng từ năm học 2026-2027)</t>
  </si>
  <si>
    <t>Kế hoạch; Quyết định</t>
  </si>
  <si>
    <t>2.3</t>
  </si>
  <si>
    <t>Ban hành Quy định xây dựng, thẩm định và ban hành chương trình đào tạo; tổ chức biên soạn, lựa chọn, thẩm định, duyệt và sử dụng giáo trình đào tạo trình độ cao đẳng, trung cấp, sơ cấp và đào tạo dưới 3 tháng</t>
  </si>
  <si>
    <t>2.4</t>
  </si>
  <si>
    <t>Ban hành Phương án giá dịch vụ đào tạo các ngành, nghề trình độ cao đẳng, trung cấp</t>
  </si>
  <si>
    <t>Quyết định; Tờ trình</t>
  </si>
  <si>
    <t>2.5</t>
  </si>
  <si>
    <t xml:space="preserve">Ban hành mức thu học phí năm học 2026-2027 </t>
  </si>
  <si>
    <t>2.6</t>
  </si>
  <si>
    <t>Ban hành Quy định tiêu chuẩn chức danh do nhà trường quản lý (thay thế Quyết định số 2110/QĐ-CĐKT ngày 10/12/2024)</t>
  </si>
  <si>
    <t>2.7</t>
  </si>
  <si>
    <t>Ban hành Quy chế bổ nhiệm, bổ nhiệm lại, kéo dài thời gian giữ chức vụ quản lý, từ chức cho thôi giữ chức vụ, miễn nhiệm đối với chức danh nhà trường quản lý (thay thế Quyết định số 233/QĐ-CĐKT ngày 26/02/2024)</t>
  </si>
  <si>
    <t>2.8</t>
  </si>
  <si>
    <t>Ban hành Quy định đánh giá, xếp loại chất lượng viên chức và người lao động</t>
  </si>
  <si>
    <t>Trục (3) - Thúc đẩy phát triển khoa học, công nghệ, đổi mới sáng tạo và chuyển đổi số</t>
  </si>
  <si>
    <t>3.1</t>
  </si>
  <si>
    <t>Ban hành Quyết định công nhận kết quả bồi dưỡng và cấp Giấy chứng nhận cho học viên các lớp bồi dưỡng Ứng dụng trí tuệ nhân tạo trong công tác hành chính năm 2026</t>
  </si>
  <si>
    <t>3.2</t>
  </si>
  <si>
    <t>Thi học kỳ bằng hình thức thi trắc nghiệm online trên phần mềm Unisoft</t>
  </si>
  <si>
    <t>Bảng thống kê</t>
  </si>
  <si>
    <t>3.3</t>
  </si>
  <si>
    <t>Xây dựng phần mềm kiểm tra mô phỏng các tình huống giao thông</t>
  </si>
  <si>
    <t>Phần mềm</t>
  </si>
  <si>
    <t>Trục (4) - Xây dựng đảng và hệ thống chính trị trong sạch, vững mạnh; giữ gìn đoàn kết, thống nhất nội bộ; phòng, chống tham nhũng, lãng phí, tiêu cực</t>
  </si>
  <si>
    <t>4.1</t>
  </si>
  <si>
    <t>Báo cáo sơ kết công tác quý III và phương hướng, nhiệm vụ công tác quý IV năm 2026 của Đảng ủy Trường.</t>
  </si>
  <si>
    <t>Phó Bí thư Đảng uỷ</t>
  </si>
  <si>
    <t>BPVPĐU</t>
  </si>
  <si>
    <t>4.2</t>
  </si>
  <si>
    <t>Tổ chức Hội nghị sơ kết 6 tháng đầu năm 2026 của Đảng bộ Trường</t>
  </si>
  <si>
    <t>Hiệu trưởng, Bí thư Đảng ủy</t>
  </si>
  <si>
    <t>Hồ sơ Hội nghị</t>
  </si>
  <si>
    <t>4.3</t>
  </si>
  <si>
    <t>Bổ sung, điều chỉnh Chương trình kiểm tra, giám sát của Đảng ủy và Ủy ban Kiểm tra Đảng ủy năm 2026, theo chỉ đạo của Ban Thường vụ Đảng ủy UBND tỉnh tại Công văn số 2136-CV/ĐU ngày 24/6/2026 thực hiện công tác kiểm tra</t>
  </si>
  <si>
    <t>UBKTĐU</t>
  </si>
  <si>
    <t>Tham mưu xây dựng hoặc bổ sung phương hướng, nhiệm vụ, chương trình hành động của chi bộ nhiệm kỳ 2025-2030 trên cơ sở cụ thể hóa Nghị quyết Đại hội XIV của Đảng, nghị quyết của đại hội đảng bộ cấp trên và đề xuất kiện toàn bí thư, phó bí thư, chi ủy viên chi bộ nhiệm kỳ 2025 -2030 cho phù hợp; ban hành Quy chế làm việc của chi bộ</t>
  </si>
  <si>
    <t>Các chi bộ trực thuộc Đảng uỷ Trường</t>
  </si>
  <si>
    <t>4.4</t>
  </si>
  <si>
    <t>Báo cáo Phòng chống tham nhũng quý III/2026</t>
  </si>
  <si>
    <t>4.5</t>
  </si>
  <si>
    <t>Báo cáo sơ kết công tác quý III  và phương hướng, nhiệm vụ quý IV năm 2026 của Đảng ủy Trường.</t>
  </si>
  <si>
    <t>4.6</t>
  </si>
  <si>
    <t xml:space="preserve">Công nhận mô hình, điển hình "Dân vận khéo" cấp cơ sở </t>
  </si>
  <si>
    <t>Bí thư Đảng uỷ</t>
  </si>
  <si>
    <t>Hồ sơ công nhận</t>
  </si>
  <si>
    <t>4.7</t>
  </si>
  <si>
    <t>Hồ sơ đề nghị công nhận mô hình "Dân vận khéo" cấp tỉnh năm 2026,</t>
  </si>
  <si>
    <t>4.8</t>
  </si>
  <si>
    <t>Triển khai Kế hoạch công tác Công đoàn Quý III/2026</t>
  </si>
  <si>
    <t>Chủ tịch Công đoàn</t>
  </si>
  <si>
    <t>Ban Chấp hành CĐCS</t>
  </si>
  <si>
    <t>4.9</t>
  </si>
  <si>
    <t>Tổ chức “Ngày hội đầu khóa” năm học 2026-2027 và “Tuần sinh hoạt công dân - Học sinh, Sinh viên” Đợt 1 năm học 2026-2027</t>
  </si>
  <si>
    <t>Đoàn TN;
Hội SV</t>
  </si>
  <si>
    <t>4.10</t>
  </si>
  <si>
    <t>Xây dựng Chương trình Công tác Đoàn và phong trào thanh niên năm học 2026-2027</t>
  </si>
  <si>
    <t>4.11</t>
  </si>
  <si>
    <t>Xây dựng Chương trình Công tác Hội và phong trào Sinh viên năm học 2026-2027</t>
  </si>
  <si>
    <t>Xây dựng Kế hoạch liên tịch triển khai phong trào xanh hoá nhà trường</t>
  </si>
  <si>
    <t>Phòng TH-HC&amp;QT; BCH Công đoàn; BCH Đoàn Trường</t>
  </si>
  <si>
    <t>Kế hoạch liên tịch</t>
  </si>
  <si>
    <t>Trục (5) - Phát triển văn hóa, con người, bảo đảm an sinh xã hội, nâng cao đời sống nhân dân</t>
  </si>
  <si>
    <t>5.1</t>
  </si>
  <si>
    <t>Công nhận mô hình, điển hình "Dân vận khéo" cấp cơ sở. Đề nghị công nhận mô hình "Dân vận khéo" cấp tỉnh năm 2026.</t>
  </si>
  <si>
    <t>5.2</t>
  </si>
  <si>
    <t>Tổ chức tiếp sinh, nhập học thí sinh trúng tuyển trình độ cao đẳng, trung cấp, hệ chính quy năm học 2026-2027</t>
  </si>
  <si>
    <t>Công văn/Thông báo</t>
  </si>
  <si>
    <t>Tháng 8,9</t>
  </si>
  <si>
    <t>5.3</t>
  </si>
  <si>
    <t>Ban hành Kế hoạch triển khai các công trình thanh niên chào mừng kỷ niệm 10 năm thành lập Trường (24/10/2017-24/10/2027)</t>
  </si>
  <si>
    <t>5.4</t>
  </si>
  <si>
    <t>Triển khai Kế hoạch tổ chức Chương trình "Tết Trung thu năm 2026" cho con đoàn viên, viên chức và người lao động.</t>
  </si>
  <si>
    <t>Ban Nữ công; BCH CĐCS; các Tổ Công đoàn</t>
  </si>
  <si>
    <t>5.5</t>
  </si>
  <si>
    <t>Tổ chức Chương trình "Tết Trung thu năm 2026" cho con đoàn viên, viên chức và người lao động.</t>
  </si>
  <si>
    <t>Danh sách; Báo cáo; quyết toán kinh phí</t>
  </si>
  <si>
    <t>5.6</t>
  </si>
  <si>
    <t>Triển khai Kế hoạch tham gia Giải bóng chuyền nam, nữ công nhân, viên chức, lao động tỉnh Quảng Ngãi năm 2026.</t>
  </si>
  <si>
    <t>Ban Chấp hành CĐCS; các Tổ Công đoàn liên quan</t>
  </si>
  <si>
    <t>Kế hoạch; quyết định; dự toán; hồ sơ đăng ký</t>
  </si>
  <si>
    <t>5.7</t>
  </si>
  <si>
    <t>Tổ chức các hoạt động chào mừng Ngày Phụ nữ Việt Nam 20/10</t>
  </si>
  <si>
    <t>Ban Nữ công; BCH CĐCS</t>
  </si>
  <si>
    <t>Trục (6) - Củng cố quốc phòng, an ninh, giữ vững ổn định chính trị - xã hội, nâng cao hiệu quả đối ngoại và hội nhập quốc tế</t>
  </si>
  <si>
    <t>6.1</t>
  </si>
  <si>
    <t>Duy trì ổn định chính trị nội bộ, đảm bảo an ninh trật tự trường học và thực hiện Đề án xây dựng xã hội trật tự, kỷ cương</t>
  </si>
  <si>
    <t>Theo dõi, Giám sát, Báo cáo</t>
  </si>
  <si>
    <t>Tháng 7,8,9</t>
  </si>
  <si>
    <t>II</t>
  </si>
  <si>
    <t>Các nhiệm vụ quý trước chuyển sang</t>
  </si>
  <si>
    <t>Tổ chức, triển khai Chiến dịch Thanh niên tình nguyện hè năm 2026</t>
  </si>
  <si>
    <t>Hoàn thiện, trình cấp có thẩm quyền phê duyệt Đề án thành lập Trung tâm Đăng kiểm xe cơ giới trực thuộc Trường Cao đẳng Kon Tum</t>
  </si>
  <si>
    <t>Công văn</t>
  </si>
  <si>
    <t>Hoàn thiện, trình cấp có thẩm quyền phê duyệt Đề án xây dựng Trường Cao đẳng Kon Tum thành trường cao đẳng chất lượng cao giai đoạn 2026-2030</t>
  </si>
  <si>
    <t>Quyết định ban hành tiêu chuẩn, định mức diện tích công trình sự nghiệp của nhà trường và các đơn vị thuộc Trường</t>
  </si>
  <si>
    <t>Quyết định ban hành tiêu chuẩn, định mức sử dụng máy móc, thiết bị phục vụ hoạt động chung</t>
  </si>
  <si>
    <t>Số:       /KH-CĐKT</t>
  </si>
  <si>
    <t>Quảng Ngãi, ngày     tháng     năm 2026</t>
  </si>
  <si>
    <t>KẾ HOẠCH
Điều chỉnh, bổ sung Kế hoạch công tác Quý III năm 2026</t>
  </si>
  <si>
    <t>Điều chỉnh Tháng 7 → Tháng 8 theo 729KH-CĐKT</t>
  </si>
  <si>
    <t>Cụ thể hóa bằng mô hình trồng thực nghiệm 550 cây chanh leo hữu cơ tại khu A; không tách nhiệm vụ mới (nguồn: 780KH-CĐKT)</t>
  </si>
  <si>
    <t>Kết luận giao ban; Điều chỉnh Tháng 7 → Tháng 8 theo 729KH-CĐKT</t>
  </si>
  <si>
    <t>Điều chỉnh Tháng 7 → Tháng 8 theo 729KH-CĐKT; Cụ thể hóa phạm vi định mức KT-KT và giá dịch vụ đào tạo nghề Y sỹ đa khoa, các chương trình đào tạo lái xe; không tách nhiệm vụ mới (nguồn: 774KH-CĐKT; 667KH-CĐKT)</t>
  </si>
  <si>
    <t>Cụ thể hóa bằng quy trình đánh giá, xếp loại chất lượng viên chức; không tách nhiệm vụ mới (nguồn: 734KH-CĐKT)</t>
  </si>
  <si>
    <t>Cụ thể hóa nội dung sinh hoạt chính trị đầu khóa trong Ngày hội đầu khóa/Tuần sinh hoạt công dân - HSSV; không tách nhiệm vụ mới (nguồn: 738KH-CĐKT)</t>
  </si>
  <si>
    <t>Kết luận giao ban; Điều chỉnh Tháng 9 → Tháng 8 theo 729KH-CĐKT</t>
  </si>
  <si>
    <t>III</t>
  </si>
  <si>
    <t>Nhiệm vụ bổ sung sau khi rà soát các kế hoạch chuyên đề ban hành trong Quý III/2026</t>
  </si>
  <si>
    <t>Trục (1) - Thực hiện mục tiêu phát triển Kinh tế - xã hội và nhiệm vụ chính trị được giao</t>
  </si>
  <si>
    <t>BS-1.01</t>
  </si>
  <si>
    <t>Thực hiện thủ tục bổ nhiệm lại Phó Trưởng phòng QLKHCN&amp;HTPT</t>
  </si>
  <si>
    <t>Phòng TCCB&amp;CTHSSV</t>
  </si>
  <si>
    <t>Kế hoạch; Biên bản; Quyết định</t>
  </si>
  <si>
    <t>708KH-CĐKT</t>
  </si>
  <si>
    <t>BS-1.02</t>
  </si>
  <si>
    <t>Làm việc với Sở Y tế và BHXH cơ sở Kon Tum điều chuyển thẻ BHYT về Phòng khám Đa khoa</t>
  </si>
  <si>
    <t>729KH-CĐKT</t>
  </si>
  <si>
    <t>BS-1.03</t>
  </si>
  <si>
    <t>Triển khai Thông tư 52/2026/TT-BGDĐT và Thông tư 55/2026/TT-BGDĐT về liên thông và chuẩn chương trình GDNN</t>
  </si>
  <si>
    <t>757KH-CĐKT</t>
  </si>
  <si>
    <t>BS-1.04</t>
  </si>
  <si>
    <t>Triển khai Khung năng lực ngoại ngữ dùng cho Việt Nam theo Thông tư 33/2026/TT-BGDĐT</t>
  </si>
  <si>
    <t>Khoa CKHCB</t>
  </si>
  <si>
    <t>Biên bản; sinh hoạt chuyên môn</t>
  </si>
  <si>
    <t>Trung bình/Cao</t>
  </si>
  <si>
    <t>724KH-CĐKT</t>
  </si>
  <si>
    <t>BS-1.05</t>
  </si>
  <si>
    <t>Tổ chức Hội thảo giải pháp bảo đảm điều kiện đào tạo trực tuyến, đáp ứng tiêu chuẩn trường cao đẳng chất lượng cao</t>
  </si>
  <si>
    <t>Kế hoạch; Kỷ yếu/Báo cáo</t>
  </si>
  <si>
    <t>762KH-CĐKT</t>
  </si>
  <si>
    <t>BS-1.08</t>
  </si>
  <si>
    <t>Rà soát, đánh giá, thanh lý tài sản năm 2026</t>
  </si>
  <si>
    <t>Biên bản; hồ sơ thanh lý</t>
  </si>
  <si>
    <t>Tháng 8-9</t>
  </si>
  <si>
    <t>754KH-CĐKT</t>
  </si>
  <si>
    <t>BS-1.09</t>
  </si>
  <si>
    <t>Tổ chức tập huấn giảng dạy tích hợp năm học 2026-2027</t>
  </si>
  <si>
    <t>Kế hoạch; tài liệu; báo cáo</t>
  </si>
  <si>
    <t>746KH-CĐKT</t>
  </si>
  <si>
    <t>BS-1.10</t>
  </si>
  <si>
    <t>Triển khai hoạt động thư viện đầu năm học 2026-2027 và phục vụ mượn/trả học liệu</t>
  </si>
  <si>
    <t>Tổ Học liệu - Khoa CKHCB</t>
  </si>
  <si>
    <t>Kế hoạch; dữ liệu mượn/trả</t>
  </si>
  <si>
    <t>739KH-CĐKT; 787KH-CĐKT</t>
  </si>
  <si>
    <t>BS-1.11</t>
  </si>
  <si>
    <t>Chuẩn bị điều kiện đánh giá ngoài chương trình đào tạo nghề Lâm sinh năm 2026</t>
  </si>
  <si>
    <t>Hồ sơ minh chứng; báo cáo rà soát</t>
  </si>
  <si>
    <t>Khó, phức tạp</t>
  </si>
  <si>
    <t>736KH-CĐKT</t>
  </si>
  <si>
    <t>BS-1.12</t>
  </si>
  <si>
    <t>Rà soát nhu cầu sách giáo khoa và giáo trình GDQP&amp;AN, lập danh mục và báo cáo nhu cầu theo Nghị định 271/2026/NĐ-CP</t>
  </si>
  <si>
    <t>Khoa CKHCB; Phòng QLĐT&amp;BĐCL</t>
  </si>
  <si>
    <t>Danh mục; báo cáo nhu cầu</t>
  </si>
  <si>
    <t>Trước 30/8 và 30/9</t>
  </si>
  <si>
    <t>787KH-CĐKT</t>
  </si>
  <si>
    <t>BS-2.01</t>
  </si>
  <si>
    <t>Chuẩn bị danh mục hồ sơ, chứng từ tài chính Công đoàn phục vụ kiểm tra, giám sát năm 2026</t>
  </si>
  <si>
    <t>Chủ nhiệm UBKT CĐCS</t>
  </si>
  <si>
    <t>BCH CĐCS</t>
  </si>
  <si>
    <t>Danh mục hồ sơ/chứng từ</t>
  </si>
  <si>
    <t>BS-2.02</t>
  </si>
  <si>
    <t>Rà soát, sửa đổi Quy chế làm việc của Trường phù hợp quy định mới về viên chức, kỷ luật và hợp đồng</t>
  </si>
  <si>
    <t>Dự thảo; Quyết định</t>
  </si>
  <si>
    <t>734KH-CĐKT</t>
  </si>
  <si>
    <t>BS-3.01</t>
  </si>
  <si>
    <t>Bồi dưỡng, tập huấn chuyển đổi số và kỹ năng số cho viên chức, người lao động năm 2026</t>
  </si>
  <si>
    <t>Công văn; Báo cáo</t>
  </si>
  <si>
    <t>BS-3.02</t>
  </si>
  <si>
    <t>Triển khai Thông tư 49/2026/TT-BGDĐT về ứng dụng công nghệ trong giáo dục đại học và GDNN</t>
  </si>
  <si>
    <t>Kế hoạch; báo cáo rà soát</t>
  </si>
  <si>
    <t>Quý III</t>
  </si>
  <si>
    <t>726KH-CĐKT</t>
  </si>
  <si>
    <t>BS-3.03</t>
  </si>
  <si>
    <t>Ban hành hướng dẫn sử dụng AI để xây dựng học liệu số, rà soát chương trình/giáo trình và ra đề thi</t>
  </si>
  <si>
    <t>Thông báo hướng dẫn</t>
  </si>
  <si>
    <t>BS-3.04</t>
  </si>
  <si>
    <t>Xây dựng Chiến lược ứng dụng công nghệ dài hạn; kế hoạch trung hạn và hằng năm</t>
  </si>
  <si>
    <t>Chiến lược; kế hoạch</t>
  </si>
  <si>
    <t>Quý III-IV</t>
  </si>
  <si>
    <t>BS-3.05</t>
  </si>
  <si>
    <t>Xây dựng Bộ tiêu chí đánh giá dự án khởi nghiệp sáng tạo, ưu tiên ứng dụng AI, thực tiễn và thương mại hóa</t>
  </si>
  <si>
    <t>Bộ tiêu chí</t>
  </si>
  <si>
    <t>677KH-CĐKT</t>
  </si>
  <si>
    <t>BS-4.01</t>
  </si>
  <si>
    <t>Kế hoạch xét chọn Sinh viên 5 tốt, Học sinh 3 rèn luyện các cấp năm học 2025-2026</t>
  </si>
  <si>
    <t>Đoàn TN; Hội SV</t>
  </si>
  <si>
    <t>BS-4.02</t>
  </si>
  <si>
    <t>Giám sát việc thực hiện chế độ, chính sách đối với HSSV chính quy</t>
  </si>
  <si>
    <t>Chủ tịch Ban TTND</t>
  </si>
  <si>
    <t>Ban Thanh tra nhân dân</t>
  </si>
  <si>
    <t>Biên bản; báo cáo giám sát</t>
  </si>
  <si>
    <t>08-09/9/2026</t>
  </si>
  <si>
    <t>715KH-CĐKT</t>
  </si>
  <si>
    <t>BS-5.01</t>
  </si>
  <si>
    <t>Thực hiện truy lĩnh phụ cấp ưu đãi nhà giáo theo Nghị định 182/2026/NĐ-CP</t>
  </si>
  <si>
    <t>Danh sách; chứng từ chi trả</t>
  </si>
  <si>
    <t>BS-5.02</t>
  </si>
  <si>
    <t>Triển khai các Nghị định 232, 233, 235 và 259/2026/NĐ-CP về vị trí việc làm, đánh giá viên chức, hợp đồng và tuyển dụng</t>
  </si>
  <si>
    <t>Kế hoạch; quy định; báo cáo</t>
  </si>
  <si>
    <t>BS-6.01</t>
  </si>
  <si>
    <t>Huấn luyện an toàn, vệ sinh lao động khóa V năm 2026</t>
  </si>
  <si>
    <t>Kế hoạch; danh sách; chứng nhận</t>
  </si>
  <si>
    <t>675KH-CĐKT</t>
  </si>
  <si>
    <t>Nơi nhận: 
- Đảng uỷ UBND tỉnh;
- Thường trực UBND tỉnh;
- Sở Nội vụ;
- Đảng ủy Trường;
- Lãnh đạo Trường;
- Công đoàn Trường;
- Đoàn Trường;
- Các đơn vị thuộc Trường;
- Lưu: VT, THHCQT.</t>
  </si>
  <si>
    <t>HIỆU TRƯỞNG
Lê Trí Khải</t>
  </si>
  <si>
    <t>NHẬT KÝ ĐIỀU CHỈNH, BỔ SUNG KẾ HOẠCH CÔNG TÁC QUÝ III/2026</t>
  </si>
  <si>
    <t>Baseline 658/KH-CĐKT: giữ nguyên 61 nhiệm vụ; bổ sung 22; điều chỉnh thời gian 11; cụ thể hóa/ghi nguồn 4; hủy 0; nguồn rà soát 49 tệp.</t>
  </si>
  <si>
    <t>STT</t>
  </si>
  <si>
    <t>Loại thay đổi</t>
  </si>
  <si>
    <t>Trục</t>
  </si>
  <si>
    <t>Mã nhiệm vụ</t>
  </si>
  <si>
    <t>Nội dung công việc</t>
  </si>
  <si>
    <t>Người chỉ đạo</t>
  </si>
  <si>
    <t>Sản phẩm/công việc</t>
  </si>
  <si>
    <t>Thời gian trước</t>
  </si>
  <si>
    <t>Thời gian sau</t>
  </si>
  <si>
    <t>Nguồn</t>
  </si>
  <si>
    <t>Cách xử lý</t>
  </si>
  <si>
    <t>ĐIỀU CHỈNH THỜI GIAN</t>
  </si>
  <si>
    <t>Trục 1</t>
  </si>
  <si>
    <t>Giữ nguyên nhiệm vụ baseline; chỉ cập nhật mốc hoàn thành</t>
  </si>
  <si>
    <t>Trục 2</t>
  </si>
  <si>
    <t>Ban hành mức thu học phí năm học 2026-2027</t>
  </si>
  <si>
    <t>Trục 3</t>
  </si>
  <si>
    <t>Trục 4</t>
  </si>
  <si>
    <t>Công nhận mô hình, điển hình "Dân vận khéo" cấp cơ sở</t>
  </si>
  <si>
    <t>4.12</t>
  </si>
  <si>
    <t>CỤ THỂ HÓA/GHI NGUỒN</t>
  </si>
  <si>
    <t>780KH-CĐKT</t>
  </si>
  <si>
    <t>Cụ thể hóa bằng mô hình trồng thực nghiệm 550 cây chanh leo hữu cơ tại khu A; không tách nhiệm vụ mới</t>
  </si>
  <si>
    <t>774KH-CĐKT; 667KH-CĐKT</t>
  </si>
  <si>
    <t>Cụ thể hóa phạm vi định mức KT-KT và giá dịch vụ đào tạo nghề Y sỹ đa khoa, các chương trình đào tạo lái xe; không tách nhiệm vụ mới</t>
  </si>
  <si>
    <t>Cụ thể hóa bằng quy trình đánh giá, xếp loại chất lượng viên chức; không tách nhiệm vụ mới</t>
  </si>
  <si>
    <t>738KH-CĐKT</t>
  </si>
  <si>
    <t>Cụ thể hóa nội dung sinh hoạt chính trị đầu khóa trong Ngày hội đầu khóa/Tuần sinh hoạt công dân - HSSV; không tách nhiệm vụ mới</t>
  </si>
  <si>
    <t>BỔ SUNG</t>
  </si>
  <si>
    <t>—</t>
  </si>
  <si>
    <t>Thêm mới sau đối chiếu; không trùng nhiệm vụ baseline</t>
  </si>
  <si>
    <t>Trục 5</t>
  </si>
  <si>
    <t>Trục 6</t>
  </si>
  <si>
    <t>NGUỒN KẾ HOẠCH CHUYÊN ĐỀ ĐÃ RÀ SOÁT VÀ KẾT QUẢ ĐỐI CHIẾU</t>
  </si>
  <si>
    <t>Phạm vi: KTC-Ke-Hoach/input-KH_Chuyen_de/KH-Truong — 49 tệp; đối chiếu với baseline 658/KH-CĐKT và Kế hoạch tháng 8 số 729/KH-CĐKT.</t>
  </si>
  <si>
    <t>Số/tên kế hoạch</t>
  </si>
  <si>
    <t>Chủ đề</t>
  </si>
  <si>
    <t>Kết quả đối chiếu/chống trùng</t>
  </si>
  <si>
    <t>Liên kết nguồn</t>
  </si>
  <si>
    <t>Nghị định 271</t>
  </si>
  <si>
    <t>Bổ sung 2 nhiệm vụ QIII; phần còn lại ngoài QIII/định kỳ</t>
  </si>
  <si>
    <t>https://drive.google.com/drive/folders/1s769e9dwQpKd4jk2OM7h1yJT5QYXpGuh</t>
  </si>
  <si>
    <t>Mô hình chanh leo hữu cơ</t>
  </si>
  <si>
    <t>Cụ thể hóa nhiệm vụ 1.2; ghi nguồn và mốc triển khai, không thêm dòng mới</t>
  </si>
  <si>
    <t>776KH-CĐKT</t>
  </si>
  <si>
    <t>Phát triển CNC/CNCL 2026-2030</t>
  </si>
  <si>
    <t>Ghi nguồn; nhiệm vụ QIII tích hợp trục 3</t>
  </si>
  <si>
    <t>774KH-CĐKT</t>
  </si>
  <si>
    <t>ĐMKTKT và giá dịch vụ Y sỹ/lái xe</t>
  </si>
  <si>
    <t>Cụ thể hóa nhiệm vụ 2.4 về định mức KT-KT/giá dịch vụ Y sỹ và lái xe; không thêm dòng mới</t>
  </si>
  <si>
    <t>767KH-CĐKT</t>
  </si>
  <si>
    <t>Họp làm rõ chế độ giảng dạy tích hợp</t>
  </si>
  <si>
    <t>Cụ thể hóa quản lý đào tạo; không thêm trùng</t>
  </si>
  <si>
    <t>Hội thảo đào tạo trực tuyến</t>
  </si>
  <si>
    <t>Bổ sung</t>
  </si>
  <si>
    <t>Thông tư 52 và 55</t>
  </si>
  <si>
    <t>Đánh giá, thanh lý tài sản</t>
  </si>
  <si>
    <t>748KH-CĐKT</t>
  </si>
  <si>
    <t>Chương trình, giáo trình bồi dưỡng kỹ năng CNTT</t>
  </si>
  <si>
    <t>Ngoài/qua QIII; ghi nguồn</t>
  </si>
  <si>
    <t>Tập huấn giảng dạy tích hợp</t>
  </si>
  <si>
    <t>739KH-CĐKT</t>
  </si>
  <si>
    <t>Hoạt động thư viện 2026-2027</t>
  </si>
  <si>
    <t>Bổ sung nhiệm vụ đầu năm học</t>
  </si>
  <si>
    <t>Sinh hoạt chính trị đầu khóa</t>
  </si>
  <si>
    <t>Cụ thể hóa nhiệm vụ 4.9 về sinh hoạt chính trị đầu khóa; không thêm dòng mới</t>
  </si>
  <si>
    <t>Chuẩn bị đánh giá ngoài Lâm sinh</t>
  </si>
  <si>
    <t>Triển khai các nghị định về viên chức</t>
  </si>
  <si>
    <t>Bổ sung nhiệm vụ ngoài baseline; đồng thời cụ thể hóa 2.6-2.8 và ghi nguồn chống trùng</t>
  </si>
  <si>
    <t>733KH-CĐKT</t>
  </si>
  <si>
    <t>Làm việc cấp lại giấy phép đào tạo lái xe</t>
  </si>
  <si>
    <t>Cụ thể hóa nhiệm vụ ngành lái xe; hoàn thành tháng 7</t>
  </si>
  <si>
    <t>735KH-CĐKT</t>
  </si>
  <si>
    <t>Xanh hóa nhà trường</t>
  </si>
  <si>
    <t>Cụ thể hóa 4.12; điều chỉnh sang tháng 8</t>
  </si>
  <si>
    <t>Kế hoạch công tác tháng 8/2026</t>
  </si>
  <si>
    <t>Căn cứ chính xác nhận bổ sung và chuyển thời gian</t>
  </si>
  <si>
    <t>731KH-CĐKT</t>
  </si>
  <si>
    <t>Tọa đàm KPI</t>
  </si>
  <si>
    <t>Cụ thể hóa 1.23</t>
  </si>
  <si>
    <t>730KH-CĐKT</t>
  </si>
  <si>
    <t>Hội thảo CĐS toàn diện trong quản trị</t>
  </si>
  <si>
    <t>Tích hợp trục 3; tránh trùng TT49/hội thảo trực tuyến</t>
  </si>
  <si>
    <t>Thông tư 49</t>
  </si>
  <si>
    <t>Bổ sung 3 nhiệm vụ trục 3</t>
  </si>
  <si>
    <t>Khung năng lực ngoại ngữ</t>
  </si>
  <si>
    <t>722KH-CĐKT</t>
  </si>
  <si>
    <t>Kiểm tra cấp lại giấy phép lái xe</t>
  </si>
  <si>
    <t>Cụ thể hóa; hoàn thành tháng 7</t>
  </si>
  <si>
    <t>716KH-CĐKT</t>
  </si>
  <si>
    <t>Nhập học đợt 1</t>
  </si>
  <si>
    <t>Cụ thể hóa 5.2</t>
  </si>
  <si>
    <t>714KH-CĐKT</t>
  </si>
  <si>
    <t>Chiến lược khoa Sư phạm</t>
  </si>
  <si>
    <t>Cụ thể hóa 1.3</t>
  </si>
  <si>
    <t>Giám sát chính sách HSSV</t>
  </si>
  <si>
    <t>710KH-CĐKT</t>
  </si>
  <si>
    <t>Tập huấn tự đánh giá CTĐT GDMN</t>
  </si>
  <si>
    <t>Cụ thể hóa 1.15</t>
  </si>
  <si>
    <t>709KH-CĐKT</t>
  </si>
  <si>
    <t>Lễ tốt nghiệp 2026</t>
  </si>
  <si>
    <t>Cụ thể hóa 1.9</t>
  </si>
  <si>
    <t>Bổ nhiệm lại Phó Trưởng phòng</t>
  </si>
  <si>
    <t>703KH-CĐKT</t>
  </si>
  <si>
    <t>Luật Thi đua, khen thưởng sửa đổi</t>
  </si>
  <si>
    <t>Ghi nguồn; nhiệm vụ thường xuyên/cụ thể hóa</t>
  </si>
  <si>
    <t>701KH-CĐKT</t>
  </si>
  <si>
    <t>Đào tạo thực hành học viên YSDK</t>
  </si>
  <si>
    <t>Cụ thể hóa 1.4</t>
  </si>
  <si>
    <t>700KH-CĐKT</t>
  </si>
  <si>
    <t>Thi đua cải cách hành chính</t>
  </si>
  <si>
    <t>Bổ sung nội dung thực hiện; tích hợp trục 2</t>
  </si>
  <si>
    <t>695KH-CĐKT</t>
  </si>
  <si>
    <t>Ứng dụng công nghệ trong dạy học trực tuyến</t>
  </si>
  <si>
    <t>Cụ thể hóa và cập nhật TT49</t>
  </si>
  <si>
    <t>693KH-CĐKT</t>
  </si>
  <si>
    <t>Tự đánh giá chuẩn cơ sở GDNN</t>
  </si>
  <si>
    <t>Cụ thể hóa 1.13</t>
  </si>
  <si>
    <t>688KH-CĐKT</t>
  </si>
  <si>
    <t>Nhiệm vụ trọng tâm đến tháng 12</t>
  </si>
  <si>
    <t>Nguồn kiểm tra chéo; chỉ lấy mốc QIII</t>
  </si>
  <si>
    <t>684KH-CĐKT</t>
  </si>
  <si>
    <t>Xây dựng ngân hàng đề thi</t>
  </si>
  <si>
    <t>Cụ thể hóa 2.2</t>
  </si>
  <si>
    <t>683KH-CĐKT</t>
  </si>
  <si>
    <t>Thẩm định giáo trình NNCNC/Trồng trọt</t>
  </si>
  <si>
    <t>Cụ thể hóa 2.3</t>
  </si>
  <si>
    <t>678KH-CĐKT</t>
  </si>
  <si>
    <t>Kiểm tra hồ sơ tại khoa CKHCB</t>
  </si>
  <si>
    <t>Hoàn thành tháng 7; ghi nguồn</t>
  </si>
  <si>
    <t>681KH-CĐKT</t>
  </si>
  <si>
    <t>Thẩm định máy móc, thiết bị dùng chung</t>
  </si>
  <si>
    <t>Cụ thể hóa nhiệm vụ thiết bị</t>
  </si>
  <si>
    <t>679KH-CĐKT</t>
  </si>
  <si>
    <t>Kế hoạch đào tạo 2026-2027 tại CKHCB</t>
  </si>
  <si>
    <t>Cụ thể hóa kế hoạch đào tạo</t>
  </si>
  <si>
    <t>Hỗ trợ HSSV khởi nghiệp</t>
  </si>
  <si>
    <t>Bổ sung Bộ tiêu chí QIII</t>
  </si>
  <si>
    <t>Huấn luyện ATVSLĐ khóa V</t>
  </si>
  <si>
    <t>672KH-CĐKT</t>
  </si>
  <si>
    <t>Kiểm tra công tác bảo đảm sĩ số HSSV</t>
  </si>
  <si>
    <t>671KH-CĐKT</t>
  </si>
  <si>
    <t>Tập huấn tự đánh giá chuẩn cơ sở GDNN</t>
  </si>
  <si>
    <t>668KH-CĐKT</t>
  </si>
  <si>
    <t>Khắc phục hạn chế sau kiểm tra khoa Sư phạm</t>
  </si>
  <si>
    <t>Cụ thể hóa quản trị chất lượng</t>
  </si>
  <si>
    <t>667KH-CĐKT</t>
  </si>
  <si>
    <t>ĐMKTKT và định mức đào tạo NĐ 238</t>
  </si>
  <si>
    <t>Cụ thể hóa 2.4; tránh trùng</t>
  </si>
  <si>
    <t>663KH-CĐKT</t>
  </si>
  <si>
    <t>Danh mục sản phẩm, công việc</t>
  </si>
  <si>
    <t>Cụ thể hóa đánh giá KPI/viên chức</t>
  </si>
  <si>
    <t>662KH-CĐKT</t>
  </si>
  <si>
    <t>Nghị định 159</t>
  </si>
  <si>
    <t>Cụ thể hóa 1.22</t>
  </si>
  <si>
    <t>656KH-CĐKT</t>
  </si>
  <si>
    <t>Mùa hè xanh 2026</t>
  </si>
  <si>
    <t>Cụ thể hóa nhiệm vụ chuyển quý</t>
  </si>
  <si>
    <t>DanhSachCongViecDaGiao</t>
  </si>
  <si>
    <t>Danh sách việc VNPT Office</t>
  </si>
  <si>
    <t>Chỉ kiểm tra chéo; không dùng thay văn bản nguồn</t>
  </si>
  <si>
    <t>QUY ƯỚC MÀU VÀ NGUYÊN TẮC XỬ LÝ</t>
  </si>
  <si>
    <t>Màu</t>
  </si>
  <si>
    <t>Trạng thái</t>
  </si>
  <si>
    <t>Xử lý</t>
  </si>
  <si>
    <t>Kết quả kỳ rà soát</t>
  </si>
  <si>
    <t>Xanh lá</t>
  </si>
  <si>
    <t>Nhiệm vụ bổ sung</t>
  </si>
  <si>
    <t>Đưa vào Mục III, phân đúng 6 Trục và ghi nguồn</t>
  </si>
  <si>
    <t>22 nhiệm vụ</t>
  </si>
  <si>
    <t>Vàng</t>
  </si>
  <si>
    <t>Điều chỉnh thời gian</t>
  </si>
  <si>
    <t>Giữ nguyên nội dung baseline, cập nhật thời hạn và ghi căn cứ</t>
  </si>
  <si>
    <t>11 nhiệm vụ</t>
  </si>
  <si>
    <t>Đỏ</t>
  </si>
  <si>
    <t>Nhiệm vụ bị hủy</t>
  </si>
  <si>
    <t>Giữ dòng để truy vết và đánh dấu HỦY</t>
  </si>
  <si>
    <t>0 nhiệm vụ</t>
  </si>
  <si>
    <t>Không tô</t>
  </si>
  <si>
    <t>Baseline không thay đổi hoặc chỉ ghi nguồn cụ thể hóa</t>
  </si>
  <si>
    <t>Giữ nguyên nội dung nhiệm vụ; không tạo dòng trùng</t>
  </si>
  <si>
    <t>50 nhiệm vụ</t>
  </si>
  <si>
    <t>Nguyên tắc</t>
  </si>
  <si>
    <t>Chống trùng</t>
  </si>
  <si>
    <t>Kế hoạch chuyên đề chỉ cụ thể hóa nhiệm vụ baseline thì ghi nguồn, không thêm dòng mới</t>
  </si>
  <si>
    <t>Phân loại</t>
  </si>
  <si>
    <t>Phân theo kết quả chính của nhiệm vụ trong 6 Trục TB 817</t>
  </si>
  <si>
    <t>Truy vết</t>
  </si>
  <si>
    <t>Nhật ký thay đổi và Nguồn đối chiếu là bộ phận kèm theo workbook</t>
  </si>
  <si>
    <r>
      <rPr>
        <b/>
        <sz val="13"/>
        <color rgb="FF000000"/>
        <rFont val="Times New Roman"/>
        <family val="1"/>
      </rPr>
      <t>CỘNG HÒA XÃ HỘI CHỦ NGHĨA VIỆT NAM
Độc lập - Tự do - Hạnh phúc</t>
    </r>
  </si>
  <si>
    <r>
      <rPr>
        <sz val="13"/>
        <color rgb="FF000000"/>
        <rFont val="Arial"/>
        <family val="2"/>
      </rPr>
      <t xml:space="preserve">UBND TỈNH QUẢNG NGÃI
</t>
    </r>
    <r>
      <rPr>
        <b/>
        <sz val="13"/>
        <color rgb="FF000000"/>
        <rFont val="Times New Roman"/>
        <family val="1"/>
      </rPr>
      <t>TRƯỜNG CAO ĐẲNG KON TUM</t>
    </r>
  </si>
  <si>
    <t xml:space="preserve">          Căn cứ Quyết định số 988/QĐ-CĐKT ngày 12/5/2026 của Hiệu trưởng Trường Cao đẳng Kon Tum ban hành Quy chế tổ chức và hoạt động của Trường Cao đẳng Kon Tum; Quyết định số 1299/QĐ-CĐKT ngày 27/5/2026 của Hiệu trưởng Trường Cao đẳng Kon Tum ban hành Quy chế làm việc của Trường Cao đẳng Kon Tum;
          Căn cứ Quyết định số 311/QĐ-CĐKT ngày 04/02/2026 của Hiệu trưởng Trường Cao đẳng Kon Tum ban hành Chương trình công tác trọng tâm năm 2026;
          Căn cứ các Kế hoạch, Hướng dẫn của Tỉnh ủy, Đảng ủy UBND tỉnh, UBND tỉnh xây dựng kế hoạch và khung tiêu chí đánh giá đối với tập thể, cá nhân và các Kết luận, lãnh đạo, chỉ đạo của Lãnh đạo Trường. 
          Căn cứ các kế hoạch chuyên đề của Trường ban hành sau Kế hoạch số 658/KH-CĐKT ngày 03/7/2026;
          Nhà trường điều chỉnh, bổ sung Kế hoạch công tác Quý III năm 2026, cụ thể như sau:</t>
  </si>
  <si>
    <t>Tháng 12</t>
  </si>
  <si>
    <t>Huỷ: Chuyển sang tháng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</si>
</sst>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rial"/>
    </font>
    <font>
      <sz val="12"/>
      <name val="Times New Roman"/>
    </font>
    <font>
      <sz val="14"/>
      <name val="Times New Roman"/>
    </font>
    <font>
      <b/>
      <sz val="14"/>
      <name val="Times New Roman"/>
    </font>
    <font>
      <sz val="11"/>
      <name val="Arial"/>
    </font>
    <font>
      <i/>
      <sz val="14"/>
      <name val="Times New Roman"/>
    </font>
    <font>
      <sz val="13"/>
      <name val="Times New Roman"/>
    </font>
    <font>
      <b/>
      <sz val="14"/>
      <color rgb="FFFFFFFF"/>
      <name val="Times New Roman"/>
    </font>
    <font>
      <i/>
      <sz val="11"/>
      <color theme="1"/>
      <name val="Times New Roman"/>
    </font>
    <font>
      <b/>
      <sz val="11"/>
      <color theme="1"/>
      <name val="Times New Roman"/>
    </font>
    <font>
      <sz val="11"/>
      <color theme="1"/>
      <name val="Times New Roman"/>
    </font>
    <font>
      <b/>
      <sz val="14"/>
      <name val="Times New Roman"/>
      <family val="1"/>
    </font>
    <font>
      <sz val="14"/>
      <name val="Times New Roman"/>
      <family val="1"/>
    </font>
    <font>
      <sz val="13"/>
      <name val="Times New Roman"/>
      <family val="1"/>
    </font>
    <font>
      <b/>
      <sz val="13"/>
      <name val="Times New Roman"/>
      <family val="1"/>
    </font>
    <font>
      <sz val="13"/>
      <color rgb="FF000000"/>
      <name val="Times New Roman"/>
      <family val="1"/>
    </font>
    <font>
      <b/>
      <sz val="13"/>
      <color theme="1"/>
      <name val="Times New Roman"/>
      <family val="1"/>
    </font>
    <font>
      <sz val="13"/>
      <color theme="1"/>
      <name val="Times New Roman"/>
      <family val="1"/>
    </font>
    <font>
      <b/>
      <sz val="12"/>
      <name val="Times New Roman"/>
      <family val="1"/>
    </font>
    <font>
      <sz val="13"/>
      <color rgb="FF000000"/>
      <name val="Arial"/>
      <family val="2"/>
    </font>
    <font>
      <b/>
      <sz val="13"/>
      <color rgb="FF000000"/>
      <name val="Times New Roman"/>
      <family val="1"/>
    </font>
    <font>
      <sz val="13"/>
      <color rgb="FF000000"/>
      <name val="Times New Roman"/>
      <family val="2"/>
    </font>
  </fonts>
  <fills count="10">
    <fill>
      <patternFill patternType="none"/>
    </fill>
    <fill>
      <patternFill patternType="gray125"/>
    </fill>
    <fill>
      <patternFill patternType="solid">
        <fgColor rgb="FFFFF2CC"/>
      </patternFill>
    </fill>
    <fill>
      <patternFill patternType="solid">
        <fgColor rgb="FFE2F0D9"/>
      </patternFill>
    </fill>
    <fill>
      <patternFill patternType="solid">
        <fgColor rgb="FF1F4E78"/>
      </patternFill>
    </fill>
    <fill>
      <patternFill patternType="solid">
        <fgColor rgb="FFD9EAF7"/>
      </patternFill>
    </fill>
    <fill>
      <patternFill patternType="solid">
        <fgColor rgb="FFD9E1F2"/>
      </patternFill>
    </fill>
    <fill>
      <patternFill patternType="solid">
        <fgColor rgb="FFDDEBF7"/>
      </patternFill>
    </fill>
    <fill>
      <patternFill patternType="solid">
        <fgColor rgb="FFF4CCCC"/>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4">
    <xf numFmtId="0" fontId="0" fillId="0" borderId="0" xfId="0"/>
    <xf numFmtId="0" fontId="1" fillId="0" borderId="0" xfId="0" applyFont="1"/>
    <xf numFmtId="0" fontId="2" fillId="0" borderId="0" xfId="0" applyFont="1" applyAlignment="1">
      <alignment horizontal="left" vertical="center"/>
    </xf>
    <xf numFmtId="0" fontId="4" fillId="0" borderId="0" xfId="0" applyFont="1"/>
    <xf numFmtId="0" fontId="1" fillId="0" borderId="0" xfId="0" applyFont="1" applyAlignment="1">
      <alignment wrapText="1"/>
    </xf>
    <xf numFmtId="0" fontId="2" fillId="0" borderId="0" xfId="0" applyFont="1"/>
    <xf numFmtId="0" fontId="6" fillId="0" borderId="0" xfId="0" applyFont="1"/>
    <xf numFmtId="0" fontId="1" fillId="0" borderId="0" xfId="0" applyFont="1" applyAlignment="1">
      <alignment horizontal="justify"/>
    </xf>
    <xf numFmtId="0" fontId="2" fillId="0" borderId="0" xfId="0" applyFont="1" applyAlignment="1">
      <alignment horizontal="justify" vertical="center"/>
    </xf>
    <xf numFmtId="0" fontId="2" fillId="0" borderId="0" xfId="0" applyFont="1" applyAlignment="1">
      <alignment horizontal="center" vertical="center"/>
    </xf>
    <xf numFmtId="0" fontId="9" fillId="6" borderId="2" xfId="0" applyFont="1" applyFill="1" applyBorder="1" applyAlignment="1">
      <alignment horizontal="center" wrapText="1"/>
    </xf>
    <xf numFmtId="0" fontId="9" fillId="6" borderId="2" xfId="0" applyFont="1" applyFill="1" applyBorder="1" applyAlignment="1">
      <alignment horizontal="center" vertical="center" wrapText="1"/>
    </xf>
    <xf numFmtId="0" fontId="10" fillId="0" borderId="3" xfId="0" applyFont="1" applyBorder="1" applyAlignment="1">
      <alignment vertical="top" wrapText="1"/>
    </xf>
    <xf numFmtId="0" fontId="10" fillId="2" borderId="3" xfId="0" applyFont="1" applyFill="1" applyBorder="1" applyAlignment="1">
      <alignment vertical="top" wrapText="1"/>
    </xf>
    <xf numFmtId="0" fontId="10" fillId="7" borderId="3" xfId="0" applyFont="1" applyFill="1" applyBorder="1" applyAlignment="1">
      <alignment vertical="top" wrapText="1"/>
    </xf>
    <xf numFmtId="0" fontId="10" fillId="3" borderId="3" xfId="0" applyFont="1" applyFill="1" applyBorder="1" applyAlignment="1">
      <alignment vertical="top" wrapText="1"/>
    </xf>
    <xf numFmtId="0" fontId="9" fillId="6" borderId="3" xfId="0" applyFont="1" applyFill="1" applyBorder="1" applyAlignment="1">
      <alignment vertical="top" wrapText="1"/>
    </xf>
    <xf numFmtId="0" fontId="10" fillId="8" borderId="3" xfId="0" applyFont="1" applyFill="1" applyBorder="1" applyAlignment="1">
      <alignment vertical="top" wrapText="1"/>
    </xf>
    <xf numFmtId="0" fontId="1" fillId="0" borderId="0" xfId="0" applyFont="1" applyAlignment="1">
      <alignment horizontal="center"/>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xf>
    <xf numFmtId="0" fontId="13" fillId="2" borderId="1" xfId="0" applyFont="1" applyFill="1" applyBorder="1" applyAlignment="1">
      <alignment horizontal="center" vertical="center" wrapText="1"/>
    </xf>
    <xf numFmtId="0" fontId="13" fillId="2" borderId="1" xfId="0" applyFont="1" applyFill="1" applyBorder="1" applyAlignment="1">
      <alignment horizontal="justify" vertical="center" wrapText="1"/>
    </xf>
    <xf numFmtId="0" fontId="14" fillId="2"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justify" vertical="center" wrapText="1"/>
    </xf>
    <xf numFmtId="0" fontId="14" fillId="0" borderId="1" xfId="0" applyFont="1" applyBorder="1" applyAlignment="1">
      <alignment horizontal="center" vertical="center" wrapText="1"/>
    </xf>
    <xf numFmtId="0" fontId="13" fillId="0" borderId="1" xfId="0" applyFont="1" applyBorder="1" applyAlignment="1">
      <alignment horizontal="center" vertical="center"/>
    </xf>
    <xf numFmtId="0" fontId="13" fillId="2" borderId="1" xfId="0" applyFont="1" applyFill="1" applyBorder="1" applyAlignment="1">
      <alignment horizontal="justify" vertical="center"/>
    </xf>
    <xf numFmtId="0" fontId="13" fillId="0" borderId="1" xfId="0" applyFont="1" applyBorder="1" applyAlignment="1">
      <alignment horizontal="justify" vertical="center"/>
    </xf>
    <xf numFmtId="0" fontId="15" fillId="2" borderId="1" xfId="0" applyFont="1" applyFill="1" applyBorder="1" applyAlignment="1">
      <alignment horizontal="justify" vertical="center" wrapText="1"/>
    </xf>
    <xf numFmtId="0" fontId="13" fillId="0" borderId="0" xfId="0" applyFont="1" applyAlignment="1">
      <alignment horizontal="justify" vertical="center" wrapText="1"/>
    </xf>
    <xf numFmtId="0" fontId="17" fillId="3" borderId="1" xfId="0" applyFont="1" applyFill="1" applyBorder="1" applyAlignment="1">
      <alignment horizontal="center" vertical="center" wrapText="1"/>
    </xf>
    <xf numFmtId="0" fontId="17" fillId="3" borderId="1" xfId="0" applyFont="1" applyFill="1" applyBorder="1" applyAlignment="1">
      <alignment horizontal="justify" vertical="center" wrapText="1"/>
    </xf>
    <xf numFmtId="0" fontId="16" fillId="0" borderId="1" xfId="0" applyFont="1" applyBorder="1" applyAlignment="1">
      <alignment horizontal="center"/>
    </xf>
    <xf numFmtId="0" fontId="18" fillId="0" borderId="0" xfId="0" applyFont="1"/>
    <xf numFmtId="0" fontId="16" fillId="0" borderId="1" xfId="0" applyFont="1" applyBorder="1" applyAlignment="1">
      <alignment horizontal="center" vertical="center" wrapText="1"/>
    </xf>
    <xf numFmtId="0" fontId="13" fillId="0" borderId="0" xfId="0" applyFont="1" applyAlignment="1">
      <alignment vertical="top"/>
    </xf>
    <xf numFmtId="0" fontId="13" fillId="0" borderId="0" xfId="0" applyFont="1"/>
    <xf numFmtId="0" fontId="0" fillId="0" borderId="0" xfId="0"/>
    <xf numFmtId="0" fontId="16" fillId="0" borderId="1" xfId="0" applyFont="1" applyBorder="1" applyAlignment="1">
      <alignment horizontal="center"/>
    </xf>
    <xf numFmtId="0" fontId="16" fillId="0" borderId="1" xfId="0" applyFont="1" applyBorder="1"/>
    <xf numFmtId="0" fontId="16" fillId="0" borderId="1" xfId="0" applyFont="1" applyBorder="1" applyAlignment="1">
      <alignment horizontal="justify" vertical="center" wrapText="1"/>
    </xf>
    <xf numFmtId="0" fontId="11" fillId="0" borderId="1" xfId="0" applyFont="1" applyBorder="1" applyAlignment="1">
      <alignment horizontal="left" vertical="center" wrapText="1"/>
    </xf>
    <xf numFmtId="0" fontId="11" fillId="0" borderId="1" xfId="0" applyFont="1" applyBorder="1" applyAlignment="1">
      <alignment horizontal="left" vertical="center"/>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12" fillId="0" borderId="0" xfId="0" applyFont="1" applyAlignment="1">
      <alignment horizontal="justify" vertical="top" wrapText="1"/>
    </xf>
    <xf numFmtId="0" fontId="2" fillId="0" borderId="0" xfId="0" applyFont="1" applyAlignment="1">
      <alignment horizontal="justify" vertical="top"/>
    </xf>
    <xf numFmtId="0" fontId="21" fillId="0" borderId="0" xfId="0" applyFont="1" applyAlignment="1">
      <alignment horizontal="center" vertical="top" wrapText="1"/>
    </xf>
    <xf numFmtId="0" fontId="13" fillId="0" borderId="0" xfId="0" applyFont="1" applyAlignment="1">
      <alignment horizontal="center" vertical="top"/>
    </xf>
    <xf numFmtId="0" fontId="6" fillId="0" borderId="0" xfId="0" applyFont="1" applyAlignment="1">
      <alignment horizontal="center"/>
    </xf>
    <xf numFmtId="0" fontId="14" fillId="0" borderId="0" xfId="0" applyFont="1" applyAlignment="1">
      <alignment horizontal="center" vertical="top" wrapText="1"/>
    </xf>
    <xf numFmtId="0" fontId="5" fillId="0" borderId="0" xfId="0" applyFont="1" applyAlignment="1">
      <alignment horizontal="center"/>
    </xf>
    <xf numFmtId="0" fontId="7" fillId="4" borderId="0" xfId="0" applyFont="1" applyFill="1" applyAlignment="1">
      <alignment horizontal="center" vertical="center"/>
    </xf>
    <xf numFmtId="0" fontId="8" fillId="5" borderId="0" xfId="0" applyFont="1" applyFill="1" applyAlignment="1">
      <alignment horizontal="center" vertical="center" wrapText="1"/>
    </xf>
    <xf numFmtId="0" fontId="7" fillId="4" borderId="0" xfId="0" applyFont="1" applyFill="1" applyAlignment="1">
      <alignment horizontal="center"/>
    </xf>
    <xf numFmtId="0" fontId="8" fillId="5" borderId="0" xfId="0" applyFont="1" applyFill="1" applyAlignment="1">
      <alignment horizontal="center" wrapText="1"/>
    </xf>
    <xf numFmtId="0" fontId="13" fillId="9" borderId="1" xfId="0" applyFont="1" applyFill="1" applyBorder="1" applyAlignment="1">
      <alignment horizontal="center" vertical="center" wrapText="1"/>
    </xf>
    <xf numFmtId="0" fontId="13" fillId="9" borderId="1" xfId="0"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4</xdr:col>
      <xdr:colOff>221567</xdr:colOff>
      <xdr:row>5</xdr:row>
      <xdr:rowOff>37882</xdr:rowOff>
    </xdr:from>
    <xdr:to>
      <xdr:col>5</xdr:col>
      <xdr:colOff>27614</xdr:colOff>
      <xdr:row>5</xdr:row>
      <xdr:rowOff>39697</xdr:rowOff>
    </xdr:to>
    <xdr:sp macro="" textlink="">
      <xdr:nvSpPr>
        <xdr:cNvPr id="2" name="Straight Connector 3">
          <a:extLst>
            <a:ext uri="{FF2B5EF4-FFF2-40B4-BE49-F238E27FC236}">
              <a16:creationId xmlns:a16="http://schemas.microsoft.com/office/drawing/2014/main" id="{00000000-0008-0000-0000-000002000000}"/>
            </a:ext>
          </a:extLst>
        </xdr:cNvPr>
        <xdr:cNvSpPr>
          <a:spLocks noGrp="1"/>
        </xdr:cNvSpPr>
      </xdr:nvSpPr>
      <xdr:spPr>
        <a:xfrm>
          <a:off x="6687681" y="1420368"/>
          <a:ext cx="774876" cy="1815"/>
        </a:xfrm>
        <a:prstGeom prst="line">
          <a:avLst/>
        </a:prstGeom>
      </xdr:spPr>
      <xdr:style>
        <a:lnRef idx="1">
          <a:schemeClr val="dk1"/>
        </a:lnRef>
        <a:fillRef idx="0">
          <a:schemeClr val="dk1"/>
        </a:fillRef>
        <a:effectRef idx="0">
          <a:schemeClr val="dk1"/>
        </a:effectRef>
        <a:fontRef idx="minor">
          <a:schemeClr val="tx1"/>
        </a:fontRef>
      </xdr:style>
    </xdr:sp>
    <xdr:clientData/>
  </xdr:twoCellAnchor>
  <xdr:twoCellAnchor editAs="oneCell">
    <xdr:from>
      <xdr:col>1</xdr:col>
      <xdr:colOff>785813</xdr:colOff>
      <xdr:row>0</xdr:row>
      <xdr:rowOff>445135</xdr:rowOff>
    </xdr:from>
    <xdr:to>
      <xdr:col>1</xdr:col>
      <xdr:colOff>1627188</xdr:colOff>
      <xdr:row>0</xdr:row>
      <xdr:rowOff>447675</xdr:rowOff>
    </xdr:to>
    <xdr:sp macro="" textlink="">
      <xdr:nvSpPr>
        <xdr:cNvPr id="3" name="Straight Connector 2">
          <a:extLst>
            <a:ext uri="{FF2B5EF4-FFF2-40B4-BE49-F238E27FC236}">
              <a16:creationId xmlns:a16="http://schemas.microsoft.com/office/drawing/2014/main" id="{00000000-0008-0000-0000-000003000000}"/>
            </a:ext>
          </a:extLst>
        </xdr:cNvPr>
        <xdr:cNvSpPr>
          <a:spLocks noGrp="1"/>
        </xdr:cNvSpPr>
      </xdr:nvSpPr>
      <xdr:spPr>
        <a:xfrm>
          <a:off x="1456373" y="445135"/>
          <a:ext cx="841375" cy="2540"/>
        </a:xfrm>
        <a:prstGeom prst="line">
          <a:avLst/>
        </a:prstGeom>
        <a:ln w="9525"/>
      </xdr:spPr>
      <xdr:style>
        <a:lnRef idx="1">
          <a:schemeClr val="dk1"/>
        </a:lnRef>
        <a:fillRef idx="0">
          <a:schemeClr val="dk1"/>
        </a:fillRef>
        <a:effectRef idx="0">
          <a:schemeClr val="dk1"/>
        </a:effectRef>
        <a:fontRef idx="minor">
          <a:schemeClr val="tx1"/>
        </a:fontRef>
      </xdr:style>
    </xdr:sp>
    <xdr:clientData/>
  </xdr:twoCellAnchor>
  <xdr:twoCellAnchor editAs="oneCell">
    <xdr:from>
      <xdr:col>7</xdr:col>
      <xdr:colOff>87631</xdr:colOff>
      <xdr:row>0</xdr:row>
      <xdr:rowOff>460694</xdr:rowOff>
    </xdr:from>
    <xdr:to>
      <xdr:col>10</xdr:col>
      <xdr:colOff>656907</xdr:colOff>
      <xdr:row>0</xdr:row>
      <xdr:rowOff>463234</xdr:rowOff>
    </xdr:to>
    <xdr:sp macro="" textlink="">
      <xdr:nvSpPr>
        <xdr:cNvPr id="4" name="Straight Connector 4">
          <a:extLst>
            <a:ext uri="{FF2B5EF4-FFF2-40B4-BE49-F238E27FC236}">
              <a16:creationId xmlns:a16="http://schemas.microsoft.com/office/drawing/2014/main" id="{00000000-0008-0000-0000-000004000000}"/>
            </a:ext>
          </a:extLst>
        </xdr:cNvPr>
        <xdr:cNvSpPr>
          <a:spLocks noGrp="1"/>
        </xdr:cNvSpPr>
      </xdr:nvSpPr>
      <xdr:spPr>
        <a:xfrm>
          <a:off x="8766811" y="460694"/>
          <a:ext cx="2359976" cy="2540"/>
        </a:xfrm>
        <a:prstGeom prst="line">
          <a:avLst/>
        </a:prstGeom>
        <a:ln w="9525"/>
      </xdr:spPr>
      <xdr:style>
        <a:lnRef idx="1">
          <a:schemeClr val="dk1"/>
        </a:lnRef>
        <a:fillRef idx="0">
          <a:schemeClr val="dk1"/>
        </a:fillRef>
        <a:effectRef idx="0">
          <a:schemeClr val="dk1"/>
        </a:effectRef>
        <a:fontRef idx="minor">
          <a:schemeClr val="tx1"/>
        </a:fontRef>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1"/>
  <sheetViews>
    <sheetView tabSelected="1" topLeftCell="A37" zoomScale="70" zoomScaleNormal="70" workbookViewId="0">
      <selection activeCell="N43" sqref="N43"/>
    </sheetView>
  </sheetViews>
  <sheetFormatPr defaultColWidth="8.875" defaultRowHeight="15.75" x14ac:dyDescent="0.25"/>
  <cols>
    <col min="1" max="1" width="8.75" style="18" customWidth="1"/>
    <col min="2" max="2" width="46.125" style="7" customWidth="1"/>
    <col min="3" max="3" width="13.75" style="1" customWidth="1"/>
    <col min="4" max="4" width="16.25" style="1" customWidth="1"/>
    <col min="5" max="5" width="12.75" style="1" customWidth="1"/>
    <col min="6" max="6" width="7.375" style="1" customWidth="1"/>
    <col min="7" max="7" width="13.375" style="1" customWidth="1"/>
    <col min="8" max="8" width="8.375" style="1" customWidth="1"/>
    <col min="9" max="9" width="8" style="1" customWidth="1"/>
    <col min="10" max="10" width="7.125" style="1" customWidth="1"/>
    <col min="11" max="11" width="45.75" style="1" customWidth="1"/>
    <col min="12" max="16384" width="8.875" style="1"/>
  </cols>
  <sheetData>
    <row r="1" spans="1:11" s="39" customFormat="1" ht="44.45" customHeight="1" x14ac:dyDescent="0.25">
      <c r="A1" s="53" t="s">
        <v>505</v>
      </c>
      <c r="B1" s="54"/>
      <c r="C1" s="38"/>
      <c r="D1" s="38"/>
      <c r="E1" s="56" t="s">
        <v>504</v>
      </c>
      <c r="F1" s="54"/>
      <c r="G1" s="54"/>
      <c r="H1" s="54"/>
      <c r="I1" s="54"/>
      <c r="J1" s="54"/>
      <c r="K1" s="54"/>
    </row>
    <row r="2" spans="1:11" ht="2.85" customHeight="1" x14ac:dyDescent="0.25"/>
    <row r="3" spans="1:11" s="6" customFormat="1" ht="19.899999999999999" customHeight="1" x14ac:dyDescent="0.3">
      <c r="A3" s="55" t="s">
        <v>204</v>
      </c>
      <c r="B3" s="55"/>
      <c r="E3" s="57" t="s">
        <v>205</v>
      </c>
      <c r="F3" s="57"/>
      <c r="G3" s="57"/>
      <c r="H3" s="57"/>
      <c r="I3" s="57"/>
      <c r="J3" s="57"/>
      <c r="K3" s="57"/>
    </row>
    <row r="4" spans="1:11" ht="6.75" customHeight="1" x14ac:dyDescent="0.25"/>
    <row r="5" spans="1:11" ht="35.450000000000003" customHeight="1" x14ac:dyDescent="0.25">
      <c r="A5" s="48" t="s">
        <v>206</v>
      </c>
      <c r="B5" s="49"/>
      <c r="C5" s="49"/>
      <c r="D5" s="49"/>
      <c r="E5" s="49"/>
      <c r="F5" s="49"/>
      <c r="G5" s="49"/>
      <c r="H5" s="49"/>
      <c r="I5" s="49"/>
      <c r="J5" s="49"/>
      <c r="K5" s="49"/>
    </row>
    <row r="6" spans="1:11" ht="7.15" customHeight="1" x14ac:dyDescent="0.25">
      <c r="A6" s="50"/>
      <c r="B6" s="50"/>
      <c r="C6" s="50"/>
      <c r="D6" s="50"/>
      <c r="E6" s="50"/>
      <c r="F6" s="50"/>
      <c r="G6" s="50"/>
      <c r="H6" s="50"/>
      <c r="I6" s="50"/>
      <c r="J6" s="50"/>
      <c r="K6" s="50"/>
    </row>
    <row r="7" spans="1:11" ht="147.19999999999999" customHeight="1" x14ac:dyDescent="0.25">
      <c r="A7" s="51" t="s">
        <v>506</v>
      </c>
      <c r="B7" s="52"/>
      <c r="C7" s="52"/>
      <c r="D7" s="52"/>
      <c r="E7" s="52"/>
      <c r="F7" s="52"/>
      <c r="G7" s="52"/>
      <c r="H7" s="52"/>
      <c r="I7" s="52"/>
      <c r="J7" s="52"/>
      <c r="K7" s="52"/>
    </row>
    <row r="8" spans="1:11" ht="3.4" customHeight="1" x14ac:dyDescent="0.25">
      <c r="A8" s="9"/>
      <c r="B8" s="8"/>
      <c r="C8" s="2"/>
      <c r="D8" s="2"/>
      <c r="E8" s="2"/>
      <c r="F8" s="2"/>
      <c r="G8" s="2"/>
      <c r="H8" s="2"/>
      <c r="I8" s="2"/>
      <c r="J8" s="2"/>
      <c r="K8" s="2"/>
    </row>
    <row r="9" spans="1:11" ht="31.9" customHeight="1" x14ac:dyDescent="0.25">
      <c r="A9" s="47" t="s">
        <v>0</v>
      </c>
      <c r="B9" s="47" t="s">
        <v>1</v>
      </c>
      <c r="C9" s="47" t="s">
        <v>2</v>
      </c>
      <c r="D9" s="47" t="s">
        <v>3</v>
      </c>
      <c r="E9" s="47" t="s">
        <v>4</v>
      </c>
      <c r="F9" s="47" t="s">
        <v>5</v>
      </c>
      <c r="G9" s="47" t="s">
        <v>6</v>
      </c>
      <c r="H9" s="47" t="s">
        <v>7</v>
      </c>
      <c r="I9" s="47" t="s">
        <v>8</v>
      </c>
      <c r="J9" s="47" t="s">
        <v>9</v>
      </c>
      <c r="K9" s="47" t="s">
        <v>10</v>
      </c>
    </row>
    <row r="10" spans="1:11" ht="28.5" customHeight="1" x14ac:dyDescent="0.25">
      <c r="A10" s="47"/>
      <c r="B10" s="47"/>
      <c r="C10" s="47"/>
      <c r="D10" s="47"/>
      <c r="E10" s="47"/>
      <c r="F10" s="47"/>
      <c r="G10" s="47"/>
      <c r="H10" s="47"/>
      <c r="I10" s="47"/>
      <c r="J10" s="47"/>
      <c r="K10" s="47"/>
    </row>
    <row r="11" spans="1:11" ht="18.75" x14ac:dyDescent="0.25">
      <c r="A11" s="20" t="s">
        <v>11</v>
      </c>
      <c r="B11" s="20" t="s">
        <v>12</v>
      </c>
      <c r="C11" s="20" t="s">
        <v>13</v>
      </c>
      <c r="D11" s="20" t="s">
        <v>14</v>
      </c>
      <c r="E11" s="20" t="s">
        <v>15</v>
      </c>
      <c r="F11" s="20" t="s">
        <v>16</v>
      </c>
      <c r="G11" s="20" t="s">
        <v>17</v>
      </c>
      <c r="H11" s="20" t="s">
        <v>18</v>
      </c>
      <c r="I11" s="20" t="s">
        <v>19</v>
      </c>
      <c r="J11" s="20" t="s">
        <v>20</v>
      </c>
      <c r="K11" s="20" t="s">
        <v>21</v>
      </c>
    </row>
    <row r="12" spans="1:11" ht="18.75" x14ac:dyDescent="0.25">
      <c r="A12" s="19" t="s">
        <v>22</v>
      </c>
      <c r="B12" s="46" t="s">
        <v>23</v>
      </c>
      <c r="C12" s="46"/>
      <c r="D12" s="46"/>
      <c r="E12" s="46"/>
      <c r="F12" s="46"/>
      <c r="G12" s="46"/>
      <c r="H12" s="46"/>
      <c r="I12" s="46"/>
      <c r="J12" s="46"/>
      <c r="K12" s="46"/>
    </row>
    <row r="13" spans="1:11" ht="18.75" x14ac:dyDescent="0.25">
      <c r="A13" s="21">
        <v>1</v>
      </c>
      <c r="B13" s="45" t="s">
        <v>24</v>
      </c>
      <c r="C13" s="45"/>
      <c r="D13" s="45"/>
      <c r="E13" s="45"/>
      <c r="F13" s="45"/>
      <c r="G13" s="45"/>
      <c r="H13" s="45"/>
      <c r="I13" s="45"/>
      <c r="J13" s="45"/>
      <c r="K13" s="45"/>
    </row>
    <row r="14" spans="1:11" ht="49.5" x14ac:dyDescent="0.25">
      <c r="A14" s="22" t="s">
        <v>25</v>
      </c>
      <c r="B14" s="23" t="s">
        <v>26</v>
      </c>
      <c r="C14" s="22" t="s">
        <v>27</v>
      </c>
      <c r="D14" s="22" t="s">
        <v>28</v>
      </c>
      <c r="E14" s="22" t="s">
        <v>29</v>
      </c>
      <c r="F14" s="22">
        <v>1</v>
      </c>
      <c r="G14" s="22" t="s">
        <v>30</v>
      </c>
      <c r="H14" s="22" t="s">
        <v>59</v>
      </c>
      <c r="I14" s="22">
        <f t="shared" ref="I14:I18" si="0">IF(G14="Khó và phức tạp",200,IF(G14="Cao",150,IF(G14="Trung bình",120,100)))</f>
        <v>200</v>
      </c>
      <c r="J14" s="22">
        <f t="shared" ref="J14:J18" si="1">I14*0.01</f>
        <v>2</v>
      </c>
      <c r="K14" s="24" t="s">
        <v>207</v>
      </c>
    </row>
    <row r="15" spans="1:11" ht="49.5" x14ac:dyDescent="0.25">
      <c r="A15" s="25" t="s">
        <v>31</v>
      </c>
      <c r="B15" s="26" t="s">
        <v>32</v>
      </c>
      <c r="C15" s="25" t="s">
        <v>27</v>
      </c>
      <c r="D15" s="25" t="s">
        <v>28</v>
      </c>
      <c r="E15" s="25" t="s">
        <v>29</v>
      </c>
      <c r="F15" s="25">
        <v>3</v>
      </c>
      <c r="G15" s="25" t="s">
        <v>33</v>
      </c>
      <c r="H15" s="25" t="s">
        <v>34</v>
      </c>
      <c r="I15" s="25">
        <f t="shared" si="0"/>
        <v>150</v>
      </c>
      <c r="J15" s="25">
        <f t="shared" si="1"/>
        <v>1.5</v>
      </c>
      <c r="K15" s="27" t="s">
        <v>208</v>
      </c>
    </row>
    <row r="16" spans="1:11" ht="33" x14ac:dyDescent="0.25">
      <c r="A16" s="25" t="s">
        <v>35</v>
      </c>
      <c r="B16" s="26" t="s">
        <v>36</v>
      </c>
      <c r="C16" s="25" t="s">
        <v>37</v>
      </c>
      <c r="D16" s="25" t="s">
        <v>38</v>
      </c>
      <c r="E16" s="25" t="s">
        <v>29</v>
      </c>
      <c r="F16" s="25">
        <v>1</v>
      </c>
      <c r="G16" s="25" t="s">
        <v>30</v>
      </c>
      <c r="H16" s="25" t="s">
        <v>34</v>
      </c>
      <c r="I16" s="25">
        <f t="shared" si="0"/>
        <v>200</v>
      </c>
      <c r="J16" s="25">
        <f t="shared" si="1"/>
        <v>2</v>
      </c>
      <c r="K16" s="27"/>
    </row>
    <row r="17" spans="1:12" ht="33" x14ac:dyDescent="0.25">
      <c r="A17" s="25" t="s">
        <v>39</v>
      </c>
      <c r="B17" s="26" t="s">
        <v>40</v>
      </c>
      <c r="C17" s="25" t="s">
        <v>41</v>
      </c>
      <c r="D17" s="25" t="s">
        <v>42</v>
      </c>
      <c r="E17" s="25" t="s">
        <v>43</v>
      </c>
      <c r="F17" s="25">
        <v>1</v>
      </c>
      <c r="G17" s="25" t="s">
        <v>44</v>
      </c>
      <c r="H17" s="25" t="s">
        <v>45</v>
      </c>
      <c r="I17" s="25">
        <f t="shared" si="0"/>
        <v>120</v>
      </c>
      <c r="J17" s="25">
        <f t="shared" si="1"/>
        <v>1.2</v>
      </c>
      <c r="K17" s="27"/>
    </row>
    <row r="18" spans="1:12" ht="33" x14ac:dyDescent="0.25">
      <c r="A18" s="25" t="s">
        <v>46</v>
      </c>
      <c r="B18" s="26" t="s">
        <v>47</v>
      </c>
      <c r="C18" s="25" t="s">
        <v>48</v>
      </c>
      <c r="D18" s="25" t="s">
        <v>49</v>
      </c>
      <c r="E18" s="25" t="s">
        <v>29</v>
      </c>
      <c r="F18" s="25">
        <v>1</v>
      </c>
      <c r="G18" s="25" t="s">
        <v>30</v>
      </c>
      <c r="H18" s="25" t="s">
        <v>34</v>
      </c>
      <c r="I18" s="25">
        <f t="shared" si="0"/>
        <v>200</v>
      </c>
      <c r="J18" s="25">
        <f t="shared" si="1"/>
        <v>2</v>
      </c>
      <c r="K18" s="27"/>
    </row>
    <row r="19" spans="1:12" ht="33" x14ac:dyDescent="0.25">
      <c r="A19" s="25" t="s">
        <v>50</v>
      </c>
      <c r="B19" s="26" t="s">
        <v>51</v>
      </c>
      <c r="C19" s="25" t="s">
        <v>48</v>
      </c>
      <c r="D19" s="25" t="s">
        <v>52</v>
      </c>
      <c r="E19" s="25" t="s">
        <v>29</v>
      </c>
      <c r="F19" s="25">
        <v>1</v>
      </c>
      <c r="G19" s="25" t="s">
        <v>53</v>
      </c>
      <c r="H19" s="25" t="s">
        <v>45</v>
      </c>
      <c r="I19" s="25">
        <f t="shared" ref="I19:I36" si="2">IF(G19="Khó và phức tạp",200,IF(G19="Cao",150,IF(G19="Trung bình",120,100)))</f>
        <v>100</v>
      </c>
      <c r="J19" s="25">
        <f t="shared" ref="J19:J36" si="3">I19*0.01</f>
        <v>1</v>
      </c>
      <c r="K19" s="27"/>
    </row>
    <row r="20" spans="1:12" ht="49.5" x14ac:dyDescent="0.25">
      <c r="A20" s="25" t="s">
        <v>54</v>
      </c>
      <c r="B20" s="26" t="s">
        <v>55</v>
      </c>
      <c r="C20" s="25" t="s">
        <v>48</v>
      </c>
      <c r="D20" s="25" t="s">
        <v>52</v>
      </c>
      <c r="E20" s="25" t="s">
        <v>43</v>
      </c>
      <c r="F20" s="25">
        <v>1</v>
      </c>
      <c r="G20" s="25" t="s">
        <v>44</v>
      </c>
      <c r="H20" s="25" t="s">
        <v>34</v>
      </c>
      <c r="I20" s="25">
        <f t="shared" si="2"/>
        <v>120</v>
      </c>
      <c r="J20" s="25">
        <f t="shared" si="3"/>
        <v>1.2</v>
      </c>
      <c r="K20" s="25"/>
    </row>
    <row r="21" spans="1:12" ht="33" x14ac:dyDescent="0.25">
      <c r="A21" s="25" t="s">
        <v>56</v>
      </c>
      <c r="B21" s="26" t="s">
        <v>57</v>
      </c>
      <c r="C21" s="25" t="s">
        <v>48</v>
      </c>
      <c r="D21" s="25" t="s">
        <v>52</v>
      </c>
      <c r="E21" s="25" t="s">
        <v>58</v>
      </c>
      <c r="F21" s="25">
        <v>1</v>
      </c>
      <c r="G21" s="25" t="s">
        <v>44</v>
      </c>
      <c r="H21" s="25" t="s">
        <v>59</v>
      </c>
      <c r="I21" s="25">
        <f t="shared" si="2"/>
        <v>120</v>
      </c>
      <c r="J21" s="25">
        <f t="shared" si="3"/>
        <v>1.2</v>
      </c>
      <c r="K21" s="25"/>
    </row>
    <row r="22" spans="1:12" ht="33" x14ac:dyDescent="0.25">
      <c r="A22" s="25" t="s">
        <v>60</v>
      </c>
      <c r="B22" s="26" t="s">
        <v>61</v>
      </c>
      <c r="C22" s="25" t="s">
        <v>48</v>
      </c>
      <c r="D22" s="25" t="s">
        <v>52</v>
      </c>
      <c r="E22" s="25" t="s">
        <v>62</v>
      </c>
      <c r="F22" s="25">
        <v>1</v>
      </c>
      <c r="G22" s="25" t="s">
        <v>44</v>
      </c>
      <c r="H22" s="25" t="s">
        <v>45</v>
      </c>
      <c r="I22" s="25">
        <f t="shared" si="2"/>
        <v>120</v>
      </c>
      <c r="J22" s="25">
        <f t="shared" si="3"/>
        <v>1.2</v>
      </c>
      <c r="K22" s="25"/>
    </row>
    <row r="23" spans="1:12" ht="33" x14ac:dyDescent="0.25">
      <c r="A23" s="25" t="s">
        <v>63</v>
      </c>
      <c r="B23" s="26" t="s">
        <v>64</v>
      </c>
      <c r="C23" s="25" t="s">
        <v>37</v>
      </c>
      <c r="D23" s="25" t="s">
        <v>52</v>
      </c>
      <c r="E23" s="25" t="s">
        <v>65</v>
      </c>
      <c r="F23" s="25">
        <v>2</v>
      </c>
      <c r="G23" s="25" t="s">
        <v>44</v>
      </c>
      <c r="H23" s="25" t="s">
        <v>59</v>
      </c>
      <c r="I23" s="25">
        <f t="shared" si="2"/>
        <v>120</v>
      </c>
      <c r="J23" s="25">
        <f t="shared" si="3"/>
        <v>1.2</v>
      </c>
      <c r="K23" s="25"/>
    </row>
    <row r="24" spans="1:12" ht="49.5" x14ac:dyDescent="0.25">
      <c r="A24" s="25" t="s">
        <v>66</v>
      </c>
      <c r="B24" s="26" t="s">
        <v>67</v>
      </c>
      <c r="C24" s="25" t="s">
        <v>37</v>
      </c>
      <c r="D24" s="25" t="s">
        <v>52</v>
      </c>
      <c r="E24" s="25" t="s">
        <v>29</v>
      </c>
      <c r="F24" s="25">
        <v>1</v>
      </c>
      <c r="G24" s="25" t="s">
        <v>44</v>
      </c>
      <c r="H24" s="25" t="s">
        <v>45</v>
      </c>
      <c r="I24" s="25">
        <f t="shared" si="2"/>
        <v>120</v>
      </c>
      <c r="J24" s="25">
        <f t="shared" si="3"/>
        <v>1.2</v>
      </c>
      <c r="K24" s="25"/>
    </row>
    <row r="25" spans="1:12" ht="33" x14ac:dyDescent="0.25">
      <c r="A25" s="25" t="s">
        <v>68</v>
      </c>
      <c r="B25" s="26" t="s">
        <v>69</v>
      </c>
      <c r="C25" s="25" t="s">
        <v>48</v>
      </c>
      <c r="D25" s="25" t="s">
        <v>52</v>
      </c>
      <c r="E25" s="25" t="s">
        <v>70</v>
      </c>
      <c r="F25" s="25">
        <v>1</v>
      </c>
      <c r="G25" s="25" t="s">
        <v>44</v>
      </c>
      <c r="H25" s="25" t="s">
        <v>45</v>
      </c>
      <c r="I25" s="25">
        <f t="shared" si="2"/>
        <v>120</v>
      </c>
      <c r="J25" s="25">
        <f t="shared" si="3"/>
        <v>1.2</v>
      </c>
      <c r="K25" s="25"/>
    </row>
    <row r="26" spans="1:12" ht="49.5" x14ac:dyDescent="0.25">
      <c r="A26" s="25" t="s">
        <v>71</v>
      </c>
      <c r="B26" s="26" t="s">
        <v>72</v>
      </c>
      <c r="C26" s="25" t="s">
        <v>48</v>
      </c>
      <c r="D26" s="25" t="s">
        <v>52</v>
      </c>
      <c r="E26" s="25" t="s">
        <v>29</v>
      </c>
      <c r="F26" s="25">
        <v>1</v>
      </c>
      <c r="G26" s="25" t="s">
        <v>44</v>
      </c>
      <c r="H26" s="25" t="s">
        <v>59</v>
      </c>
      <c r="I26" s="25">
        <f t="shared" si="2"/>
        <v>120</v>
      </c>
      <c r="J26" s="25">
        <f t="shared" si="3"/>
        <v>1.2</v>
      </c>
      <c r="K26" s="25"/>
    </row>
    <row r="27" spans="1:12" ht="49.5" x14ac:dyDescent="0.25">
      <c r="A27" s="25" t="s">
        <v>73</v>
      </c>
      <c r="B27" s="26" t="s">
        <v>74</v>
      </c>
      <c r="C27" s="25" t="s">
        <v>48</v>
      </c>
      <c r="D27" s="25" t="s">
        <v>75</v>
      </c>
      <c r="E27" s="25" t="s">
        <v>76</v>
      </c>
      <c r="F27" s="25">
        <v>2</v>
      </c>
      <c r="G27" s="25" t="s">
        <v>33</v>
      </c>
      <c r="H27" s="25" t="s">
        <v>34</v>
      </c>
      <c r="I27" s="25">
        <f t="shared" si="2"/>
        <v>150</v>
      </c>
      <c r="J27" s="25">
        <f t="shared" si="3"/>
        <v>1.5</v>
      </c>
      <c r="K27" s="27"/>
    </row>
    <row r="28" spans="1:12" ht="49.5" x14ac:dyDescent="0.25">
      <c r="A28" s="25" t="s">
        <v>77</v>
      </c>
      <c r="B28" s="26" t="s">
        <v>78</v>
      </c>
      <c r="C28" s="25" t="s">
        <v>48</v>
      </c>
      <c r="D28" s="25" t="s">
        <v>52</v>
      </c>
      <c r="E28" s="25" t="s">
        <v>43</v>
      </c>
      <c r="F28" s="28">
        <v>1</v>
      </c>
      <c r="G28" s="25" t="s">
        <v>44</v>
      </c>
      <c r="H28" s="25" t="s">
        <v>34</v>
      </c>
      <c r="I28" s="25">
        <f>IF(G28="Khó và phức tạp",200,IF(G28="Cao",150,IF(G28="Trung bình",120,100)))</f>
        <v>120</v>
      </c>
      <c r="J28" s="25">
        <f>I28*0.01</f>
        <v>1.2</v>
      </c>
      <c r="K28" s="25"/>
    </row>
    <row r="29" spans="1:12" ht="99" x14ac:dyDescent="0.25">
      <c r="A29" s="25" t="s">
        <v>79</v>
      </c>
      <c r="B29" s="26" t="s">
        <v>80</v>
      </c>
      <c r="C29" s="25" t="s">
        <v>48</v>
      </c>
      <c r="D29" s="25" t="s">
        <v>81</v>
      </c>
      <c r="E29" s="25" t="s">
        <v>82</v>
      </c>
      <c r="F29" s="25">
        <v>1</v>
      </c>
      <c r="G29" s="25" t="s">
        <v>33</v>
      </c>
      <c r="H29" s="25" t="s">
        <v>34</v>
      </c>
      <c r="I29" s="25">
        <f t="shared" si="2"/>
        <v>150</v>
      </c>
      <c r="J29" s="25">
        <f t="shared" si="3"/>
        <v>1.5</v>
      </c>
      <c r="K29" s="27"/>
    </row>
    <row r="30" spans="1:12" ht="49.5" x14ac:dyDescent="0.25">
      <c r="A30" s="25" t="s">
        <v>83</v>
      </c>
      <c r="B30" s="26" t="s">
        <v>84</v>
      </c>
      <c r="C30" s="25" t="s">
        <v>37</v>
      </c>
      <c r="D30" s="25" t="s">
        <v>85</v>
      </c>
      <c r="E30" s="25" t="s">
        <v>43</v>
      </c>
      <c r="F30" s="25">
        <v>8</v>
      </c>
      <c r="G30" s="25" t="s">
        <v>44</v>
      </c>
      <c r="H30" s="25" t="s">
        <v>34</v>
      </c>
      <c r="I30" s="25">
        <f t="shared" ref="I30:I35" si="4">IF(G30="Khó và phức tạp",200,IF(G30="Cao",150,IF(G30="Trung bình",120,100)))</f>
        <v>120</v>
      </c>
      <c r="J30" s="25">
        <f t="shared" ref="J30:J35" si="5">I30*0.01</f>
        <v>1.2</v>
      </c>
      <c r="K30" s="25"/>
      <c r="L30" s="3"/>
    </row>
    <row r="31" spans="1:12" ht="115.5" x14ac:dyDescent="0.25">
      <c r="A31" s="25" t="s">
        <v>86</v>
      </c>
      <c r="B31" s="26" t="s">
        <v>87</v>
      </c>
      <c r="C31" s="25" t="s">
        <v>48</v>
      </c>
      <c r="D31" s="25" t="s">
        <v>88</v>
      </c>
      <c r="E31" s="25" t="s">
        <v>89</v>
      </c>
      <c r="F31" s="25">
        <v>1</v>
      </c>
      <c r="G31" s="25" t="s">
        <v>44</v>
      </c>
      <c r="H31" s="25" t="s">
        <v>34</v>
      </c>
      <c r="I31" s="25">
        <f t="shared" ref="I31" si="6">IF(G31="Khó và phức tạp",200,IF(G31="Cao",150,IF(G31="Trung bình",120,100)))</f>
        <v>120</v>
      </c>
      <c r="J31" s="25">
        <f t="shared" ref="J31" si="7">I31*0.01</f>
        <v>1.2</v>
      </c>
      <c r="K31" s="25" t="s">
        <v>90</v>
      </c>
      <c r="L31" s="3"/>
    </row>
    <row r="32" spans="1:12" ht="132" x14ac:dyDescent="0.25">
      <c r="A32" s="25" t="s">
        <v>91</v>
      </c>
      <c r="B32" s="26" t="s">
        <v>92</v>
      </c>
      <c r="C32" s="25" t="s">
        <v>48</v>
      </c>
      <c r="D32" s="25" t="s">
        <v>75</v>
      </c>
      <c r="E32" s="25" t="s">
        <v>93</v>
      </c>
      <c r="F32" s="25">
        <v>1</v>
      </c>
      <c r="G32" s="25" t="s">
        <v>44</v>
      </c>
      <c r="H32" s="25" t="s">
        <v>34</v>
      </c>
      <c r="I32" s="25">
        <f t="shared" si="4"/>
        <v>120</v>
      </c>
      <c r="J32" s="25">
        <f t="shared" si="5"/>
        <v>1.2</v>
      </c>
      <c r="K32" s="25" t="s">
        <v>90</v>
      </c>
      <c r="L32" s="3"/>
    </row>
    <row r="33" spans="1:12" ht="82.5" x14ac:dyDescent="0.25">
      <c r="A33" s="25" t="s">
        <v>94</v>
      </c>
      <c r="B33" s="26" t="s">
        <v>95</v>
      </c>
      <c r="C33" s="25" t="s">
        <v>48</v>
      </c>
      <c r="D33" s="25" t="s">
        <v>96</v>
      </c>
      <c r="E33" s="25" t="s">
        <v>29</v>
      </c>
      <c r="F33" s="25">
        <v>1</v>
      </c>
      <c r="G33" s="25" t="s">
        <v>44</v>
      </c>
      <c r="H33" s="25" t="s">
        <v>34</v>
      </c>
      <c r="I33" s="25">
        <f t="shared" ref="I33" si="8">IF(G33="Khó và phức tạp",200,IF(G33="Cao",150,IF(G33="Trung bình",120,100)))</f>
        <v>120</v>
      </c>
      <c r="J33" s="25">
        <f t="shared" ref="J33" si="9">I33*0.01</f>
        <v>1.2</v>
      </c>
      <c r="K33" s="25" t="s">
        <v>90</v>
      </c>
      <c r="L33" s="3"/>
    </row>
    <row r="34" spans="1:12" ht="66" x14ac:dyDescent="0.25">
      <c r="A34" s="25" t="s">
        <v>97</v>
      </c>
      <c r="B34" s="26" t="s">
        <v>98</v>
      </c>
      <c r="C34" s="25" t="s">
        <v>48</v>
      </c>
      <c r="D34" s="25" t="s">
        <v>52</v>
      </c>
      <c r="E34" s="25" t="s">
        <v>29</v>
      </c>
      <c r="F34" s="25">
        <v>1</v>
      </c>
      <c r="G34" s="25" t="s">
        <v>44</v>
      </c>
      <c r="H34" s="25" t="s">
        <v>34</v>
      </c>
      <c r="I34" s="25">
        <f t="shared" si="4"/>
        <v>120</v>
      </c>
      <c r="J34" s="25">
        <f t="shared" si="5"/>
        <v>1.2</v>
      </c>
      <c r="K34" s="25" t="s">
        <v>90</v>
      </c>
      <c r="L34" s="3"/>
    </row>
    <row r="35" spans="1:12" ht="82.5" x14ac:dyDescent="0.25">
      <c r="A35" s="25" t="s">
        <v>99</v>
      </c>
      <c r="B35" s="26" t="s">
        <v>100</v>
      </c>
      <c r="C35" s="25" t="s">
        <v>48</v>
      </c>
      <c r="D35" s="25" t="s">
        <v>49</v>
      </c>
      <c r="E35" s="25" t="s">
        <v>29</v>
      </c>
      <c r="F35" s="25">
        <v>1</v>
      </c>
      <c r="G35" s="25" t="s">
        <v>44</v>
      </c>
      <c r="H35" s="25" t="s">
        <v>34</v>
      </c>
      <c r="I35" s="25">
        <f t="shared" si="4"/>
        <v>120</v>
      </c>
      <c r="J35" s="25">
        <f t="shared" si="5"/>
        <v>1.2</v>
      </c>
      <c r="K35" s="25" t="s">
        <v>90</v>
      </c>
      <c r="L35" s="3"/>
    </row>
    <row r="36" spans="1:12" ht="82.5" x14ac:dyDescent="0.25">
      <c r="A36" s="22" t="s">
        <v>101</v>
      </c>
      <c r="B36" s="23" t="s">
        <v>102</v>
      </c>
      <c r="C36" s="22" t="s">
        <v>48</v>
      </c>
      <c r="D36" s="22" t="s">
        <v>49</v>
      </c>
      <c r="E36" s="22" t="s">
        <v>29</v>
      </c>
      <c r="F36" s="22">
        <v>1</v>
      </c>
      <c r="G36" s="22" t="s">
        <v>44</v>
      </c>
      <c r="H36" s="22" t="s">
        <v>59</v>
      </c>
      <c r="I36" s="22">
        <f t="shared" si="2"/>
        <v>120</v>
      </c>
      <c r="J36" s="22">
        <f t="shared" si="3"/>
        <v>1.2</v>
      </c>
      <c r="K36" s="22" t="s">
        <v>209</v>
      </c>
      <c r="L36" s="3"/>
    </row>
    <row r="37" spans="1:12" ht="18.75" x14ac:dyDescent="0.25">
      <c r="A37" s="21">
        <v>2</v>
      </c>
      <c r="B37" s="45" t="s">
        <v>103</v>
      </c>
      <c r="C37" s="45"/>
      <c r="D37" s="45"/>
      <c r="E37" s="45"/>
      <c r="F37" s="45"/>
      <c r="G37" s="45"/>
      <c r="H37" s="45"/>
      <c r="I37" s="45"/>
      <c r="J37" s="45"/>
      <c r="K37" s="45"/>
    </row>
    <row r="38" spans="1:12" ht="33" x14ac:dyDescent="0.25">
      <c r="A38" s="25" t="s">
        <v>104</v>
      </c>
      <c r="B38" s="26" t="s">
        <v>105</v>
      </c>
      <c r="C38" s="25" t="s">
        <v>48</v>
      </c>
      <c r="D38" s="25" t="s">
        <v>52</v>
      </c>
      <c r="E38" s="25" t="s">
        <v>43</v>
      </c>
      <c r="F38" s="28">
        <v>1</v>
      </c>
      <c r="G38" s="25" t="s">
        <v>44</v>
      </c>
      <c r="H38" s="25" t="s">
        <v>59</v>
      </c>
      <c r="I38" s="25">
        <f t="shared" ref="I38" si="10">IF(G38="Khó và phức tạp",200,IF(G38="Cao",150,IF(G38="Trung bình",120,100)))</f>
        <v>120</v>
      </c>
      <c r="J38" s="25">
        <f t="shared" ref="J38" si="11">I38*0.01</f>
        <v>1.2</v>
      </c>
      <c r="K38" s="25"/>
    </row>
    <row r="39" spans="1:12" s="3" customFormat="1" ht="33" x14ac:dyDescent="0.25">
      <c r="A39" s="25" t="s">
        <v>106</v>
      </c>
      <c r="B39" s="26" t="s">
        <v>107</v>
      </c>
      <c r="C39" s="25" t="s">
        <v>48</v>
      </c>
      <c r="D39" s="25" t="s">
        <v>52</v>
      </c>
      <c r="E39" s="25" t="s">
        <v>108</v>
      </c>
      <c r="F39" s="25">
        <v>2</v>
      </c>
      <c r="G39" s="25" t="s">
        <v>33</v>
      </c>
      <c r="H39" s="25" t="s">
        <v>59</v>
      </c>
      <c r="I39" s="25">
        <f>IF(G39="Khó và phức tạp",200,IF(G39="Cao",150,IF(G39="Trung bình",120,100)))</f>
        <v>150</v>
      </c>
      <c r="J39" s="25">
        <f>I39*0.01</f>
        <v>1.5</v>
      </c>
      <c r="K39" s="25"/>
      <c r="L39" s="1"/>
    </row>
    <row r="40" spans="1:12" s="3" customFormat="1" ht="82.5" x14ac:dyDescent="0.25">
      <c r="A40" s="62" t="s">
        <v>109</v>
      </c>
      <c r="B40" s="63" t="s">
        <v>110</v>
      </c>
      <c r="C40" s="62" t="s">
        <v>48</v>
      </c>
      <c r="D40" s="62" t="s">
        <v>52</v>
      </c>
      <c r="E40" s="62" t="s">
        <v>43</v>
      </c>
      <c r="F40" s="62">
        <v>1</v>
      </c>
      <c r="G40" s="62" t="s">
        <v>44</v>
      </c>
      <c r="H40" s="62" t="s">
        <v>507</v>
      </c>
      <c r="I40" s="62">
        <f>IF(G40="Khó và phức tạp",200,IF(G40="Cao",150,IF(G40="Trung bình",120,100)))</f>
        <v>120</v>
      </c>
      <c r="J40" s="62">
        <f>I40*0.01</f>
        <v>1.2</v>
      </c>
      <c r="K40" s="62" t="s">
        <v>508</v>
      </c>
      <c r="L40" s="1"/>
    </row>
    <row r="41" spans="1:12" ht="82.5" x14ac:dyDescent="0.25">
      <c r="A41" s="22" t="s">
        <v>111</v>
      </c>
      <c r="B41" s="23" t="s">
        <v>112</v>
      </c>
      <c r="C41" s="22" t="s">
        <v>48</v>
      </c>
      <c r="D41" s="22" t="s">
        <v>88</v>
      </c>
      <c r="E41" s="22" t="s">
        <v>113</v>
      </c>
      <c r="F41" s="22">
        <v>3</v>
      </c>
      <c r="G41" s="22" t="s">
        <v>33</v>
      </c>
      <c r="H41" s="22" t="s">
        <v>45</v>
      </c>
      <c r="I41" s="22">
        <f>IF(G41="Khó và phức tạp",200,IF(G41="Cao",150,IF(G41="Trung bình",120,100)))</f>
        <v>150</v>
      </c>
      <c r="J41" s="22">
        <f>I41*0.01</f>
        <v>1.5</v>
      </c>
      <c r="K41" s="24" t="s">
        <v>210</v>
      </c>
    </row>
    <row r="42" spans="1:12" ht="33" x14ac:dyDescent="0.25">
      <c r="A42" s="22" t="s">
        <v>114</v>
      </c>
      <c r="B42" s="23" t="s">
        <v>115</v>
      </c>
      <c r="C42" s="22" t="s">
        <v>48</v>
      </c>
      <c r="D42" s="22" t="s">
        <v>88</v>
      </c>
      <c r="E42" s="22" t="s">
        <v>43</v>
      </c>
      <c r="F42" s="22">
        <v>1</v>
      </c>
      <c r="G42" s="22" t="s">
        <v>44</v>
      </c>
      <c r="H42" s="22" t="s">
        <v>59</v>
      </c>
      <c r="I42" s="22">
        <f>IF(G42="Khó và phức tạp",200,IF(G42="Cao",150,IF(G42="Trung bình",120,100)))</f>
        <v>120</v>
      </c>
      <c r="J42" s="22">
        <f>I42*0.01</f>
        <v>1.2</v>
      </c>
      <c r="K42" s="24" t="s">
        <v>207</v>
      </c>
    </row>
    <row r="43" spans="1:12" ht="49.5" x14ac:dyDescent="0.25">
      <c r="A43" s="22" t="s">
        <v>116</v>
      </c>
      <c r="B43" s="29" t="s">
        <v>117</v>
      </c>
      <c r="C43" s="22" t="s">
        <v>48</v>
      </c>
      <c r="D43" s="22" t="s">
        <v>49</v>
      </c>
      <c r="E43" s="22" t="s">
        <v>29</v>
      </c>
      <c r="F43" s="22">
        <v>1</v>
      </c>
      <c r="G43" s="22" t="s">
        <v>44</v>
      </c>
      <c r="H43" s="22" t="s">
        <v>59</v>
      </c>
      <c r="I43" s="22">
        <f t="shared" ref="I43" si="12">IF(G43="Khó và phức tạp",200,IF(G43="Cao",150,IF(G43="Trung bình",120,100)))</f>
        <v>120</v>
      </c>
      <c r="J43" s="22">
        <f t="shared" ref="J43" si="13">I43*0.01</f>
        <v>1.2</v>
      </c>
      <c r="K43" s="22" t="s">
        <v>207</v>
      </c>
    </row>
    <row r="44" spans="1:12" ht="82.5" x14ac:dyDescent="0.25">
      <c r="A44" s="22" t="s">
        <v>118</v>
      </c>
      <c r="B44" s="29" t="s">
        <v>119</v>
      </c>
      <c r="C44" s="22" t="s">
        <v>48</v>
      </c>
      <c r="D44" s="22" t="s">
        <v>49</v>
      </c>
      <c r="E44" s="22" t="s">
        <v>29</v>
      </c>
      <c r="F44" s="22">
        <v>1</v>
      </c>
      <c r="G44" s="22" t="s">
        <v>44</v>
      </c>
      <c r="H44" s="22" t="s">
        <v>59</v>
      </c>
      <c r="I44" s="22">
        <f t="shared" ref="I44" si="14">IF(G44="Khó và phức tạp",200,IF(G44="Cao",150,IF(G44="Trung bình",120,100)))</f>
        <v>120</v>
      </c>
      <c r="J44" s="22">
        <f t="shared" ref="J44" si="15">I44*0.01</f>
        <v>1.2</v>
      </c>
      <c r="K44" s="22" t="s">
        <v>207</v>
      </c>
    </row>
    <row r="45" spans="1:12" ht="49.5" x14ac:dyDescent="0.25">
      <c r="A45" s="25" t="s">
        <v>120</v>
      </c>
      <c r="B45" s="30" t="s">
        <v>121</v>
      </c>
      <c r="C45" s="25" t="s">
        <v>48</v>
      </c>
      <c r="D45" s="25" t="s">
        <v>49</v>
      </c>
      <c r="E45" s="25" t="s">
        <v>43</v>
      </c>
      <c r="F45" s="25">
        <v>1</v>
      </c>
      <c r="G45" s="25" t="s">
        <v>33</v>
      </c>
      <c r="H45" s="25" t="s">
        <v>59</v>
      </c>
      <c r="I45" s="25">
        <f t="shared" ref="I45" si="16">IF(G45="Khó và phức tạp",200,IF(G45="Cao",150,IF(G45="Trung bình",120,100)))</f>
        <v>150</v>
      </c>
      <c r="J45" s="25">
        <f t="shared" ref="J45" si="17">I45*0.01</f>
        <v>1.5</v>
      </c>
      <c r="K45" s="25" t="s">
        <v>211</v>
      </c>
    </row>
    <row r="46" spans="1:12" ht="18.75" x14ac:dyDescent="0.25">
      <c r="A46" s="21">
        <v>3</v>
      </c>
      <c r="B46" s="45" t="s">
        <v>122</v>
      </c>
      <c r="C46" s="45"/>
      <c r="D46" s="45"/>
      <c r="E46" s="45"/>
      <c r="F46" s="45"/>
      <c r="G46" s="45"/>
      <c r="H46" s="45"/>
      <c r="I46" s="45"/>
      <c r="J46" s="45"/>
      <c r="K46" s="45"/>
    </row>
    <row r="47" spans="1:12" ht="66" x14ac:dyDescent="0.25">
      <c r="A47" s="25" t="s">
        <v>123</v>
      </c>
      <c r="B47" s="26" t="s">
        <v>124</v>
      </c>
      <c r="C47" s="25" t="s">
        <v>48</v>
      </c>
      <c r="D47" s="25" t="s">
        <v>75</v>
      </c>
      <c r="E47" s="25" t="s">
        <v>43</v>
      </c>
      <c r="F47" s="25">
        <v>2</v>
      </c>
      <c r="G47" s="25" t="s">
        <v>53</v>
      </c>
      <c r="H47" s="25" t="s">
        <v>34</v>
      </c>
      <c r="I47" s="25">
        <f t="shared" ref="I47" si="18">IF(G47="Khó và phức tạp",200,IF(G47="Cao",150,IF(G47="Trung bình",120,100)))</f>
        <v>100</v>
      </c>
      <c r="J47" s="25">
        <f t="shared" ref="J47" si="19">I47*0.01</f>
        <v>1</v>
      </c>
      <c r="K47" s="25"/>
    </row>
    <row r="48" spans="1:12" ht="33" x14ac:dyDescent="0.25">
      <c r="A48" s="25" t="s">
        <v>125</v>
      </c>
      <c r="B48" s="26" t="s">
        <v>126</v>
      </c>
      <c r="C48" s="25" t="s">
        <v>37</v>
      </c>
      <c r="D48" s="25" t="s">
        <v>52</v>
      </c>
      <c r="E48" s="25" t="s">
        <v>127</v>
      </c>
      <c r="F48" s="25">
        <v>1</v>
      </c>
      <c r="G48" s="25" t="s">
        <v>44</v>
      </c>
      <c r="H48" s="25" t="s">
        <v>34</v>
      </c>
      <c r="I48" s="25">
        <f t="shared" ref="I48" si="20">IF(G48="Khó và phức tạp",200,IF(G48="Cao",150,IF(G48="Trung bình",120,100)))</f>
        <v>120</v>
      </c>
      <c r="J48" s="25">
        <f t="shared" ref="J48" si="21">I48*0.01</f>
        <v>1.2</v>
      </c>
      <c r="K48" s="25"/>
    </row>
    <row r="49" spans="1:12" ht="33" x14ac:dyDescent="0.25">
      <c r="A49" s="22" t="s">
        <v>128</v>
      </c>
      <c r="B49" s="31" t="s">
        <v>129</v>
      </c>
      <c r="C49" s="22" t="s">
        <v>37</v>
      </c>
      <c r="D49" s="22" t="s">
        <v>85</v>
      </c>
      <c r="E49" s="22" t="s">
        <v>130</v>
      </c>
      <c r="F49" s="22">
        <v>1</v>
      </c>
      <c r="G49" s="22" t="s">
        <v>33</v>
      </c>
      <c r="H49" s="22" t="s">
        <v>59</v>
      </c>
      <c r="I49" s="22">
        <f t="shared" ref="I49" si="22">IF(G49="Khó và phức tạp",200,IF(G49="Cao",150,IF(G49="Trung bình",120,100)))</f>
        <v>150</v>
      </c>
      <c r="J49" s="22">
        <f t="shared" ref="J49" si="23">I49*0.01</f>
        <v>1.5</v>
      </c>
      <c r="K49" s="22" t="s">
        <v>207</v>
      </c>
    </row>
    <row r="50" spans="1:12" s="4" customFormat="1" ht="18.75" x14ac:dyDescent="0.25">
      <c r="A50" s="19">
        <v>4</v>
      </c>
      <c r="B50" s="44" t="s">
        <v>131</v>
      </c>
      <c r="C50" s="44"/>
      <c r="D50" s="44"/>
      <c r="E50" s="44"/>
      <c r="F50" s="44"/>
      <c r="G50" s="44"/>
      <c r="H50" s="44"/>
      <c r="I50" s="44"/>
      <c r="J50" s="44"/>
      <c r="K50" s="44"/>
    </row>
    <row r="51" spans="1:12" ht="49.5" x14ac:dyDescent="0.25">
      <c r="A51" s="25" t="s">
        <v>132</v>
      </c>
      <c r="B51" s="30" t="s">
        <v>133</v>
      </c>
      <c r="C51" s="25" t="s">
        <v>134</v>
      </c>
      <c r="D51" s="25" t="s">
        <v>135</v>
      </c>
      <c r="E51" s="25" t="s">
        <v>82</v>
      </c>
      <c r="F51" s="25">
        <v>1</v>
      </c>
      <c r="G51" s="25" t="s">
        <v>44</v>
      </c>
      <c r="H51" s="25" t="s">
        <v>45</v>
      </c>
      <c r="I51" s="25">
        <f t="shared" ref="I51" si="24">IF(G51="Khó và phức tạp",200,IF(G51="Cao",150,IF(G51="Trung bình",120,100)))</f>
        <v>120</v>
      </c>
      <c r="J51" s="25">
        <f t="shared" ref="J51" si="25">I51*0.01</f>
        <v>1.2</v>
      </c>
      <c r="K51" s="27"/>
    </row>
    <row r="52" spans="1:12" ht="49.5" x14ac:dyDescent="0.25">
      <c r="A52" s="25" t="s">
        <v>136</v>
      </c>
      <c r="B52" s="26" t="s">
        <v>137</v>
      </c>
      <c r="C52" s="25" t="s">
        <v>138</v>
      </c>
      <c r="D52" s="25" t="s">
        <v>135</v>
      </c>
      <c r="E52" s="25" t="s">
        <v>139</v>
      </c>
      <c r="F52" s="25">
        <v>3</v>
      </c>
      <c r="G52" s="25" t="s">
        <v>44</v>
      </c>
      <c r="H52" s="25" t="s">
        <v>34</v>
      </c>
      <c r="I52" s="25">
        <f>IF(G52="Khó và phức tạp",200,IF(G52="Cao",150,IF(G52="Trung bình",120,100)))</f>
        <v>120</v>
      </c>
      <c r="J52" s="25">
        <f>I52*0.01</f>
        <v>1.2</v>
      </c>
      <c r="K52" s="27"/>
    </row>
    <row r="53" spans="1:12" ht="82.5" x14ac:dyDescent="0.25">
      <c r="A53" s="25" t="s">
        <v>140</v>
      </c>
      <c r="B53" s="26" t="s">
        <v>141</v>
      </c>
      <c r="C53" s="25" t="s">
        <v>138</v>
      </c>
      <c r="D53" s="25" t="s">
        <v>142</v>
      </c>
      <c r="E53" s="25" t="s">
        <v>62</v>
      </c>
      <c r="F53" s="25">
        <v>1</v>
      </c>
      <c r="G53" s="25" t="s">
        <v>44</v>
      </c>
      <c r="H53" s="25" t="s">
        <v>34</v>
      </c>
      <c r="I53" s="25">
        <f>IF(G53="Khó và phức tạp",200,IF(G53="Cao",150,IF(G53="Trung bình",120,100)))</f>
        <v>120</v>
      </c>
      <c r="J53" s="25">
        <f>I53*0.01</f>
        <v>1.2</v>
      </c>
      <c r="K53" s="27"/>
    </row>
    <row r="54" spans="1:12" ht="115.5" x14ac:dyDescent="0.25">
      <c r="A54" s="22" t="s">
        <v>140</v>
      </c>
      <c r="B54" s="23" t="s">
        <v>143</v>
      </c>
      <c r="C54" s="22" t="s">
        <v>138</v>
      </c>
      <c r="D54" s="22" t="s">
        <v>144</v>
      </c>
      <c r="E54" s="22" t="s">
        <v>93</v>
      </c>
      <c r="F54" s="22">
        <v>1</v>
      </c>
      <c r="G54" s="22" t="s">
        <v>44</v>
      </c>
      <c r="H54" s="22" t="s">
        <v>59</v>
      </c>
      <c r="I54" s="22">
        <f>IF(G54="Khó và phức tạp",200,IF(G54="Cao",150,IF(G54="Trung bình",120,100)))</f>
        <v>120</v>
      </c>
      <c r="J54" s="22">
        <f>I54*0.01</f>
        <v>1.2</v>
      </c>
      <c r="K54" s="22" t="s">
        <v>209</v>
      </c>
    </row>
    <row r="55" spans="1:12" ht="33" x14ac:dyDescent="0.25">
      <c r="A55" s="25" t="s">
        <v>145</v>
      </c>
      <c r="B55" s="26" t="s">
        <v>146</v>
      </c>
      <c r="C55" s="25" t="s">
        <v>48</v>
      </c>
      <c r="D55" s="25" t="s">
        <v>52</v>
      </c>
      <c r="E55" s="25" t="s">
        <v>82</v>
      </c>
      <c r="F55" s="25">
        <v>1</v>
      </c>
      <c r="G55" s="25" t="s">
        <v>44</v>
      </c>
      <c r="H55" s="25" t="s">
        <v>45</v>
      </c>
      <c r="I55" s="25">
        <f t="shared" ref="I55:I56" si="26">IF(G55="Khó và phức tạp",200,IF(G55="Cao",150,IF(G55="Trung bình",120,100)))</f>
        <v>120</v>
      </c>
      <c r="J55" s="25">
        <f t="shared" ref="J55:J56" si="27">I55*0.01</f>
        <v>1.2</v>
      </c>
      <c r="K55" s="25"/>
    </row>
    <row r="56" spans="1:12" ht="33" x14ac:dyDescent="0.25">
      <c r="A56" s="25" t="s">
        <v>147</v>
      </c>
      <c r="B56" s="30" t="s">
        <v>148</v>
      </c>
      <c r="C56" s="25" t="s">
        <v>134</v>
      </c>
      <c r="D56" s="25" t="s">
        <v>135</v>
      </c>
      <c r="E56" s="25" t="s">
        <v>82</v>
      </c>
      <c r="F56" s="25">
        <v>1</v>
      </c>
      <c r="G56" s="25" t="s">
        <v>44</v>
      </c>
      <c r="H56" s="25" t="s">
        <v>45</v>
      </c>
      <c r="I56" s="25">
        <f t="shared" si="26"/>
        <v>120</v>
      </c>
      <c r="J56" s="25">
        <f t="shared" si="27"/>
        <v>1.2</v>
      </c>
      <c r="K56" s="27"/>
    </row>
    <row r="57" spans="1:12" ht="33" x14ac:dyDescent="0.25">
      <c r="A57" s="22" t="s">
        <v>149</v>
      </c>
      <c r="B57" s="29" t="s">
        <v>150</v>
      </c>
      <c r="C57" s="22" t="s">
        <v>151</v>
      </c>
      <c r="D57" s="22" t="s">
        <v>135</v>
      </c>
      <c r="E57" s="22" t="s">
        <v>152</v>
      </c>
      <c r="F57" s="22">
        <v>2</v>
      </c>
      <c r="G57" s="22" t="s">
        <v>44</v>
      </c>
      <c r="H57" s="22" t="s">
        <v>59</v>
      </c>
      <c r="I57" s="22">
        <f t="shared" ref="I57:I63" si="28">IF(G57="Khó và phức tạp",200,IF(G57="Cao",150,IF(G57="Trung bình",120,100)))</f>
        <v>120</v>
      </c>
      <c r="J57" s="22">
        <f t="shared" ref="J57:J63" si="29">I57*0.01</f>
        <v>1.2</v>
      </c>
      <c r="K57" s="24" t="s">
        <v>207</v>
      </c>
    </row>
    <row r="58" spans="1:12" ht="49.5" x14ac:dyDescent="0.25">
      <c r="A58" s="22" t="s">
        <v>153</v>
      </c>
      <c r="B58" s="29" t="s">
        <v>154</v>
      </c>
      <c r="C58" s="22" t="s">
        <v>138</v>
      </c>
      <c r="D58" s="22" t="s">
        <v>135</v>
      </c>
      <c r="E58" s="22" t="s">
        <v>152</v>
      </c>
      <c r="F58" s="22">
        <v>2</v>
      </c>
      <c r="G58" s="22" t="s">
        <v>44</v>
      </c>
      <c r="H58" s="22" t="s">
        <v>59</v>
      </c>
      <c r="I58" s="22">
        <f t="shared" si="28"/>
        <v>120</v>
      </c>
      <c r="J58" s="22">
        <f t="shared" si="29"/>
        <v>1.2</v>
      </c>
      <c r="K58" s="24" t="s">
        <v>207</v>
      </c>
    </row>
    <row r="59" spans="1:12" ht="33" x14ac:dyDescent="0.25">
      <c r="A59" s="25" t="s">
        <v>155</v>
      </c>
      <c r="B59" s="26" t="s">
        <v>156</v>
      </c>
      <c r="C59" s="25" t="s">
        <v>157</v>
      </c>
      <c r="D59" s="25" t="s">
        <v>158</v>
      </c>
      <c r="E59" s="25" t="s">
        <v>29</v>
      </c>
      <c r="F59" s="25">
        <v>1</v>
      </c>
      <c r="G59" s="25" t="s">
        <v>44</v>
      </c>
      <c r="H59" s="25" t="s">
        <v>34</v>
      </c>
      <c r="I59" s="25">
        <f t="shared" si="28"/>
        <v>120</v>
      </c>
      <c r="J59" s="25">
        <f t="shared" si="29"/>
        <v>1.2</v>
      </c>
      <c r="K59" s="25"/>
      <c r="L59" s="3"/>
    </row>
    <row r="60" spans="1:12" ht="66" x14ac:dyDescent="0.25">
      <c r="A60" s="25" t="s">
        <v>159</v>
      </c>
      <c r="B60" s="32" t="s">
        <v>160</v>
      </c>
      <c r="C60" s="25" t="s">
        <v>27</v>
      </c>
      <c r="D60" s="25" t="s">
        <v>161</v>
      </c>
      <c r="E60" s="25" t="s">
        <v>29</v>
      </c>
      <c r="F60" s="25">
        <v>1</v>
      </c>
      <c r="G60" s="25" t="s">
        <v>33</v>
      </c>
      <c r="H60" s="25" t="s">
        <v>45</v>
      </c>
      <c r="I60" s="25">
        <f t="shared" si="28"/>
        <v>150</v>
      </c>
      <c r="J60" s="25">
        <f t="shared" si="29"/>
        <v>1.5</v>
      </c>
      <c r="K60" s="25" t="s">
        <v>212</v>
      </c>
      <c r="L60" s="3"/>
    </row>
    <row r="61" spans="1:12" ht="33" x14ac:dyDescent="0.25">
      <c r="A61" s="25" t="s">
        <v>162</v>
      </c>
      <c r="B61" s="30" t="s">
        <v>163</v>
      </c>
      <c r="C61" s="25" t="s">
        <v>151</v>
      </c>
      <c r="D61" s="25" t="s">
        <v>161</v>
      </c>
      <c r="E61" s="25" t="s">
        <v>62</v>
      </c>
      <c r="F61" s="25">
        <v>1</v>
      </c>
      <c r="G61" s="25" t="s">
        <v>44</v>
      </c>
      <c r="H61" s="25" t="s">
        <v>45</v>
      </c>
      <c r="I61" s="25">
        <f t="shared" si="28"/>
        <v>120</v>
      </c>
      <c r="J61" s="25">
        <f t="shared" si="29"/>
        <v>1.2</v>
      </c>
      <c r="K61" s="27"/>
    </row>
    <row r="62" spans="1:12" ht="33" x14ac:dyDescent="0.25">
      <c r="A62" s="25" t="s">
        <v>164</v>
      </c>
      <c r="B62" s="30" t="s">
        <v>165</v>
      </c>
      <c r="C62" s="25" t="s">
        <v>151</v>
      </c>
      <c r="D62" s="25" t="s">
        <v>161</v>
      </c>
      <c r="E62" s="25" t="s">
        <v>62</v>
      </c>
      <c r="F62" s="25">
        <v>1</v>
      </c>
      <c r="G62" s="25" t="s">
        <v>44</v>
      </c>
      <c r="H62" s="25" t="s">
        <v>45</v>
      </c>
      <c r="I62" s="25">
        <f t="shared" ref="I62" si="30">IF(G62="Khó và phức tạp",200,IF(G62="Cao",150,IF(G62="Trung bình",120,100)))</f>
        <v>120</v>
      </c>
      <c r="J62" s="25">
        <f t="shared" si="29"/>
        <v>1.2</v>
      </c>
      <c r="K62" s="27"/>
    </row>
    <row r="63" spans="1:12" ht="80.45" customHeight="1" x14ac:dyDescent="0.25">
      <c r="A63" s="22" t="s">
        <v>164</v>
      </c>
      <c r="B63" s="29" t="s">
        <v>166</v>
      </c>
      <c r="C63" s="22" t="s">
        <v>151</v>
      </c>
      <c r="D63" s="22" t="s">
        <v>167</v>
      </c>
      <c r="E63" s="22" t="s">
        <v>168</v>
      </c>
      <c r="F63" s="22">
        <v>1</v>
      </c>
      <c r="G63" s="22" t="s">
        <v>44</v>
      </c>
      <c r="H63" s="22" t="s">
        <v>59</v>
      </c>
      <c r="I63" s="22">
        <f t="shared" si="28"/>
        <v>120</v>
      </c>
      <c r="J63" s="22">
        <f t="shared" si="29"/>
        <v>1.2</v>
      </c>
      <c r="K63" s="22" t="s">
        <v>213</v>
      </c>
    </row>
    <row r="64" spans="1:12" ht="18.75" x14ac:dyDescent="0.25">
      <c r="A64" s="21">
        <v>5</v>
      </c>
      <c r="B64" s="45" t="s">
        <v>169</v>
      </c>
      <c r="C64" s="45"/>
      <c r="D64" s="45"/>
      <c r="E64" s="45"/>
      <c r="F64" s="45"/>
      <c r="G64" s="45"/>
      <c r="H64" s="45"/>
      <c r="I64" s="45"/>
      <c r="J64" s="45"/>
      <c r="K64" s="45"/>
    </row>
    <row r="65" spans="1:11" ht="49.5" x14ac:dyDescent="0.25">
      <c r="A65" s="25" t="s">
        <v>170</v>
      </c>
      <c r="B65" s="26" t="s">
        <v>171</v>
      </c>
      <c r="C65" s="25" t="s">
        <v>151</v>
      </c>
      <c r="D65" s="25" t="s">
        <v>49</v>
      </c>
      <c r="E65" s="25" t="s">
        <v>82</v>
      </c>
      <c r="F65" s="25">
        <v>2</v>
      </c>
      <c r="G65" s="25" t="s">
        <v>53</v>
      </c>
      <c r="H65" s="25" t="s">
        <v>34</v>
      </c>
      <c r="I65" s="25">
        <f t="shared" ref="I65" si="31">IF(G65="Khó và phức tạp",200,IF(G65="Cao",150,IF(G65="Trung bình",120,100)))</f>
        <v>100</v>
      </c>
      <c r="J65" s="25">
        <f t="shared" ref="J65" si="32">I65*0.01</f>
        <v>1</v>
      </c>
      <c r="K65" s="27"/>
    </row>
    <row r="66" spans="1:11" ht="49.5" x14ac:dyDescent="0.25">
      <c r="A66" s="25" t="s">
        <v>172</v>
      </c>
      <c r="B66" s="26" t="s">
        <v>173</v>
      </c>
      <c r="C66" s="25" t="s">
        <v>27</v>
      </c>
      <c r="D66" s="25" t="s">
        <v>161</v>
      </c>
      <c r="E66" s="25" t="s">
        <v>174</v>
      </c>
      <c r="F66" s="25">
        <v>1</v>
      </c>
      <c r="G66" s="25" t="s">
        <v>44</v>
      </c>
      <c r="H66" s="25" t="s">
        <v>175</v>
      </c>
      <c r="I66" s="25">
        <f t="shared" ref="I66:I71" si="33">IF(G66="Khó và phức tạp",200,IF(G66="Cao",150,IF(G66="Trung bình",120,100)))</f>
        <v>120</v>
      </c>
      <c r="J66" s="25">
        <f t="shared" ref="J66:J71" si="34">I66*0.01</f>
        <v>1.2</v>
      </c>
      <c r="K66" s="27"/>
    </row>
    <row r="67" spans="1:11" s="5" customFormat="1" ht="49.5" x14ac:dyDescent="0.3">
      <c r="A67" s="25" t="s">
        <v>176</v>
      </c>
      <c r="B67" s="30" t="s">
        <v>177</v>
      </c>
      <c r="C67" s="25" t="s">
        <v>27</v>
      </c>
      <c r="D67" s="25" t="s">
        <v>161</v>
      </c>
      <c r="E67" s="25" t="s">
        <v>29</v>
      </c>
      <c r="F67" s="25">
        <v>1</v>
      </c>
      <c r="G67" s="25" t="s">
        <v>30</v>
      </c>
      <c r="H67" s="25" t="s">
        <v>34</v>
      </c>
      <c r="I67" s="25">
        <f t="shared" si="33"/>
        <v>200</v>
      </c>
      <c r="J67" s="25">
        <f t="shared" si="34"/>
        <v>2</v>
      </c>
      <c r="K67" s="27"/>
    </row>
    <row r="68" spans="1:11" s="5" customFormat="1" ht="49.5" x14ac:dyDescent="0.3">
      <c r="A68" s="25" t="s">
        <v>178</v>
      </c>
      <c r="B68" s="30" t="s">
        <v>179</v>
      </c>
      <c r="C68" s="25" t="s">
        <v>157</v>
      </c>
      <c r="D68" s="25" t="s">
        <v>180</v>
      </c>
      <c r="E68" s="25" t="s">
        <v>29</v>
      </c>
      <c r="F68" s="25">
        <v>1</v>
      </c>
      <c r="G68" s="25" t="s">
        <v>33</v>
      </c>
      <c r="H68" s="25" t="s">
        <v>59</v>
      </c>
      <c r="I68" s="25">
        <f t="shared" si="33"/>
        <v>150</v>
      </c>
      <c r="J68" s="25">
        <f t="shared" si="34"/>
        <v>1.5</v>
      </c>
      <c r="K68" s="27"/>
    </row>
    <row r="69" spans="1:11" s="5" customFormat="1" ht="66" x14ac:dyDescent="0.3">
      <c r="A69" s="25" t="s">
        <v>181</v>
      </c>
      <c r="B69" s="30" t="s">
        <v>182</v>
      </c>
      <c r="C69" s="25" t="s">
        <v>157</v>
      </c>
      <c r="D69" s="25" t="s">
        <v>180</v>
      </c>
      <c r="E69" s="25" t="s">
        <v>183</v>
      </c>
      <c r="F69" s="25">
        <v>1</v>
      </c>
      <c r="G69" s="25" t="s">
        <v>30</v>
      </c>
      <c r="H69" s="25" t="s">
        <v>45</v>
      </c>
      <c r="I69" s="25">
        <f t="shared" si="33"/>
        <v>200</v>
      </c>
      <c r="J69" s="25">
        <f t="shared" si="34"/>
        <v>2</v>
      </c>
      <c r="K69" s="27"/>
    </row>
    <row r="70" spans="1:11" s="5" customFormat="1" ht="66" x14ac:dyDescent="0.3">
      <c r="A70" s="25" t="s">
        <v>184</v>
      </c>
      <c r="B70" s="30" t="s">
        <v>185</v>
      </c>
      <c r="C70" s="25" t="s">
        <v>157</v>
      </c>
      <c r="D70" s="25" t="s">
        <v>186</v>
      </c>
      <c r="E70" s="25" t="s">
        <v>187</v>
      </c>
      <c r="F70" s="25">
        <v>4</v>
      </c>
      <c r="G70" s="25" t="s">
        <v>33</v>
      </c>
      <c r="H70" s="25" t="s">
        <v>59</v>
      </c>
      <c r="I70" s="25">
        <f t="shared" si="33"/>
        <v>150</v>
      </c>
      <c r="J70" s="25">
        <f t="shared" si="34"/>
        <v>1.5</v>
      </c>
      <c r="K70" s="27"/>
    </row>
    <row r="71" spans="1:11" s="5" customFormat="1" ht="33" x14ac:dyDescent="0.3">
      <c r="A71" s="25" t="s">
        <v>188</v>
      </c>
      <c r="B71" s="30" t="s">
        <v>189</v>
      </c>
      <c r="C71" s="25" t="s">
        <v>157</v>
      </c>
      <c r="D71" s="25" t="s">
        <v>190</v>
      </c>
      <c r="E71" s="25" t="s">
        <v>29</v>
      </c>
      <c r="F71" s="25">
        <v>1</v>
      </c>
      <c r="G71" s="25" t="s">
        <v>33</v>
      </c>
      <c r="H71" s="25" t="s">
        <v>45</v>
      </c>
      <c r="I71" s="25">
        <f t="shared" si="33"/>
        <v>150</v>
      </c>
      <c r="J71" s="25">
        <f t="shared" si="34"/>
        <v>1.5</v>
      </c>
      <c r="K71" s="27"/>
    </row>
    <row r="72" spans="1:11" ht="18.75" x14ac:dyDescent="0.25">
      <c r="A72" s="21">
        <v>6</v>
      </c>
      <c r="B72" s="44" t="s">
        <v>191</v>
      </c>
      <c r="C72" s="44"/>
      <c r="D72" s="44"/>
      <c r="E72" s="44"/>
      <c r="F72" s="44"/>
      <c r="G72" s="44"/>
      <c r="H72" s="44"/>
      <c r="I72" s="44"/>
      <c r="J72" s="44"/>
      <c r="K72" s="44"/>
    </row>
    <row r="73" spans="1:11" ht="49.5" x14ac:dyDescent="0.25">
      <c r="A73" s="25" t="s">
        <v>192</v>
      </c>
      <c r="B73" s="26" t="s">
        <v>193</v>
      </c>
      <c r="C73" s="25" t="s">
        <v>48</v>
      </c>
      <c r="D73" s="25" t="s">
        <v>49</v>
      </c>
      <c r="E73" s="25" t="s">
        <v>194</v>
      </c>
      <c r="F73" s="25">
        <v>3</v>
      </c>
      <c r="G73" s="25" t="s">
        <v>53</v>
      </c>
      <c r="H73" s="25" t="s">
        <v>195</v>
      </c>
      <c r="I73" s="25">
        <f t="shared" ref="I73" si="35">IF(G73="Khó và phức tạp",200,IF(G73="Cao",150,IF(G73="Trung bình",120,100)))</f>
        <v>100</v>
      </c>
      <c r="J73" s="25">
        <f t="shared" ref="J73" si="36">I73*0.01</f>
        <v>1</v>
      </c>
      <c r="K73" s="25"/>
    </row>
    <row r="74" spans="1:11" ht="21.6" customHeight="1" x14ac:dyDescent="0.25">
      <c r="A74" s="21" t="s">
        <v>196</v>
      </c>
      <c r="B74" s="45" t="s">
        <v>197</v>
      </c>
      <c r="C74" s="45"/>
      <c r="D74" s="45"/>
      <c r="E74" s="45"/>
      <c r="F74" s="45"/>
      <c r="G74" s="45"/>
      <c r="H74" s="45"/>
      <c r="I74" s="45"/>
      <c r="J74" s="45"/>
      <c r="K74" s="45"/>
    </row>
    <row r="75" spans="1:11" ht="33" x14ac:dyDescent="0.25">
      <c r="A75" s="28">
        <v>1</v>
      </c>
      <c r="B75" s="26" t="s">
        <v>198</v>
      </c>
      <c r="C75" s="25" t="s">
        <v>48</v>
      </c>
      <c r="D75" s="25" t="s">
        <v>161</v>
      </c>
      <c r="E75" s="25" t="s">
        <v>29</v>
      </c>
      <c r="F75" s="25">
        <v>1</v>
      </c>
      <c r="G75" s="25" t="s">
        <v>30</v>
      </c>
      <c r="H75" s="25" t="s">
        <v>34</v>
      </c>
      <c r="I75" s="25">
        <f t="shared" ref="I75:I79" si="37">IF(G75="Khó và phức tạp",200,IF(G75="Cao",150,IF(G75="Trung bình",120,100)))</f>
        <v>200</v>
      </c>
      <c r="J75" s="25">
        <f t="shared" ref="J75:J79" si="38">I75*0.01</f>
        <v>2</v>
      </c>
      <c r="K75" s="27"/>
    </row>
    <row r="76" spans="1:11" ht="49.5" x14ac:dyDescent="0.25">
      <c r="A76" s="25">
        <v>2</v>
      </c>
      <c r="B76" s="26" t="s">
        <v>199</v>
      </c>
      <c r="C76" s="25" t="s">
        <v>48</v>
      </c>
      <c r="D76" s="25" t="s">
        <v>96</v>
      </c>
      <c r="E76" s="25" t="s">
        <v>200</v>
      </c>
      <c r="F76" s="25">
        <v>1</v>
      </c>
      <c r="G76" s="25" t="s">
        <v>30</v>
      </c>
      <c r="H76" s="25" t="s">
        <v>34</v>
      </c>
      <c r="I76" s="25">
        <f t="shared" si="37"/>
        <v>200</v>
      </c>
      <c r="J76" s="25">
        <f t="shared" si="38"/>
        <v>2</v>
      </c>
      <c r="K76" s="25"/>
    </row>
    <row r="77" spans="1:11" ht="66" x14ac:dyDescent="0.25">
      <c r="A77" s="25">
        <v>3</v>
      </c>
      <c r="B77" s="26" t="s">
        <v>201</v>
      </c>
      <c r="C77" s="25" t="s">
        <v>48</v>
      </c>
      <c r="D77" s="25" t="s">
        <v>52</v>
      </c>
      <c r="E77" s="25" t="s">
        <v>200</v>
      </c>
      <c r="F77" s="25">
        <v>1</v>
      </c>
      <c r="G77" s="25" t="s">
        <v>30</v>
      </c>
      <c r="H77" s="25" t="s">
        <v>34</v>
      </c>
      <c r="I77" s="25">
        <f t="shared" ref="I77:I78" si="39">IF(G77="Khó và phức tạp",200,IF(G77="Cao",150,IF(G77="Trung bình",120,100)))</f>
        <v>200</v>
      </c>
      <c r="J77" s="25">
        <f t="shared" ref="J77:J78" si="40">I77*0.01</f>
        <v>2</v>
      </c>
      <c r="K77" s="25"/>
    </row>
    <row r="78" spans="1:11" ht="49.5" x14ac:dyDescent="0.25">
      <c r="A78" s="25">
        <v>4</v>
      </c>
      <c r="B78" s="26" t="s">
        <v>202</v>
      </c>
      <c r="C78" s="25" t="s">
        <v>48</v>
      </c>
      <c r="D78" s="25" t="s">
        <v>96</v>
      </c>
      <c r="E78" s="25" t="s">
        <v>113</v>
      </c>
      <c r="F78" s="25">
        <v>2</v>
      </c>
      <c r="G78" s="25" t="s">
        <v>33</v>
      </c>
      <c r="H78" s="25" t="s">
        <v>34</v>
      </c>
      <c r="I78" s="25">
        <f t="shared" si="39"/>
        <v>150</v>
      </c>
      <c r="J78" s="25">
        <f t="shared" si="40"/>
        <v>1.5</v>
      </c>
      <c r="K78" s="25"/>
    </row>
    <row r="79" spans="1:11" ht="33" x14ac:dyDescent="0.25">
      <c r="A79" s="25">
        <v>5</v>
      </c>
      <c r="B79" s="26" t="s">
        <v>203</v>
      </c>
      <c r="C79" s="25" t="s">
        <v>48</v>
      </c>
      <c r="D79" s="25" t="s">
        <v>96</v>
      </c>
      <c r="E79" s="25" t="s">
        <v>113</v>
      </c>
      <c r="F79" s="25">
        <v>2</v>
      </c>
      <c r="G79" s="25" t="s">
        <v>33</v>
      </c>
      <c r="H79" s="25" t="s">
        <v>34</v>
      </c>
      <c r="I79" s="25">
        <f t="shared" si="37"/>
        <v>150</v>
      </c>
      <c r="J79" s="25">
        <f t="shared" si="38"/>
        <v>1.5</v>
      </c>
      <c r="K79" s="25"/>
    </row>
    <row r="80" spans="1:11" ht="66" x14ac:dyDescent="0.25">
      <c r="A80" s="25">
        <v>6</v>
      </c>
      <c r="B80" s="26" t="s">
        <v>201</v>
      </c>
      <c r="C80" s="25" t="s">
        <v>48</v>
      </c>
      <c r="D80" s="25" t="s">
        <v>52</v>
      </c>
      <c r="E80" s="25" t="s">
        <v>200</v>
      </c>
      <c r="F80" s="25">
        <v>1</v>
      </c>
      <c r="G80" s="25" t="s">
        <v>30</v>
      </c>
      <c r="H80" s="25" t="s">
        <v>34</v>
      </c>
      <c r="I80" s="25">
        <f t="shared" ref="I80" si="41">IF(G80="Khó và phức tạp",200,IF(G80="Cao",150,IF(G80="Trung bình",120,100)))</f>
        <v>200</v>
      </c>
      <c r="J80" s="25">
        <f t="shared" ref="J80" si="42">I80*0.01</f>
        <v>2</v>
      </c>
      <c r="K80" s="25"/>
    </row>
    <row r="81" spans="1:11" ht="18.399999999999999" customHeight="1" x14ac:dyDescent="0.25">
      <c r="A81" s="35" t="s">
        <v>214</v>
      </c>
      <c r="B81" s="41" t="s">
        <v>215</v>
      </c>
      <c r="C81" s="41"/>
      <c r="D81" s="41"/>
      <c r="E81" s="41"/>
      <c r="F81" s="41"/>
      <c r="G81" s="41"/>
      <c r="H81" s="41"/>
      <c r="I81" s="41"/>
      <c r="J81" s="41"/>
      <c r="K81" s="41"/>
    </row>
    <row r="82" spans="1:11" s="36" customFormat="1" ht="18.399999999999999" customHeight="1" x14ac:dyDescent="0.25">
      <c r="A82" s="35">
        <v>1</v>
      </c>
      <c r="B82" s="42" t="s">
        <v>216</v>
      </c>
      <c r="C82" s="42"/>
      <c r="D82" s="42"/>
      <c r="E82" s="42"/>
      <c r="F82" s="42"/>
      <c r="G82" s="42"/>
      <c r="H82" s="42"/>
      <c r="I82" s="42"/>
      <c r="J82" s="42"/>
      <c r="K82" s="42"/>
    </row>
    <row r="83" spans="1:11" ht="49.5" x14ac:dyDescent="0.25">
      <c r="A83" s="33" t="s">
        <v>217</v>
      </c>
      <c r="B83" s="34" t="s">
        <v>218</v>
      </c>
      <c r="C83" s="33" t="s">
        <v>48</v>
      </c>
      <c r="D83" s="33" t="s">
        <v>219</v>
      </c>
      <c r="E83" s="33" t="s">
        <v>220</v>
      </c>
      <c r="F83" s="33">
        <v>3</v>
      </c>
      <c r="G83" s="33" t="s">
        <v>44</v>
      </c>
      <c r="H83" s="33" t="s">
        <v>59</v>
      </c>
      <c r="I83" s="33">
        <v>120</v>
      </c>
      <c r="J83" s="33">
        <v>1.2</v>
      </c>
      <c r="K83" s="34" t="s">
        <v>221</v>
      </c>
    </row>
    <row r="84" spans="1:11" ht="33" x14ac:dyDescent="0.25">
      <c r="A84" s="33" t="s">
        <v>222</v>
      </c>
      <c r="B84" s="34" t="s">
        <v>223</v>
      </c>
      <c r="C84" s="33" t="s">
        <v>48</v>
      </c>
      <c r="D84" s="33" t="s">
        <v>42</v>
      </c>
      <c r="E84" s="33" t="s">
        <v>29</v>
      </c>
      <c r="F84" s="33">
        <v>1</v>
      </c>
      <c r="G84" s="33" t="s">
        <v>53</v>
      </c>
      <c r="H84" s="33" t="s">
        <v>59</v>
      </c>
      <c r="I84" s="33">
        <v>100</v>
      </c>
      <c r="J84" s="33">
        <v>1</v>
      </c>
      <c r="K84" s="34" t="s">
        <v>224</v>
      </c>
    </row>
    <row r="85" spans="1:11" ht="49.5" x14ac:dyDescent="0.25">
      <c r="A85" s="33" t="s">
        <v>225</v>
      </c>
      <c r="B85" s="34" t="s">
        <v>226</v>
      </c>
      <c r="C85" s="33" t="s">
        <v>48</v>
      </c>
      <c r="D85" s="33" t="s">
        <v>52</v>
      </c>
      <c r="E85" s="33" t="s">
        <v>29</v>
      </c>
      <c r="F85" s="33">
        <v>2</v>
      </c>
      <c r="G85" s="33" t="s">
        <v>33</v>
      </c>
      <c r="H85" s="33" t="s">
        <v>59</v>
      </c>
      <c r="I85" s="33">
        <v>150</v>
      </c>
      <c r="J85" s="33">
        <v>1.5</v>
      </c>
      <c r="K85" s="34" t="s">
        <v>227</v>
      </c>
    </row>
    <row r="86" spans="1:11" ht="49.5" x14ac:dyDescent="0.25">
      <c r="A86" s="33" t="s">
        <v>228</v>
      </c>
      <c r="B86" s="34" t="s">
        <v>229</v>
      </c>
      <c r="C86" s="33" t="s">
        <v>48</v>
      </c>
      <c r="D86" s="33" t="s">
        <v>230</v>
      </c>
      <c r="E86" s="33" t="s">
        <v>231</v>
      </c>
      <c r="F86" s="33">
        <v>7</v>
      </c>
      <c r="G86" s="33" t="s">
        <v>232</v>
      </c>
      <c r="H86" s="33" t="s">
        <v>59</v>
      </c>
      <c r="I86" s="33">
        <v>150</v>
      </c>
      <c r="J86" s="33">
        <v>1.5</v>
      </c>
      <c r="K86" s="34" t="s">
        <v>233</v>
      </c>
    </row>
    <row r="87" spans="1:11" ht="49.5" x14ac:dyDescent="0.25">
      <c r="A87" s="33" t="s">
        <v>234</v>
      </c>
      <c r="B87" s="34" t="s">
        <v>235</v>
      </c>
      <c r="C87" s="33" t="s">
        <v>48</v>
      </c>
      <c r="D87" s="33" t="s">
        <v>52</v>
      </c>
      <c r="E87" s="33" t="s">
        <v>236</v>
      </c>
      <c r="F87" s="33">
        <v>2</v>
      </c>
      <c r="G87" s="33" t="s">
        <v>33</v>
      </c>
      <c r="H87" s="33" t="s">
        <v>59</v>
      </c>
      <c r="I87" s="33">
        <v>150</v>
      </c>
      <c r="J87" s="33">
        <v>1.5</v>
      </c>
      <c r="K87" s="34" t="s">
        <v>237</v>
      </c>
    </row>
    <row r="88" spans="1:11" ht="33" x14ac:dyDescent="0.25">
      <c r="A88" s="33" t="s">
        <v>238</v>
      </c>
      <c r="B88" s="34" t="s">
        <v>239</v>
      </c>
      <c r="C88" s="33" t="s">
        <v>27</v>
      </c>
      <c r="D88" s="33" t="s">
        <v>96</v>
      </c>
      <c r="E88" s="33" t="s">
        <v>240</v>
      </c>
      <c r="F88" s="33">
        <v>1</v>
      </c>
      <c r="G88" s="33" t="s">
        <v>33</v>
      </c>
      <c r="H88" s="33" t="s">
        <v>241</v>
      </c>
      <c r="I88" s="33">
        <v>150</v>
      </c>
      <c r="J88" s="33">
        <v>1.5</v>
      </c>
      <c r="K88" s="34" t="s">
        <v>242</v>
      </c>
    </row>
    <row r="89" spans="1:11" ht="49.5" x14ac:dyDescent="0.25">
      <c r="A89" s="33" t="s">
        <v>243</v>
      </c>
      <c r="B89" s="34" t="s">
        <v>244</v>
      </c>
      <c r="C89" s="33" t="s">
        <v>37</v>
      </c>
      <c r="D89" s="33" t="s">
        <v>52</v>
      </c>
      <c r="E89" s="33" t="s">
        <v>245</v>
      </c>
      <c r="F89" s="33">
        <v>1</v>
      </c>
      <c r="G89" s="33" t="s">
        <v>33</v>
      </c>
      <c r="H89" s="33" t="s">
        <v>59</v>
      </c>
      <c r="I89" s="33">
        <v>150</v>
      </c>
      <c r="J89" s="33">
        <v>1.5</v>
      </c>
      <c r="K89" s="34" t="s">
        <v>246</v>
      </c>
    </row>
    <row r="90" spans="1:11" ht="49.5" x14ac:dyDescent="0.25">
      <c r="A90" s="33" t="s">
        <v>247</v>
      </c>
      <c r="B90" s="34" t="s">
        <v>248</v>
      </c>
      <c r="C90" s="33" t="s">
        <v>27</v>
      </c>
      <c r="D90" s="33" t="s">
        <v>249</v>
      </c>
      <c r="E90" s="33" t="s">
        <v>250</v>
      </c>
      <c r="F90" s="33">
        <v>1</v>
      </c>
      <c r="G90" s="33" t="s">
        <v>44</v>
      </c>
      <c r="H90" s="33" t="s">
        <v>241</v>
      </c>
      <c r="I90" s="33">
        <v>120</v>
      </c>
      <c r="J90" s="33">
        <v>1.2</v>
      </c>
      <c r="K90" s="34" t="s">
        <v>251</v>
      </c>
    </row>
    <row r="91" spans="1:11" ht="49.5" x14ac:dyDescent="0.25">
      <c r="A91" s="33" t="s">
        <v>252</v>
      </c>
      <c r="B91" s="34" t="s">
        <v>253</v>
      </c>
      <c r="C91" s="33" t="s">
        <v>48</v>
      </c>
      <c r="D91" s="33" t="s">
        <v>52</v>
      </c>
      <c r="E91" s="33" t="s">
        <v>254</v>
      </c>
      <c r="F91" s="33">
        <v>1</v>
      </c>
      <c r="G91" s="33" t="s">
        <v>255</v>
      </c>
      <c r="H91" s="33" t="s">
        <v>241</v>
      </c>
      <c r="I91" s="33">
        <v>200</v>
      </c>
      <c r="J91" s="33">
        <v>2</v>
      </c>
      <c r="K91" s="34" t="s">
        <v>256</v>
      </c>
    </row>
    <row r="92" spans="1:11" ht="49.5" x14ac:dyDescent="0.25">
      <c r="A92" s="33" t="s">
        <v>257</v>
      </c>
      <c r="B92" s="34" t="s">
        <v>258</v>
      </c>
      <c r="C92" s="33" t="s">
        <v>27</v>
      </c>
      <c r="D92" s="33" t="s">
        <v>259</v>
      </c>
      <c r="E92" s="33" t="s">
        <v>260</v>
      </c>
      <c r="F92" s="33">
        <v>2</v>
      </c>
      <c r="G92" s="33" t="s">
        <v>44</v>
      </c>
      <c r="H92" s="33" t="s">
        <v>261</v>
      </c>
      <c r="I92" s="33">
        <v>120</v>
      </c>
      <c r="J92" s="33">
        <v>1.2</v>
      </c>
      <c r="K92" s="34" t="s">
        <v>262</v>
      </c>
    </row>
    <row r="93" spans="1:11" s="36" customFormat="1" ht="16.5" x14ac:dyDescent="0.25">
      <c r="A93" s="37">
        <v>2</v>
      </c>
      <c r="B93" s="43" t="s">
        <v>103</v>
      </c>
      <c r="C93" s="43"/>
      <c r="D93" s="43"/>
      <c r="E93" s="43"/>
      <c r="F93" s="43"/>
      <c r="G93" s="43"/>
      <c r="H93" s="43"/>
      <c r="I93" s="43"/>
      <c r="J93" s="43"/>
      <c r="K93" s="43"/>
    </row>
    <row r="94" spans="1:11" ht="49.5" x14ac:dyDescent="0.25">
      <c r="A94" s="33" t="s">
        <v>263</v>
      </c>
      <c r="B94" s="34" t="s">
        <v>264</v>
      </c>
      <c r="C94" s="33" t="s">
        <v>265</v>
      </c>
      <c r="D94" s="33" t="s">
        <v>266</v>
      </c>
      <c r="E94" s="33" t="s">
        <v>267</v>
      </c>
      <c r="F94" s="33">
        <v>1</v>
      </c>
      <c r="G94" s="33" t="s">
        <v>44</v>
      </c>
      <c r="H94" s="33" t="s">
        <v>59</v>
      </c>
      <c r="I94" s="33">
        <v>120</v>
      </c>
      <c r="J94" s="33">
        <v>1.2</v>
      </c>
      <c r="K94" s="34" t="s">
        <v>224</v>
      </c>
    </row>
    <row r="95" spans="1:11" ht="33" x14ac:dyDescent="0.25">
      <c r="A95" s="33" t="s">
        <v>268</v>
      </c>
      <c r="B95" s="34" t="s">
        <v>269</v>
      </c>
      <c r="C95" s="33" t="s">
        <v>48</v>
      </c>
      <c r="D95" s="33" t="s">
        <v>219</v>
      </c>
      <c r="E95" s="33" t="s">
        <v>270</v>
      </c>
      <c r="F95" s="33">
        <v>1</v>
      </c>
      <c r="G95" s="33" t="s">
        <v>33</v>
      </c>
      <c r="H95" s="33" t="s">
        <v>59</v>
      </c>
      <c r="I95" s="33">
        <v>150</v>
      </c>
      <c r="J95" s="33">
        <v>1.5</v>
      </c>
      <c r="K95" s="34" t="s">
        <v>271</v>
      </c>
    </row>
    <row r="96" spans="1:11" s="36" customFormat="1" ht="16.5" x14ac:dyDescent="0.25">
      <c r="A96" s="37">
        <v>3</v>
      </c>
      <c r="B96" s="43" t="s">
        <v>122</v>
      </c>
      <c r="C96" s="43"/>
      <c r="D96" s="43"/>
      <c r="E96" s="43"/>
      <c r="F96" s="43"/>
      <c r="G96" s="43"/>
      <c r="H96" s="43"/>
      <c r="I96" s="43"/>
      <c r="J96" s="43"/>
      <c r="K96" s="43"/>
    </row>
    <row r="97" spans="1:11" ht="49.5" x14ac:dyDescent="0.25">
      <c r="A97" s="33" t="s">
        <v>272</v>
      </c>
      <c r="B97" s="34" t="s">
        <v>273</v>
      </c>
      <c r="C97" s="33" t="s">
        <v>48</v>
      </c>
      <c r="D97" s="33" t="s">
        <v>75</v>
      </c>
      <c r="E97" s="33" t="s">
        <v>274</v>
      </c>
      <c r="F97" s="33">
        <v>2</v>
      </c>
      <c r="G97" s="33" t="s">
        <v>44</v>
      </c>
      <c r="H97" s="33" t="s">
        <v>59</v>
      </c>
      <c r="I97" s="33">
        <v>120</v>
      </c>
      <c r="J97" s="33">
        <v>1.2</v>
      </c>
      <c r="K97" s="34" t="s">
        <v>224</v>
      </c>
    </row>
    <row r="98" spans="1:11" ht="49.5" x14ac:dyDescent="0.25">
      <c r="A98" s="33" t="s">
        <v>275</v>
      </c>
      <c r="B98" s="34" t="s">
        <v>276</v>
      </c>
      <c r="C98" s="33" t="s">
        <v>48</v>
      </c>
      <c r="D98" s="33" t="s">
        <v>75</v>
      </c>
      <c r="E98" s="33" t="s">
        <v>277</v>
      </c>
      <c r="F98" s="33">
        <v>2</v>
      </c>
      <c r="G98" s="33" t="s">
        <v>255</v>
      </c>
      <c r="H98" s="33" t="s">
        <v>278</v>
      </c>
      <c r="I98" s="33">
        <v>200</v>
      </c>
      <c r="J98" s="33">
        <v>2</v>
      </c>
      <c r="K98" s="34" t="s">
        <v>279</v>
      </c>
    </row>
    <row r="99" spans="1:11" ht="49.5" x14ac:dyDescent="0.25">
      <c r="A99" s="33" t="s">
        <v>280</v>
      </c>
      <c r="B99" s="34" t="s">
        <v>281</v>
      </c>
      <c r="C99" s="33" t="s">
        <v>48</v>
      </c>
      <c r="D99" s="33" t="s">
        <v>259</v>
      </c>
      <c r="E99" s="33" t="s">
        <v>282</v>
      </c>
      <c r="F99" s="33">
        <v>2</v>
      </c>
      <c r="G99" s="33" t="s">
        <v>44</v>
      </c>
      <c r="H99" s="33" t="s">
        <v>59</v>
      </c>
      <c r="I99" s="33">
        <v>120</v>
      </c>
      <c r="J99" s="33">
        <v>1.2</v>
      </c>
      <c r="K99" s="34" t="s">
        <v>224</v>
      </c>
    </row>
    <row r="100" spans="1:11" ht="49.5" x14ac:dyDescent="0.25">
      <c r="A100" s="33" t="s">
        <v>283</v>
      </c>
      <c r="B100" s="34" t="s">
        <v>284</v>
      </c>
      <c r="C100" s="33" t="s">
        <v>48</v>
      </c>
      <c r="D100" s="33" t="s">
        <v>75</v>
      </c>
      <c r="E100" s="33" t="s">
        <v>285</v>
      </c>
      <c r="F100" s="33">
        <v>3</v>
      </c>
      <c r="G100" s="33" t="s">
        <v>255</v>
      </c>
      <c r="H100" s="33" t="s">
        <v>286</v>
      </c>
      <c r="I100" s="33">
        <v>200</v>
      </c>
      <c r="J100" s="33">
        <v>2</v>
      </c>
      <c r="K100" s="34" t="s">
        <v>279</v>
      </c>
    </row>
    <row r="101" spans="1:11" ht="49.5" x14ac:dyDescent="0.25">
      <c r="A101" s="33" t="s">
        <v>287</v>
      </c>
      <c r="B101" s="34" t="s">
        <v>288</v>
      </c>
      <c r="C101" s="33" t="s">
        <v>48</v>
      </c>
      <c r="D101" s="33" t="s">
        <v>75</v>
      </c>
      <c r="E101" s="33" t="s">
        <v>289</v>
      </c>
      <c r="F101" s="33">
        <v>1</v>
      </c>
      <c r="G101" s="33" t="s">
        <v>33</v>
      </c>
      <c r="H101" s="33" t="s">
        <v>278</v>
      </c>
      <c r="I101" s="33">
        <v>150</v>
      </c>
      <c r="J101" s="33">
        <v>1.5</v>
      </c>
      <c r="K101" s="34" t="s">
        <v>290</v>
      </c>
    </row>
    <row r="102" spans="1:11" s="36" customFormat="1" ht="16.5" x14ac:dyDescent="0.25">
      <c r="A102" s="37">
        <v>4</v>
      </c>
      <c r="B102" s="43" t="s">
        <v>131</v>
      </c>
      <c r="C102" s="43"/>
      <c r="D102" s="43"/>
      <c r="E102" s="43"/>
      <c r="F102" s="43"/>
      <c r="G102" s="43"/>
      <c r="H102" s="43"/>
      <c r="I102" s="43"/>
      <c r="J102" s="43"/>
      <c r="K102" s="43"/>
    </row>
    <row r="103" spans="1:11" ht="33" x14ac:dyDescent="0.25">
      <c r="A103" s="33" t="s">
        <v>291</v>
      </c>
      <c r="B103" s="34" t="s">
        <v>292</v>
      </c>
      <c r="C103" s="33" t="s">
        <v>27</v>
      </c>
      <c r="D103" s="33" t="s">
        <v>293</v>
      </c>
      <c r="E103" s="33" t="s">
        <v>29</v>
      </c>
      <c r="F103" s="33">
        <v>1</v>
      </c>
      <c r="G103" s="33" t="s">
        <v>44</v>
      </c>
      <c r="H103" s="33" t="s">
        <v>59</v>
      </c>
      <c r="I103" s="33">
        <v>120</v>
      </c>
      <c r="J103" s="33">
        <v>1.2</v>
      </c>
      <c r="K103" s="34" t="s">
        <v>224</v>
      </c>
    </row>
    <row r="104" spans="1:11" ht="49.5" x14ac:dyDescent="0.25">
      <c r="A104" s="33" t="s">
        <v>294</v>
      </c>
      <c r="B104" s="34" t="s">
        <v>295</v>
      </c>
      <c r="C104" s="33" t="s">
        <v>296</v>
      </c>
      <c r="D104" s="33" t="s">
        <v>297</v>
      </c>
      <c r="E104" s="33" t="s">
        <v>298</v>
      </c>
      <c r="F104" s="33">
        <v>1</v>
      </c>
      <c r="G104" s="33" t="s">
        <v>33</v>
      </c>
      <c r="H104" s="33" t="s">
        <v>299</v>
      </c>
      <c r="I104" s="33">
        <v>150</v>
      </c>
      <c r="J104" s="33">
        <v>1.5</v>
      </c>
      <c r="K104" s="34" t="s">
        <v>300</v>
      </c>
    </row>
    <row r="105" spans="1:11" s="36" customFormat="1" ht="16.5" x14ac:dyDescent="0.25">
      <c r="A105" s="37">
        <v>5</v>
      </c>
      <c r="B105" s="43" t="s">
        <v>169</v>
      </c>
      <c r="C105" s="43"/>
      <c r="D105" s="43"/>
      <c r="E105" s="43"/>
      <c r="F105" s="43"/>
      <c r="G105" s="43"/>
      <c r="H105" s="43"/>
      <c r="I105" s="43"/>
      <c r="J105" s="43"/>
      <c r="K105" s="43"/>
    </row>
    <row r="106" spans="1:11" ht="49.5" x14ac:dyDescent="0.25">
      <c r="A106" s="33" t="s">
        <v>301</v>
      </c>
      <c r="B106" s="34" t="s">
        <v>302</v>
      </c>
      <c r="C106" s="33" t="s">
        <v>48</v>
      </c>
      <c r="D106" s="33" t="s">
        <v>88</v>
      </c>
      <c r="E106" s="33" t="s">
        <v>303</v>
      </c>
      <c r="F106" s="33">
        <v>1</v>
      </c>
      <c r="G106" s="33" t="s">
        <v>44</v>
      </c>
      <c r="H106" s="33" t="s">
        <v>59</v>
      </c>
      <c r="I106" s="33">
        <v>120</v>
      </c>
      <c r="J106" s="33">
        <v>1.2</v>
      </c>
      <c r="K106" s="34" t="s">
        <v>224</v>
      </c>
    </row>
    <row r="107" spans="1:11" ht="49.5" x14ac:dyDescent="0.25">
      <c r="A107" s="33" t="s">
        <v>304</v>
      </c>
      <c r="B107" s="34" t="s">
        <v>305</v>
      </c>
      <c r="C107" s="33" t="s">
        <v>48</v>
      </c>
      <c r="D107" s="33" t="s">
        <v>219</v>
      </c>
      <c r="E107" s="33" t="s">
        <v>306</v>
      </c>
      <c r="F107" s="33">
        <v>4</v>
      </c>
      <c r="G107" s="33" t="s">
        <v>33</v>
      </c>
      <c r="H107" s="33" t="s">
        <v>241</v>
      </c>
      <c r="I107" s="33">
        <v>150</v>
      </c>
      <c r="J107" s="33">
        <v>1.5</v>
      </c>
      <c r="K107" s="34" t="s">
        <v>271</v>
      </c>
    </row>
    <row r="108" spans="1:11" s="36" customFormat="1" ht="16.5" x14ac:dyDescent="0.25">
      <c r="A108" s="37">
        <v>6</v>
      </c>
      <c r="B108" s="43" t="s">
        <v>191</v>
      </c>
      <c r="C108" s="43"/>
      <c r="D108" s="43"/>
      <c r="E108" s="43"/>
      <c r="F108" s="43"/>
      <c r="G108" s="43"/>
      <c r="H108" s="43"/>
      <c r="I108" s="43"/>
      <c r="J108" s="43"/>
      <c r="K108" s="43"/>
    </row>
    <row r="109" spans="1:11" ht="49.5" x14ac:dyDescent="0.25">
      <c r="A109" s="33" t="s">
        <v>307</v>
      </c>
      <c r="B109" s="34" t="s">
        <v>308</v>
      </c>
      <c r="C109" s="33" t="s">
        <v>48</v>
      </c>
      <c r="D109" s="33" t="s">
        <v>219</v>
      </c>
      <c r="E109" s="33" t="s">
        <v>309</v>
      </c>
      <c r="F109" s="33">
        <v>1</v>
      </c>
      <c r="G109" s="33" t="s">
        <v>33</v>
      </c>
      <c r="H109" s="33" t="s">
        <v>278</v>
      </c>
      <c r="I109" s="33">
        <v>150</v>
      </c>
      <c r="J109" s="33">
        <v>1.5</v>
      </c>
      <c r="K109" s="34" t="s">
        <v>310</v>
      </c>
    </row>
    <row r="111" spans="1:11" ht="107.25" customHeight="1" x14ac:dyDescent="0.25">
      <c r="A111" s="40" t="s">
        <v>311</v>
      </c>
      <c r="B111" s="40"/>
      <c r="C111"/>
      <c r="D111"/>
      <c r="E111"/>
      <c r="F111" s="40" t="s">
        <v>312</v>
      </c>
      <c r="G111" s="40"/>
      <c r="H111" s="40"/>
      <c r="I111" s="40"/>
      <c r="J111" s="40"/>
      <c r="K111" s="40"/>
    </row>
  </sheetData>
  <mergeCells count="35">
    <mergeCell ref="A1:B1"/>
    <mergeCell ref="A3:B3"/>
    <mergeCell ref="E1:K1"/>
    <mergeCell ref="E3:K3"/>
    <mergeCell ref="I9:I10"/>
    <mergeCell ref="J9:J10"/>
    <mergeCell ref="A5:K5"/>
    <mergeCell ref="A6:K6"/>
    <mergeCell ref="A9:A10"/>
    <mergeCell ref="B9:B10"/>
    <mergeCell ref="C9:C10"/>
    <mergeCell ref="D9:D10"/>
    <mergeCell ref="E9:E10"/>
    <mergeCell ref="F9:F10"/>
    <mergeCell ref="G9:G10"/>
    <mergeCell ref="H9:H10"/>
    <mergeCell ref="K9:K10"/>
    <mergeCell ref="A7:K7"/>
    <mergeCell ref="B72:K72"/>
    <mergeCell ref="B74:K74"/>
    <mergeCell ref="B46:K46"/>
    <mergeCell ref="B50:K50"/>
    <mergeCell ref="B12:K12"/>
    <mergeCell ref="B13:K13"/>
    <mergeCell ref="B37:K37"/>
    <mergeCell ref="B64:K64"/>
    <mergeCell ref="A111:B111"/>
    <mergeCell ref="F111:K111"/>
    <mergeCell ref="B81:K81"/>
    <mergeCell ref="B82:K82"/>
    <mergeCell ref="B93:K93"/>
    <mergeCell ref="B96:K96"/>
    <mergeCell ref="B102:K102"/>
    <mergeCell ref="B105:K105"/>
    <mergeCell ref="B108:K108"/>
  </mergeCells>
  <conditionalFormatting sqref="B48">
    <cfRule type="dataBar" priority="29">
      <dataBar>
        <cfvo type="min"/>
        <cfvo type="max"/>
        <color rgb="FF638EC6"/>
      </dataBar>
      <extLst>
        <ext xmlns:x14="http://schemas.microsoft.com/office/spreadsheetml/2009/9/main" uri="{B025F937-C7B1-47D3-B67F-A62EFF666E3E}">
          <x14:id>{0F884616-F907-45C6-828B-7CF12456F438}</x14:id>
        </ext>
      </extLst>
    </cfRule>
    <cfRule type="dataBar" priority="472">
      <dataBar>
        <cfvo type="min"/>
        <cfvo type="max"/>
        <color rgb="FF638EC6"/>
      </dataBar>
      <extLst>
        <ext xmlns:x14="http://schemas.microsoft.com/office/spreadsheetml/2009/9/main" uri="{B025F937-C7B1-47D3-B67F-A62EFF666E3E}">
          <x14:id>{39453434-2443-459E-80BF-F26F84A87D91}</x14:id>
        </ext>
      </extLst>
    </cfRule>
  </conditionalFormatting>
  <conditionalFormatting sqref="B49">
    <cfRule type="dataBar" priority="2">
      <dataBar>
        <cfvo type="min"/>
        <cfvo type="max"/>
        <color rgb="FF638EC6"/>
      </dataBar>
      <extLst>
        <ext xmlns:x14="http://schemas.microsoft.com/office/spreadsheetml/2009/9/main" uri="{B025F937-C7B1-47D3-B67F-A62EFF666E3E}">
          <x14:id>{68F183A1-EF7A-4A94-8E5E-F97A3BC9D949}</x14:id>
        </ext>
      </extLst>
    </cfRule>
    <cfRule type="dataBar" priority="473">
      <dataBar>
        <cfvo type="min"/>
        <cfvo type="max"/>
        <color rgb="FF638EC6"/>
      </dataBar>
      <extLst>
        <ext xmlns:x14="http://schemas.microsoft.com/office/spreadsheetml/2009/9/main" uri="{B025F937-C7B1-47D3-B67F-A62EFF666E3E}">
          <x14:id>{E462CB0E-586F-4BA8-AD87-D7A453B46306}</x14:id>
        </ext>
      </extLst>
    </cfRule>
  </conditionalFormatting>
  <conditionalFormatting sqref="B28:C28">
    <cfRule type="dataBar" priority="35">
      <dataBar>
        <cfvo type="min"/>
        <cfvo type="max"/>
        <color rgb="FF638EC6"/>
      </dataBar>
      <extLst>
        <ext xmlns:x14="http://schemas.microsoft.com/office/spreadsheetml/2009/9/main" uri="{B025F937-C7B1-47D3-B67F-A62EFF666E3E}">
          <x14:id>{BF5AEBA5-B700-438E-B45C-821FFCEDC652}</x14:id>
        </ext>
      </extLst>
    </cfRule>
    <cfRule type="dataBar" priority="474">
      <dataBar>
        <cfvo type="min"/>
        <cfvo type="max"/>
        <color rgb="FF638EC6"/>
      </dataBar>
      <extLst>
        <ext xmlns:x14="http://schemas.microsoft.com/office/spreadsheetml/2009/9/main" uri="{B025F937-C7B1-47D3-B67F-A62EFF666E3E}">
          <x14:id>{7678094A-6292-4975-A9A6-C14CD1C25314}</x14:id>
        </ext>
      </extLst>
    </cfRule>
  </conditionalFormatting>
  <conditionalFormatting sqref="B15:E19">
    <cfRule type="dataBar" priority="475">
      <dataBar>
        <cfvo type="min"/>
        <cfvo type="max"/>
        <color rgb="FF638EC6"/>
      </dataBar>
      <extLst>
        <ext xmlns:x14="http://schemas.microsoft.com/office/spreadsheetml/2009/9/main" uri="{B025F937-C7B1-47D3-B67F-A62EFF666E3E}">
          <x14:id>{466A076F-BB45-4D99-ADA2-5B1123E2ECB2}</x14:id>
        </ext>
      </extLst>
    </cfRule>
    <cfRule type="dataBar" priority="435">
      <dataBar>
        <cfvo type="min"/>
        <cfvo type="max"/>
        <color rgb="FF638EC6"/>
      </dataBar>
      <extLst>
        <ext xmlns:x14="http://schemas.microsoft.com/office/spreadsheetml/2009/9/main" uri="{B025F937-C7B1-47D3-B67F-A62EFF666E3E}">
          <x14:id>{DBEAE920-3BCA-4B08-AE75-4AAD02474647}</x14:id>
        </ext>
      </extLst>
    </cfRule>
  </conditionalFormatting>
  <conditionalFormatting sqref="B38:E38 G38 K38 K28">
    <cfRule type="dataBar" priority="476">
      <dataBar>
        <cfvo type="min"/>
        <cfvo type="max"/>
        <color rgb="FF638EC6"/>
      </dataBar>
      <extLst>
        <ext xmlns:x14="http://schemas.microsoft.com/office/spreadsheetml/2009/9/main" uri="{B025F937-C7B1-47D3-B67F-A62EFF666E3E}">
          <x14:id>{1763894A-76C0-4A4D-AD13-49AE7D63A547}</x14:id>
        </ext>
      </extLst>
    </cfRule>
    <cfRule type="dataBar" priority="404">
      <dataBar>
        <cfvo type="min"/>
        <cfvo type="max"/>
        <color rgb="FF638EC6"/>
      </dataBar>
      <extLst>
        <ext xmlns:x14="http://schemas.microsoft.com/office/spreadsheetml/2009/9/main" uri="{B025F937-C7B1-47D3-B67F-A62EFF666E3E}">
          <x14:id>{C13169D3-3815-48E9-A555-9A7AD50E9B0A}</x14:id>
        </ext>
      </extLst>
    </cfRule>
  </conditionalFormatting>
  <conditionalFormatting sqref="C14">
    <cfRule type="dataBar" priority="47">
      <dataBar>
        <cfvo type="min"/>
        <cfvo type="max"/>
        <color rgb="FF638EC6"/>
      </dataBar>
      <extLst>
        <ext xmlns:x14="http://schemas.microsoft.com/office/spreadsheetml/2009/9/main" uri="{B025F937-C7B1-47D3-B67F-A62EFF666E3E}">
          <x14:id>{04DFD863-BB9B-459C-95C5-A1C088FC92C5}</x14:id>
        </ext>
      </extLst>
    </cfRule>
    <cfRule type="dataBar" priority="477">
      <dataBar>
        <cfvo type="min"/>
        <cfvo type="max"/>
        <color rgb="FF638EC6"/>
      </dataBar>
      <extLst>
        <ext xmlns:x14="http://schemas.microsoft.com/office/spreadsheetml/2009/9/main" uri="{B025F937-C7B1-47D3-B67F-A62EFF666E3E}">
          <x14:id>{33EA57D2-DC82-4815-BB20-CC1C87740564}</x14:id>
        </ext>
      </extLst>
    </cfRule>
  </conditionalFormatting>
  <conditionalFormatting sqref="C20">
    <cfRule type="dataBar" priority="478">
      <dataBar>
        <cfvo type="min"/>
        <cfvo type="max"/>
        <color rgb="FF638EC6"/>
      </dataBar>
      <extLst>
        <ext xmlns:x14="http://schemas.microsoft.com/office/spreadsheetml/2009/9/main" uri="{B025F937-C7B1-47D3-B67F-A62EFF666E3E}">
          <x14:id>{9B8B9AB6-C22A-416A-885B-CFF6A95383E3}</x14:id>
        </ext>
      </extLst>
    </cfRule>
    <cfRule type="dataBar" priority="180">
      <dataBar>
        <cfvo type="min"/>
        <cfvo type="max"/>
        <color rgb="FF638EC6"/>
      </dataBar>
      <extLst>
        <ext xmlns:x14="http://schemas.microsoft.com/office/spreadsheetml/2009/9/main" uri="{B025F937-C7B1-47D3-B67F-A62EFF666E3E}">
          <x14:id>{5885A38E-615C-4E57-B991-ABB7FDC63F0E}</x14:id>
        </ext>
      </extLst>
    </cfRule>
  </conditionalFormatting>
  <conditionalFormatting sqref="C21:C27">
    <cfRule type="dataBar" priority="479">
      <dataBar>
        <cfvo type="min"/>
        <cfvo type="max"/>
        <color rgb="FF638EC6"/>
      </dataBar>
      <extLst>
        <ext xmlns:x14="http://schemas.microsoft.com/office/spreadsheetml/2009/9/main" uri="{B025F937-C7B1-47D3-B67F-A62EFF666E3E}">
          <x14:id>{58D98244-E928-4AAC-8C0B-36BFD7B97960}</x14:id>
        </ext>
      </extLst>
    </cfRule>
    <cfRule type="dataBar" priority="461">
      <dataBar>
        <cfvo type="min"/>
        <cfvo type="max"/>
        <color rgb="FF638EC6"/>
      </dataBar>
      <extLst>
        <ext xmlns:x14="http://schemas.microsoft.com/office/spreadsheetml/2009/9/main" uri="{B025F937-C7B1-47D3-B67F-A62EFF666E3E}">
          <x14:id>{6FE31027-DC79-435A-BF18-7E2EF3E08BF6}</x14:id>
        </ext>
      </extLst>
    </cfRule>
  </conditionalFormatting>
  <conditionalFormatting sqref="C30:C36">
    <cfRule type="dataBar" priority="452">
      <dataBar>
        <cfvo type="min"/>
        <cfvo type="max"/>
        <color rgb="FF638EC6"/>
      </dataBar>
      <extLst>
        <ext xmlns:x14="http://schemas.microsoft.com/office/spreadsheetml/2009/9/main" uri="{B025F937-C7B1-47D3-B67F-A62EFF666E3E}">
          <x14:id>{02509715-25A4-4F77-9AFF-7C09C72D281B}</x14:id>
        </ext>
      </extLst>
    </cfRule>
    <cfRule type="dataBar" priority="480">
      <dataBar>
        <cfvo type="min"/>
        <cfvo type="max"/>
        <color rgb="FF638EC6"/>
      </dataBar>
      <extLst>
        <ext xmlns:x14="http://schemas.microsoft.com/office/spreadsheetml/2009/9/main" uri="{B025F937-C7B1-47D3-B67F-A62EFF666E3E}">
          <x14:id>{5AA679A3-B591-4B35-8E20-FEE361A55D1E}</x14:id>
        </ext>
      </extLst>
    </cfRule>
  </conditionalFormatting>
  <conditionalFormatting sqref="C39:C40">
    <cfRule type="dataBar" priority="18">
      <dataBar>
        <cfvo type="min"/>
        <cfvo type="max"/>
        <color rgb="FF638EC6"/>
      </dataBar>
      <extLst>
        <ext xmlns:x14="http://schemas.microsoft.com/office/spreadsheetml/2009/9/main" uri="{B025F937-C7B1-47D3-B67F-A62EFF666E3E}">
          <x14:id>{20A010BD-6C11-4389-B684-7C2382CCEA3A}</x14:id>
        </ext>
      </extLst>
    </cfRule>
    <cfRule type="dataBar" priority="481">
      <dataBar>
        <cfvo type="min"/>
        <cfvo type="max"/>
        <color rgb="FF638EC6"/>
      </dataBar>
      <extLst>
        <ext xmlns:x14="http://schemas.microsoft.com/office/spreadsheetml/2009/9/main" uri="{B025F937-C7B1-47D3-B67F-A62EFF666E3E}">
          <x14:id>{5B05B323-8510-499A-BC59-B20567DB25A6}</x14:id>
        </ext>
      </extLst>
    </cfRule>
  </conditionalFormatting>
  <conditionalFormatting sqref="C47">
    <cfRule type="dataBar" priority="482">
      <dataBar>
        <cfvo type="min"/>
        <cfvo type="max"/>
        <color rgb="FF638EC6"/>
      </dataBar>
      <extLst>
        <ext xmlns:x14="http://schemas.microsoft.com/office/spreadsheetml/2009/9/main" uri="{B025F937-C7B1-47D3-B67F-A62EFF666E3E}">
          <x14:id>{432AA6D4-22CD-4B59-A15A-51397F58FCFF}</x14:id>
        </ext>
      </extLst>
    </cfRule>
    <cfRule type="dataBar" priority="405">
      <dataBar>
        <cfvo type="min"/>
        <cfvo type="max"/>
        <color rgb="FF638EC6"/>
      </dataBar>
      <extLst>
        <ext xmlns:x14="http://schemas.microsoft.com/office/spreadsheetml/2009/9/main" uri="{B025F937-C7B1-47D3-B67F-A62EFF666E3E}">
          <x14:id>{6B075AD4-2C8F-4E5D-A088-D5E24DBB0503}</x14:id>
        </ext>
      </extLst>
    </cfRule>
  </conditionalFormatting>
  <conditionalFormatting sqref="C48">
    <cfRule type="dataBar" priority="30">
      <dataBar>
        <cfvo type="min"/>
        <cfvo type="max"/>
        <color rgb="FF638EC6"/>
      </dataBar>
      <extLst>
        <ext xmlns:x14="http://schemas.microsoft.com/office/spreadsheetml/2009/9/main" uri="{B025F937-C7B1-47D3-B67F-A62EFF666E3E}">
          <x14:id>{8FE39497-FAD2-4189-B9D2-549A33294022}</x14:id>
        </ext>
      </extLst>
    </cfRule>
    <cfRule type="dataBar" priority="483">
      <dataBar>
        <cfvo type="min"/>
        <cfvo type="max"/>
        <color rgb="FF638EC6"/>
      </dataBar>
      <extLst>
        <ext xmlns:x14="http://schemas.microsoft.com/office/spreadsheetml/2009/9/main" uri="{B025F937-C7B1-47D3-B67F-A62EFF666E3E}">
          <x14:id>{7545AA49-CA81-4501-8931-CBA78D8F387C}</x14:id>
        </ext>
      </extLst>
    </cfRule>
  </conditionalFormatting>
  <conditionalFormatting sqref="C49">
    <cfRule type="dataBar" priority="3">
      <dataBar>
        <cfvo type="min"/>
        <cfvo type="max"/>
        <color rgb="FF638EC6"/>
      </dataBar>
      <extLst>
        <ext xmlns:x14="http://schemas.microsoft.com/office/spreadsheetml/2009/9/main" uri="{B025F937-C7B1-47D3-B67F-A62EFF666E3E}">
          <x14:id>{3DF0962E-8A4E-4087-B1CA-9DABBC357D7E}</x14:id>
        </ext>
      </extLst>
    </cfRule>
    <cfRule type="dataBar" priority="484">
      <dataBar>
        <cfvo type="min"/>
        <cfvo type="max"/>
        <color rgb="FF638EC6"/>
      </dataBar>
      <extLst>
        <ext xmlns:x14="http://schemas.microsoft.com/office/spreadsheetml/2009/9/main" uri="{B025F937-C7B1-47D3-B67F-A62EFF666E3E}">
          <x14:id>{B134D3A9-EBD1-4F1E-A1B6-203F25E09EF0}</x14:id>
        </ext>
      </extLst>
    </cfRule>
  </conditionalFormatting>
  <conditionalFormatting sqref="C51">
    <cfRule type="dataBar" priority="406">
      <dataBar>
        <cfvo type="min"/>
        <cfvo type="max"/>
        <color rgb="FF638EC6"/>
      </dataBar>
      <extLst>
        <ext xmlns:x14="http://schemas.microsoft.com/office/spreadsheetml/2009/9/main" uri="{B025F937-C7B1-47D3-B67F-A62EFF666E3E}">
          <x14:id>{500F5E55-7E2B-4D07-AFB4-1E618763DABF}</x14:id>
        </ext>
      </extLst>
    </cfRule>
    <cfRule type="dataBar" priority="485">
      <dataBar>
        <cfvo type="min"/>
        <cfvo type="max"/>
        <color rgb="FF638EC6"/>
      </dataBar>
      <extLst>
        <ext xmlns:x14="http://schemas.microsoft.com/office/spreadsheetml/2009/9/main" uri="{B025F937-C7B1-47D3-B67F-A62EFF666E3E}">
          <x14:id>{72361B58-5DB6-497B-9212-A45CF5B2275B}</x14:id>
        </ext>
      </extLst>
    </cfRule>
  </conditionalFormatting>
  <conditionalFormatting sqref="C56">
    <cfRule type="dataBar" priority="486">
      <dataBar>
        <cfvo type="min"/>
        <cfvo type="max"/>
        <color rgb="FF638EC6"/>
      </dataBar>
      <extLst>
        <ext xmlns:x14="http://schemas.microsoft.com/office/spreadsheetml/2009/9/main" uri="{B025F937-C7B1-47D3-B67F-A62EFF666E3E}">
          <x14:id>{669AB504-050F-4ABE-AD66-2163BF3A0C69}</x14:id>
        </ext>
      </extLst>
    </cfRule>
    <cfRule type="dataBar" priority="9">
      <dataBar>
        <cfvo type="min"/>
        <cfvo type="max"/>
        <color rgb="FF638EC6"/>
      </dataBar>
      <extLst>
        <ext xmlns:x14="http://schemas.microsoft.com/office/spreadsheetml/2009/9/main" uri="{B025F937-C7B1-47D3-B67F-A62EFF666E3E}">
          <x14:id>{9AB1B086-0A7C-478E-A517-03C8F2743723}</x14:id>
        </ext>
      </extLst>
    </cfRule>
  </conditionalFormatting>
  <conditionalFormatting sqref="C59:C60 C41:C42 C29">
    <cfRule type="dataBar" priority="466">
      <dataBar>
        <cfvo type="min"/>
        <cfvo type="max"/>
        <color rgb="FF638EC6"/>
      </dataBar>
      <extLst>
        <ext xmlns:x14="http://schemas.microsoft.com/office/spreadsheetml/2009/9/main" uri="{B025F937-C7B1-47D3-B67F-A62EFF666E3E}">
          <x14:id>{5A67D717-7C01-406E-93E1-419AE4F461E0}</x14:id>
        </ext>
      </extLst>
    </cfRule>
    <cfRule type="dataBar" priority="487">
      <dataBar>
        <cfvo type="min"/>
        <cfvo type="max"/>
        <color rgb="FF638EC6"/>
      </dataBar>
      <extLst>
        <ext xmlns:x14="http://schemas.microsoft.com/office/spreadsheetml/2009/9/main" uri="{B025F937-C7B1-47D3-B67F-A62EFF666E3E}">
          <x14:id>{721A8620-2CEA-4C07-B1CE-0DBD1FBEA668}</x14:id>
        </ext>
      </extLst>
    </cfRule>
  </conditionalFormatting>
  <conditionalFormatting sqref="C65:C66">
    <cfRule type="dataBar" priority="50">
      <dataBar>
        <cfvo type="min"/>
        <cfvo type="max"/>
        <color rgb="FF638EC6"/>
      </dataBar>
      <extLst>
        <ext xmlns:x14="http://schemas.microsoft.com/office/spreadsheetml/2009/9/main" uri="{B025F937-C7B1-47D3-B67F-A62EFF666E3E}">
          <x14:id>{B63A3037-FF33-4FAE-9236-E05F2AC4F927}</x14:id>
        </ext>
      </extLst>
    </cfRule>
    <cfRule type="dataBar" priority="488">
      <dataBar>
        <cfvo type="min"/>
        <cfvo type="max"/>
        <color rgb="FF638EC6"/>
      </dataBar>
      <extLst>
        <ext xmlns:x14="http://schemas.microsoft.com/office/spreadsheetml/2009/9/main" uri="{B025F937-C7B1-47D3-B67F-A62EFF666E3E}">
          <x14:id>{A2B42AC3-4B49-47E5-A850-B30CAF4B91EB}</x14:id>
        </ext>
      </extLst>
    </cfRule>
  </conditionalFormatting>
  <conditionalFormatting sqref="C67:C71">
    <cfRule type="dataBar" priority="5">
      <dataBar>
        <cfvo type="min"/>
        <cfvo type="max"/>
        <color rgb="FF638EC6"/>
      </dataBar>
      <extLst>
        <ext xmlns:x14="http://schemas.microsoft.com/office/spreadsheetml/2009/9/main" uri="{B025F937-C7B1-47D3-B67F-A62EFF666E3E}">
          <x14:id>{798CA5DB-EB09-4AA1-A189-2BD823D0A2FB}</x14:id>
        </ext>
      </extLst>
    </cfRule>
    <cfRule type="dataBar" priority="489">
      <dataBar>
        <cfvo type="min"/>
        <cfvo type="max"/>
        <color rgb="FF638EC6"/>
      </dataBar>
      <extLst>
        <ext xmlns:x14="http://schemas.microsoft.com/office/spreadsheetml/2009/9/main" uri="{B025F937-C7B1-47D3-B67F-A62EFF666E3E}">
          <x14:id>{EE6DD914-66ED-477B-BADA-A19762C704A3}</x14:id>
        </ext>
      </extLst>
    </cfRule>
  </conditionalFormatting>
  <conditionalFormatting sqref="C73">
    <cfRule type="dataBar" priority="22">
      <dataBar>
        <cfvo type="min"/>
        <cfvo type="max"/>
        <color rgb="FF638EC6"/>
      </dataBar>
      <extLst>
        <ext xmlns:x14="http://schemas.microsoft.com/office/spreadsheetml/2009/9/main" uri="{B025F937-C7B1-47D3-B67F-A62EFF666E3E}">
          <x14:id>{0058C788-C0CB-41E3-B95B-524CCA8E9F0A}</x14:id>
        </ext>
      </extLst>
    </cfRule>
    <cfRule type="dataBar" priority="490">
      <dataBar>
        <cfvo type="min"/>
        <cfvo type="max"/>
        <color rgb="FF638EC6"/>
      </dataBar>
      <extLst>
        <ext xmlns:x14="http://schemas.microsoft.com/office/spreadsheetml/2009/9/main" uri="{B025F937-C7B1-47D3-B67F-A62EFF666E3E}">
          <x14:id>{E83584FF-7D95-42FC-99DE-EB6802EBCC2D}</x14:id>
        </ext>
      </extLst>
    </cfRule>
  </conditionalFormatting>
  <conditionalFormatting sqref="C75">
    <cfRule type="dataBar" priority="17">
      <dataBar>
        <cfvo type="min"/>
        <cfvo type="max"/>
        <color rgb="FF638EC6"/>
      </dataBar>
      <extLst>
        <ext xmlns:x14="http://schemas.microsoft.com/office/spreadsheetml/2009/9/main" uri="{B025F937-C7B1-47D3-B67F-A62EFF666E3E}">
          <x14:id>{5EE6ABB8-F196-4CE4-808E-75EDD86AD073}</x14:id>
        </ext>
      </extLst>
    </cfRule>
    <cfRule type="dataBar" priority="491">
      <dataBar>
        <cfvo type="min"/>
        <cfvo type="max"/>
        <color rgb="FF638EC6"/>
      </dataBar>
      <extLst>
        <ext xmlns:x14="http://schemas.microsoft.com/office/spreadsheetml/2009/9/main" uri="{B025F937-C7B1-47D3-B67F-A62EFF666E3E}">
          <x14:id>{7A8BF817-A907-4DB7-83A2-9C00FF1672B6}</x14:id>
        </ext>
      </extLst>
    </cfRule>
  </conditionalFormatting>
  <conditionalFormatting sqref="C76:C80">
    <cfRule type="dataBar" priority="6">
      <dataBar>
        <cfvo type="min"/>
        <cfvo type="max"/>
        <color rgb="FF638EC6"/>
      </dataBar>
      <extLst>
        <ext xmlns:x14="http://schemas.microsoft.com/office/spreadsheetml/2009/9/main" uri="{B025F937-C7B1-47D3-B67F-A62EFF666E3E}">
          <x14:id>{6F172D3E-E9EA-4EFB-AB03-F4C3490A8AAB}</x14:id>
        </ext>
      </extLst>
    </cfRule>
    <cfRule type="dataBar" priority="492">
      <dataBar>
        <cfvo type="min"/>
        <cfvo type="max"/>
        <color rgb="FF638EC6"/>
      </dataBar>
      <extLst>
        <ext xmlns:x14="http://schemas.microsoft.com/office/spreadsheetml/2009/9/main" uri="{B025F937-C7B1-47D3-B67F-A62EFF666E3E}">
          <x14:id>{0676C193-7EBE-4DB3-B31E-F24428CEB1E5}</x14:id>
        </ext>
      </extLst>
    </cfRule>
  </conditionalFormatting>
  <conditionalFormatting sqref="C52:D54">
    <cfRule type="dataBar" priority="13">
      <dataBar>
        <cfvo type="min"/>
        <cfvo type="max"/>
        <color rgb="FF638EC6"/>
      </dataBar>
      <extLst>
        <ext xmlns:x14="http://schemas.microsoft.com/office/spreadsheetml/2009/9/main" uri="{B025F937-C7B1-47D3-B67F-A62EFF666E3E}">
          <x14:id>{E5D22F1F-62CF-4E27-94B4-1CD917A5B60D}</x14:id>
        </ext>
      </extLst>
    </cfRule>
    <cfRule type="dataBar" priority="493">
      <dataBar>
        <cfvo type="min"/>
        <cfvo type="max"/>
        <color rgb="FF638EC6"/>
      </dataBar>
      <extLst>
        <ext xmlns:x14="http://schemas.microsoft.com/office/spreadsheetml/2009/9/main" uri="{B025F937-C7B1-47D3-B67F-A62EFF666E3E}">
          <x14:id>{697FC95B-04F0-4C95-A108-E444768F8447}</x14:id>
        </ext>
      </extLst>
    </cfRule>
  </conditionalFormatting>
  <conditionalFormatting sqref="C55:D55">
    <cfRule type="dataBar" priority="408">
      <dataBar>
        <cfvo type="min"/>
        <cfvo type="max"/>
        <color rgb="FF638EC6"/>
      </dataBar>
      <extLst>
        <ext xmlns:x14="http://schemas.microsoft.com/office/spreadsheetml/2009/9/main" uri="{B025F937-C7B1-47D3-B67F-A62EFF666E3E}">
          <x14:id>{39D9F4AF-0DF1-413D-A42B-8838C3222897}</x14:id>
        </ext>
      </extLst>
    </cfRule>
    <cfRule type="dataBar" priority="494">
      <dataBar>
        <cfvo type="min"/>
        <cfvo type="max"/>
        <color rgb="FF638EC6"/>
      </dataBar>
      <extLst>
        <ext xmlns:x14="http://schemas.microsoft.com/office/spreadsheetml/2009/9/main" uri="{B025F937-C7B1-47D3-B67F-A62EFF666E3E}">
          <x14:id>{62FF815E-3B4A-4A1F-90F4-6783951CB712}</x14:id>
        </ext>
      </extLst>
    </cfRule>
  </conditionalFormatting>
  <conditionalFormatting sqref="C57:D58 C61:C63">
    <cfRule type="dataBar" priority="8">
      <dataBar>
        <cfvo type="min"/>
        <cfvo type="max"/>
        <color rgb="FF638EC6"/>
      </dataBar>
      <extLst>
        <ext xmlns:x14="http://schemas.microsoft.com/office/spreadsheetml/2009/9/main" uri="{B025F937-C7B1-47D3-B67F-A62EFF666E3E}">
          <x14:id>{E55F1E02-76C0-49A3-8C78-C85B05209AD7}</x14:id>
        </ext>
      </extLst>
    </cfRule>
    <cfRule type="dataBar" priority="495">
      <dataBar>
        <cfvo type="min"/>
        <cfvo type="max"/>
        <color rgb="FF638EC6"/>
      </dataBar>
      <extLst>
        <ext xmlns:x14="http://schemas.microsoft.com/office/spreadsheetml/2009/9/main" uri="{B025F937-C7B1-47D3-B67F-A62EFF666E3E}">
          <x14:id>{37D7CF88-4357-490A-A031-EEC5C5696555}</x14:id>
        </ext>
      </extLst>
    </cfRule>
  </conditionalFormatting>
  <conditionalFormatting sqref="C43:E43">
    <cfRule type="dataBar" priority="10">
      <dataBar>
        <cfvo type="min"/>
        <cfvo type="max"/>
        <color rgb="FF638EC6"/>
      </dataBar>
      <extLst>
        <ext xmlns:x14="http://schemas.microsoft.com/office/spreadsheetml/2009/9/main" uri="{B025F937-C7B1-47D3-B67F-A62EFF666E3E}">
          <x14:id>{EE01B38F-BC17-45A2-BF9D-632DC74F21DF}</x14:id>
        </ext>
      </extLst>
    </cfRule>
    <cfRule type="dataBar" priority="496">
      <dataBar>
        <cfvo type="min"/>
        <cfvo type="max"/>
        <color rgb="FF638EC6"/>
      </dataBar>
      <extLst>
        <ext xmlns:x14="http://schemas.microsoft.com/office/spreadsheetml/2009/9/main" uri="{B025F937-C7B1-47D3-B67F-A62EFF666E3E}">
          <x14:id>{2B2F99DC-28EB-4A0C-9B81-077204418213}</x14:id>
        </ext>
      </extLst>
    </cfRule>
  </conditionalFormatting>
  <conditionalFormatting sqref="C44:E45">
    <cfRule type="dataBar" priority="470">
      <dataBar>
        <cfvo type="min"/>
        <cfvo type="max"/>
        <color rgb="FF638EC6"/>
      </dataBar>
      <extLst>
        <ext xmlns:x14="http://schemas.microsoft.com/office/spreadsheetml/2009/9/main" uri="{B025F937-C7B1-47D3-B67F-A62EFF666E3E}">
          <x14:id>{39E845DE-A95D-46C1-B7BD-32D209BA456D}</x14:id>
        </ext>
      </extLst>
    </cfRule>
    <cfRule type="dataBar" priority="497">
      <dataBar>
        <cfvo type="min"/>
        <cfvo type="max"/>
        <color rgb="FF638EC6"/>
      </dataBar>
      <extLst>
        <ext xmlns:x14="http://schemas.microsoft.com/office/spreadsheetml/2009/9/main" uri="{B025F937-C7B1-47D3-B67F-A62EFF666E3E}">
          <x14:id>{A8B09CF5-1548-4504-878C-9FEB83F9F60D}</x14:id>
        </ext>
      </extLst>
    </cfRule>
  </conditionalFormatting>
  <conditionalFormatting sqref="D51">
    <cfRule type="dataBar" priority="1">
      <dataBar>
        <cfvo type="min"/>
        <cfvo type="max"/>
        <color rgb="FF638EC6"/>
      </dataBar>
      <extLst>
        <ext xmlns:x14="http://schemas.microsoft.com/office/spreadsheetml/2009/9/main" uri="{B025F937-C7B1-47D3-B67F-A62EFF666E3E}">
          <x14:id>{0C74E3D9-FA1C-483A-920F-B766AE3210E9}</x14:id>
        </ext>
      </extLst>
    </cfRule>
    <cfRule type="dataBar" priority="498">
      <dataBar>
        <cfvo type="min"/>
        <cfvo type="max"/>
        <color rgb="FF638EC6"/>
      </dataBar>
      <extLst>
        <ext xmlns:x14="http://schemas.microsoft.com/office/spreadsheetml/2009/9/main" uri="{B025F937-C7B1-47D3-B67F-A62EFF666E3E}">
          <x14:id>{C83AFBA5-8F51-422B-803D-FBA8D963A306}</x14:id>
        </ext>
      </extLst>
    </cfRule>
  </conditionalFormatting>
  <conditionalFormatting sqref="D56">
    <cfRule type="dataBar" priority="7">
      <dataBar>
        <cfvo type="min"/>
        <cfvo type="max"/>
        <color rgb="FF638EC6"/>
      </dataBar>
      <extLst>
        <ext xmlns:x14="http://schemas.microsoft.com/office/spreadsheetml/2009/9/main" uri="{B025F937-C7B1-47D3-B67F-A62EFF666E3E}">
          <x14:id>{9E637680-7556-482C-B35F-80546352FBD4}</x14:id>
        </ext>
      </extLst>
    </cfRule>
    <cfRule type="dataBar" priority="499">
      <dataBar>
        <cfvo type="min"/>
        <cfvo type="max"/>
        <color rgb="FF638EC6"/>
      </dataBar>
      <extLst>
        <ext xmlns:x14="http://schemas.microsoft.com/office/spreadsheetml/2009/9/main" uri="{B025F937-C7B1-47D3-B67F-A62EFF666E3E}">
          <x14:id>{09E0C1D7-28BD-4D95-8E2D-814303F1BC00}</x14:id>
        </ext>
      </extLst>
    </cfRule>
  </conditionalFormatting>
  <conditionalFormatting sqref="D73">
    <cfRule type="dataBar" priority="21">
      <dataBar>
        <cfvo type="min"/>
        <cfvo type="max"/>
        <color rgb="FF638EC6"/>
      </dataBar>
      <extLst>
        <ext xmlns:x14="http://schemas.microsoft.com/office/spreadsheetml/2009/9/main" uri="{B025F937-C7B1-47D3-B67F-A62EFF666E3E}">
          <x14:id>{4B241637-0D2D-482D-8A9D-1A5355AB0B03}</x14:id>
        </ext>
      </extLst>
    </cfRule>
    <cfRule type="dataBar" priority="500">
      <dataBar>
        <cfvo type="min"/>
        <cfvo type="max"/>
        <color rgb="FF638EC6"/>
      </dataBar>
      <extLst>
        <ext xmlns:x14="http://schemas.microsoft.com/office/spreadsheetml/2009/9/main" uri="{B025F937-C7B1-47D3-B67F-A62EFF666E3E}">
          <x14:id>{9F9D312B-315E-4093-9D8A-456BCE5B899E}</x14:id>
        </ext>
      </extLst>
    </cfRule>
  </conditionalFormatting>
  <conditionalFormatting sqref="D28:E28 G28">
    <cfRule type="dataBar" priority="34">
      <dataBar>
        <cfvo type="min"/>
        <cfvo type="max"/>
        <color rgb="FF638EC6"/>
      </dataBar>
      <extLst>
        <ext xmlns:x14="http://schemas.microsoft.com/office/spreadsheetml/2009/9/main" uri="{B025F937-C7B1-47D3-B67F-A62EFF666E3E}">
          <x14:id>{D445E04B-D93E-4E8B-ABB0-9D7FBC1E5605}</x14:id>
        </ext>
      </extLst>
    </cfRule>
    <cfRule type="dataBar" priority="501">
      <dataBar>
        <cfvo type="min"/>
        <cfvo type="max"/>
        <color rgb="FF638EC6"/>
      </dataBar>
      <extLst>
        <ext xmlns:x14="http://schemas.microsoft.com/office/spreadsheetml/2009/9/main" uri="{B025F937-C7B1-47D3-B67F-A62EFF666E3E}">
          <x14:id>{0F585B8B-102A-431B-AF8D-A4DF2FB38FD1}</x14:id>
        </ext>
      </extLst>
    </cfRule>
  </conditionalFormatting>
  <conditionalFormatting sqref="G43:G45 K43:K45">
    <cfRule type="dataBar" priority="471">
      <dataBar>
        <cfvo type="min"/>
        <cfvo type="max"/>
        <color rgb="FF638EC6"/>
      </dataBar>
      <extLst>
        <ext xmlns:x14="http://schemas.microsoft.com/office/spreadsheetml/2009/9/main" uri="{B025F937-C7B1-47D3-B67F-A62EFF666E3E}">
          <x14:id>{DBDB6A56-FD10-4FDD-9A9F-7757170F8C6F}</x14:id>
        </ext>
      </extLst>
    </cfRule>
    <cfRule type="dataBar" priority="502">
      <dataBar>
        <cfvo type="min"/>
        <cfvo type="max"/>
        <color rgb="FF638EC6"/>
      </dataBar>
      <extLst>
        <ext xmlns:x14="http://schemas.microsoft.com/office/spreadsheetml/2009/9/main" uri="{B025F937-C7B1-47D3-B67F-A62EFF666E3E}">
          <x14:id>{A16D1869-E458-4B10-9B57-8979916D05CD}</x14:id>
        </ext>
      </extLst>
    </cfRule>
  </conditionalFormatting>
  <conditionalFormatting sqref="K15:K19 G15:G19">
    <cfRule type="dataBar" priority="443">
      <dataBar>
        <cfvo type="min"/>
        <cfvo type="max"/>
        <color rgb="FF638EC6"/>
      </dataBar>
      <extLst>
        <ext xmlns:x14="http://schemas.microsoft.com/office/spreadsheetml/2009/9/main" uri="{B025F937-C7B1-47D3-B67F-A62EFF666E3E}">
          <x14:id>{60A50305-0278-4265-ACB0-3AFEAA5C7900}</x14:id>
        </ext>
      </extLst>
    </cfRule>
    <cfRule type="dataBar" priority="503">
      <dataBar>
        <cfvo type="min"/>
        <cfvo type="max"/>
        <color rgb="FF638EC6"/>
      </dataBar>
      <extLst>
        <ext xmlns:x14="http://schemas.microsoft.com/office/spreadsheetml/2009/9/main" uri="{B025F937-C7B1-47D3-B67F-A62EFF666E3E}">
          <x14:id>{9263039F-1E76-4F4F-879C-2D608FFD8F48}</x14:id>
        </ext>
      </extLst>
    </cfRule>
  </conditionalFormatting>
  <conditionalFormatting sqref="K20">
    <cfRule type="dataBar" priority="185">
      <dataBar>
        <cfvo type="min"/>
        <cfvo type="max"/>
        <color rgb="FF638EC6"/>
      </dataBar>
      <extLst>
        <ext xmlns:x14="http://schemas.microsoft.com/office/spreadsheetml/2009/9/main" uri="{B025F937-C7B1-47D3-B67F-A62EFF666E3E}">
          <x14:id>{EFBF4327-588B-46F0-B9D6-ACE000E3D1B3}</x14:id>
        </ext>
      </extLst>
    </cfRule>
    <cfRule type="dataBar" priority="504">
      <dataBar>
        <cfvo type="min"/>
        <cfvo type="max"/>
        <color rgb="FF638EC6"/>
      </dataBar>
      <extLst>
        <ext xmlns:x14="http://schemas.microsoft.com/office/spreadsheetml/2009/9/main" uri="{B025F937-C7B1-47D3-B67F-A62EFF666E3E}">
          <x14:id>{3F7F298F-36C4-4FD2-9CB9-BD5BBE257BC3}</x14:id>
        </ext>
      </extLst>
    </cfRule>
  </conditionalFormatting>
  <conditionalFormatting sqref="K39:K40">
    <cfRule type="dataBar" priority="19">
      <dataBar>
        <cfvo type="min"/>
        <cfvo type="max"/>
        <color rgb="FF638EC6"/>
      </dataBar>
      <extLst>
        <ext xmlns:x14="http://schemas.microsoft.com/office/spreadsheetml/2009/9/main" uri="{B025F937-C7B1-47D3-B67F-A62EFF666E3E}">
          <x14:id>{8A6DB16B-F32F-4840-B976-73335A236CE0}</x14:id>
        </ext>
      </extLst>
    </cfRule>
    <cfRule type="dataBar" priority="505">
      <dataBar>
        <cfvo type="min"/>
        <cfvo type="max"/>
        <color rgb="FF638EC6"/>
      </dataBar>
      <extLst>
        <ext xmlns:x14="http://schemas.microsoft.com/office/spreadsheetml/2009/9/main" uri="{B025F937-C7B1-47D3-B67F-A62EFF666E3E}">
          <x14:id>{1AEB62BE-F17B-48A7-A4E5-2EA5449CEE55}</x14:id>
        </ext>
      </extLst>
    </cfRule>
  </conditionalFormatting>
  <conditionalFormatting sqref="K48:K49">
    <cfRule type="dataBar" priority="28">
      <dataBar>
        <cfvo type="min"/>
        <cfvo type="max"/>
        <color rgb="FF638EC6"/>
      </dataBar>
      <extLst>
        <ext xmlns:x14="http://schemas.microsoft.com/office/spreadsheetml/2009/9/main" uri="{B025F937-C7B1-47D3-B67F-A62EFF666E3E}">
          <x14:id>{A34B1EF6-A3D1-46F7-B8C6-4A3D73F3918B}</x14:id>
        </ext>
      </extLst>
    </cfRule>
    <cfRule type="dataBar" priority="506">
      <dataBar>
        <cfvo type="min"/>
        <cfvo type="max"/>
        <color rgb="FF638EC6"/>
      </dataBar>
      <extLst>
        <ext xmlns:x14="http://schemas.microsoft.com/office/spreadsheetml/2009/9/main" uri="{B025F937-C7B1-47D3-B67F-A62EFF666E3E}">
          <x14:id>{D9AA8F39-B63D-45AD-93B4-AA13346254C0}</x14:id>
        </ext>
      </extLst>
    </cfRule>
  </conditionalFormatting>
  <conditionalFormatting sqref="K55">
    <cfRule type="dataBar" priority="409">
      <dataBar>
        <cfvo type="min"/>
        <cfvo type="max"/>
        <color rgb="FF638EC6"/>
      </dataBar>
      <extLst>
        <ext xmlns:x14="http://schemas.microsoft.com/office/spreadsheetml/2009/9/main" uri="{B025F937-C7B1-47D3-B67F-A62EFF666E3E}">
          <x14:id>{1BD0443B-9275-4A5D-A824-E3FF7562DC71}</x14:id>
        </ext>
      </extLst>
    </cfRule>
    <cfRule type="dataBar" priority="507">
      <dataBar>
        <cfvo type="min"/>
        <cfvo type="max"/>
        <color rgb="FF638EC6"/>
      </dataBar>
      <extLst>
        <ext xmlns:x14="http://schemas.microsoft.com/office/spreadsheetml/2009/9/main" uri="{B025F937-C7B1-47D3-B67F-A62EFF666E3E}">
          <x14:id>{28649B5E-633F-4DA7-8970-DF43799A9C00}</x14:id>
        </ext>
      </extLst>
    </cfRule>
  </conditionalFormatting>
  <conditionalFormatting sqref="K73">
    <cfRule type="dataBar" priority="20">
      <dataBar>
        <cfvo type="min"/>
        <cfvo type="max"/>
        <color rgb="FF638EC6"/>
      </dataBar>
      <extLst>
        <ext xmlns:x14="http://schemas.microsoft.com/office/spreadsheetml/2009/9/main" uri="{B025F937-C7B1-47D3-B67F-A62EFF666E3E}">
          <x14:id>{D76639EE-904A-494A-A2FB-4010AFF304ED}</x14:id>
        </ext>
      </extLst>
    </cfRule>
    <cfRule type="dataBar" priority="508">
      <dataBar>
        <cfvo type="min"/>
        <cfvo type="max"/>
        <color rgb="FF638EC6"/>
      </dataBar>
      <extLst>
        <ext xmlns:x14="http://schemas.microsoft.com/office/spreadsheetml/2009/9/main" uri="{B025F937-C7B1-47D3-B67F-A62EFF666E3E}">
          <x14:id>{F487661D-A2BC-48DF-8CB9-BBDB7D59123A}</x14:id>
        </ext>
      </extLst>
    </cfRule>
  </conditionalFormatting>
  <dataValidations count="5">
    <dataValidation type="list" allowBlank="1" showInputMessage="1" sqref="G73 G65:G71 G47:G49 G75:G80 G14:G36 G38:G45 G51:G63" xr:uid="{00000000-0002-0000-0000-000000000000}">
      <formula1>"Thấp,Trung bình,Cao,Khó và phức tạp"</formula1>
    </dataValidation>
    <dataValidation type="list" allowBlank="1" showInputMessage="1" sqref="E47:E49 E75:E80 E14:E36 E65:E68 E71 E38:E45 E51:E63" xr:uid="{00000000-0002-0000-0000-000001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65:C71 C73 C14:C36 C75:C80 C47:C49 C38:C45 C51:C63" xr:uid="{00000000-0002-0000-0000-000002000000}">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47:D49 D73 D38:D45 E71 D14:D36 D65 D76:D80 E67:E68 D51:D60" xr:uid="{00000000-0002-0000-0000-000003000000}">
      <formula1>"Phòng QLĐT&amp;BĐCL, Phòng TH-HC&amp;QT, Phòng QLKHCN&amp;HTPT, Phòng TC-KT, Phòng  TCCB&amp;CTHSSV, Khoa Sư phạm, Khoa CKHCB, Khoa KT&amp;NL, Khoa Y – Dược, Khoa ĐT&amp;SHLX, Khoa KT&amp;CN"</formula1>
    </dataValidation>
    <dataValidation allowBlank="1" showInputMessage="1" sqref="H65:K71 H47:K49 H73:K73 H14:K36 H75:K80 H38:K45 H51:K63" xr:uid="{00000000-0002-0000-0000-000004000000}"/>
  </dataValidations>
  <pageMargins left="0.7" right="0.7" top="0.75" bottom="0.75" header="0.3" footer="0.3"/>
  <pageSetup paperSize="9" orientation="portrait" verticalDpi="0" r:id="rId1"/>
  <drawing r:id="rId2"/>
  <extLst>
    <ext xmlns:x14="http://schemas.microsoft.com/office/spreadsheetml/2009/9/main" uri="{78C0D931-6437-407d-A8EE-F0AAD7539E65}">
      <x14:conditionalFormattings>
        <x14:conditionalFormatting xmlns:xm="http://schemas.microsoft.com/office/excel/2006/main">
          <x14:cfRule type="dataBar" id="{0F884616-F907-45C6-828B-7CF12456F438}">
            <x14:dataBar minLength="0" maxLength="100" gradient="0">
              <x14:cfvo type="autoMin"/>
              <x14:cfvo type="autoMax"/>
              <x14:negativeFillColor rgb="FFFF0000"/>
              <x14:axisColor rgb="FF000000"/>
            </x14:dataBar>
          </x14:cfRule>
          <x14:cfRule type="dataBar" id="{39453434-2443-459E-80BF-F26F84A87D91}">
            <x14:dataBar minLength="0" maxLength="100" gradient="0">
              <x14:cfvo type="autoMin"/>
              <x14:cfvo type="autoMax"/>
              <x14:negativeFillColor rgb="FFFF0000"/>
              <x14:axisColor rgb="FF000000"/>
            </x14:dataBar>
          </x14:cfRule>
          <xm:sqref>B48</xm:sqref>
        </x14:conditionalFormatting>
        <x14:conditionalFormatting xmlns:xm="http://schemas.microsoft.com/office/excel/2006/main">
          <x14:cfRule type="dataBar" id="{68F183A1-EF7A-4A94-8E5E-F97A3BC9D949}">
            <x14:dataBar minLength="0" maxLength="100" gradient="0">
              <x14:cfvo type="autoMin"/>
              <x14:cfvo type="autoMax"/>
              <x14:negativeFillColor rgb="FFFF0000"/>
              <x14:axisColor rgb="FF000000"/>
            </x14:dataBar>
          </x14:cfRule>
          <x14:cfRule type="dataBar" id="{E462CB0E-586F-4BA8-AD87-D7A453B46306}">
            <x14:dataBar minLength="0" maxLength="100" gradient="0">
              <x14:cfvo type="autoMin"/>
              <x14:cfvo type="autoMax"/>
              <x14:negativeFillColor rgb="FFFF0000"/>
              <x14:axisColor rgb="FF000000"/>
            </x14:dataBar>
          </x14:cfRule>
          <xm:sqref>B49</xm:sqref>
        </x14:conditionalFormatting>
        <x14:conditionalFormatting xmlns:xm="http://schemas.microsoft.com/office/excel/2006/main">
          <x14:cfRule type="dataBar" id="{BF5AEBA5-B700-438E-B45C-821FFCEDC652}">
            <x14:dataBar minLength="0" maxLength="100" gradient="0">
              <x14:cfvo type="autoMin"/>
              <x14:cfvo type="autoMax"/>
              <x14:negativeFillColor rgb="FFFF0000"/>
              <x14:axisColor rgb="FF000000"/>
            </x14:dataBar>
          </x14:cfRule>
          <x14:cfRule type="dataBar" id="{7678094A-6292-4975-A9A6-C14CD1C25314}">
            <x14:dataBar minLength="0" maxLength="100" gradient="0">
              <x14:cfvo type="autoMin"/>
              <x14:cfvo type="autoMax"/>
              <x14:negativeFillColor rgb="FFFF0000"/>
              <x14:axisColor rgb="FF000000"/>
            </x14:dataBar>
          </x14:cfRule>
          <xm:sqref>B28:C28</xm:sqref>
        </x14:conditionalFormatting>
        <x14:conditionalFormatting xmlns:xm="http://schemas.microsoft.com/office/excel/2006/main">
          <x14:cfRule type="dataBar" id="{466A076F-BB45-4D99-ADA2-5B1123E2ECB2}">
            <x14:dataBar minLength="0" maxLength="100" gradient="0">
              <x14:cfvo type="autoMin"/>
              <x14:cfvo type="autoMax"/>
              <x14:negativeFillColor rgb="FFFF0000"/>
              <x14:axisColor rgb="FF000000"/>
            </x14:dataBar>
          </x14:cfRule>
          <x14:cfRule type="dataBar" id="{DBEAE920-3BCA-4B08-AE75-4AAD02474647}">
            <x14:dataBar minLength="0" maxLength="100" gradient="0">
              <x14:cfvo type="autoMin"/>
              <x14:cfvo type="autoMax"/>
              <x14:negativeFillColor rgb="FFFF0000"/>
              <x14:axisColor rgb="FF000000"/>
            </x14:dataBar>
          </x14:cfRule>
          <xm:sqref>B15:E19</xm:sqref>
        </x14:conditionalFormatting>
        <x14:conditionalFormatting xmlns:xm="http://schemas.microsoft.com/office/excel/2006/main">
          <x14:cfRule type="dataBar" id="{1763894A-76C0-4A4D-AD13-49AE7D63A547}">
            <x14:dataBar minLength="0" maxLength="100" gradient="0">
              <x14:cfvo type="autoMin"/>
              <x14:cfvo type="autoMax"/>
              <x14:negativeFillColor rgb="FFFF0000"/>
              <x14:axisColor rgb="FF000000"/>
            </x14:dataBar>
          </x14:cfRule>
          <x14:cfRule type="dataBar" id="{C13169D3-3815-48E9-A555-9A7AD50E9B0A}">
            <x14:dataBar minLength="0" maxLength="100" gradient="0">
              <x14:cfvo type="autoMin"/>
              <x14:cfvo type="autoMax"/>
              <x14:negativeFillColor rgb="FFFF0000"/>
              <x14:axisColor rgb="FF000000"/>
            </x14:dataBar>
          </x14:cfRule>
          <xm:sqref>B38:E38 G38 K38 K28</xm:sqref>
        </x14:conditionalFormatting>
        <x14:conditionalFormatting xmlns:xm="http://schemas.microsoft.com/office/excel/2006/main">
          <x14:cfRule type="dataBar" id="{04DFD863-BB9B-459C-95C5-A1C088FC92C5}">
            <x14:dataBar minLength="0" maxLength="100" gradient="0">
              <x14:cfvo type="autoMin"/>
              <x14:cfvo type="autoMax"/>
              <x14:negativeFillColor rgb="FFFF0000"/>
              <x14:axisColor rgb="FF000000"/>
            </x14:dataBar>
          </x14:cfRule>
          <x14:cfRule type="dataBar" id="{33EA57D2-DC82-4815-BB20-CC1C87740564}">
            <x14:dataBar minLength="0" maxLength="100" gradient="0">
              <x14:cfvo type="autoMin"/>
              <x14:cfvo type="autoMax"/>
              <x14:negativeFillColor rgb="FFFF0000"/>
              <x14:axisColor rgb="FF000000"/>
            </x14:dataBar>
          </x14:cfRule>
          <xm:sqref>C14</xm:sqref>
        </x14:conditionalFormatting>
        <x14:conditionalFormatting xmlns:xm="http://schemas.microsoft.com/office/excel/2006/main">
          <x14:cfRule type="dataBar" id="{9B8B9AB6-C22A-416A-885B-CFF6A95383E3}">
            <x14:dataBar minLength="0" maxLength="100" gradient="0">
              <x14:cfvo type="autoMin"/>
              <x14:cfvo type="autoMax"/>
              <x14:negativeFillColor rgb="FFFF0000"/>
              <x14:axisColor rgb="FF000000"/>
            </x14:dataBar>
          </x14:cfRule>
          <x14:cfRule type="dataBar" id="{5885A38E-615C-4E57-B991-ABB7FDC63F0E}">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58D98244-E928-4AAC-8C0B-36BFD7B97960}">
            <x14:dataBar minLength="0" maxLength="100" gradient="0">
              <x14:cfvo type="autoMin"/>
              <x14:cfvo type="autoMax"/>
              <x14:negativeFillColor rgb="FFFF0000"/>
              <x14:axisColor rgb="FF000000"/>
            </x14:dataBar>
          </x14:cfRule>
          <x14:cfRule type="dataBar" id="{6FE31027-DC79-435A-BF18-7E2EF3E08BF6}">
            <x14:dataBar minLength="0" maxLength="100" gradient="0">
              <x14:cfvo type="autoMin"/>
              <x14:cfvo type="autoMax"/>
              <x14:negativeFillColor rgb="FFFF0000"/>
              <x14:axisColor rgb="FF000000"/>
            </x14:dataBar>
          </x14:cfRule>
          <xm:sqref>C21:C27</xm:sqref>
        </x14:conditionalFormatting>
        <x14:conditionalFormatting xmlns:xm="http://schemas.microsoft.com/office/excel/2006/main">
          <x14:cfRule type="dataBar" id="{02509715-25A4-4F77-9AFF-7C09C72D281B}">
            <x14:dataBar minLength="0" maxLength="100" gradient="0">
              <x14:cfvo type="autoMin"/>
              <x14:cfvo type="autoMax"/>
              <x14:negativeFillColor rgb="FFFF0000"/>
              <x14:axisColor rgb="FF000000"/>
            </x14:dataBar>
          </x14:cfRule>
          <x14:cfRule type="dataBar" id="{5AA679A3-B591-4B35-8E20-FEE361A55D1E}">
            <x14:dataBar minLength="0" maxLength="100" gradient="0">
              <x14:cfvo type="autoMin"/>
              <x14:cfvo type="autoMax"/>
              <x14:negativeFillColor rgb="FFFF0000"/>
              <x14:axisColor rgb="FF000000"/>
            </x14:dataBar>
          </x14:cfRule>
          <xm:sqref>C30:C36</xm:sqref>
        </x14:conditionalFormatting>
        <x14:conditionalFormatting xmlns:xm="http://schemas.microsoft.com/office/excel/2006/main">
          <x14:cfRule type="dataBar" id="{20A010BD-6C11-4389-B684-7C2382CCEA3A}">
            <x14:dataBar minLength="0" maxLength="100" gradient="0">
              <x14:cfvo type="autoMin"/>
              <x14:cfvo type="autoMax"/>
              <x14:negativeFillColor rgb="FFFF0000"/>
              <x14:axisColor rgb="FF000000"/>
            </x14:dataBar>
          </x14:cfRule>
          <x14:cfRule type="dataBar" id="{5B05B323-8510-499A-BC59-B20567DB25A6}">
            <x14:dataBar minLength="0" maxLength="100" gradient="0">
              <x14:cfvo type="autoMin"/>
              <x14:cfvo type="autoMax"/>
              <x14:negativeFillColor rgb="FFFF0000"/>
              <x14:axisColor rgb="FF000000"/>
            </x14:dataBar>
          </x14:cfRule>
          <xm:sqref>C39:C40</xm:sqref>
        </x14:conditionalFormatting>
        <x14:conditionalFormatting xmlns:xm="http://schemas.microsoft.com/office/excel/2006/main">
          <x14:cfRule type="dataBar" id="{432AA6D4-22CD-4B59-A15A-51397F58FCFF}">
            <x14:dataBar minLength="0" maxLength="100" gradient="0">
              <x14:cfvo type="autoMin"/>
              <x14:cfvo type="autoMax"/>
              <x14:negativeFillColor rgb="FFFF0000"/>
              <x14:axisColor rgb="FF000000"/>
            </x14:dataBar>
          </x14:cfRule>
          <x14:cfRule type="dataBar" id="{6B075AD4-2C8F-4E5D-A088-D5E24DBB0503}">
            <x14:dataBar minLength="0" maxLength="100" gradient="0">
              <x14:cfvo type="autoMin"/>
              <x14:cfvo type="autoMax"/>
              <x14:negativeFillColor rgb="FFFF0000"/>
              <x14:axisColor rgb="FF000000"/>
            </x14:dataBar>
          </x14:cfRule>
          <xm:sqref>C47</xm:sqref>
        </x14:conditionalFormatting>
        <x14:conditionalFormatting xmlns:xm="http://schemas.microsoft.com/office/excel/2006/main">
          <x14:cfRule type="dataBar" id="{8FE39497-FAD2-4189-B9D2-549A33294022}">
            <x14:dataBar minLength="0" maxLength="100" gradient="0">
              <x14:cfvo type="autoMin"/>
              <x14:cfvo type="autoMax"/>
              <x14:negativeFillColor rgb="FFFF0000"/>
              <x14:axisColor rgb="FF000000"/>
            </x14:dataBar>
          </x14:cfRule>
          <x14:cfRule type="dataBar" id="{7545AA49-CA81-4501-8931-CBA78D8F387C}">
            <x14:dataBar minLength="0" maxLength="100" gradient="0">
              <x14:cfvo type="autoMin"/>
              <x14:cfvo type="autoMax"/>
              <x14:negativeFillColor rgb="FFFF0000"/>
              <x14:axisColor rgb="FF000000"/>
            </x14:dataBar>
          </x14:cfRule>
          <xm:sqref>C48</xm:sqref>
        </x14:conditionalFormatting>
        <x14:conditionalFormatting xmlns:xm="http://schemas.microsoft.com/office/excel/2006/main">
          <x14:cfRule type="dataBar" id="{3DF0962E-8A4E-4087-B1CA-9DABBC357D7E}">
            <x14:dataBar minLength="0" maxLength="100" gradient="0">
              <x14:cfvo type="autoMin"/>
              <x14:cfvo type="autoMax"/>
              <x14:negativeFillColor rgb="FFFF0000"/>
              <x14:axisColor rgb="FF000000"/>
            </x14:dataBar>
          </x14:cfRule>
          <x14:cfRule type="dataBar" id="{B134D3A9-EBD1-4F1E-A1B6-203F25E09EF0}">
            <x14:dataBar minLength="0" maxLength="100" gradient="0">
              <x14:cfvo type="autoMin"/>
              <x14:cfvo type="autoMax"/>
              <x14:negativeFillColor rgb="FFFF0000"/>
              <x14:axisColor rgb="FF000000"/>
            </x14:dataBar>
          </x14:cfRule>
          <xm:sqref>C49</xm:sqref>
        </x14:conditionalFormatting>
        <x14:conditionalFormatting xmlns:xm="http://schemas.microsoft.com/office/excel/2006/main">
          <x14:cfRule type="dataBar" id="{500F5E55-7E2B-4D07-AFB4-1E618763DABF}">
            <x14:dataBar minLength="0" maxLength="100" gradient="0">
              <x14:cfvo type="autoMin"/>
              <x14:cfvo type="autoMax"/>
              <x14:negativeFillColor rgb="FFFF0000"/>
              <x14:axisColor rgb="FF000000"/>
            </x14:dataBar>
          </x14:cfRule>
          <x14:cfRule type="dataBar" id="{72361B58-5DB6-497B-9212-A45CF5B2275B}">
            <x14:dataBar minLength="0" maxLength="100" gradient="0">
              <x14:cfvo type="autoMin"/>
              <x14:cfvo type="autoMax"/>
              <x14:negativeFillColor rgb="FFFF0000"/>
              <x14:axisColor rgb="FF000000"/>
            </x14:dataBar>
          </x14:cfRule>
          <xm:sqref>C51</xm:sqref>
        </x14:conditionalFormatting>
        <x14:conditionalFormatting xmlns:xm="http://schemas.microsoft.com/office/excel/2006/main">
          <x14:cfRule type="dataBar" id="{669AB504-050F-4ABE-AD66-2163BF3A0C69}">
            <x14:dataBar minLength="0" maxLength="100" gradient="0">
              <x14:cfvo type="autoMin"/>
              <x14:cfvo type="autoMax"/>
              <x14:negativeFillColor rgb="FFFF0000"/>
              <x14:axisColor rgb="FF000000"/>
            </x14:dataBar>
          </x14:cfRule>
          <x14:cfRule type="dataBar" id="{9AB1B086-0A7C-478E-A517-03C8F2743723}">
            <x14:dataBar minLength="0" maxLength="100" gradient="0">
              <x14:cfvo type="autoMin"/>
              <x14:cfvo type="autoMax"/>
              <x14:negativeFillColor rgb="FFFF0000"/>
              <x14:axisColor rgb="FF000000"/>
            </x14:dataBar>
          </x14:cfRule>
          <xm:sqref>C56</xm:sqref>
        </x14:conditionalFormatting>
        <x14:conditionalFormatting xmlns:xm="http://schemas.microsoft.com/office/excel/2006/main">
          <x14:cfRule type="dataBar" id="{5A67D717-7C01-406E-93E1-419AE4F461E0}">
            <x14:dataBar minLength="0" maxLength="100" gradient="0">
              <x14:cfvo type="autoMin"/>
              <x14:cfvo type="autoMax"/>
              <x14:negativeFillColor rgb="FFFF0000"/>
              <x14:axisColor rgb="FF000000"/>
            </x14:dataBar>
          </x14:cfRule>
          <x14:cfRule type="dataBar" id="{721A8620-2CEA-4C07-B1CE-0DBD1FBEA668}">
            <x14:dataBar minLength="0" maxLength="100" gradient="0">
              <x14:cfvo type="autoMin"/>
              <x14:cfvo type="autoMax"/>
              <x14:negativeFillColor rgb="FFFF0000"/>
              <x14:axisColor rgb="FF000000"/>
            </x14:dataBar>
          </x14:cfRule>
          <xm:sqref>C59:C60 C41:C42 C29</xm:sqref>
        </x14:conditionalFormatting>
        <x14:conditionalFormatting xmlns:xm="http://schemas.microsoft.com/office/excel/2006/main">
          <x14:cfRule type="dataBar" id="{B63A3037-FF33-4FAE-9236-E05F2AC4F927}">
            <x14:dataBar minLength="0" maxLength="100" gradient="0">
              <x14:cfvo type="autoMin"/>
              <x14:cfvo type="autoMax"/>
              <x14:negativeFillColor rgb="FFFF0000"/>
              <x14:axisColor rgb="FF000000"/>
            </x14:dataBar>
          </x14:cfRule>
          <x14:cfRule type="dataBar" id="{A2B42AC3-4B49-47E5-A850-B30CAF4B91EB}">
            <x14:dataBar minLength="0" maxLength="100" gradient="0">
              <x14:cfvo type="autoMin"/>
              <x14:cfvo type="autoMax"/>
              <x14:negativeFillColor rgb="FFFF0000"/>
              <x14:axisColor rgb="FF000000"/>
            </x14:dataBar>
          </x14:cfRule>
          <xm:sqref>C65:C66</xm:sqref>
        </x14:conditionalFormatting>
        <x14:conditionalFormatting xmlns:xm="http://schemas.microsoft.com/office/excel/2006/main">
          <x14:cfRule type="dataBar" id="{798CA5DB-EB09-4AA1-A189-2BD823D0A2FB}">
            <x14:dataBar minLength="0" maxLength="100" gradient="0">
              <x14:cfvo type="autoMin"/>
              <x14:cfvo type="autoMax"/>
              <x14:negativeFillColor rgb="FFFF0000"/>
              <x14:axisColor rgb="FF000000"/>
            </x14:dataBar>
          </x14:cfRule>
          <x14:cfRule type="dataBar" id="{EE6DD914-66ED-477B-BADA-A19762C704A3}">
            <x14:dataBar minLength="0" maxLength="100" gradient="0">
              <x14:cfvo type="autoMin"/>
              <x14:cfvo type="autoMax"/>
              <x14:negativeFillColor rgb="FFFF0000"/>
              <x14:axisColor rgb="FF000000"/>
            </x14:dataBar>
          </x14:cfRule>
          <xm:sqref>C67:C71</xm:sqref>
        </x14:conditionalFormatting>
        <x14:conditionalFormatting xmlns:xm="http://schemas.microsoft.com/office/excel/2006/main">
          <x14:cfRule type="dataBar" id="{0058C788-C0CB-41E3-B95B-524CCA8E9F0A}">
            <x14:dataBar minLength="0" maxLength="100" gradient="0">
              <x14:cfvo type="autoMin"/>
              <x14:cfvo type="autoMax"/>
              <x14:negativeFillColor rgb="FFFF0000"/>
              <x14:axisColor rgb="FF000000"/>
            </x14:dataBar>
          </x14:cfRule>
          <x14:cfRule type="dataBar" id="{E83584FF-7D95-42FC-99DE-EB6802EBCC2D}">
            <x14:dataBar minLength="0" maxLength="100" gradient="0">
              <x14:cfvo type="autoMin"/>
              <x14:cfvo type="autoMax"/>
              <x14:negativeFillColor rgb="FFFF0000"/>
              <x14:axisColor rgb="FF000000"/>
            </x14:dataBar>
          </x14:cfRule>
          <xm:sqref>C73</xm:sqref>
        </x14:conditionalFormatting>
        <x14:conditionalFormatting xmlns:xm="http://schemas.microsoft.com/office/excel/2006/main">
          <x14:cfRule type="dataBar" id="{5EE6ABB8-F196-4CE4-808E-75EDD86AD073}">
            <x14:dataBar minLength="0" maxLength="100" gradient="0">
              <x14:cfvo type="autoMin"/>
              <x14:cfvo type="autoMax"/>
              <x14:negativeFillColor rgb="FFFF0000"/>
              <x14:axisColor rgb="FF000000"/>
            </x14:dataBar>
          </x14:cfRule>
          <x14:cfRule type="dataBar" id="{7A8BF817-A907-4DB7-83A2-9C00FF1672B6}">
            <x14:dataBar minLength="0" maxLength="100" gradient="0">
              <x14:cfvo type="autoMin"/>
              <x14:cfvo type="autoMax"/>
              <x14:negativeFillColor rgb="FFFF0000"/>
              <x14:axisColor rgb="FF000000"/>
            </x14:dataBar>
          </x14:cfRule>
          <xm:sqref>C75</xm:sqref>
        </x14:conditionalFormatting>
        <x14:conditionalFormatting xmlns:xm="http://schemas.microsoft.com/office/excel/2006/main">
          <x14:cfRule type="dataBar" id="{6F172D3E-E9EA-4EFB-AB03-F4C3490A8AAB}">
            <x14:dataBar minLength="0" maxLength="100" gradient="0">
              <x14:cfvo type="autoMin"/>
              <x14:cfvo type="autoMax"/>
              <x14:negativeFillColor rgb="FFFF0000"/>
              <x14:axisColor rgb="FF000000"/>
            </x14:dataBar>
          </x14:cfRule>
          <x14:cfRule type="dataBar" id="{0676C193-7EBE-4DB3-B31E-F24428CEB1E5}">
            <x14:dataBar minLength="0" maxLength="100" gradient="0">
              <x14:cfvo type="autoMin"/>
              <x14:cfvo type="autoMax"/>
              <x14:negativeFillColor rgb="FFFF0000"/>
              <x14:axisColor rgb="FF000000"/>
            </x14:dataBar>
          </x14:cfRule>
          <xm:sqref>C76:C80</xm:sqref>
        </x14:conditionalFormatting>
        <x14:conditionalFormatting xmlns:xm="http://schemas.microsoft.com/office/excel/2006/main">
          <x14:cfRule type="dataBar" id="{E5D22F1F-62CF-4E27-94B4-1CD917A5B60D}">
            <x14:dataBar minLength="0" maxLength="100" gradient="0">
              <x14:cfvo type="autoMin"/>
              <x14:cfvo type="autoMax"/>
              <x14:negativeFillColor rgb="FFFF0000"/>
              <x14:axisColor rgb="FF000000"/>
            </x14:dataBar>
          </x14:cfRule>
          <x14:cfRule type="dataBar" id="{697FC95B-04F0-4C95-A108-E444768F8447}">
            <x14:dataBar minLength="0" maxLength="100" gradient="0">
              <x14:cfvo type="autoMin"/>
              <x14:cfvo type="autoMax"/>
              <x14:negativeFillColor rgb="FFFF0000"/>
              <x14:axisColor rgb="FF000000"/>
            </x14:dataBar>
          </x14:cfRule>
          <xm:sqref>C52:D54</xm:sqref>
        </x14:conditionalFormatting>
        <x14:conditionalFormatting xmlns:xm="http://schemas.microsoft.com/office/excel/2006/main">
          <x14:cfRule type="dataBar" id="{39D9F4AF-0DF1-413D-A42B-8838C3222897}">
            <x14:dataBar minLength="0" maxLength="100" gradient="0">
              <x14:cfvo type="autoMin"/>
              <x14:cfvo type="autoMax"/>
              <x14:negativeFillColor rgb="FFFF0000"/>
              <x14:axisColor rgb="FF000000"/>
            </x14:dataBar>
          </x14:cfRule>
          <x14:cfRule type="dataBar" id="{62FF815E-3B4A-4A1F-90F4-6783951CB712}">
            <x14:dataBar minLength="0" maxLength="100" gradient="0">
              <x14:cfvo type="autoMin"/>
              <x14:cfvo type="autoMax"/>
              <x14:negativeFillColor rgb="FFFF0000"/>
              <x14:axisColor rgb="FF000000"/>
            </x14:dataBar>
          </x14:cfRule>
          <xm:sqref>C55:D55</xm:sqref>
        </x14:conditionalFormatting>
        <x14:conditionalFormatting xmlns:xm="http://schemas.microsoft.com/office/excel/2006/main">
          <x14:cfRule type="dataBar" id="{E55F1E02-76C0-49A3-8C78-C85B05209AD7}">
            <x14:dataBar minLength="0" maxLength="100" gradient="0">
              <x14:cfvo type="autoMin"/>
              <x14:cfvo type="autoMax"/>
              <x14:negativeFillColor rgb="FFFF0000"/>
              <x14:axisColor rgb="FF000000"/>
            </x14:dataBar>
          </x14:cfRule>
          <x14:cfRule type="dataBar" id="{37D7CF88-4357-490A-A031-EEC5C5696555}">
            <x14:dataBar minLength="0" maxLength="100" gradient="0">
              <x14:cfvo type="autoMin"/>
              <x14:cfvo type="autoMax"/>
              <x14:negativeFillColor rgb="FFFF0000"/>
              <x14:axisColor rgb="FF000000"/>
            </x14:dataBar>
          </x14:cfRule>
          <xm:sqref>C57:D58 C61:C63</xm:sqref>
        </x14:conditionalFormatting>
        <x14:conditionalFormatting xmlns:xm="http://schemas.microsoft.com/office/excel/2006/main">
          <x14:cfRule type="dataBar" id="{EE01B38F-BC17-45A2-BF9D-632DC74F21DF}">
            <x14:dataBar minLength="0" maxLength="100" gradient="0">
              <x14:cfvo type="autoMin"/>
              <x14:cfvo type="autoMax"/>
              <x14:negativeFillColor rgb="FFFF0000"/>
              <x14:axisColor rgb="FF000000"/>
            </x14:dataBar>
          </x14:cfRule>
          <x14:cfRule type="dataBar" id="{2B2F99DC-28EB-4A0C-9B81-077204418213}">
            <x14:dataBar minLength="0" maxLength="100" gradient="0">
              <x14:cfvo type="autoMin"/>
              <x14:cfvo type="autoMax"/>
              <x14:negativeFillColor rgb="FFFF0000"/>
              <x14:axisColor rgb="FF000000"/>
            </x14:dataBar>
          </x14:cfRule>
          <xm:sqref>C43:E43</xm:sqref>
        </x14:conditionalFormatting>
        <x14:conditionalFormatting xmlns:xm="http://schemas.microsoft.com/office/excel/2006/main">
          <x14:cfRule type="dataBar" id="{39E845DE-A95D-46C1-B7BD-32D209BA456D}">
            <x14:dataBar minLength="0" maxLength="100" gradient="0">
              <x14:cfvo type="autoMin"/>
              <x14:cfvo type="autoMax"/>
              <x14:negativeFillColor rgb="FFFF0000"/>
              <x14:axisColor rgb="FF000000"/>
            </x14:dataBar>
          </x14:cfRule>
          <x14:cfRule type="dataBar" id="{A8B09CF5-1548-4504-878C-9FEB83F9F60D}">
            <x14:dataBar minLength="0" maxLength="100" gradient="0">
              <x14:cfvo type="autoMin"/>
              <x14:cfvo type="autoMax"/>
              <x14:negativeFillColor rgb="FFFF0000"/>
              <x14:axisColor rgb="FF000000"/>
            </x14:dataBar>
          </x14:cfRule>
          <xm:sqref>C44:E45</xm:sqref>
        </x14:conditionalFormatting>
        <x14:conditionalFormatting xmlns:xm="http://schemas.microsoft.com/office/excel/2006/main">
          <x14:cfRule type="dataBar" id="{0C74E3D9-FA1C-483A-920F-B766AE3210E9}">
            <x14:dataBar minLength="0" maxLength="100" gradient="0">
              <x14:cfvo type="autoMin"/>
              <x14:cfvo type="autoMax"/>
              <x14:negativeFillColor rgb="FFFF0000"/>
              <x14:axisColor rgb="FF000000"/>
            </x14:dataBar>
          </x14:cfRule>
          <x14:cfRule type="dataBar" id="{C83AFBA5-8F51-422B-803D-FBA8D963A306}">
            <x14:dataBar minLength="0" maxLength="100" gradient="0">
              <x14:cfvo type="autoMin"/>
              <x14:cfvo type="autoMax"/>
              <x14:negativeFillColor rgb="FFFF0000"/>
              <x14:axisColor rgb="FF000000"/>
            </x14:dataBar>
          </x14:cfRule>
          <xm:sqref>D51</xm:sqref>
        </x14:conditionalFormatting>
        <x14:conditionalFormatting xmlns:xm="http://schemas.microsoft.com/office/excel/2006/main">
          <x14:cfRule type="dataBar" id="{9E637680-7556-482C-B35F-80546352FBD4}">
            <x14:dataBar minLength="0" maxLength="100" gradient="0">
              <x14:cfvo type="autoMin"/>
              <x14:cfvo type="autoMax"/>
              <x14:negativeFillColor rgb="FFFF0000"/>
              <x14:axisColor rgb="FF000000"/>
            </x14:dataBar>
          </x14:cfRule>
          <x14:cfRule type="dataBar" id="{09E0C1D7-28BD-4D95-8E2D-814303F1BC00}">
            <x14:dataBar minLength="0" maxLength="100" gradient="0">
              <x14:cfvo type="autoMin"/>
              <x14:cfvo type="autoMax"/>
              <x14:negativeFillColor rgb="FFFF0000"/>
              <x14:axisColor rgb="FF000000"/>
            </x14:dataBar>
          </x14:cfRule>
          <xm:sqref>D56</xm:sqref>
        </x14:conditionalFormatting>
        <x14:conditionalFormatting xmlns:xm="http://schemas.microsoft.com/office/excel/2006/main">
          <x14:cfRule type="dataBar" id="{4B241637-0D2D-482D-8A9D-1A5355AB0B03}">
            <x14:dataBar minLength="0" maxLength="100" gradient="0">
              <x14:cfvo type="autoMin"/>
              <x14:cfvo type="autoMax"/>
              <x14:negativeFillColor rgb="FFFF0000"/>
              <x14:axisColor rgb="FF000000"/>
            </x14:dataBar>
          </x14:cfRule>
          <x14:cfRule type="dataBar" id="{9F9D312B-315E-4093-9D8A-456BCE5B899E}">
            <x14:dataBar minLength="0" maxLength="100" gradient="0">
              <x14:cfvo type="autoMin"/>
              <x14:cfvo type="autoMax"/>
              <x14:negativeFillColor rgb="FFFF0000"/>
              <x14:axisColor rgb="FF000000"/>
            </x14:dataBar>
          </x14:cfRule>
          <xm:sqref>D73</xm:sqref>
        </x14:conditionalFormatting>
        <x14:conditionalFormatting xmlns:xm="http://schemas.microsoft.com/office/excel/2006/main">
          <x14:cfRule type="dataBar" id="{D445E04B-D93E-4E8B-ABB0-9D7FBC1E5605}">
            <x14:dataBar minLength="0" maxLength="100" gradient="0">
              <x14:cfvo type="autoMin"/>
              <x14:cfvo type="autoMax"/>
              <x14:negativeFillColor rgb="FFFF0000"/>
              <x14:axisColor rgb="FF000000"/>
            </x14:dataBar>
          </x14:cfRule>
          <x14:cfRule type="dataBar" id="{0F585B8B-102A-431B-AF8D-A4DF2FB38FD1}">
            <x14:dataBar minLength="0" maxLength="100" gradient="0">
              <x14:cfvo type="autoMin"/>
              <x14:cfvo type="autoMax"/>
              <x14:negativeFillColor rgb="FFFF0000"/>
              <x14:axisColor rgb="FF000000"/>
            </x14:dataBar>
          </x14:cfRule>
          <xm:sqref>D28:E28 G28</xm:sqref>
        </x14:conditionalFormatting>
        <x14:conditionalFormatting xmlns:xm="http://schemas.microsoft.com/office/excel/2006/main">
          <x14:cfRule type="dataBar" id="{DBDB6A56-FD10-4FDD-9A9F-7757170F8C6F}">
            <x14:dataBar minLength="0" maxLength="100" gradient="0">
              <x14:cfvo type="autoMin"/>
              <x14:cfvo type="autoMax"/>
              <x14:negativeFillColor rgb="FFFF0000"/>
              <x14:axisColor rgb="FF000000"/>
            </x14:dataBar>
          </x14:cfRule>
          <x14:cfRule type="dataBar" id="{A16D1869-E458-4B10-9B57-8979916D05CD}">
            <x14:dataBar minLength="0" maxLength="100" gradient="0">
              <x14:cfvo type="autoMin"/>
              <x14:cfvo type="autoMax"/>
              <x14:negativeFillColor rgb="FFFF0000"/>
              <x14:axisColor rgb="FF000000"/>
            </x14:dataBar>
          </x14:cfRule>
          <xm:sqref>G43:G45 K43:K45</xm:sqref>
        </x14:conditionalFormatting>
        <x14:conditionalFormatting xmlns:xm="http://schemas.microsoft.com/office/excel/2006/main">
          <x14:cfRule type="dataBar" id="{60A50305-0278-4265-ACB0-3AFEAA5C7900}">
            <x14:dataBar minLength="0" maxLength="100" gradient="0">
              <x14:cfvo type="autoMin"/>
              <x14:cfvo type="autoMax"/>
              <x14:negativeFillColor rgb="FFFF0000"/>
              <x14:axisColor rgb="FF000000"/>
            </x14:dataBar>
          </x14:cfRule>
          <x14:cfRule type="dataBar" id="{9263039F-1E76-4F4F-879C-2D608FFD8F48}">
            <x14:dataBar minLength="0" maxLength="100" gradient="0">
              <x14:cfvo type="autoMin"/>
              <x14:cfvo type="autoMax"/>
              <x14:negativeFillColor rgb="FFFF0000"/>
              <x14:axisColor rgb="FF000000"/>
            </x14:dataBar>
          </x14:cfRule>
          <xm:sqref>K15:K19 G15:G19</xm:sqref>
        </x14:conditionalFormatting>
        <x14:conditionalFormatting xmlns:xm="http://schemas.microsoft.com/office/excel/2006/main">
          <x14:cfRule type="dataBar" id="{EFBF4327-588B-46F0-B9D6-ACE000E3D1B3}">
            <x14:dataBar minLength="0" maxLength="100" gradient="0">
              <x14:cfvo type="autoMin"/>
              <x14:cfvo type="autoMax"/>
              <x14:negativeFillColor rgb="FFFF0000"/>
              <x14:axisColor rgb="FF000000"/>
            </x14:dataBar>
          </x14:cfRule>
          <x14:cfRule type="dataBar" id="{3F7F298F-36C4-4FD2-9CB9-BD5BBE257BC3}">
            <x14:dataBar minLength="0" maxLength="100" gradient="0">
              <x14:cfvo type="autoMin"/>
              <x14:cfvo type="autoMax"/>
              <x14:negativeFillColor rgb="FFFF0000"/>
              <x14:axisColor rgb="FF000000"/>
            </x14:dataBar>
          </x14:cfRule>
          <xm:sqref>K20</xm:sqref>
        </x14:conditionalFormatting>
        <x14:conditionalFormatting xmlns:xm="http://schemas.microsoft.com/office/excel/2006/main">
          <x14:cfRule type="dataBar" id="{8A6DB16B-F32F-4840-B976-73335A236CE0}">
            <x14:dataBar minLength="0" maxLength="100" gradient="0">
              <x14:cfvo type="autoMin"/>
              <x14:cfvo type="autoMax"/>
              <x14:negativeFillColor rgb="FFFF0000"/>
              <x14:axisColor rgb="FF000000"/>
            </x14:dataBar>
          </x14:cfRule>
          <x14:cfRule type="dataBar" id="{1AEB62BE-F17B-48A7-A4E5-2EA5449CEE55}">
            <x14:dataBar minLength="0" maxLength="100" gradient="0">
              <x14:cfvo type="autoMin"/>
              <x14:cfvo type="autoMax"/>
              <x14:negativeFillColor rgb="FFFF0000"/>
              <x14:axisColor rgb="FF000000"/>
            </x14:dataBar>
          </x14:cfRule>
          <xm:sqref>K39:K40</xm:sqref>
        </x14:conditionalFormatting>
        <x14:conditionalFormatting xmlns:xm="http://schemas.microsoft.com/office/excel/2006/main">
          <x14:cfRule type="dataBar" id="{A34B1EF6-A3D1-46F7-B8C6-4A3D73F3918B}">
            <x14:dataBar minLength="0" maxLength="100" gradient="0">
              <x14:cfvo type="autoMin"/>
              <x14:cfvo type="autoMax"/>
              <x14:negativeFillColor rgb="FFFF0000"/>
              <x14:axisColor rgb="FF000000"/>
            </x14:dataBar>
          </x14:cfRule>
          <x14:cfRule type="dataBar" id="{D9AA8F39-B63D-45AD-93B4-AA13346254C0}">
            <x14:dataBar minLength="0" maxLength="100" gradient="0">
              <x14:cfvo type="autoMin"/>
              <x14:cfvo type="autoMax"/>
              <x14:negativeFillColor rgb="FFFF0000"/>
              <x14:axisColor rgb="FF000000"/>
            </x14:dataBar>
          </x14:cfRule>
          <xm:sqref>K48:K49</xm:sqref>
        </x14:conditionalFormatting>
        <x14:conditionalFormatting xmlns:xm="http://schemas.microsoft.com/office/excel/2006/main">
          <x14:cfRule type="dataBar" id="{1BD0443B-9275-4A5D-A824-E3FF7562DC71}">
            <x14:dataBar minLength="0" maxLength="100" gradient="0">
              <x14:cfvo type="autoMin"/>
              <x14:cfvo type="autoMax"/>
              <x14:negativeFillColor rgb="FFFF0000"/>
              <x14:axisColor rgb="FF000000"/>
            </x14:dataBar>
          </x14:cfRule>
          <x14:cfRule type="dataBar" id="{28649B5E-633F-4DA7-8970-DF43799A9C00}">
            <x14:dataBar minLength="0" maxLength="100" gradient="0">
              <x14:cfvo type="autoMin"/>
              <x14:cfvo type="autoMax"/>
              <x14:negativeFillColor rgb="FFFF0000"/>
              <x14:axisColor rgb="FF000000"/>
            </x14:dataBar>
          </x14:cfRule>
          <xm:sqref>K55</xm:sqref>
        </x14:conditionalFormatting>
        <x14:conditionalFormatting xmlns:xm="http://schemas.microsoft.com/office/excel/2006/main">
          <x14:cfRule type="dataBar" id="{D76639EE-904A-494A-A2FB-4010AFF304ED}">
            <x14:dataBar minLength="0" maxLength="100" gradient="0">
              <x14:cfvo type="autoMin"/>
              <x14:cfvo type="autoMax"/>
              <x14:negativeFillColor rgb="FFFF0000"/>
              <x14:axisColor rgb="FF000000"/>
            </x14:dataBar>
          </x14:cfRule>
          <x14:cfRule type="dataBar" id="{F487661D-A2BC-48DF-8CB9-BBDB7D59123A}">
            <x14:dataBar minLength="0" maxLength="100" gradient="0">
              <x14:cfvo type="autoMin"/>
              <x14:cfvo type="autoMax"/>
              <x14:negativeFillColor rgb="FFFF0000"/>
              <x14:axisColor rgb="FF000000"/>
            </x14:dataBar>
          </x14:cfRule>
          <xm:sqref>K73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1"/>
  <sheetViews>
    <sheetView showGridLines="0" workbookViewId="0">
      <selection activeCell="E8" sqref="E8"/>
    </sheetView>
  </sheetViews>
  <sheetFormatPr defaultRowHeight="14.25" x14ac:dyDescent="0.2"/>
  <cols>
    <col min="1" max="1" width="7" customWidth="1"/>
    <col min="2" max="2" width="24" customWidth="1"/>
    <col min="3" max="4" width="12" customWidth="1"/>
    <col min="5" max="5" width="48" customWidth="1"/>
    <col min="6" max="7" width="22" customWidth="1"/>
    <col min="8" max="8" width="25" customWidth="1"/>
    <col min="9" max="10" width="15" customWidth="1"/>
    <col min="11" max="11" width="20" customWidth="1"/>
    <col min="12" max="12" width="34" customWidth="1"/>
  </cols>
  <sheetData>
    <row r="1" spans="1:12" ht="18.75" x14ac:dyDescent="0.2">
      <c r="A1" s="58" t="s">
        <v>313</v>
      </c>
      <c r="B1" s="58"/>
      <c r="C1" s="58"/>
      <c r="D1" s="58"/>
      <c r="E1" s="58"/>
      <c r="F1" s="58"/>
      <c r="G1" s="58"/>
      <c r="H1" s="58"/>
      <c r="I1" s="58"/>
      <c r="J1" s="58"/>
      <c r="K1" s="58"/>
      <c r="L1" s="58"/>
    </row>
    <row r="2" spans="1:12" ht="15" x14ac:dyDescent="0.2">
      <c r="A2" s="59" t="s">
        <v>314</v>
      </c>
      <c r="B2" s="59"/>
      <c r="C2" s="59"/>
      <c r="D2" s="59"/>
      <c r="E2" s="59"/>
      <c r="F2" s="59"/>
      <c r="G2" s="59"/>
      <c r="H2" s="59"/>
      <c r="I2" s="59"/>
      <c r="J2" s="59"/>
      <c r="K2" s="59"/>
      <c r="L2" s="59"/>
    </row>
    <row r="4" spans="1:12" x14ac:dyDescent="0.2">
      <c r="A4" s="11" t="s">
        <v>315</v>
      </c>
      <c r="B4" s="11" t="s">
        <v>316</v>
      </c>
      <c r="C4" s="11" t="s">
        <v>317</v>
      </c>
      <c r="D4" s="11" t="s">
        <v>318</v>
      </c>
      <c r="E4" s="11" t="s">
        <v>319</v>
      </c>
      <c r="F4" s="11" t="s">
        <v>320</v>
      </c>
      <c r="G4" s="11" t="s">
        <v>3</v>
      </c>
      <c r="H4" s="11" t="s">
        <v>321</v>
      </c>
      <c r="I4" s="11" t="s">
        <v>322</v>
      </c>
      <c r="J4" s="11" t="s">
        <v>323</v>
      </c>
      <c r="K4" s="11" t="s">
        <v>324</v>
      </c>
      <c r="L4" s="11" t="s">
        <v>325</v>
      </c>
    </row>
    <row r="5" spans="1:12" ht="46.15" customHeight="1" x14ac:dyDescent="0.2">
      <c r="A5" s="13">
        <v>1</v>
      </c>
      <c r="B5" s="13" t="s">
        <v>326</v>
      </c>
      <c r="C5" s="13" t="s">
        <v>327</v>
      </c>
      <c r="D5" s="13" t="s">
        <v>25</v>
      </c>
      <c r="E5" s="13" t="s">
        <v>26</v>
      </c>
      <c r="F5" s="13" t="s">
        <v>27</v>
      </c>
      <c r="G5" s="13" t="s">
        <v>28</v>
      </c>
      <c r="H5" s="13" t="s">
        <v>29</v>
      </c>
      <c r="I5" s="13" t="s">
        <v>34</v>
      </c>
      <c r="J5" s="13" t="s">
        <v>59</v>
      </c>
      <c r="K5" s="13" t="s">
        <v>224</v>
      </c>
      <c r="L5" s="13" t="s">
        <v>328</v>
      </c>
    </row>
    <row r="6" spans="1:12" ht="46.15" customHeight="1" x14ac:dyDescent="0.2">
      <c r="A6" s="13">
        <v>2</v>
      </c>
      <c r="B6" s="13" t="s">
        <v>326</v>
      </c>
      <c r="C6" s="13" t="s">
        <v>327</v>
      </c>
      <c r="D6" s="13" t="s">
        <v>101</v>
      </c>
      <c r="E6" s="13" t="s">
        <v>102</v>
      </c>
      <c r="F6" s="13" t="s">
        <v>48</v>
      </c>
      <c r="G6" s="13" t="s">
        <v>49</v>
      </c>
      <c r="H6" s="13" t="s">
        <v>29</v>
      </c>
      <c r="I6" s="13" t="s">
        <v>34</v>
      </c>
      <c r="J6" s="13" t="s">
        <v>59</v>
      </c>
      <c r="K6" s="13" t="s">
        <v>224</v>
      </c>
      <c r="L6" s="13" t="s">
        <v>328</v>
      </c>
    </row>
    <row r="7" spans="1:12" ht="46.15" customHeight="1" x14ac:dyDescent="0.2">
      <c r="A7" s="13">
        <v>3</v>
      </c>
      <c r="B7" s="13" t="s">
        <v>326</v>
      </c>
      <c r="C7" s="13" t="s">
        <v>329</v>
      </c>
      <c r="D7" s="13" t="s">
        <v>111</v>
      </c>
      <c r="E7" s="13" t="s">
        <v>112</v>
      </c>
      <c r="F7" s="13" t="s">
        <v>48</v>
      </c>
      <c r="G7" s="13" t="s">
        <v>88</v>
      </c>
      <c r="H7" s="13" t="s">
        <v>113</v>
      </c>
      <c r="I7" s="13" t="s">
        <v>34</v>
      </c>
      <c r="J7" s="13" t="s">
        <v>59</v>
      </c>
      <c r="K7" s="13" t="s">
        <v>224</v>
      </c>
      <c r="L7" s="13" t="s">
        <v>328</v>
      </c>
    </row>
    <row r="8" spans="1:12" ht="46.15" customHeight="1" x14ac:dyDescent="0.2">
      <c r="A8" s="13">
        <v>4</v>
      </c>
      <c r="B8" s="13" t="s">
        <v>326</v>
      </c>
      <c r="C8" s="13" t="s">
        <v>329</v>
      </c>
      <c r="D8" s="13" t="s">
        <v>114</v>
      </c>
      <c r="E8" s="13" t="s">
        <v>330</v>
      </c>
      <c r="F8" s="13" t="s">
        <v>48</v>
      </c>
      <c r="G8" s="13" t="s">
        <v>88</v>
      </c>
      <c r="H8" s="13" t="s">
        <v>43</v>
      </c>
      <c r="I8" s="13" t="s">
        <v>34</v>
      </c>
      <c r="J8" s="13" t="s">
        <v>59</v>
      </c>
      <c r="K8" s="13" t="s">
        <v>224</v>
      </c>
      <c r="L8" s="13" t="s">
        <v>328</v>
      </c>
    </row>
    <row r="9" spans="1:12" ht="46.15" customHeight="1" x14ac:dyDescent="0.2">
      <c r="A9" s="13">
        <v>5</v>
      </c>
      <c r="B9" s="13" t="s">
        <v>326</v>
      </c>
      <c r="C9" s="13" t="s">
        <v>329</v>
      </c>
      <c r="D9" s="13" t="s">
        <v>116</v>
      </c>
      <c r="E9" s="13" t="s">
        <v>117</v>
      </c>
      <c r="F9" s="13" t="s">
        <v>48</v>
      </c>
      <c r="G9" s="13" t="s">
        <v>49</v>
      </c>
      <c r="H9" s="13" t="s">
        <v>29</v>
      </c>
      <c r="I9" s="13" t="s">
        <v>34</v>
      </c>
      <c r="J9" s="13" t="s">
        <v>59</v>
      </c>
      <c r="K9" s="13" t="s">
        <v>224</v>
      </c>
      <c r="L9" s="13" t="s">
        <v>328</v>
      </c>
    </row>
    <row r="10" spans="1:12" ht="46.15" customHeight="1" x14ac:dyDescent="0.2">
      <c r="A10" s="13">
        <v>6</v>
      </c>
      <c r="B10" s="13" t="s">
        <v>326</v>
      </c>
      <c r="C10" s="13" t="s">
        <v>329</v>
      </c>
      <c r="D10" s="13" t="s">
        <v>118</v>
      </c>
      <c r="E10" s="13" t="s">
        <v>119</v>
      </c>
      <c r="F10" s="13" t="s">
        <v>48</v>
      </c>
      <c r="G10" s="13" t="s">
        <v>49</v>
      </c>
      <c r="H10" s="13" t="s">
        <v>29</v>
      </c>
      <c r="I10" s="13" t="s">
        <v>34</v>
      </c>
      <c r="J10" s="13" t="s">
        <v>59</v>
      </c>
      <c r="K10" s="13" t="s">
        <v>224</v>
      </c>
      <c r="L10" s="13" t="s">
        <v>328</v>
      </c>
    </row>
    <row r="11" spans="1:12" ht="46.15" customHeight="1" x14ac:dyDescent="0.2">
      <c r="A11" s="13">
        <v>7</v>
      </c>
      <c r="B11" s="13" t="s">
        <v>326</v>
      </c>
      <c r="C11" s="13" t="s">
        <v>331</v>
      </c>
      <c r="D11" s="13" t="s">
        <v>128</v>
      </c>
      <c r="E11" s="13" t="s">
        <v>129</v>
      </c>
      <c r="F11" s="13" t="s">
        <v>37</v>
      </c>
      <c r="G11" s="13" t="s">
        <v>85</v>
      </c>
      <c r="H11" s="13" t="s">
        <v>130</v>
      </c>
      <c r="I11" s="13" t="s">
        <v>34</v>
      </c>
      <c r="J11" s="13" t="s">
        <v>59</v>
      </c>
      <c r="K11" s="13" t="s">
        <v>224</v>
      </c>
      <c r="L11" s="13" t="s">
        <v>328</v>
      </c>
    </row>
    <row r="12" spans="1:12" ht="46.15" customHeight="1" x14ac:dyDescent="0.2">
      <c r="A12" s="13">
        <v>8</v>
      </c>
      <c r="B12" s="13" t="s">
        <v>326</v>
      </c>
      <c r="C12" s="13" t="s">
        <v>332</v>
      </c>
      <c r="D12" s="13" t="s">
        <v>145</v>
      </c>
      <c r="E12" s="13" t="s">
        <v>143</v>
      </c>
      <c r="F12" s="13" t="s">
        <v>138</v>
      </c>
      <c r="G12" s="13" t="s">
        <v>144</v>
      </c>
      <c r="H12" s="13" t="s">
        <v>93</v>
      </c>
      <c r="I12" s="13" t="s">
        <v>34</v>
      </c>
      <c r="J12" s="13" t="s">
        <v>59</v>
      </c>
      <c r="K12" s="13" t="s">
        <v>224</v>
      </c>
      <c r="L12" s="13" t="s">
        <v>328</v>
      </c>
    </row>
    <row r="13" spans="1:12" ht="46.15" customHeight="1" x14ac:dyDescent="0.2">
      <c r="A13" s="13">
        <v>9</v>
      </c>
      <c r="B13" s="13" t="s">
        <v>326</v>
      </c>
      <c r="C13" s="13" t="s">
        <v>332</v>
      </c>
      <c r="D13" s="13" t="s">
        <v>149</v>
      </c>
      <c r="E13" s="13" t="s">
        <v>333</v>
      </c>
      <c r="F13" s="13" t="s">
        <v>151</v>
      </c>
      <c r="G13" s="13" t="s">
        <v>135</v>
      </c>
      <c r="H13" s="13" t="s">
        <v>152</v>
      </c>
      <c r="I13" s="13" t="s">
        <v>34</v>
      </c>
      <c r="J13" s="13" t="s">
        <v>59</v>
      </c>
      <c r="K13" s="13" t="s">
        <v>224</v>
      </c>
      <c r="L13" s="13" t="s">
        <v>328</v>
      </c>
    </row>
    <row r="14" spans="1:12" ht="46.15" customHeight="1" x14ac:dyDescent="0.2">
      <c r="A14" s="13">
        <v>10</v>
      </c>
      <c r="B14" s="13" t="s">
        <v>326</v>
      </c>
      <c r="C14" s="13" t="s">
        <v>332</v>
      </c>
      <c r="D14" s="13" t="s">
        <v>153</v>
      </c>
      <c r="E14" s="13" t="s">
        <v>154</v>
      </c>
      <c r="F14" s="13" t="s">
        <v>138</v>
      </c>
      <c r="G14" s="13" t="s">
        <v>135</v>
      </c>
      <c r="H14" s="13" t="s">
        <v>152</v>
      </c>
      <c r="I14" s="13" t="s">
        <v>34</v>
      </c>
      <c r="J14" s="13" t="s">
        <v>59</v>
      </c>
      <c r="K14" s="13" t="s">
        <v>224</v>
      </c>
      <c r="L14" s="13" t="s">
        <v>328</v>
      </c>
    </row>
    <row r="15" spans="1:12" ht="46.15" customHeight="1" x14ac:dyDescent="0.2">
      <c r="A15" s="13">
        <v>11</v>
      </c>
      <c r="B15" s="13" t="s">
        <v>326</v>
      </c>
      <c r="C15" s="13" t="s">
        <v>332</v>
      </c>
      <c r="D15" s="13" t="s">
        <v>334</v>
      </c>
      <c r="E15" s="13" t="s">
        <v>166</v>
      </c>
      <c r="F15" s="13" t="s">
        <v>151</v>
      </c>
      <c r="G15" s="13" t="s">
        <v>167</v>
      </c>
      <c r="H15" s="13" t="s">
        <v>168</v>
      </c>
      <c r="I15" s="13" t="s">
        <v>45</v>
      </c>
      <c r="J15" s="13" t="s">
        <v>59</v>
      </c>
      <c r="K15" s="13" t="s">
        <v>224</v>
      </c>
      <c r="L15" s="13" t="s">
        <v>328</v>
      </c>
    </row>
    <row r="16" spans="1:12" ht="46.15" customHeight="1" x14ac:dyDescent="0.2">
      <c r="A16" s="14">
        <v>12</v>
      </c>
      <c r="B16" s="14" t="s">
        <v>335</v>
      </c>
      <c r="C16" s="14" t="s">
        <v>327</v>
      </c>
      <c r="D16" s="14" t="s">
        <v>31</v>
      </c>
      <c r="E16" s="14" t="s">
        <v>32</v>
      </c>
      <c r="F16" s="14" t="s">
        <v>27</v>
      </c>
      <c r="G16" s="14" t="s">
        <v>28</v>
      </c>
      <c r="H16" s="14" t="s">
        <v>29</v>
      </c>
      <c r="I16" s="14" t="s">
        <v>34</v>
      </c>
      <c r="J16" s="14" t="s">
        <v>34</v>
      </c>
      <c r="K16" s="14" t="s">
        <v>336</v>
      </c>
      <c r="L16" s="14" t="s">
        <v>337</v>
      </c>
    </row>
    <row r="17" spans="1:12" ht="46.15" customHeight="1" x14ac:dyDescent="0.2">
      <c r="A17" s="14">
        <v>13</v>
      </c>
      <c r="B17" s="14" t="s">
        <v>335</v>
      </c>
      <c r="C17" s="14" t="s">
        <v>329</v>
      </c>
      <c r="D17" s="14" t="s">
        <v>111</v>
      </c>
      <c r="E17" s="14" t="s">
        <v>112</v>
      </c>
      <c r="F17" s="14" t="s">
        <v>48</v>
      </c>
      <c r="G17" s="14" t="s">
        <v>88</v>
      </c>
      <c r="H17" s="14" t="s">
        <v>113</v>
      </c>
      <c r="I17" s="14" t="s">
        <v>34</v>
      </c>
      <c r="J17" s="14" t="s">
        <v>34</v>
      </c>
      <c r="K17" s="14" t="s">
        <v>338</v>
      </c>
      <c r="L17" s="14" t="s">
        <v>339</v>
      </c>
    </row>
    <row r="18" spans="1:12" ht="46.15" customHeight="1" x14ac:dyDescent="0.2">
      <c r="A18" s="14">
        <v>14</v>
      </c>
      <c r="B18" s="14" t="s">
        <v>335</v>
      </c>
      <c r="C18" s="14" t="s">
        <v>329</v>
      </c>
      <c r="D18" s="14" t="s">
        <v>120</v>
      </c>
      <c r="E18" s="14" t="s">
        <v>121</v>
      </c>
      <c r="F18" s="14" t="s">
        <v>48</v>
      </c>
      <c r="G18" s="14" t="s">
        <v>49</v>
      </c>
      <c r="H18" s="14" t="s">
        <v>43</v>
      </c>
      <c r="I18" s="14" t="s">
        <v>59</v>
      </c>
      <c r="J18" s="14" t="s">
        <v>59</v>
      </c>
      <c r="K18" s="14" t="s">
        <v>271</v>
      </c>
      <c r="L18" s="14" t="s">
        <v>340</v>
      </c>
    </row>
    <row r="19" spans="1:12" ht="46.15" customHeight="1" x14ac:dyDescent="0.2">
      <c r="A19" s="14">
        <v>15</v>
      </c>
      <c r="B19" s="14" t="s">
        <v>335</v>
      </c>
      <c r="C19" s="14" t="s">
        <v>332</v>
      </c>
      <c r="D19" s="14" t="s">
        <v>159</v>
      </c>
      <c r="E19" s="14" t="s">
        <v>160</v>
      </c>
      <c r="F19" s="14" t="s">
        <v>27</v>
      </c>
      <c r="G19" s="14" t="s">
        <v>161</v>
      </c>
      <c r="H19" s="14" t="s">
        <v>29</v>
      </c>
      <c r="I19" s="14" t="s">
        <v>45</v>
      </c>
      <c r="J19" s="14" t="s">
        <v>45</v>
      </c>
      <c r="K19" s="14" t="s">
        <v>341</v>
      </c>
      <c r="L19" s="14" t="s">
        <v>342</v>
      </c>
    </row>
    <row r="20" spans="1:12" ht="46.15" customHeight="1" x14ac:dyDescent="0.2">
      <c r="A20" s="15">
        <v>16</v>
      </c>
      <c r="B20" s="15" t="s">
        <v>343</v>
      </c>
      <c r="C20" s="15" t="s">
        <v>327</v>
      </c>
      <c r="D20" s="15" t="s">
        <v>217</v>
      </c>
      <c r="E20" s="15" t="s">
        <v>218</v>
      </c>
      <c r="F20" s="15" t="s">
        <v>48</v>
      </c>
      <c r="G20" s="15" t="s">
        <v>219</v>
      </c>
      <c r="H20" s="15" t="s">
        <v>220</v>
      </c>
      <c r="I20" s="15" t="s">
        <v>344</v>
      </c>
      <c r="J20" s="15" t="s">
        <v>59</v>
      </c>
      <c r="K20" s="15" t="s">
        <v>221</v>
      </c>
      <c r="L20" s="15" t="s">
        <v>345</v>
      </c>
    </row>
    <row r="21" spans="1:12" ht="46.15" customHeight="1" x14ac:dyDescent="0.2">
      <c r="A21" s="15">
        <v>17</v>
      </c>
      <c r="B21" s="15" t="s">
        <v>343</v>
      </c>
      <c r="C21" s="15" t="s">
        <v>327</v>
      </c>
      <c r="D21" s="15" t="s">
        <v>222</v>
      </c>
      <c r="E21" s="15" t="s">
        <v>223</v>
      </c>
      <c r="F21" s="15" t="s">
        <v>48</v>
      </c>
      <c r="G21" s="15" t="s">
        <v>42</v>
      </c>
      <c r="H21" s="15" t="s">
        <v>29</v>
      </c>
      <c r="I21" s="15" t="s">
        <v>344</v>
      </c>
      <c r="J21" s="15" t="s">
        <v>59</v>
      </c>
      <c r="K21" s="15" t="s">
        <v>224</v>
      </c>
      <c r="L21" s="15" t="s">
        <v>345</v>
      </c>
    </row>
    <row r="22" spans="1:12" ht="46.15" customHeight="1" x14ac:dyDescent="0.2">
      <c r="A22" s="15">
        <v>18</v>
      </c>
      <c r="B22" s="15" t="s">
        <v>343</v>
      </c>
      <c r="C22" s="15" t="s">
        <v>327</v>
      </c>
      <c r="D22" s="15" t="s">
        <v>225</v>
      </c>
      <c r="E22" s="15" t="s">
        <v>226</v>
      </c>
      <c r="F22" s="15" t="s">
        <v>48</v>
      </c>
      <c r="G22" s="15" t="s">
        <v>52</v>
      </c>
      <c r="H22" s="15" t="s">
        <v>29</v>
      </c>
      <c r="I22" s="15" t="s">
        <v>344</v>
      </c>
      <c r="J22" s="15" t="s">
        <v>59</v>
      </c>
      <c r="K22" s="15" t="s">
        <v>227</v>
      </c>
      <c r="L22" s="15" t="s">
        <v>345</v>
      </c>
    </row>
    <row r="23" spans="1:12" ht="46.15" customHeight="1" x14ac:dyDescent="0.2">
      <c r="A23" s="15">
        <v>19</v>
      </c>
      <c r="B23" s="15" t="s">
        <v>343</v>
      </c>
      <c r="C23" s="15" t="s">
        <v>327</v>
      </c>
      <c r="D23" s="15" t="s">
        <v>228</v>
      </c>
      <c r="E23" s="15" t="s">
        <v>229</v>
      </c>
      <c r="F23" s="15" t="s">
        <v>48</v>
      </c>
      <c r="G23" s="15" t="s">
        <v>230</v>
      </c>
      <c r="H23" s="15" t="s">
        <v>231</v>
      </c>
      <c r="I23" s="15" t="s">
        <v>344</v>
      </c>
      <c r="J23" s="15" t="s">
        <v>59</v>
      </c>
      <c r="K23" s="15" t="s">
        <v>233</v>
      </c>
      <c r="L23" s="15" t="s">
        <v>345</v>
      </c>
    </row>
    <row r="24" spans="1:12" ht="46.15" customHeight="1" x14ac:dyDescent="0.2">
      <c r="A24" s="15">
        <v>20</v>
      </c>
      <c r="B24" s="15" t="s">
        <v>343</v>
      </c>
      <c r="C24" s="15" t="s">
        <v>327</v>
      </c>
      <c r="D24" s="15" t="s">
        <v>234</v>
      </c>
      <c r="E24" s="15" t="s">
        <v>235</v>
      </c>
      <c r="F24" s="15" t="s">
        <v>48</v>
      </c>
      <c r="G24" s="15" t="s">
        <v>52</v>
      </c>
      <c r="H24" s="15" t="s">
        <v>236</v>
      </c>
      <c r="I24" s="15" t="s">
        <v>344</v>
      </c>
      <c r="J24" s="15" t="s">
        <v>59</v>
      </c>
      <c r="K24" s="15" t="s">
        <v>237</v>
      </c>
      <c r="L24" s="15" t="s">
        <v>345</v>
      </c>
    </row>
    <row r="25" spans="1:12" ht="46.15" customHeight="1" x14ac:dyDescent="0.2">
      <c r="A25" s="15">
        <v>21</v>
      </c>
      <c r="B25" s="15" t="s">
        <v>343</v>
      </c>
      <c r="C25" s="15" t="s">
        <v>327</v>
      </c>
      <c r="D25" s="15" t="s">
        <v>238</v>
      </c>
      <c r="E25" s="15" t="s">
        <v>239</v>
      </c>
      <c r="F25" s="15" t="s">
        <v>27</v>
      </c>
      <c r="G25" s="15" t="s">
        <v>96</v>
      </c>
      <c r="H25" s="15" t="s">
        <v>240</v>
      </c>
      <c r="I25" s="15" t="s">
        <v>344</v>
      </c>
      <c r="J25" s="15" t="s">
        <v>241</v>
      </c>
      <c r="K25" s="15" t="s">
        <v>242</v>
      </c>
      <c r="L25" s="15" t="s">
        <v>345</v>
      </c>
    </row>
    <row r="26" spans="1:12" ht="46.15" customHeight="1" x14ac:dyDescent="0.2">
      <c r="A26" s="15">
        <v>22</v>
      </c>
      <c r="B26" s="15" t="s">
        <v>343</v>
      </c>
      <c r="C26" s="15" t="s">
        <v>327</v>
      </c>
      <c r="D26" s="15" t="s">
        <v>243</v>
      </c>
      <c r="E26" s="15" t="s">
        <v>244</v>
      </c>
      <c r="F26" s="15" t="s">
        <v>37</v>
      </c>
      <c r="G26" s="15" t="s">
        <v>52</v>
      </c>
      <c r="H26" s="15" t="s">
        <v>245</v>
      </c>
      <c r="I26" s="15" t="s">
        <v>344</v>
      </c>
      <c r="J26" s="15" t="s">
        <v>59</v>
      </c>
      <c r="K26" s="15" t="s">
        <v>246</v>
      </c>
      <c r="L26" s="15" t="s">
        <v>345</v>
      </c>
    </row>
    <row r="27" spans="1:12" ht="46.15" customHeight="1" x14ac:dyDescent="0.2">
      <c r="A27" s="15">
        <v>23</v>
      </c>
      <c r="B27" s="15" t="s">
        <v>343</v>
      </c>
      <c r="C27" s="15" t="s">
        <v>327</v>
      </c>
      <c r="D27" s="15" t="s">
        <v>247</v>
      </c>
      <c r="E27" s="15" t="s">
        <v>248</v>
      </c>
      <c r="F27" s="15" t="s">
        <v>27</v>
      </c>
      <c r="G27" s="15" t="s">
        <v>249</v>
      </c>
      <c r="H27" s="15" t="s">
        <v>250</v>
      </c>
      <c r="I27" s="15" t="s">
        <v>344</v>
      </c>
      <c r="J27" s="15" t="s">
        <v>241</v>
      </c>
      <c r="K27" s="15" t="s">
        <v>251</v>
      </c>
      <c r="L27" s="15" t="s">
        <v>345</v>
      </c>
    </row>
    <row r="28" spans="1:12" ht="46.15" customHeight="1" x14ac:dyDescent="0.2">
      <c r="A28" s="15">
        <v>24</v>
      </c>
      <c r="B28" s="15" t="s">
        <v>343</v>
      </c>
      <c r="C28" s="15" t="s">
        <v>327</v>
      </c>
      <c r="D28" s="15" t="s">
        <v>252</v>
      </c>
      <c r="E28" s="15" t="s">
        <v>253</v>
      </c>
      <c r="F28" s="15" t="s">
        <v>48</v>
      </c>
      <c r="G28" s="15" t="s">
        <v>52</v>
      </c>
      <c r="H28" s="15" t="s">
        <v>254</v>
      </c>
      <c r="I28" s="15" t="s">
        <v>344</v>
      </c>
      <c r="J28" s="15" t="s">
        <v>241</v>
      </c>
      <c r="K28" s="15" t="s">
        <v>256</v>
      </c>
      <c r="L28" s="15" t="s">
        <v>345</v>
      </c>
    </row>
    <row r="29" spans="1:12" ht="46.15" customHeight="1" x14ac:dyDescent="0.2">
      <c r="A29" s="15">
        <v>25</v>
      </c>
      <c r="B29" s="15" t="s">
        <v>343</v>
      </c>
      <c r="C29" s="15" t="s">
        <v>327</v>
      </c>
      <c r="D29" s="15" t="s">
        <v>257</v>
      </c>
      <c r="E29" s="15" t="s">
        <v>258</v>
      </c>
      <c r="F29" s="15" t="s">
        <v>27</v>
      </c>
      <c r="G29" s="15" t="s">
        <v>259</v>
      </c>
      <c r="H29" s="15" t="s">
        <v>260</v>
      </c>
      <c r="I29" s="15" t="s">
        <v>344</v>
      </c>
      <c r="J29" s="15" t="s">
        <v>261</v>
      </c>
      <c r="K29" s="15" t="s">
        <v>262</v>
      </c>
      <c r="L29" s="15" t="s">
        <v>345</v>
      </c>
    </row>
    <row r="30" spans="1:12" ht="46.15" customHeight="1" x14ac:dyDescent="0.2">
      <c r="A30" s="15">
        <v>26</v>
      </c>
      <c r="B30" s="15" t="s">
        <v>343</v>
      </c>
      <c r="C30" s="15" t="s">
        <v>329</v>
      </c>
      <c r="D30" s="15" t="s">
        <v>263</v>
      </c>
      <c r="E30" s="15" t="s">
        <v>264</v>
      </c>
      <c r="F30" s="15" t="s">
        <v>265</v>
      </c>
      <c r="G30" s="15" t="s">
        <v>266</v>
      </c>
      <c r="H30" s="15" t="s">
        <v>267</v>
      </c>
      <c r="I30" s="15" t="s">
        <v>344</v>
      </c>
      <c r="J30" s="15" t="s">
        <v>59</v>
      </c>
      <c r="K30" s="15" t="s">
        <v>224</v>
      </c>
      <c r="L30" s="15" t="s">
        <v>345</v>
      </c>
    </row>
    <row r="31" spans="1:12" ht="46.15" customHeight="1" x14ac:dyDescent="0.2">
      <c r="A31" s="15">
        <v>27</v>
      </c>
      <c r="B31" s="15" t="s">
        <v>343</v>
      </c>
      <c r="C31" s="15" t="s">
        <v>329</v>
      </c>
      <c r="D31" s="15" t="s">
        <v>268</v>
      </c>
      <c r="E31" s="15" t="s">
        <v>269</v>
      </c>
      <c r="F31" s="15" t="s">
        <v>48</v>
      </c>
      <c r="G31" s="15" t="s">
        <v>219</v>
      </c>
      <c r="H31" s="15" t="s">
        <v>270</v>
      </c>
      <c r="I31" s="15" t="s">
        <v>344</v>
      </c>
      <c r="J31" s="15" t="s">
        <v>59</v>
      </c>
      <c r="K31" s="15" t="s">
        <v>271</v>
      </c>
      <c r="L31" s="15" t="s">
        <v>345</v>
      </c>
    </row>
    <row r="32" spans="1:12" ht="46.15" customHeight="1" x14ac:dyDescent="0.2">
      <c r="A32" s="15">
        <v>28</v>
      </c>
      <c r="B32" s="15" t="s">
        <v>343</v>
      </c>
      <c r="C32" s="15" t="s">
        <v>331</v>
      </c>
      <c r="D32" s="15" t="s">
        <v>272</v>
      </c>
      <c r="E32" s="15" t="s">
        <v>273</v>
      </c>
      <c r="F32" s="15" t="s">
        <v>48</v>
      </c>
      <c r="G32" s="15" t="s">
        <v>75</v>
      </c>
      <c r="H32" s="15" t="s">
        <v>274</v>
      </c>
      <c r="I32" s="15" t="s">
        <v>344</v>
      </c>
      <c r="J32" s="15" t="s">
        <v>59</v>
      </c>
      <c r="K32" s="15" t="s">
        <v>224</v>
      </c>
      <c r="L32" s="15" t="s">
        <v>345</v>
      </c>
    </row>
    <row r="33" spans="1:12" ht="46.15" customHeight="1" x14ac:dyDescent="0.2">
      <c r="A33" s="15">
        <v>29</v>
      </c>
      <c r="B33" s="15" t="s">
        <v>343</v>
      </c>
      <c r="C33" s="15" t="s">
        <v>331</v>
      </c>
      <c r="D33" s="15" t="s">
        <v>275</v>
      </c>
      <c r="E33" s="15" t="s">
        <v>276</v>
      </c>
      <c r="F33" s="15" t="s">
        <v>48</v>
      </c>
      <c r="G33" s="15" t="s">
        <v>75</v>
      </c>
      <c r="H33" s="15" t="s">
        <v>277</v>
      </c>
      <c r="I33" s="15" t="s">
        <v>344</v>
      </c>
      <c r="J33" s="15" t="s">
        <v>278</v>
      </c>
      <c r="K33" s="15" t="s">
        <v>279</v>
      </c>
      <c r="L33" s="15" t="s">
        <v>345</v>
      </c>
    </row>
    <row r="34" spans="1:12" ht="46.15" customHeight="1" x14ac:dyDescent="0.2">
      <c r="A34" s="15">
        <v>30</v>
      </c>
      <c r="B34" s="15" t="s">
        <v>343</v>
      </c>
      <c r="C34" s="15" t="s">
        <v>331</v>
      </c>
      <c r="D34" s="15" t="s">
        <v>280</v>
      </c>
      <c r="E34" s="15" t="s">
        <v>281</v>
      </c>
      <c r="F34" s="15" t="s">
        <v>48</v>
      </c>
      <c r="G34" s="15" t="s">
        <v>259</v>
      </c>
      <c r="H34" s="15" t="s">
        <v>282</v>
      </c>
      <c r="I34" s="15" t="s">
        <v>344</v>
      </c>
      <c r="J34" s="15" t="s">
        <v>59</v>
      </c>
      <c r="K34" s="15" t="s">
        <v>224</v>
      </c>
      <c r="L34" s="15" t="s">
        <v>345</v>
      </c>
    </row>
    <row r="35" spans="1:12" ht="46.15" customHeight="1" x14ac:dyDescent="0.2">
      <c r="A35" s="15">
        <v>31</v>
      </c>
      <c r="B35" s="15" t="s">
        <v>343</v>
      </c>
      <c r="C35" s="15" t="s">
        <v>331</v>
      </c>
      <c r="D35" s="15" t="s">
        <v>283</v>
      </c>
      <c r="E35" s="15" t="s">
        <v>284</v>
      </c>
      <c r="F35" s="15" t="s">
        <v>48</v>
      </c>
      <c r="G35" s="15" t="s">
        <v>75</v>
      </c>
      <c r="H35" s="15" t="s">
        <v>285</v>
      </c>
      <c r="I35" s="15" t="s">
        <v>344</v>
      </c>
      <c r="J35" s="15" t="s">
        <v>286</v>
      </c>
      <c r="K35" s="15" t="s">
        <v>279</v>
      </c>
      <c r="L35" s="15" t="s">
        <v>345</v>
      </c>
    </row>
    <row r="36" spans="1:12" ht="46.15" customHeight="1" x14ac:dyDescent="0.2">
      <c r="A36" s="15">
        <v>32</v>
      </c>
      <c r="B36" s="15" t="s">
        <v>343</v>
      </c>
      <c r="C36" s="15" t="s">
        <v>331</v>
      </c>
      <c r="D36" s="15" t="s">
        <v>287</v>
      </c>
      <c r="E36" s="15" t="s">
        <v>288</v>
      </c>
      <c r="F36" s="15" t="s">
        <v>48</v>
      </c>
      <c r="G36" s="15" t="s">
        <v>75</v>
      </c>
      <c r="H36" s="15" t="s">
        <v>289</v>
      </c>
      <c r="I36" s="15" t="s">
        <v>344</v>
      </c>
      <c r="J36" s="15" t="s">
        <v>278</v>
      </c>
      <c r="K36" s="15" t="s">
        <v>290</v>
      </c>
      <c r="L36" s="15" t="s">
        <v>345</v>
      </c>
    </row>
    <row r="37" spans="1:12" ht="46.15" customHeight="1" x14ac:dyDescent="0.2">
      <c r="A37" s="15">
        <v>33</v>
      </c>
      <c r="B37" s="15" t="s">
        <v>343</v>
      </c>
      <c r="C37" s="15" t="s">
        <v>332</v>
      </c>
      <c r="D37" s="15" t="s">
        <v>291</v>
      </c>
      <c r="E37" s="15" t="s">
        <v>292</v>
      </c>
      <c r="F37" s="15" t="s">
        <v>27</v>
      </c>
      <c r="G37" s="15" t="s">
        <v>293</v>
      </c>
      <c r="H37" s="15" t="s">
        <v>29</v>
      </c>
      <c r="I37" s="15" t="s">
        <v>344</v>
      </c>
      <c r="J37" s="15" t="s">
        <v>59</v>
      </c>
      <c r="K37" s="15" t="s">
        <v>224</v>
      </c>
      <c r="L37" s="15" t="s">
        <v>345</v>
      </c>
    </row>
    <row r="38" spans="1:12" ht="46.15" customHeight="1" x14ac:dyDescent="0.2">
      <c r="A38" s="15">
        <v>34</v>
      </c>
      <c r="B38" s="15" t="s">
        <v>343</v>
      </c>
      <c r="C38" s="15" t="s">
        <v>332</v>
      </c>
      <c r="D38" s="15" t="s">
        <v>294</v>
      </c>
      <c r="E38" s="15" t="s">
        <v>295</v>
      </c>
      <c r="F38" s="15" t="s">
        <v>296</v>
      </c>
      <c r="G38" s="15" t="s">
        <v>297</v>
      </c>
      <c r="H38" s="15" t="s">
        <v>298</v>
      </c>
      <c r="I38" s="15" t="s">
        <v>344</v>
      </c>
      <c r="J38" s="15" t="s">
        <v>299</v>
      </c>
      <c r="K38" s="15" t="s">
        <v>300</v>
      </c>
      <c r="L38" s="15" t="s">
        <v>345</v>
      </c>
    </row>
    <row r="39" spans="1:12" ht="46.15" customHeight="1" x14ac:dyDescent="0.2">
      <c r="A39" s="15">
        <v>35</v>
      </c>
      <c r="B39" s="15" t="s">
        <v>343</v>
      </c>
      <c r="C39" s="15" t="s">
        <v>346</v>
      </c>
      <c r="D39" s="15" t="s">
        <v>301</v>
      </c>
      <c r="E39" s="15" t="s">
        <v>302</v>
      </c>
      <c r="F39" s="15" t="s">
        <v>48</v>
      </c>
      <c r="G39" s="15" t="s">
        <v>88</v>
      </c>
      <c r="H39" s="15" t="s">
        <v>303</v>
      </c>
      <c r="I39" s="15" t="s">
        <v>344</v>
      </c>
      <c r="J39" s="15" t="s">
        <v>59</v>
      </c>
      <c r="K39" s="15" t="s">
        <v>224</v>
      </c>
      <c r="L39" s="15" t="s">
        <v>345</v>
      </c>
    </row>
    <row r="40" spans="1:12" ht="46.15" customHeight="1" x14ac:dyDescent="0.2">
      <c r="A40" s="15">
        <v>36</v>
      </c>
      <c r="B40" s="15" t="s">
        <v>343</v>
      </c>
      <c r="C40" s="15" t="s">
        <v>346</v>
      </c>
      <c r="D40" s="15" t="s">
        <v>304</v>
      </c>
      <c r="E40" s="15" t="s">
        <v>305</v>
      </c>
      <c r="F40" s="15" t="s">
        <v>48</v>
      </c>
      <c r="G40" s="15" t="s">
        <v>219</v>
      </c>
      <c r="H40" s="15" t="s">
        <v>306</v>
      </c>
      <c r="I40" s="15" t="s">
        <v>344</v>
      </c>
      <c r="J40" s="15" t="s">
        <v>241</v>
      </c>
      <c r="K40" s="15" t="s">
        <v>271</v>
      </c>
      <c r="L40" s="15" t="s">
        <v>345</v>
      </c>
    </row>
    <row r="41" spans="1:12" ht="46.15" customHeight="1" x14ac:dyDescent="0.2">
      <c r="A41" s="15">
        <v>37</v>
      </c>
      <c r="B41" s="15" t="s">
        <v>343</v>
      </c>
      <c r="C41" s="15" t="s">
        <v>347</v>
      </c>
      <c r="D41" s="15" t="s">
        <v>307</v>
      </c>
      <c r="E41" s="15" t="s">
        <v>308</v>
      </c>
      <c r="F41" s="15" t="s">
        <v>48</v>
      </c>
      <c r="G41" s="15" t="s">
        <v>219</v>
      </c>
      <c r="H41" s="15" t="s">
        <v>309</v>
      </c>
      <c r="I41" s="15" t="s">
        <v>344</v>
      </c>
      <c r="J41" s="15" t="s">
        <v>278</v>
      </c>
      <c r="K41" s="15" t="s">
        <v>310</v>
      </c>
      <c r="L41" s="15" t="s">
        <v>345</v>
      </c>
    </row>
  </sheetData>
  <mergeCells count="2">
    <mergeCell ref="A1:L1"/>
    <mergeCell ref="A2: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3"/>
  <sheetViews>
    <sheetView showGridLines="0" workbookViewId="0">
      <selection sqref="A1:E1"/>
    </sheetView>
  </sheetViews>
  <sheetFormatPr defaultRowHeight="14.25" x14ac:dyDescent="0.2"/>
  <cols>
    <col min="1" max="1" width="7" customWidth="1"/>
    <col min="2" max="2" width="24" customWidth="1"/>
    <col min="3" max="3" width="36" customWidth="1"/>
    <col min="4" max="4" width="52" customWidth="1"/>
    <col min="5" max="5" width="45" customWidth="1"/>
  </cols>
  <sheetData>
    <row r="1" spans="1:5" ht="18.75" x14ac:dyDescent="0.3">
      <c r="A1" s="60" t="s">
        <v>348</v>
      </c>
      <c r="B1" s="60"/>
      <c r="C1" s="60"/>
      <c r="D1" s="60"/>
      <c r="E1" s="60"/>
    </row>
    <row r="2" spans="1:5" ht="15" x14ac:dyDescent="0.25">
      <c r="A2" s="61" t="s">
        <v>349</v>
      </c>
      <c r="B2" s="61"/>
      <c r="C2" s="61"/>
      <c r="D2" s="61"/>
      <c r="E2" s="61"/>
    </row>
    <row r="4" spans="1:5" x14ac:dyDescent="0.2">
      <c r="A4" s="10" t="s">
        <v>315</v>
      </c>
      <c r="B4" s="10" t="s">
        <v>350</v>
      </c>
      <c r="C4" s="10" t="s">
        <v>351</v>
      </c>
      <c r="D4" s="10" t="s">
        <v>352</v>
      </c>
      <c r="E4" s="10" t="s">
        <v>353</v>
      </c>
    </row>
    <row r="5" spans="1:5" ht="36" customHeight="1" x14ac:dyDescent="0.2">
      <c r="A5" s="12">
        <v>1</v>
      </c>
      <c r="B5" s="12" t="s">
        <v>262</v>
      </c>
      <c r="C5" s="12" t="s">
        <v>354</v>
      </c>
      <c r="D5" s="12" t="s">
        <v>355</v>
      </c>
      <c r="E5" s="12" t="s">
        <v>356</v>
      </c>
    </row>
    <row r="6" spans="1:5" ht="36" customHeight="1" x14ac:dyDescent="0.2">
      <c r="A6" s="12">
        <v>2</v>
      </c>
      <c r="B6" s="12" t="s">
        <v>336</v>
      </c>
      <c r="C6" s="12" t="s">
        <v>357</v>
      </c>
      <c r="D6" s="12" t="s">
        <v>358</v>
      </c>
      <c r="E6" s="12" t="s">
        <v>356</v>
      </c>
    </row>
    <row r="7" spans="1:5" ht="36" customHeight="1" x14ac:dyDescent="0.2">
      <c r="A7" s="12">
        <v>3</v>
      </c>
      <c r="B7" s="12" t="s">
        <v>359</v>
      </c>
      <c r="C7" s="12" t="s">
        <v>360</v>
      </c>
      <c r="D7" s="12" t="s">
        <v>361</v>
      </c>
      <c r="E7" s="12" t="s">
        <v>356</v>
      </c>
    </row>
    <row r="8" spans="1:5" ht="36" customHeight="1" x14ac:dyDescent="0.2">
      <c r="A8" s="12">
        <v>4</v>
      </c>
      <c r="B8" s="12" t="s">
        <v>362</v>
      </c>
      <c r="C8" s="12" t="s">
        <v>363</v>
      </c>
      <c r="D8" s="12" t="s">
        <v>364</v>
      </c>
      <c r="E8" s="12" t="s">
        <v>356</v>
      </c>
    </row>
    <row r="9" spans="1:5" ht="36" customHeight="1" x14ac:dyDescent="0.2">
      <c r="A9" s="12">
        <v>5</v>
      </c>
      <c r="B9" s="12" t="s">
        <v>365</v>
      </c>
      <c r="C9" s="12" t="s">
        <v>366</v>
      </c>
      <c r="D9" s="12" t="s">
        <v>367</v>
      </c>
      <c r="E9" s="12" t="s">
        <v>356</v>
      </c>
    </row>
    <row r="10" spans="1:5" ht="36" customHeight="1" x14ac:dyDescent="0.2">
      <c r="A10" s="12">
        <v>6</v>
      </c>
      <c r="B10" s="12" t="s">
        <v>237</v>
      </c>
      <c r="C10" s="12" t="s">
        <v>368</v>
      </c>
      <c r="D10" s="12" t="s">
        <v>369</v>
      </c>
      <c r="E10" s="12" t="s">
        <v>356</v>
      </c>
    </row>
    <row r="11" spans="1:5" ht="36" customHeight="1" x14ac:dyDescent="0.2">
      <c r="A11" s="12">
        <v>7</v>
      </c>
      <c r="B11" s="12" t="s">
        <v>227</v>
      </c>
      <c r="C11" s="12" t="s">
        <v>370</v>
      </c>
      <c r="D11" s="12" t="s">
        <v>369</v>
      </c>
      <c r="E11" s="12" t="s">
        <v>356</v>
      </c>
    </row>
    <row r="12" spans="1:5" ht="36" customHeight="1" x14ac:dyDescent="0.2">
      <c r="A12" s="12">
        <v>8</v>
      </c>
      <c r="B12" s="12" t="s">
        <v>242</v>
      </c>
      <c r="C12" s="12" t="s">
        <v>371</v>
      </c>
      <c r="D12" s="12" t="s">
        <v>369</v>
      </c>
      <c r="E12" s="12" t="s">
        <v>356</v>
      </c>
    </row>
    <row r="13" spans="1:5" ht="36" customHeight="1" x14ac:dyDescent="0.2">
      <c r="A13" s="12">
        <v>9</v>
      </c>
      <c r="B13" s="12" t="s">
        <v>372</v>
      </c>
      <c r="C13" s="12" t="s">
        <v>373</v>
      </c>
      <c r="D13" s="12" t="s">
        <v>374</v>
      </c>
      <c r="E13" s="12" t="s">
        <v>356</v>
      </c>
    </row>
    <row r="14" spans="1:5" ht="36" customHeight="1" x14ac:dyDescent="0.2">
      <c r="A14" s="12">
        <v>10</v>
      </c>
      <c r="B14" s="12" t="s">
        <v>246</v>
      </c>
      <c r="C14" s="12" t="s">
        <v>375</v>
      </c>
      <c r="D14" s="12" t="s">
        <v>369</v>
      </c>
      <c r="E14" s="12" t="s">
        <v>356</v>
      </c>
    </row>
    <row r="15" spans="1:5" ht="36" customHeight="1" x14ac:dyDescent="0.2">
      <c r="A15" s="12">
        <v>11</v>
      </c>
      <c r="B15" s="12" t="s">
        <v>376</v>
      </c>
      <c r="C15" s="12" t="s">
        <v>377</v>
      </c>
      <c r="D15" s="12" t="s">
        <v>378</v>
      </c>
      <c r="E15" s="12" t="s">
        <v>356</v>
      </c>
    </row>
    <row r="16" spans="1:5" ht="36" customHeight="1" x14ac:dyDescent="0.2">
      <c r="A16" s="12">
        <v>12</v>
      </c>
      <c r="B16" s="12" t="s">
        <v>341</v>
      </c>
      <c r="C16" s="12" t="s">
        <v>379</v>
      </c>
      <c r="D16" s="12" t="s">
        <v>380</v>
      </c>
      <c r="E16" s="12" t="s">
        <v>356</v>
      </c>
    </row>
    <row r="17" spans="1:5" ht="36" customHeight="1" x14ac:dyDescent="0.2">
      <c r="A17" s="12">
        <v>13</v>
      </c>
      <c r="B17" s="12" t="s">
        <v>256</v>
      </c>
      <c r="C17" s="12" t="s">
        <v>381</v>
      </c>
      <c r="D17" s="12" t="s">
        <v>369</v>
      </c>
      <c r="E17" s="12" t="s">
        <v>356</v>
      </c>
    </row>
    <row r="18" spans="1:5" ht="36" customHeight="1" x14ac:dyDescent="0.2">
      <c r="A18" s="12">
        <v>14</v>
      </c>
      <c r="B18" s="12" t="s">
        <v>271</v>
      </c>
      <c r="C18" s="12" t="s">
        <v>382</v>
      </c>
      <c r="D18" s="12" t="s">
        <v>383</v>
      </c>
      <c r="E18" s="12" t="s">
        <v>356</v>
      </c>
    </row>
    <row r="19" spans="1:5" ht="36" customHeight="1" x14ac:dyDescent="0.2">
      <c r="A19" s="12">
        <v>15</v>
      </c>
      <c r="B19" s="12" t="s">
        <v>384</v>
      </c>
      <c r="C19" s="12" t="s">
        <v>385</v>
      </c>
      <c r="D19" s="12" t="s">
        <v>386</v>
      </c>
      <c r="E19" s="12" t="s">
        <v>356</v>
      </c>
    </row>
    <row r="20" spans="1:5" ht="36" customHeight="1" x14ac:dyDescent="0.2">
      <c r="A20" s="12">
        <v>16</v>
      </c>
      <c r="B20" s="12" t="s">
        <v>387</v>
      </c>
      <c r="C20" s="12" t="s">
        <v>388</v>
      </c>
      <c r="D20" s="12" t="s">
        <v>389</v>
      </c>
      <c r="E20" s="12" t="s">
        <v>356</v>
      </c>
    </row>
    <row r="21" spans="1:5" ht="36" customHeight="1" x14ac:dyDescent="0.2">
      <c r="A21" s="12">
        <v>17</v>
      </c>
      <c r="B21" s="12" t="s">
        <v>224</v>
      </c>
      <c r="C21" s="12" t="s">
        <v>390</v>
      </c>
      <c r="D21" s="12" t="s">
        <v>391</v>
      </c>
      <c r="E21" s="12" t="s">
        <v>356</v>
      </c>
    </row>
    <row r="22" spans="1:5" ht="36" customHeight="1" x14ac:dyDescent="0.2">
      <c r="A22" s="12">
        <v>18</v>
      </c>
      <c r="B22" s="12" t="s">
        <v>392</v>
      </c>
      <c r="C22" s="12" t="s">
        <v>393</v>
      </c>
      <c r="D22" s="12" t="s">
        <v>394</v>
      </c>
      <c r="E22" s="12" t="s">
        <v>356</v>
      </c>
    </row>
    <row r="23" spans="1:5" ht="36" customHeight="1" x14ac:dyDescent="0.2">
      <c r="A23" s="12">
        <v>19</v>
      </c>
      <c r="B23" s="12" t="s">
        <v>395</v>
      </c>
      <c r="C23" s="12" t="s">
        <v>396</v>
      </c>
      <c r="D23" s="12" t="s">
        <v>397</v>
      </c>
      <c r="E23" s="12" t="s">
        <v>356</v>
      </c>
    </row>
    <row r="24" spans="1:5" ht="36" customHeight="1" x14ac:dyDescent="0.2">
      <c r="A24" s="12">
        <v>20</v>
      </c>
      <c r="B24" s="12" t="s">
        <v>279</v>
      </c>
      <c r="C24" s="12" t="s">
        <v>398</v>
      </c>
      <c r="D24" s="12" t="s">
        <v>399</v>
      </c>
      <c r="E24" s="12" t="s">
        <v>356</v>
      </c>
    </row>
    <row r="25" spans="1:5" ht="36" customHeight="1" x14ac:dyDescent="0.2">
      <c r="A25" s="12">
        <v>21</v>
      </c>
      <c r="B25" s="12" t="s">
        <v>233</v>
      </c>
      <c r="C25" s="12" t="s">
        <v>400</v>
      </c>
      <c r="D25" s="12" t="s">
        <v>369</v>
      </c>
      <c r="E25" s="12" t="s">
        <v>356</v>
      </c>
    </row>
    <row r="26" spans="1:5" ht="36" customHeight="1" x14ac:dyDescent="0.2">
      <c r="A26" s="12">
        <v>22</v>
      </c>
      <c r="B26" s="12" t="s">
        <v>401</v>
      </c>
      <c r="C26" s="12" t="s">
        <v>402</v>
      </c>
      <c r="D26" s="12" t="s">
        <v>403</v>
      </c>
      <c r="E26" s="12" t="s">
        <v>356</v>
      </c>
    </row>
    <row r="27" spans="1:5" ht="36" customHeight="1" x14ac:dyDescent="0.2">
      <c r="A27" s="12">
        <v>23</v>
      </c>
      <c r="B27" s="12" t="s">
        <v>404</v>
      </c>
      <c r="C27" s="12" t="s">
        <v>405</v>
      </c>
      <c r="D27" s="12" t="s">
        <v>406</v>
      </c>
      <c r="E27" s="12" t="s">
        <v>356</v>
      </c>
    </row>
    <row r="28" spans="1:5" ht="36" customHeight="1" x14ac:dyDescent="0.2">
      <c r="A28" s="12">
        <v>24</v>
      </c>
      <c r="B28" s="12" t="s">
        <v>407</v>
      </c>
      <c r="C28" s="12" t="s">
        <v>408</v>
      </c>
      <c r="D28" s="12" t="s">
        <v>409</v>
      </c>
      <c r="E28" s="12" t="s">
        <v>356</v>
      </c>
    </row>
    <row r="29" spans="1:5" ht="36" customHeight="1" x14ac:dyDescent="0.2">
      <c r="A29" s="12">
        <v>25</v>
      </c>
      <c r="B29" s="12" t="s">
        <v>300</v>
      </c>
      <c r="C29" s="12" t="s">
        <v>410</v>
      </c>
      <c r="D29" s="12" t="s">
        <v>369</v>
      </c>
      <c r="E29" s="12" t="s">
        <v>356</v>
      </c>
    </row>
    <row r="30" spans="1:5" ht="36" customHeight="1" x14ac:dyDescent="0.2">
      <c r="A30" s="12">
        <v>26</v>
      </c>
      <c r="B30" s="12" t="s">
        <v>411</v>
      </c>
      <c r="C30" s="12" t="s">
        <v>412</v>
      </c>
      <c r="D30" s="12" t="s">
        <v>413</v>
      </c>
      <c r="E30" s="12" t="s">
        <v>356</v>
      </c>
    </row>
    <row r="31" spans="1:5" ht="36" customHeight="1" x14ac:dyDescent="0.2">
      <c r="A31" s="12">
        <v>27</v>
      </c>
      <c r="B31" s="12" t="s">
        <v>414</v>
      </c>
      <c r="C31" s="12" t="s">
        <v>415</v>
      </c>
      <c r="D31" s="12" t="s">
        <v>416</v>
      </c>
      <c r="E31" s="12" t="s">
        <v>356</v>
      </c>
    </row>
    <row r="32" spans="1:5" ht="36" customHeight="1" x14ac:dyDescent="0.2">
      <c r="A32" s="12">
        <v>28</v>
      </c>
      <c r="B32" s="12" t="s">
        <v>221</v>
      </c>
      <c r="C32" s="12" t="s">
        <v>417</v>
      </c>
      <c r="D32" s="12" t="s">
        <v>369</v>
      </c>
      <c r="E32" s="12" t="s">
        <v>356</v>
      </c>
    </row>
    <row r="33" spans="1:5" ht="36" customHeight="1" x14ac:dyDescent="0.2">
      <c r="A33" s="12">
        <v>29</v>
      </c>
      <c r="B33" s="12" t="s">
        <v>418</v>
      </c>
      <c r="C33" s="12" t="s">
        <v>419</v>
      </c>
      <c r="D33" s="12" t="s">
        <v>420</v>
      </c>
      <c r="E33" s="12" t="s">
        <v>356</v>
      </c>
    </row>
    <row r="34" spans="1:5" ht="36" customHeight="1" x14ac:dyDescent="0.2">
      <c r="A34" s="12">
        <v>30</v>
      </c>
      <c r="B34" s="12" t="s">
        <v>421</v>
      </c>
      <c r="C34" s="12" t="s">
        <v>422</v>
      </c>
      <c r="D34" s="12" t="s">
        <v>423</v>
      </c>
      <c r="E34" s="12" t="s">
        <v>356</v>
      </c>
    </row>
    <row r="35" spans="1:5" ht="36" customHeight="1" x14ac:dyDescent="0.2">
      <c r="A35" s="12">
        <v>31</v>
      </c>
      <c r="B35" s="12" t="s">
        <v>424</v>
      </c>
      <c r="C35" s="12" t="s">
        <v>425</v>
      </c>
      <c r="D35" s="12" t="s">
        <v>426</v>
      </c>
      <c r="E35" s="12" t="s">
        <v>356</v>
      </c>
    </row>
    <row r="36" spans="1:5" ht="36" customHeight="1" x14ac:dyDescent="0.2">
      <c r="A36" s="12">
        <v>32</v>
      </c>
      <c r="B36" s="12" t="s">
        <v>427</v>
      </c>
      <c r="C36" s="12" t="s">
        <v>428</v>
      </c>
      <c r="D36" s="12" t="s">
        <v>429</v>
      </c>
      <c r="E36" s="12" t="s">
        <v>356</v>
      </c>
    </row>
    <row r="37" spans="1:5" ht="36" customHeight="1" x14ac:dyDescent="0.2">
      <c r="A37" s="12">
        <v>33</v>
      </c>
      <c r="B37" s="12" t="s">
        <v>430</v>
      </c>
      <c r="C37" s="12" t="s">
        <v>431</v>
      </c>
      <c r="D37" s="12" t="s">
        <v>432</v>
      </c>
      <c r="E37" s="12" t="s">
        <v>356</v>
      </c>
    </row>
    <row r="38" spans="1:5" ht="36" customHeight="1" x14ac:dyDescent="0.2">
      <c r="A38" s="12">
        <v>34</v>
      </c>
      <c r="B38" s="12" t="s">
        <v>433</v>
      </c>
      <c r="C38" s="12" t="s">
        <v>434</v>
      </c>
      <c r="D38" s="12" t="s">
        <v>435</v>
      </c>
      <c r="E38" s="12" t="s">
        <v>356</v>
      </c>
    </row>
    <row r="39" spans="1:5" ht="36" customHeight="1" x14ac:dyDescent="0.2">
      <c r="A39" s="12">
        <v>35</v>
      </c>
      <c r="B39" s="12" t="s">
        <v>436</v>
      </c>
      <c r="C39" s="12" t="s">
        <v>437</v>
      </c>
      <c r="D39" s="12" t="s">
        <v>438</v>
      </c>
      <c r="E39" s="12" t="s">
        <v>356</v>
      </c>
    </row>
    <row r="40" spans="1:5" ht="36" customHeight="1" x14ac:dyDescent="0.2">
      <c r="A40" s="12">
        <v>36</v>
      </c>
      <c r="B40" s="12" t="s">
        <v>439</v>
      </c>
      <c r="C40" s="12" t="s">
        <v>440</v>
      </c>
      <c r="D40" s="12" t="s">
        <v>441</v>
      </c>
      <c r="E40" s="12" t="s">
        <v>356</v>
      </c>
    </row>
    <row r="41" spans="1:5" ht="36" customHeight="1" x14ac:dyDescent="0.2">
      <c r="A41" s="12">
        <v>37</v>
      </c>
      <c r="B41" s="12" t="s">
        <v>442</v>
      </c>
      <c r="C41" s="12" t="s">
        <v>443</v>
      </c>
      <c r="D41" s="12" t="s">
        <v>444</v>
      </c>
      <c r="E41" s="12" t="s">
        <v>356</v>
      </c>
    </row>
    <row r="42" spans="1:5" ht="36" customHeight="1" x14ac:dyDescent="0.2">
      <c r="A42" s="12">
        <v>38</v>
      </c>
      <c r="B42" s="12" t="s">
        <v>445</v>
      </c>
      <c r="C42" s="12" t="s">
        <v>446</v>
      </c>
      <c r="D42" s="12" t="s">
        <v>447</v>
      </c>
      <c r="E42" s="12" t="s">
        <v>356</v>
      </c>
    </row>
    <row r="43" spans="1:5" ht="36" customHeight="1" x14ac:dyDescent="0.2">
      <c r="A43" s="12">
        <v>39</v>
      </c>
      <c r="B43" s="12" t="s">
        <v>448</v>
      </c>
      <c r="C43" s="12" t="s">
        <v>449</v>
      </c>
      <c r="D43" s="12" t="s">
        <v>450</v>
      </c>
      <c r="E43" s="12" t="s">
        <v>356</v>
      </c>
    </row>
    <row r="44" spans="1:5" ht="36" customHeight="1" x14ac:dyDescent="0.2">
      <c r="A44" s="12">
        <v>40</v>
      </c>
      <c r="B44" s="12" t="s">
        <v>290</v>
      </c>
      <c r="C44" s="12" t="s">
        <v>451</v>
      </c>
      <c r="D44" s="12" t="s">
        <v>452</v>
      </c>
      <c r="E44" s="12" t="s">
        <v>356</v>
      </c>
    </row>
    <row r="45" spans="1:5" ht="36" customHeight="1" x14ac:dyDescent="0.2">
      <c r="A45" s="12">
        <v>41</v>
      </c>
      <c r="B45" s="12" t="s">
        <v>310</v>
      </c>
      <c r="C45" s="12" t="s">
        <v>453</v>
      </c>
      <c r="D45" s="12" t="s">
        <v>369</v>
      </c>
      <c r="E45" s="12" t="s">
        <v>356</v>
      </c>
    </row>
    <row r="46" spans="1:5" ht="36" customHeight="1" x14ac:dyDescent="0.2">
      <c r="A46" s="12">
        <v>42</v>
      </c>
      <c r="B46" s="12" t="s">
        <v>454</v>
      </c>
      <c r="C46" s="12" t="s">
        <v>455</v>
      </c>
      <c r="D46" s="12" t="s">
        <v>444</v>
      </c>
      <c r="E46" s="12" t="s">
        <v>356</v>
      </c>
    </row>
    <row r="47" spans="1:5" ht="36" customHeight="1" x14ac:dyDescent="0.2">
      <c r="A47" s="12">
        <v>43</v>
      </c>
      <c r="B47" s="12" t="s">
        <v>456</v>
      </c>
      <c r="C47" s="12" t="s">
        <v>457</v>
      </c>
      <c r="D47" s="12" t="s">
        <v>432</v>
      </c>
      <c r="E47" s="12" t="s">
        <v>356</v>
      </c>
    </row>
    <row r="48" spans="1:5" ht="36" customHeight="1" x14ac:dyDescent="0.2">
      <c r="A48" s="12">
        <v>44</v>
      </c>
      <c r="B48" s="12" t="s">
        <v>458</v>
      </c>
      <c r="C48" s="12" t="s">
        <v>459</v>
      </c>
      <c r="D48" s="12" t="s">
        <v>460</v>
      </c>
      <c r="E48" s="12" t="s">
        <v>356</v>
      </c>
    </row>
    <row r="49" spans="1:5" ht="36" customHeight="1" x14ac:dyDescent="0.2">
      <c r="A49" s="12">
        <v>45</v>
      </c>
      <c r="B49" s="12" t="s">
        <v>461</v>
      </c>
      <c r="C49" s="12" t="s">
        <v>462</v>
      </c>
      <c r="D49" s="12" t="s">
        <v>463</v>
      </c>
      <c r="E49" s="12" t="s">
        <v>356</v>
      </c>
    </row>
    <row r="50" spans="1:5" ht="36" customHeight="1" x14ac:dyDescent="0.2">
      <c r="A50" s="12">
        <v>46</v>
      </c>
      <c r="B50" s="12" t="s">
        <v>464</v>
      </c>
      <c r="C50" s="12" t="s">
        <v>465</v>
      </c>
      <c r="D50" s="12" t="s">
        <v>466</v>
      </c>
      <c r="E50" s="12" t="s">
        <v>356</v>
      </c>
    </row>
    <row r="51" spans="1:5" ht="36" customHeight="1" x14ac:dyDescent="0.2">
      <c r="A51" s="12">
        <v>47</v>
      </c>
      <c r="B51" s="12" t="s">
        <v>467</v>
      </c>
      <c r="C51" s="12" t="s">
        <v>468</v>
      </c>
      <c r="D51" s="12" t="s">
        <v>469</v>
      </c>
      <c r="E51" s="12" t="s">
        <v>356</v>
      </c>
    </row>
    <row r="52" spans="1:5" ht="36" customHeight="1" x14ac:dyDescent="0.2">
      <c r="A52" s="12">
        <v>48</v>
      </c>
      <c r="B52" s="12" t="s">
        <v>470</v>
      </c>
      <c r="C52" s="12" t="s">
        <v>471</v>
      </c>
      <c r="D52" s="12" t="s">
        <v>472</v>
      </c>
      <c r="E52" s="12" t="s">
        <v>356</v>
      </c>
    </row>
    <row r="53" spans="1:5" ht="36" customHeight="1" x14ac:dyDescent="0.2">
      <c r="A53" s="12">
        <v>49</v>
      </c>
      <c r="B53" s="12" t="s">
        <v>473</v>
      </c>
      <c r="C53" s="12" t="s">
        <v>474</v>
      </c>
      <c r="D53" s="12" t="s">
        <v>475</v>
      </c>
      <c r="E53" s="12" t="s">
        <v>356</v>
      </c>
    </row>
  </sheetData>
  <mergeCells count="2">
    <mergeCell ref="A1:E1"/>
    <mergeCell ref="A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showGridLines="0" workbookViewId="0">
      <selection sqref="A1:D1"/>
    </sheetView>
  </sheetViews>
  <sheetFormatPr defaultRowHeight="14.25" x14ac:dyDescent="0.2"/>
  <cols>
    <col min="1" max="1" width="14" customWidth="1"/>
    <col min="2" max="2" width="27" customWidth="1"/>
    <col min="3" max="3" width="58" customWidth="1"/>
    <col min="4" max="4" width="25" customWidth="1"/>
  </cols>
  <sheetData>
    <row r="1" spans="1:4" ht="18.75" x14ac:dyDescent="0.3">
      <c r="A1" s="60" t="s">
        <v>476</v>
      </c>
      <c r="B1" s="60"/>
      <c r="C1" s="60"/>
      <c r="D1" s="60"/>
    </row>
    <row r="3" spans="1:4" x14ac:dyDescent="0.2">
      <c r="A3" s="16" t="s">
        <v>477</v>
      </c>
      <c r="B3" s="16" t="s">
        <v>478</v>
      </c>
      <c r="C3" s="16" t="s">
        <v>479</v>
      </c>
      <c r="D3" s="16" t="s">
        <v>480</v>
      </c>
    </row>
    <row r="4" spans="1:4" ht="15" x14ac:dyDescent="0.2">
      <c r="A4" s="15" t="s">
        <v>481</v>
      </c>
      <c r="B4" s="15" t="s">
        <v>482</v>
      </c>
      <c r="C4" s="15" t="s">
        <v>483</v>
      </c>
      <c r="D4" s="15" t="s">
        <v>484</v>
      </c>
    </row>
    <row r="5" spans="1:4" ht="15" x14ac:dyDescent="0.2">
      <c r="A5" s="13" t="s">
        <v>485</v>
      </c>
      <c r="B5" s="13" t="s">
        <v>486</v>
      </c>
      <c r="C5" s="13" t="s">
        <v>487</v>
      </c>
      <c r="D5" s="13" t="s">
        <v>488</v>
      </c>
    </row>
    <row r="6" spans="1:4" ht="15" x14ac:dyDescent="0.2">
      <c r="A6" s="17" t="s">
        <v>489</v>
      </c>
      <c r="B6" s="17" t="s">
        <v>490</v>
      </c>
      <c r="C6" s="17" t="s">
        <v>491</v>
      </c>
      <c r="D6" s="17" t="s">
        <v>492</v>
      </c>
    </row>
    <row r="7" spans="1:4" ht="30" x14ac:dyDescent="0.2">
      <c r="A7" s="12" t="s">
        <v>493</v>
      </c>
      <c r="B7" s="12" t="s">
        <v>494</v>
      </c>
      <c r="C7" s="12" t="s">
        <v>495</v>
      </c>
      <c r="D7" s="12" t="s">
        <v>496</v>
      </c>
    </row>
    <row r="8" spans="1:4" ht="15" x14ac:dyDescent="0.2">
      <c r="A8" s="12"/>
      <c r="B8" s="12"/>
      <c r="C8" s="12"/>
      <c r="D8" s="12"/>
    </row>
    <row r="9" spans="1:4" ht="15" x14ac:dyDescent="0.2">
      <c r="A9" s="12" t="s">
        <v>497</v>
      </c>
      <c r="B9" s="12"/>
      <c r="C9" s="12"/>
      <c r="D9" s="12"/>
    </row>
    <row r="10" spans="1:4" ht="30" x14ac:dyDescent="0.2">
      <c r="A10" s="12">
        <v>1</v>
      </c>
      <c r="B10" s="12" t="s">
        <v>498</v>
      </c>
      <c r="C10" s="12" t="s">
        <v>499</v>
      </c>
      <c r="D10" s="12"/>
    </row>
    <row r="11" spans="1:4" ht="15" x14ac:dyDescent="0.2">
      <c r="A11" s="12">
        <v>2</v>
      </c>
      <c r="B11" s="12" t="s">
        <v>500</v>
      </c>
      <c r="C11" s="12" t="s">
        <v>501</v>
      </c>
      <c r="D11" s="12"/>
    </row>
    <row r="12" spans="1:4" ht="15" x14ac:dyDescent="0.2">
      <c r="A12" s="12">
        <v>3</v>
      </c>
      <c r="B12" s="12" t="s">
        <v>502</v>
      </c>
      <c r="C12" s="12" t="s">
        <v>503</v>
      </c>
      <c r="D12" s="12"/>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KH Quý III</vt:lpstr>
      <vt:lpstr>Nhật ký thay đổi</vt:lpstr>
      <vt:lpstr>Nguồn đối chiếu</vt:lpstr>
      <vt:lpstr>Quy ước màu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Ngọc Quang Phục</cp:lastModifiedBy>
  <dcterms:modified xsi:type="dcterms:W3CDTF">2026-08-18T02:45:12Z</dcterms:modified>
</cp:coreProperties>
</file>