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yPC\AppData\Local\Temp\VNPT Plugin\02bff053-d749-4f7a-afe2-b8e0e08eec06\"/>
    </mc:Choice>
  </mc:AlternateContent>
  <xr:revisionPtr revIDLastSave="0" documentId="13_ncr:1_{6A87656B-314D-4D2E-8F4A-158395D317F3}" xr6:coauthVersionLast="47" xr6:coauthVersionMax="47" xr10:uidLastSave="{00000000-0000-0000-0000-000000000000}"/>
  <bookViews>
    <workbookView xWindow="-120" yWindow="-120" windowWidth="24240" windowHeight="13020" xr2:uid="{00000000-000D-0000-FFFF-FFFF00000000}"/>
  </bookViews>
  <sheets>
    <sheet name="CTCT 2026" sheetId="7" r:id="rId1"/>
  </sheets>
  <definedNames>
    <definedName name="_xlnm._FilterDatabase" localSheetId="0" hidden="1">'CTCT 2026'!$A$3:$H$90</definedName>
    <definedName name="_xlnm.Print_Titles" localSheetId="0">'CTCT 2026'!$2:$3</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7" i="7" l="1"/>
  <c r="A103" i="7"/>
  <c r="A97" i="7"/>
  <c r="A90" i="7"/>
  <c r="A84" i="7"/>
  <c r="A75" i="7"/>
  <c r="A69" i="7"/>
  <c r="A66" i="7"/>
  <c r="A55" i="7"/>
  <c r="A29" i="7"/>
  <c r="A14" i="7"/>
  <c r="A4" i="7"/>
</calcChain>
</file>

<file path=xl/sharedStrings.xml><?xml version="1.0" encoding="utf-8"?>
<sst xmlns="http://schemas.openxmlformats.org/spreadsheetml/2006/main" count="658" uniqueCount="206">
  <si>
    <t xml:space="preserve">Phụ lục
CHƯƠNG TRÌNH CÔNG TÁC TRỌNG TÂM NĂM 2026
 CỦA TRƯỜNG CAO ĐẲNG KON TUM
</t>
  </si>
  <si>
    <t>STT</t>
  </si>
  <si>
    <t>NỘI DUNG</t>
  </si>
  <si>
    <t>CHỈ ĐẠO THỰC HIỆN</t>
  </si>
  <si>
    <t>ĐƠN VỊ CHỦ TRÌ/ THAM MƯU</t>
  </si>
  <si>
    <t>ĐƠN VỊ PHỐI HỢP</t>
  </si>
  <si>
    <t>LOẠI VB THAM MƯU BAN HÀNH</t>
  </si>
  <si>
    <t>GHI CHÚ</t>
  </si>
  <si>
    <t>1</t>
  </si>
  <si>
    <t>Giao chỉ tiêu tuyển sinh các ngành nghề đào tạo thuộc các khoa quản lý năm 2026</t>
  </si>
  <si>
    <t>Hiệu trưởng</t>
  </si>
  <si>
    <t>P. QLĐT</t>
  </si>
  <si>
    <t>Quyết định</t>
  </si>
  <si>
    <t>Tháng 01/2026</t>
  </si>
  <si>
    <t>2</t>
  </si>
  <si>
    <t>Đăng ký chỉ tiêu tuyển sinh năm 2026</t>
  </si>
  <si>
    <t>Công văn  gửi UBND tỉnh, Sở GD&amp;ĐT</t>
  </si>
  <si>
    <t>3</t>
  </si>
  <si>
    <t>Ban hành Kế hoạch phát triển công tác đào tạo giai đoạn 2026-2030</t>
  </si>
  <si>
    <t>Các đơn vị thuộc Trường</t>
  </si>
  <si>
    <t>Kế hoạch</t>
  </si>
  <si>
    <t>5</t>
  </si>
  <si>
    <t>Ban hành Kế hoạch triển khai công tác bảo đảm chất lượng năm 2026</t>
  </si>
  <si>
    <t>PHT Dương Văn Anh Dũng</t>
  </si>
  <si>
    <t>P. KT&amp;QLCL</t>
  </si>
  <si>
    <t>6</t>
  </si>
  <si>
    <t>Tham mưu ban hành Quyết định sáp nhập một số đơn vị thuộc Trường</t>
  </si>
  <si>
    <t>P. TCCB&amp;CTHSSV</t>
  </si>
  <si>
    <t>7</t>
  </si>
  <si>
    <t>Triển khai các đơn vị tham mưu Hiệu trưởng ban hành Quy định vị trí, chức năng, nhiệm vụ, quyền hạn, cơ cấu tổ chức và mối quan hệ công tác của một số đơn vị sau hợp nhất</t>
  </si>
  <si>
    <t>8</t>
  </si>
  <si>
    <t>Tham mưu điều chỉnh Quyết định giao biên chế cho các đơn vị thuộc Trường</t>
  </si>
  <si>
    <t>9</t>
  </si>
  <si>
    <t>Tham mưu điều chỉnh Đề án vị trí việc làm, cơ cấu chức danh nghề nghiệp (nếu có)</t>
  </si>
  <si>
    <t>10</t>
  </si>
  <si>
    <t>Tham mưu thực hiện chính sách đối với viên chức lãnh đạo quản lý sau sắp xếp theo đúng quy định của Nhà nước, tình hình thực tế của nhà trường và nguyện vọng của cá nhân viên chức trong diện sắp xếp</t>
  </si>
  <si>
    <t>11</t>
  </si>
  <si>
    <t>Ban hành khung tiêu chí đánh giá tập thể, cá nhân viên chức</t>
  </si>
  <si>
    <t>12</t>
  </si>
  <si>
    <t>Ban hành Kế hoạch đào tạo, bồi dưỡng viên chức và người lao động năm 2026 theo lộ trình các kế hoạch, đề án Trường đã ban hành.</t>
  </si>
  <si>
    <t>13</t>
  </si>
  <si>
    <t>Xây dựng Kế hoạch chuyển đổi vị trí công tác năm 2026; Kế hoạch Tinh giản biên chế năm 2026</t>
  </si>
  <si>
    <t>14</t>
  </si>
  <si>
    <t>P. TCKT</t>
  </si>
  <si>
    <t>15</t>
  </si>
  <si>
    <t xml:space="preserve">Tham mưu Kế hoạch tư vấn nghề nghiệp năm 2026 </t>
  </si>
  <si>
    <t>PHT Huỳnh Văn Chung</t>
  </si>
  <si>
    <t>P. KN&amp;HTDN</t>
  </si>
  <si>
    <t>Phòng Quản lý Đào tạo và các khoa thuộc Trường</t>
  </si>
  <si>
    <t>16</t>
  </si>
  <si>
    <t>Phương án bảo đảm 100% học sinh, sinh viên tham gia Bảo hiểm y tế</t>
  </si>
  <si>
    <t>PHT Nguyễn Trung Hiếu</t>
  </si>
  <si>
    <t>P. TH-HC&amp;QT</t>
  </si>
  <si>
    <t>Phương án</t>
  </si>
  <si>
    <t>17</t>
  </si>
  <si>
    <t>Tổng hợp nhu cầu về nội dung và dự kiến kinh phí đầu tư trong năm 2026</t>
  </si>
  <si>
    <t>Báo cáo</t>
  </si>
  <si>
    <t>18</t>
  </si>
  <si>
    <t>Ban hành Kế hoạch PCTNTC năm 2026</t>
  </si>
  <si>
    <t> </t>
  </si>
  <si>
    <t>Kế hoạch văn thư, lưu trữ năm 2026</t>
  </si>
  <si>
    <t>Trình cấp có thẩm quyền phê duyệt Đề án thành lập Trung tâm Đăng kiểm xe cơ giới trực thuộc Trường Cao đẳng Kon Tum</t>
  </si>
  <si>
    <t>Tổ XD Đề án</t>
  </si>
  <si>
    <t>Đề án</t>
  </si>
  <si>
    <t>Ban hành Cẩm nang tuyển sinh năm 2026</t>
  </si>
  <si>
    <t>Các khoa</t>
  </si>
  <si>
    <t>Quyết định, Cẩm nang</t>
  </si>
  <si>
    <t>Tháng 02/2026</t>
  </si>
  <si>
    <t>Kế hoạch tuyển sinh năm 2026</t>
  </si>
  <si>
    <t>Ban hành Kế hoạch xây dựng, cập nhật, cải tiến chương trình đào tạo; biên soạn, lựa chọn giáo trình đào tạo năm 2026</t>
  </si>
  <si>
    <t>4</t>
  </si>
  <si>
    <t>Ban hành Kế hoạch chuyển đổi số năm 2026</t>
  </si>
  <si>
    <t>P. QLKHCN&amp;HTPT</t>
  </si>
  <si>
    <t>Triển khai Kế hoạch phối hợp giữa Trường Cao đẳng Kon Tum với Trung tâm QP-AN Trường Quân sự Quân khu 5 để giảng dạy cho các lớp cao đẳng năm 2026</t>
  </si>
  <si>
    <t>Kế hoạch, công văn</t>
  </si>
  <si>
    <t>Xây dựng và triển khai kế hoạch hội nghị công tác tuyển sinh, hướng nghiệp năm 2026</t>
  </si>
  <si>
    <t>Phòng KN&amp;HTDN,
 Các khoa</t>
  </si>
  <si>
    <t xml:space="preserve">Rà soát bổ sung Quy hoạch viên chức lãnh đạo các đơn vị thuộc Trường </t>
  </si>
  <si>
    <t>Ban hành Kế hoạch công tác tuyển dụng viên chức 2026</t>
  </si>
  <si>
    <t>Ban hành Kế hoạch công tác thăng hạng chức danh nghề nghiệp viên chức</t>
  </si>
  <si>
    <t xml:space="preserve">Bàn hành Kế hoạch Đào tạo, bồi dưỡng viên chức và người lao động giai đoạn 2026-2030 </t>
  </si>
  <si>
    <t>Trình cấp có thẩm quyền phê duyệt Đề án xây dựng Trường Cao đẳng Kon Tum thành trường cao đẳng chất lượng cao</t>
  </si>
  <si>
    <t xml:space="preserve">Ban hành quy chế chi tiêu nội bộ năm 2026 </t>
  </si>
  <si>
    <t>Công đoàn Cơ sở; Các đơn vị thuộc Trường</t>
  </si>
  <si>
    <t>Kế hoạch đầu tư cơ sở vật chất, mua sắm bổ sung thiết bị đào tạo giai đoạn 2026-2030</t>
  </si>
  <si>
    <t>Xây dựng và ban hành tiêu chuẩn, định mức thiết bị theo phân cấp tại Quyết định 44/2025/QĐ-UBND ngày 21/11/2025 của UBND tỉnh</t>
  </si>
  <si>
    <t>Tháng 3/2026</t>
  </si>
  <si>
    <t>Xây chựng Chương trình Thực hành tiết kiệm chống lãng phí năm 2026</t>
  </si>
  <si>
    <t>Chương trình</t>
  </si>
  <si>
    <t>Tổ chức Hội nghị tập huấn tuyển sinh năm 2026</t>
  </si>
  <si>
    <t>Hội nghị tập huấn tuyên sinh</t>
  </si>
  <si>
    <t>Xây dựng quy chế tuyển sinh trình độ cao đẳng ngành Giáo dục Mầm non năm 2026</t>
  </si>
  <si>
    <t>Quy chế</t>
  </si>
  <si>
    <t>Tổ chức thi môn năng khiếu ngành Giáo dục Mầm non hình thức vừa làm vừa học năm 2026 (đợt  1)</t>
  </si>
  <si>
    <t>Hội đồng tuyển sinh môn năng khiếu</t>
  </si>
  <si>
    <t>Hồ sơ thẩm định liên quan Hội đồng tuyển sinh</t>
  </si>
  <si>
    <t>Xây dựng Đề án tuyển sinh trình độ cao đẳng ngành Giáo dục Mầm non trình Bộ GD&amp;ĐT giao chỉ tiêu năm 2026</t>
  </si>
  <si>
    <t>Theo KH của Bộ Giáo dục và Đào tạo</t>
  </si>
  <si>
    <t>Quyết định, Kế hoạch</t>
  </si>
  <si>
    <t>Tháng  3/2026</t>
  </si>
  <si>
    <t>Tham mưu triển khai Đề án Xây dựng Trường CĐ chất lượng cao</t>
  </si>
  <si>
    <t>Định kỳ hàng 
quý/năm</t>
  </si>
  <si>
    <t>Tham mưu ban hành định mức KTKT các ngành, nghề trình độ cao đẳng, trung cấp, sơ cấp, dưới 3 tháng</t>
  </si>
  <si>
    <t>Báo cáo Quyết toán tài chính, quyết toán thuế năm 2025</t>
  </si>
  <si>
    <t>Báo cáo số liệu</t>
  </si>
  <si>
    <t>Quý I/2026</t>
  </si>
  <si>
    <t>Triển khai kế hoạch tư vấn nghề nghiệp năm 2026: Trực tiếp tư vấn nghề nghiệp tại các Trường THCS và phối hợp với các Trường THCS đưa học sinh về tham quan trải nghiệm các xã khu vực phía Tây của tỉnh.</t>
  </si>
  <si>
    <t>Xây dựng Kế hoạch 5 năm triển khai thực hiện các nội
dung về GDNN trong các Chương trình mục tiêu quốc gia</t>
  </si>
  <si>
    <t>Tham mưu kế hoạch phát triển khoa học, công nghệ, đổi mới sáng tạo và chuyển đổi số giai đoạn 2026-2030</t>
  </si>
  <si>
    <t>Tham mưu kế hoạch đối ngoại giai đoạn 2026-2030</t>
  </si>
  <si>
    <t>Kế hoạch triển khai công tác phòng cháy, chữa cháy và cứu nạn, cứu hộ năm 2026</t>
  </si>
  <si>
    <t>Tổ chức Ngày hội tư vấn nghề nghiệp tuyển sinh.</t>
  </si>
  <si>
    <t>Tháng 2/2026</t>
  </si>
  <si>
    <t>Các Phòng, Khoa thuộc Trường</t>
  </si>
  <si>
    <t>Kế hoạch, Quyết định</t>
  </si>
  <si>
    <t>Tháng 4/2026</t>
  </si>
  <si>
    <t>Các Phòng, Khoa liên quan</t>
  </si>
  <si>
    <t>Các hồ sơ liên quan</t>
  </si>
  <si>
    <t>Đến hết tháng 12/2026</t>
  </si>
  <si>
    <t>Ban hành kế hoạch xét tốt nghiệp cho các lớp K6C và K7T</t>
  </si>
  <si>
    <t>Hồ sơ chuyên môn</t>
  </si>
  <si>
    <t>Kế hoạch tự đánh giá chất lượng nhà trường, CTĐT năm 2026</t>
  </si>
  <si>
    <t>Xây dựng kế hoạch và tổ chức tự kiểm tra công tác tài chính năm 2025</t>
  </si>
  <si>
    <t>Kế hoạch, Báo cáo</t>
  </si>
  <si>
    <t>Tham mưu làm việc với Đoàn Kiểm tra theo Quyết định số 83/QĐ-BGDDT ngày 16/01/2026 của Bộ trưởng Bộ Giáo dục và Đào tạo</t>
  </si>
  <si>
    <t xml:space="preserve">
Tháng 5/2026</t>
  </si>
  <si>
    <t>Tập huấn về công tác xây dựng hệ thống BĐCL</t>
  </si>
  <si>
    <t>Tháng 5/2026</t>
  </si>
  <si>
    <t>Tổ chức xét tốt nghiệp cho HSSV</t>
  </si>
  <si>
    <t>Các đơn vị phòng, khoa</t>
  </si>
  <si>
    <t>Kế hoạch, biên bản, Quyết định</t>
  </si>
  <si>
    <t>Tháng 6/2026</t>
  </si>
  <si>
    <t>Xây dựng biên chế năm học 2026-2027 và kế hoạch đào tạo các khoá K7,8C; K8T</t>
  </si>
  <si>
    <t>Biên chế năm học</t>
  </si>
  <si>
    <t>Tổ chức Hội thi thiết bị đào tạo tự làm cấp cơ sở lần IV</t>
  </si>
  <si>
    <t>Xây dựng kế hoạch thực hiện Mục tiêu chất lượng cấp Trường</t>
  </si>
  <si>
    <t>Tổ chức tuyển dụng viên chức năm 2026</t>
  </si>
  <si>
    <t>Hồ sơ thẩm định liên quan Hội đồng tuyển sinh.</t>
  </si>
  <si>
    <t>Tháng 7/2026</t>
  </si>
  <si>
    <t>Tổ chức xét tuyển sinh năm 2026 (đợt 1)</t>
  </si>
  <si>
    <t>Xây dựng Kế hoạch và các thủ tục cần thiết cho đoàn ra, đoàn vào</t>
  </si>
  <si>
    <t>Quý III/2026</t>
  </si>
  <si>
    <t>Kiểm tra về công tác bảo đảm sĩ số học sinh, sinh viên các lớp học chính quy tại Trường trong năm học đối với các khoa thuộc Trường</t>
  </si>
  <si>
    <t>Các đơn vị có liên quan</t>
  </si>
  <si>
    <t>Thẩm định, ban hành quy trình BĐCL đợt 1 năm 2026</t>
  </si>
  <si>
    <t>Xây dựng dự toán NSNN năm 2027 và kế hoạch đầu tư công năm 2027</t>
  </si>
  <si>
    <t>Tháng 7,8/2026</t>
  </si>
  <si>
    <t>Tham mưu ban hành mức thu học phí năm học 2026-2027</t>
  </si>
  <si>
    <t>Triển khai tư vấn việc làm cho HSSV tốt nghiệp</t>
  </si>
  <si>
    <t>Khoa thuộc Trường</t>
  </si>
  <si>
    <t>Tổ chức Ngày hội việc làm cho HSSV năm 2026</t>
  </si>
  <si>
    <t>Tổ chức Hội nghị doanh nghiệp năm 2026</t>
  </si>
  <si>
    <t>Triển khai  tư vấn nghề nghiệp cho đoàn viên thanh niên và người lao động các xã khu vực Tây của tỉnh.</t>
  </si>
  <si>
    <t>Xây dựng kế hoạch đào tạo toàn khóa và kế hoạch năm học 2026-2027 cho khóa tuyển sinh năm 2026</t>
  </si>
  <si>
    <t>Các đơn vị thuộc trường</t>
  </si>
  <si>
    <t>Tháng 8/2026</t>
  </si>
  <si>
    <t>Tham mưu xây dựng và ban hành Kế hoạch kiểm tra năm học 2026-2027</t>
  </si>
  <si>
    <t>Báo cáo kết quả công khai kết luận, kết quả xử lý các vụ việc thanh tra, kiểm tra, giải quyết khiếu nại, tố cáo, kiến nghị, phản ánh và phòng, chống tham nhũng trên Cổng, Trang thông tin điện tử và các phương tiện thông tin truyền thông của tỉnh Kon Tum</t>
  </si>
  <si>
    <t>Báo cáo thực hiện công khai, minh bạch theo quy định của Luật Phòng, chống tham nhũng</t>
  </si>
  <si>
    <t>Triển khai công tác cá nhân năm học 2026-2027</t>
  </si>
  <si>
    <t>Tháng 9/2026</t>
  </si>
  <si>
    <t>Tổng hợp khối lượng công tác nhà giáo năm học 2025-2026</t>
  </si>
  <si>
    <t>Hồ sơ liên quan</t>
  </si>
  <si>
    <t>Tổ chức Lễ tốt nghiệp và trao bằng tốt nghiệp năm 2026</t>
  </si>
  <si>
    <t>Tháng 10/2026</t>
  </si>
  <si>
    <t>Tổ chức Hội giảng lần thứ VII năm học 2026-2027</t>
  </si>
  <si>
    <t>Xây dựng Kế hoạch khảo thí năm học 2026-2027</t>
  </si>
  <si>
    <t>Tổ chức Lễ Khai giảng năm học</t>
  </si>
  <si>
    <t>Tổ chức Hội thảo khoa học liên quan đến lĩnh vực trí tuệ nhân tạo, điện toán đám mây, công nghệ chuỗi khối, công nghiệp bán dẫn; đột phá phát triển khoa học, công nghệ, đổi mới sáng tạo và chuyển đổi số quốc gia</t>
  </si>
  <si>
    <t>Tổ chức Hội nghị, Hội thảo khoa học chuyên đề cấp Trường liên quan đến vấn đề HSSV tham gia NCKH, KNĐMST</t>
  </si>
  <si>
    <t xml:space="preserve">
Tháng 10/2026</t>
  </si>
  <si>
    <t>Đánh giá ngoài chất lượng chương trình đào tạo</t>
  </si>
  <si>
    <t>Kế hoạch khảo sát các bên liên quan năm 2026</t>
  </si>
  <si>
    <t>Các bên liên quan</t>
  </si>
  <si>
    <t>Tổ chức Cuộc thi Khởi nghiệp sáng tạo cấp Trường</t>
  </si>
  <si>
    <t>Tháng 11/2026</t>
  </si>
  <si>
    <t>Đánh giá hệ thống BĐCL</t>
  </si>
  <si>
    <t xml:space="preserve">Tổ chức tọa đàm kỷ niệm ngày Nhà giáo Việt Nam 20/11 </t>
  </si>
  <si>
    <t>Tham mưu Thông báo triển khai khảo sát đánh giá công tác đào tạo bồi dưỡng viên chức và người lao động năm 2026; khảo sát nhu cầu đào tạo, bồi dưỡng của viên chức năm 2027.</t>
  </si>
  <si>
    <t>Thông báo</t>
  </si>
  <si>
    <t>Tháng 12/2026</t>
  </si>
  <si>
    <t>Tham mưu Kế hoạch về việc phát huy ưu điểm; sửa chữa, khắc phục hạn chế, khuyết điểm sau kiểm điểm đối với tập thể, cá nhân Lãnh đạo Trường năm 2026</t>
  </si>
  <si>
    <t xml:space="preserve">Triển khai hoạt động đào tạo theo đặt hàng của DN </t>
  </si>
  <si>
    <t>Các khoa thuộc Trường</t>
  </si>
  <si>
    <t>Hợp đồng</t>
  </si>
  <si>
    <t>Xây dựng Kế hoạch kiểm kê ngày 01/01/2027</t>
  </si>
  <si>
    <t>Tổ chức chương trình tư vấn việc làm cho HSSV</t>
  </si>
  <si>
    <t>Thành lập Hội đồng tuyển sinh, Ban thư ký Hội đồng tuyển sinh năm 2026; Ban hành Quy chế tuyển sinh năm 2026</t>
  </si>
  <si>
    <t>19</t>
  </si>
  <si>
    <t>Sau khi cấp có thẩm quyền phê duyệt</t>
  </si>
  <si>
    <t>Tổ chức kiểm tra công tác tuyển sinh, đào tạo; tổ chức kiểm tra, thi; cấp phát văn bằng, chứng chỉ các lớp đào tạo hình thức vừa làm vừa học, dịch vụ tại phòng Quản lý Đào tạo, phòng Khảo thí và Quản lý chất lượng và các khoa thuộc Trường</t>
  </si>
  <si>
    <t>Phân khai và xây dựng Kế hoạch thực hiện nội dung thu, chi các nguồn dịch vụ và chi thường xuyên, chi không thường xuyên năm 2026</t>
  </si>
  <si>
    <t>Ban hành Quy dịnh Hội giảng nhà giáo lần thứ IV năm 2026</t>
  </si>
  <si>
    <t>Tổ chức Hội giảng cấp Trường lần thứ VI năm 2026</t>
  </si>
  <si>
    <t>Phối hợp với các xã, phường phía tây Quảng Ngãi triển khai ký kết hợp đồng đào tạo nghề cho người lao động năm 2026</t>
  </si>
  <si>
    <t>Tổ chức thi năng khiếu trình độ cao đẳng ngành Giáo dục Mầm non chính quy năm 2026</t>
  </si>
  <si>
    <t>Kế hoạch công tác Y tế trường học năm học 2026-2027</t>
  </si>
  <si>
    <t>20</t>
  </si>
  <si>
    <t>21</t>
  </si>
  <si>
    <t>22</t>
  </si>
  <si>
    <t>23</t>
  </si>
  <si>
    <t>24</t>
  </si>
  <si>
    <t>25</t>
  </si>
  <si>
    <t>Tháng 04/2026</t>
  </si>
  <si>
    <t>Thẩm định, ban hành quy trình BĐCL đợt 2 năm 2026</t>
  </si>
  <si>
    <t xml:space="preserve">THỜI GIAN HOÀN THÀNH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</si>
</sst>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1010000]d/m/yyyy;@"/>
  </numFmts>
  <fonts count="7" x14ac:knownFonts="1">
    <font>
      <sz val="11"/>
      <color theme="1"/>
      <name val="Arial"/>
      <family val="2"/>
      <scheme val="minor"/>
    </font>
    <font>
      <b/>
      <sz val="14"/>
      <name val="Times New Roman"/>
      <family val="1"/>
    </font>
    <font>
      <sz val="14"/>
      <name val="Times New Roman"/>
      <family val="1"/>
    </font>
    <font>
      <sz val="14"/>
      <name val=".VnTime"/>
      <family val="2"/>
    </font>
    <font>
      <sz val="11"/>
      <color theme="1"/>
      <name val="Arial"/>
      <family val="2"/>
      <charset val="163"/>
      <scheme val="minor"/>
    </font>
    <font>
      <sz val="14"/>
      <color theme="1"/>
      <name val="Times New Roman"/>
      <family val="1"/>
    </font>
    <font>
      <sz val="8"/>
      <name val="Arial"/>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0" fontId="3" fillId="0" borderId="0"/>
    <xf numFmtId="0" fontId="4" fillId="0" borderId="0"/>
  </cellStyleXfs>
  <cellXfs count="55">
    <xf numFmtId="0" fontId="0" fillId="0" borderId="0" xfId="0"/>
    <xf numFmtId="49"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1" fillId="0" borderId="1" xfId="0" applyFont="1" applyBorder="1" applyAlignment="1">
      <alignment horizontal="center" vertical="center" wrapText="1"/>
    </xf>
    <xf numFmtId="0" fontId="5" fillId="0" borderId="0" xfId="0" applyFont="1"/>
    <xf numFmtId="0" fontId="5" fillId="2" borderId="0" xfId="0" applyFont="1" applyFill="1"/>
    <xf numFmtId="0" fontId="2" fillId="0" borderId="1" xfId="0" applyFont="1" applyBorder="1" applyAlignment="1">
      <alignment horizontal="justify" vertical="center" wrapText="1"/>
    </xf>
    <xf numFmtId="3"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wrapText="1"/>
    </xf>
    <xf numFmtId="0" fontId="2" fillId="0" borderId="7" xfId="0" applyFont="1" applyBorder="1" applyAlignment="1">
      <alignment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164" fontId="2" fillId="0" borderId="7"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xf>
    <xf numFmtId="3" fontId="2" fillId="0" borderId="1" xfId="0" applyNumberFormat="1" applyFont="1" applyBorder="1" applyAlignment="1">
      <alignment horizontal="center" vertical="top" wrapText="1"/>
    </xf>
    <xf numFmtId="0" fontId="2" fillId="0" borderId="8" xfId="0" applyFont="1" applyBorder="1" applyAlignment="1">
      <alignment horizontal="left" vertical="center" wrapText="1"/>
    </xf>
    <xf numFmtId="0" fontId="2" fillId="0" borderId="8" xfId="0" applyFont="1" applyBorder="1" applyAlignment="1">
      <alignment horizontal="center" vertical="center"/>
    </xf>
    <xf numFmtId="49" fontId="2" fillId="0" borderId="2"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2" fillId="0" borderId="1" xfId="0" applyFont="1" applyBorder="1"/>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2" fillId="0" borderId="1" xfId="0" applyFont="1" applyBorder="1" applyAlignment="1">
      <alignment vertical="center"/>
    </xf>
    <xf numFmtId="0" fontId="2" fillId="0" borderId="0" xfId="0" applyFont="1" applyAlignment="1">
      <alignment vertical="center" wrapText="1"/>
    </xf>
    <xf numFmtId="3" fontId="2" fillId="0" borderId="7" xfId="0" applyNumberFormat="1" applyFont="1" applyBorder="1" applyAlignment="1">
      <alignment horizontal="center" vertical="center"/>
    </xf>
    <xf numFmtId="49" fontId="2" fillId="0" borderId="1" xfId="0" applyNumberFormat="1" applyFont="1" applyBorder="1" applyAlignment="1">
      <alignment horizontal="center" vertical="center"/>
    </xf>
    <xf numFmtId="0" fontId="2" fillId="0" borderId="6" xfId="0" applyFont="1" applyBorder="1"/>
    <xf numFmtId="0" fontId="1" fillId="0" borderId="1" xfId="0" applyFont="1" applyBorder="1" applyAlignment="1">
      <alignment horizontal="center"/>
    </xf>
    <xf numFmtId="0" fontId="2" fillId="0" borderId="10" xfId="0" applyFont="1" applyBorder="1" applyAlignment="1">
      <alignment horizontal="center" vertical="center"/>
    </xf>
    <xf numFmtId="0" fontId="2" fillId="0" borderId="11"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extLst>
        <ext xmlns:xfpb="http://schemas.microsoft.com/office/spreadsheetml/2022/featurepropertybag" uri="{C7286773-470A-42A8-94C5-96B5CB345126}">
          <xfpb:xfComplement i="0"/>
        </ext>
      </extLst>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65" fontId="2" fillId="0" borderId="1" xfId="0" applyNumberFormat="1" applyFont="1" applyBorder="1" applyAlignment="1">
      <alignment horizontal="center" vertical="center"/>
    </xf>
    <xf numFmtId="49" fontId="2" fillId="0" borderId="7" xfId="0" applyNumberFormat="1" applyFont="1" applyBorder="1" applyAlignment="1">
      <alignment horizontal="center" vertical="center" wrapText="1"/>
    </xf>
    <xf numFmtId="0" fontId="2" fillId="2" borderId="1" xfId="0" applyFont="1" applyFill="1" applyBorder="1" applyAlignment="1">
      <alignment horizontal="left" vertical="center" wrapText="1"/>
    </xf>
    <xf numFmtId="164" fontId="2" fillId="0" borderId="1" xfId="0" applyNumberFormat="1" applyFont="1" applyBorder="1" applyAlignment="1">
      <alignment horizontal="center" vertical="center" wrapText="1"/>
    </xf>
    <xf numFmtId="165" fontId="2" fillId="0" borderId="7" xfId="0" applyNumberFormat="1" applyFont="1" applyBorder="1" applyAlignment="1">
      <alignment horizontal="center" vertical="center"/>
    </xf>
    <xf numFmtId="0" fontId="2" fillId="0" borderId="6" xfId="0" applyFont="1" applyBorder="1" applyAlignment="1">
      <alignment vertic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xf numFmtId="0" fontId="1" fillId="0" borderId="1" xfId="0" applyFont="1" applyBorder="1" applyAlignment="1">
      <alignment horizontal="center" vertical="center"/>
    </xf>
  </cellXfs>
  <cellStyles count="3">
    <cellStyle name="Normal" xfId="0" builtinId="0"/>
    <cellStyle name="Normal 2" xfId="2" xr:uid="{00000000-0005-0000-0000-000001000000}"/>
    <cellStyle name="Normal 4"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1353428</xdr:colOff>
      <xdr:row>0</xdr:row>
      <xdr:rowOff>717831</xdr:rowOff>
    </xdr:from>
    <xdr:to>
      <xdr:col>3</xdr:col>
      <xdr:colOff>428625</xdr:colOff>
      <xdr:row>0</xdr:row>
      <xdr:rowOff>717831</xdr:rowOff>
    </xdr:to>
    <xdr:cxnSp macro="">
      <xdr:nvCxnSpPr>
        <xdr:cNvPr id="5" name="Straight Connector 4">
          <a:extLst>
            <a:ext uri="{FF2B5EF4-FFF2-40B4-BE49-F238E27FC236}">
              <a16:creationId xmlns:a16="http://schemas.microsoft.com/office/drawing/2014/main" id="{84673EC8-670E-1152-5025-B4E317749FBC}"/>
            </a:ext>
          </a:extLst>
        </xdr:cNvPr>
        <xdr:cNvCxnSpPr/>
      </xdr:nvCxnSpPr>
      <xdr:spPr>
        <a:xfrm>
          <a:off x="7258928" y="717831"/>
          <a:ext cx="123022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12"/>
  <sheetViews>
    <sheetView tabSelected="1" view="pageBreakPreview" zoomScale="80" zoomScaleNormal="62" zoomScaleSheetLayoutView="80" workbookViewId="0">
      <selection activeCell="E7" sqref="E7"/>
    </sheetView>
  </sheetViews>
  <sheetFormatPr defaultColWidth="8.75" defaultRowHeight="18.75" x14ac:dyDescent="0.3"/>
  <cols>
    <col min="1" max="1" width="8.75" style="9"/>
    <col min="2" max="2" width="68.75" style="9" bestFit="1" customWidth="1"/>
    <col min="3" max="3" width="28.25" style="9" bestFit="1" customWidth="1"/>
    <col min="4" max="4" width="25.75" style="9" customWidth="1"/>
    <col min="5" max="5" width="22.375" style="9" customWidth="1"/>
    <col min="6" max="6" width="24.75" style="9" customWidth="1"/>
    <col min="7" max="7" width="17.25" style="9" customWidth="1"/>
    <col min="8" max="8" width="11.125" style="9" customWidth="1"/>
    <col min="9" max="9" width="0" style="9" hidden="1" customWidth="1"/>
    <col min="10" max="16384" width="8.75" style="9"/>
  </cols>
  <sheetData>
    <row r="1" spans="1:9" ht="74.45" customHeight="1" x14ac:dyDescent="0.3">
      <c r="A1" s="51" t="s">
        <v>0</v>
      </c>
      <c r="B1" s="51"/>
      <c r="C1" s="51"/>
      <c r="D1" s="51"/>
      <c r="E1" s="51"/>
      <c r="F1" s="51"/>
      <c r="G1" s="51"/>
      <c r="H1" s="51"/>
    </row>
    <row r="2" spans="1:9" ht="14.45" customHeight="1" x14ac:dyDescent="0.3">
      <c r="A2" s="52" t="s">
        <v>1</v>
      </c>
      <c r="B2" s="54" t="s">
        <v>2</v>
      </c>
      <c r="C2" s="52" t="s">
        <v>3</v>
      </c>
      <c r="D2" s="52" t="s">
        <v>4</v>
      </c>
      <c r="E2" s="52" t="s">
        <v>5</v>
      </c>
      <c r="F2" s="52" t="s">
        <v>6</v>
      </c>
      <c r="G2" s="52" t="s">
        <v>205</v>
      </c>
      <c r="H2" s="52" t="s">
        <v>7</v>
      </c>
    </row>
    <row r="3" spans="1:9" ht="46.5" customHeight="1" x14ac:dyDescent="0.3">
      <c r="A3" s="53"/>
      <c r="B3" s="53"/>
      <c r="C3" s="53"/>
      <c r="D3" s="53"/>
      <c r="E3" s="52"/>
      <c r="F3" s="52"/>
      <c r="G3" s="53"/>
      <c r="H3" s="53"/>
    </row>
    <row r="4" spans="1:9" ht="45" customHeight="1" x14ac:dyDescent="0.3">
      <c r="A4" s="48" t="str">
        <f>"THÁNG 1 "&amp;"- ("&amp;COUNTA(A5:A13)&amp;" nhiệm vụ)"</f>
        <v>THÁNG 1 - (9 nhiệm vụ)</v>
      </c>
      <c r="B4" s="49"/>
      <c r="C4" s="49"/>
      <c r="D4" s="49"/>
      <c r="E4" s="49"/>
      <c r="F4" s="49"/>
      <c r="G4" s="49"/>
      <c r="H4" s="50"/>
    </row>
    <row r="5" spans="1:9" ht="42" customHeight="1" x14ac:dyDescent="0.3">
      <c r="A5" s="1" t="s">
        <v>8</v>
      </c>
      <c r="B5" s="5" t="s">
        <v>9</v>
      </c>
      <c r="C5" s="3" t="s">
        <v>10</v>
      </c>
      <c r="D5" s="4" t="s">
        <v>11</v>
      </c>
      <c r="E5" s="4" t="s">
        <v>19</v>
      </c>
      <c r="F5" s="3" t="s">
        <v>12</v>
      </c>
      <c r="G5" s="1" t="s">
        <v>13</v>
      </c>
      <c r="H5" s="4"/>
      <c r="I5" s="9">
        <v>1</v>
      </c>
    </row>
    <row r="6" spans="1:9" ht="42" customHeight="1" x14ac:dyDescent="0.3">
      <c r="A6" s="1" t="s">
        <v>14</v>
      </c>
      <c r="B6" s="28" t="s">
        <v>15</v>
      </c>
      <c r="C6" s="3" t="s">
        <v>10</v>
      </c>
      <c r="D6" s="4" t="s">
        <v>11</v>
      </c>
      <c r="E6" s="4" t="s">
        <v>19</v>
      </c>
      <c r="F6" s="4" t="s">
        <v>16</v>
      </c>
      <c r="G6" s="1" t="s">
        <v>13</v>
      </c>
      <c r="H6" s="4"/>
      <c r="I6" s="9">
        <v>1</v>
      </c>
    </row>
    <row r="7" spans="1:9" ht="42" customHeight="1" x14ac:dyDescent="0.3">
      <c r="A7" s="1" t="s">
        <v>17</v>
      </c>
      <c r="B7" s="29" t="s">
        <v>187</v>
      </c>
      <c r="C7" s="3" t="s">
        <v>10</v>
      </c>
      <c r="D7" s="4" t="s">
        <v>11</v>
      </c>
      <c r="E7" s="4" t="s">
        <v>19</v>
      </c>
      <c r="F7" s="3" t="s">
        <v>12</v>
      </c>
      <c r="G7" s="1" t="s">
        <v>13</v>
      </c>
      <c r="H7" s="4"/>
      <c r="I7" s="9">
        <v>1</v>
      </c>
    </row>
    <row r="8" spans="1:9" ht="42" customHeight="1" x14ac:dyDescent="0.3">
      <c r="A8" s="1" t="s">
        <v>70</v>
      </c>
      <c r="B8" s="14" t="s">
        <v>22</v>
      </c>
      <c r="C8" s="4" t="s">
        <v>23</v>
      </c>
      <c r="D8" s="4" t="s">
        <v>24</v>
      </c>
      <c r="E8" s="4" t="s">
        <v>19</v>
      </c>
      <c r="F8" s="4" t="s">
        <v>20</v>
      </c>
      <c r="G8" s="12" t="s">
        <v>13</v>
      </c>
      <c r="H8" s="4"/>
      <c r="I8" s="9">
        <v>1</v>
      </c>
    </row>
    <row r="9" spans="1:9" ht="42" customHeight="1" x14ac:dyDescent="0.3">
      <c r="A9" s="1" t="s">
        <v>21</v>
      </c>
      <c r="B9" s="14" t="s">
        <v>191</v>
      </c>
      <c r="C9" s="19" t="s">
        <v>10</v>
      </c>
      <c r="D9" s="19" t="s">
        <v>43</v>
      </c>
      <c r="E9" s="15" t="s">
        <v>19</v>
      </c>
      <c r="F9" s="3" t="s">
        <v>20</v>
      </c>
      <c r="G9" s="3" t="s">
        <v>13</v>
      </c>
      <c r="H9" s="4"/>
      <c r="I9" s="9">
        <v>1</v>
      </c>
    </row>
    <row r="10" spans="1:9" ht="42" customHeight="1" x14ac:dyDescent="0.3">
      <c r="A10" s="1" t="s">
        <v>25</v>
      </c>
      <c r="B10" s="14" t="s">
        <v>50</v>
      </c>
      <c r="C10" s="15" t="s">
        <v>51</v>
      </c>
      <c r="D10" s="15" t="s">
        <v>52</v>
      </c>
      <c r="E10" s="4" t="s">
        <v>19</v>
      </c>
      <c r="F10" s="15" t="s">
        <v>53</v>
      </c>
      <c r="G10" s="13" t="s">
        <v>13</v>
      </c>
      <c r="H10" s="4"/>
      <c r="I10" s="9">
        <v>1</v>
      </c>
    </row>
    <row r="11" spans="1:9" ht="42" customHeight="1" x14ac:dyDescent="0.3">
      <c r="A11" s="1" t="s">
        <v>28</v>
      </c>
      <c r="B11" s="14" t="s">
        <v>58</v>
      </c>
      <c r="C11" s="15" t="s">
        <v>10</v>
      </c>
      <c r="D11" s="15" t="s">
        <v>24</v>
      </c>
      <c r="E11" s="4" t="s">
        <v>19</v>
      </c>
      <c r="F11" s="15" t="s">
        <v>20</v>
      </c>
      <c r="G11" s="13" t="s">
        <v>13</v>
      </c>
      <c r="H11" s="4" t="s">
        <v>59</v>
      </c>
      <c r="I11" s="9">
        <v>1</v>
      </c>
    </row>
    <row r="12" spans="1:9" ht="42" customHeight="1" x14ac:dyDescent="0.3">
      <c r="A12" s="1" t="s">
        <v>30</v>
      </c>
      <c r="B12" s="14" t="s">
        <v>60</v>
      </c>
      <c r="C12" s="15" t="s">
        <v>10</v>
      </c>
      <c r="D12" s="15" t="s">
        <v>52</v>
      </c>
      <c r="E12" s="4" t="s">
        <v>19</v>
      </c>
      <c r="F12" s="15" t="s">
        <v>20</v>
      </c>
      <c r="G12" s="13" t="s">
        <v>13</v>
      </c>
      <c r="H12" s="4"/>
      <c r="I12" s="9">
        <v>1</v>
      </c>
    </row>
    <row r="13" spans="1:9" ht="42" customHeight="1" x14ac:dyDescent="0.3">
      <c r="A13" s="1" t="s">
        <v>32</v>
      </c>
      <c r="B13" s="14" t="s">
        <v>87</v>
      </c>
      <c r="C13" s="19" t="s">
        <v>10</v>
      </c>
      <c r="D13" s="19" t="s">
        <v>43</v>
      </c>
      <c r="E13" s="4" t="s">
        <v>19</v>
      </c>
      <c r="F13" s="19" t="s">
        <v>88</v>
      </c>
      <c r="G13" s="3" t="s">
        <v>13</v>
      </c>
      <c r="H13" s="4"/>
      <c r="I13" s="9">
        <v>1</v>
      </c>
    </row>
    <row r="14" spans="1:9" ht="39.75" customHeight="1" x14ac:dyDescent="0.3">
      <c r="A14" s="48" t="str">
        <f>"THÁNG 2 "&amp;"- ("&amp;COUNTA(A15:A28)&amp;" nhiệm vụ)"</f>
        <v>THÁNG 2 - (14 nhiệm vụ)</v>
      </c>
      <c r="B14" s="49"/>
      <c r="C14" s="49"/>
      <c r="D14" s="49"/>
      <c r="E14" s="49"/>
      <c r="F14" s="49"/>
      <c r="G14" s="49"/>
      <c r="H14" s="50"/>
    </row>
    <row r="15" spans="1:9" ht="45" customHeight="1" x14ac:dyDescent="0.3">
      <c r="A15" s="1" t="s">
        <v>8</v>
      </c>
      <c r="B15" s="5" t="s">
        <v>64</v>
      </c>
      <c r="C15" s="3" t="s">
        <v>10</v>
      </c>
      <c r="D15" s="4" t="s">
        <v>11</v>
      </c>
      <c r="E15" s="3" t="s">
        <v>65</v>
      </c>
      <c r="F15" s="4" t="s">
        <v>66</v>
      </c>
      <c r="G15" s="1" t="s">
        <v>67</v>
      </c>
      <c r="H15" s="8"/>
      <c r="I15" s="9">
        <v>2</v>
      </c>
    </row>
    <row r="16" spans="1:9" ht="45" customHeight="1" x14ac:dyDescent="0.3">
      <c r="A16" s="1" t="s">
        <v>14</v>
      </c>
      <c r="B16" s="5" t="s">
        <v>68</v>
      </c>
      <c r="C16" s="3" t="s">
        <v>10</v>
      </c>
      <c r="D16" s="4" t="s">
        <v>11</v>
      </c>
      <c r="E16" s="3" t="s">
        <v>19</v>
      </c>
      <c r="F16" s="4" t="s">
        <v>20</v>
      </c>
      <c r="G16" s="1" t="s">
        <v>67</v>
      </c>
      <c r="H16" s="1"/>
      <c r="I16" s="9">
        <v>2</v>
      </c>
    </row>
    <row r="17" spans="1:9" ht="45" customHeight="1" x14ac:dyDescent="0.3">
      <c r="A17" s="1" t="s">
        <v>17</v>
      </c>
      <c r="B17" s="5" t="s">
        <v>192</v>
      </c>
      <c r="C17" s="3" t="s">
        <v>10</v>
      </c>
      <c r="D17" s="4" t="s">
        <v>11</v>
      </c>
      <c r="E17" s="3" t="s">
        <v>19</v>
      </c>
      <c r="F17" s="4" t="s">
        <v>20</v>
      </c>
      <c r="G17" s="1" t="s">
        <v>67</v>
      </c>
      <c r="H17" s="1"/>
      <c r="I17" s="9">
        <v>2</v>
      </c>
    </row>
    <row r="18" spans="1:9" ht="45" customHeight="1" x14ac:dyDescent="0.3">
      <c r="A18" s="1" t="s">
        <v>70</v>
      </c>
      <c r="B18" s="5" t="s">
        <v>69</v>
      </c>
      <c r="C18" s="3" t="s">
        <v>10</v>
      </c>
      <c r="D18" s="4" t="s">
        <v>11</v>
      </c>
      <c r="E18" s="3" t="s">
        <v>19</v>
      </c>
      <c r="F18" s="4" t="s">
        <v>20</v>
      </c>
      <c r="G18" s="1" t="s">
        <v>67</v>
      </c>
      <c r="H18" s="1"/>
      <c r="I18" s="9">
        <v>2</v>
      </c>
    </row>
    <row r="19" spans="1:9" ht="45" customHeight="1" x14ac:dyDescent="0.3">
      <c r="A19" s="1" t="s">
        <v>21</v>
      </c>
      <c r="B19" s="5" t="s">
        <v>71</v>
      </c>
      <c r="C19" s="3" t="s">
        <v>10</v>
      </c>
      <c r="D19" s="4" t="s">
        <v>72</v>
      </c>
      <c r="E19" s="3" t="s">
        <v>19</v>
      </c>
      <c r="F19" s="4" t="s">
        <v>20</v>
      </c>
      <c r="G19" s="1" t="s">
        <v>67</v>
      </c>
      <c r="H19" s="1"/>
      <c r="I19" s="9">
        <v>2</v>
      </c>
    </row>
    <row r="20" spans="1:9" ht="60" customHeight="1" x14ac:dyDescent="0.3">
      <c r="A20" s="1" t="s">
        <v>25</v>
      </c>
      <c r="B20" s="5" t="s">
        <v>73</v>
      </c>
      <c r="C20" s="3" t="s">
        <v>23</v>
      </c>
      <c r="D20" s="4" t="s">
        <v>11</v>
      </c>
      <c r="E20" s="3" t="s">
        <v>65</v>
      </c>
      <c r="F20" s="3" t="s">
        <v>74</v>
      </c>
      <c r="G20" s="1" t="s">
        <v>67</v>
      </c>
      <c r="H20" s="4"/>
      <c r="I20" s="9">
        <v>2</v>
      </c>
    </row>
    <row r="21" spans="1:9" ht="45" customHeight="1" x14ac:dyDescent="0.3">
      <c r="A21" s="1" t="s">
        <v>28</v>
      </c>
      <c r="B21" s="14" t="s">
        <v>75</v>
      </c>
      <c r="C21" s="19" t="s">
        <v>10</v>
      </c>
      <c r="D21" s="15" t="s">
        <v>11</v>
      </c>
      <c r="E21" s="15" t="s">
        <v>76</v>
      </c>
      <c r="F21" s="15" t="s">
        <v>20</v>
      </c>
      <c r="G21" s="1" t="s">
        <v>67</v>
      </c>
      <c r="H21" s="4"/>
      <c r="I21" s="9">
        <v>2</v>
      </c>
    </row>
    <row r="22" spans="1:9" ht="45" customHeight="1" x14ac:dyDescent="0.3">
      <c r="A22" s="1" t="s">
        <v>30</v>
      </c>
      <c r="B22" s="16" t="s">
        <v>84</v>
      </c>
      <c r="C22" s="15" t="s">
        <v>10</v>
      </c>
      <c r="D22" s="15" t="s">
        <v>52</v>
      </c>
      <c r="E22" s="15" t="s">
        <v>19</v>
      </c>
      <c r="F22" s="15" t="s">
        <v>20</v>
      </c>
      <c r="G22" s="13" t="s">
        <v>67</v>
      </c>
      <c r="H22" s="4"/>
      <c r="I22" s="9">
        <v>2</v>
      </c>
    </row>
    <row r="23" spans="1:9" ht="45" customHeight="1" x14ac:dyDescent="0.3">
      <c r="A23" s="1" t="s">
        <v>32</v>
      </c>
      <c r="B23" s="14" t="s">
        <v>18</v>
      </c>
      <c r="C23" s="19" t="s">
        <v>10</v>
      </c>
      <c r="D23" s="15" t="s">
        <v>11</v>
      </c>
      <c r="E23" s="4" t="s">
        <v>19</v>
      </c>
      <c r="F23" s="19" t="s">
        <v>20</v>
      </c>
      <c r="G23" s="1" t="s">
        <v>67</v>
      </c>
      <c r="H23" s="4"/>
      <c r="I23" s="9">
        <v>2</v>
      </c>
    </row>
    <row r="24" spans="1:9" ht="45" customHeight="1" x14ac:dyDescent="0.3">
      <c r="A24" s="1" t="s">
        <v>34</v>
      </c>
      <c r="B24" s="14" t="s">
        <v>37</v>
      </c>
      <c r="C24" s="15" t="s">
        <v>10</v>
      </c>
      <c r="D24" s="15" t="s">
        <v>27</v>
      </c>
      <c r="E24" s="4" t="s">
        <v>19</v>
      </c>
      <c r="F24" s="15" t="s">
        <v>12</v>
      </c>
      <c r="G24" s="3" t="s">
        <v>67</v>
      </c>
      <c r="H24" s="4"/>
      <c r="I24" s="9">
        <v>2</v>
      </c>
    </row>
    <row r="25" spans="1:9" ht="45" customHeight="1" x14ac:dyDescent="0.3">
      <c r="A25" s="1" t="s">
        <v>36</v>
      </c>
      <c r="B25" s="14" t="s">
        <v>41</v>
      </c>
      <c r="C25" s="15" t="s">
        <v>10</v>
      </c>
      <c r="D25" s="15" t="s">
        <v>27</v>
      </c>
      <c r="E25" s="4" t="s">
        <v>19</v>
      </c>
      <c r="F25" s="15" t="s">
        <v>20</v>
      </c>
      <c r="G25" s="3" t="s">
        <v>67</v>
      </c>
      <c r="H25" s="4"/>
      <c r="I25" s="9">
        <v>2</v>
      </c>
    </row>
    <row r="26" spans="1:9" ht="45" customHeight="1" x14ac:dyDescent="0.3">
      <c r="A26" s="1" t="s">
        <v>38</v>
      </c>
      <c r="B26" s="5" t="s">
        <v>45</v>
      </c>
      <c r="C26" s="4" t="s">
        <v>46</v>
      </c>
      <c r="D26" s="4" t="s">
        <v>47</v>
      </c>
      <c r="E26" s="4" t="s">
        <v>48</v>
      </c>
      <c r="F26" s="4" t="s">
        <v>20</v>
      </c>
      <c r="G26" s="13" t="s">
        <v>67</v>
      </c>
      <c r="H26" s="4"/>
      <c r="I26" s="9">
        <v>2</v>
      </c>
    </row>
    <row r="27" spans="1:9" ht="45" customHeight="1" x14ac:dyDescent="0.3">
      <c r="A27" s="1" t="s">
        <v>40</v>
      </c>
      <c r="B27" s="5" t="s">
        <v>55</v>
      </c>
      <c r="C27" s="4" t="s">
        <v>10</v>
      </c>
      <c r="D27" s="4" t="s">
        <v>52</v>
      </c>
      <c r="E27" s="4" t="s">
        <v>19</v>
      </c>
      <c r="F27" s="4" t="s">
        <v>56</v>
      </c>
      <c r="G27" s="13" t="s">
        <v>67</v>
      </c>
      <c r="H27" s="4"/>
      <c r="I27" s="9">
        <v>2</v>
      </c>
    </row>
    <row r="28" spans="1:9" s="10" customFormat="1" ht="45" customHeight="1" x14ac:dyDescent="0.3">
      <c r="A28" s="1" t="s">
        <v>42</v>
      </c>
      <c r="B28" s="16" t="s">
        <v>111</v>
      </c>
      <c r="C28" s="15" t="s">
        <v>46</v>
      </c>
      <c r="D28" s="15" t="s">
        <v>47</v>
      </c>
      <c r="E28" s="15" t="s">
        <v>48</v>
      </c>
      <c r="F28" s="15" t="s">
        <v>20</v>
      </c>
      <c r="G28" s="12" t="s">
        <v>112</v>
      </c>
      <c r="H28" s="25"/>
      <c r="I28" s="9">
        <v>2</v>
      </c>
    </row>
    <row r="29" spans="1:9" ht="39.75" customHeight="1" x14ac:dyDescent="0.3">
      <c r="A29" s="48" t="str">
        <f>"THÁNG 3 "&amp;"- ("&amp;COUNTA(A30:A54)&amp;" nhiệm vụ)"</f>
        <v>THÁNG 3 - (25 nhiệm vụ)</v>
      </c>
      <c r="B29" s="49"/>
      <c r="C29" s="49"/>
      <c r="D29" s="49"/>
      <c r="E29" s="49"/>
      <c r="F29" s="49"/>
      <c r="G29" s="49"/>
      <c r="H29" s="50"/>
    </row>
    <row r="30" spans="1:9" ht="38.25" customHeight="1" x14ac:dyDescent="0.3">
      <c r="A30" s="1" t="s">
        <v>8</v>
      </c>
      <c r="B30" s="2" t="s">
        <v>89</v>
      </c>
      <c r="C30" s="3" t="s">
        <v>10</v>
      </c>
      <c r="D30" s="4" t="s">
        <v>11</v>
      </c>
      <c r="E30" s="4"/>
      <c r="F30" s="4" t="s">
        <v>90</v>
      </c>
      <c r="G30" s="3" t="s">
        <v>86</v>
      </c>
      <c r="H30" s="25"/>
      <c r="I30" s="9">
        <v>3</v>
      </c>
    </row>
    <row r="31" spans="1:9" ht="38.25" customHeight="1" x14ac:dyDescent="0.3">
      <c r="A31" s="1" t="s">
        <v>14</v>
      </c>
      <c r="B31" s="2" t="s">
        <v>91</v>
      </c>
      <c r="C31" s="3" t="s">
        <v>10</v>
      </c>
      <c r="D31" s="4" t="s">
        <v>11</v>
      </c>
      <c r="E31" s="4"/>
      <c r="F31" s="4" t="s">
        <v>92</v>
      </c>
      <c r="G31" s="3" t="s">
        <v>86</v>
      </c>
      <c r="H31" s="25"/>
      <c r="I31" s="9">
        <v>3</v>
      </c>
    </row>
    <row r="32" spans="1:9" ht="38.25" customHeight="1" x14ac:dyDescent="0.3">
      <c r="A32" s="1" t="s">
        <v>17</v>
      </c>
      <c r="B32" s="2" t="s">
        <v>93</v>
      </c>
      <c r="C32" s="4" t="s">
        <v>94</v>
      </c>
      <c r="D32" s="4" t="s">
        <v>11</v>
      </c>
      <c r="E32" s="4"/>
      <c r="F32" s="4" t="s">
        <v>95</v>
      </c>
      <c r="G32" s="3" t="s">
        <v>86</v>
      </c>
      <c r="H32" s="25"/>
      <c r="I32" s="9">
        <v>3</v>
      </c>
    </row>
    <row r="33" spans="1:9" ht="56.25" x14ac:dyDescent="0.3">
      <c r="A33" s="1" t="s">
        <v>70</v>
      </c>
      <c r="B33" s="16" t="s">
        <v>96</v>
      </c>
      <c r="C33" s="19" t="s">
        <v>10</v>
      </c>
      <c r="D33" s="15" t="s">
        <v>11</v>
      </c>
      <c r="E33" s="15"/>
      <c r="F33" s="15" t="s">
        <v>63</v>
      </c>
      <c r="G33" s="43" t="s">
        <v>97</v>
      </c>
      <c r="H33" s="25"/>
      <c r="I33" s="9">
        <v>3</v>
      </c>
    </row>
    <row r="34" spans="1:9" ht="75" x14ac:dyDescent="0.3">
      <c r="A34" s="1" t="s">
        <v>21</v>
      </c>
      <c r="B34" s="16" t="s">
        <v>190</v>
      </c>
      <c r="C34" s="15" t="s">
        <v>10</v>
      </c>
      <c r="D34" s="15" t="s">
        <v>24</v>
      </c>
      <c r="E34" s="15" t="s">
        <v>19</v>
      </c>
      <c r="F34" s="15" t="s">
        <v>98</v>
      </c>
      <c r="G34" s="17" t="s">
        <v>99</v>
      </c>
      <c r="H34" s="25"/>
      <c r="I34" s="9">
        <v>3</v>
      </c>
    </row>
    <row r="35" spans="1:9" ht="38.25" customHeight="1" x14ac:dyDescent="0.3">
      <c r="A35" s="1" t="s">
        <v>25</v>
      </c>
      <c r="B35" s="16" t="s">
        <v>100</v>
      </c>
      <c r="C35" s="15" t="s">
        <v>10</v>
      </c>
      <c r="D35" s="15" t="s">
        <v>24</v>
      </c>
      <c r="E35" s="15" t="s">
        <v>19</v>
      </c>
      <c r="F35" s="15" t="s">
        <v>20</v>
      </c>
      <c r="G35" s="17" t="s">
        <v>101</v>
      </c>
      <c r="H35" s="25"/>
      <c r="I35" s="9">
        <v>3</v>
      </c>
    </row>
    <row r="36" spans="1:9" ht="38.25" customHeight="1" x14ac:dyDescent="0.3">
      <c r="A36" s="1" t="s">
        <v>28</v>
      </c>
      <c r="B36" s="16" t="s">
        <v>102</v>
      </c>
      <c r="C36" s="15" t="s">
        <v>10</v>
      </c>
      <c r="D36" s="15" t="s">
        <v>43</v>
      </c>
      <c r="E36" s="15" t="s">
        <v>19</v>
      </c>
      <c r="F36" s="15" t="s">
        <v>12</v>
      </c>
      <c r="G36" s="17" t="s">
        <v>99</v>
      </c>
      <c r="H36" s="25"/>
      <c r="I36" s="9">
        <v>3</v>
      </c>
    </row>
    <row r="37" spans="1:9" ht="38.25" customHeight="1" x14ac:dyDescent="0.3">
      <c r="A37" s="1" t="s">
        <v>30</v>
      </c>
      <c r="B37" s="16" t="s">
        <v>103</v>
      </c>
      <c r="C37" s="15" t="s">
        <v>10</v>
      </c>
      <c r="D37" s="15" t="s">
        <v>43</v>
      </c>
      <c r="E37" s="15" t="s">
        <v>19</v>
      </c>
      <c r="F37" s="15" t="s">
        <v>104</v>
      </c>
      <c r="G37" s="17" t="s">
        <v>105</v>
      </c>
      <c r="H37" s="25"/>
      <c r="I37" s="9">
        <v>3</v>
      </c>
    </row>
    <row r="38" spans="1:9" ht="75" x14ac:dyDescent="0.3">
      <c r="A38" s="1" t="s">
        <v>32</v>
      </c>
      <c r="B38" s="16" t="s">
        <v>106</v>
      </c>
      <c r="C38" s="15" t="s">
        <v>46</v>
      </c>
      <c r="D38" s="15" t="s">
        <v>47</v>
      </c>
      <c r="E38" s="15" t="s">
        <v>48</v>
      </c>
      <c r="F38" s="15" t="s">
        <v>20</v>
      </c>
      <c r="G38" s="17" t="s">
        <v>86</v>
      </c>
      <c r="H38" s="25"/>
      <c r="I38" s="9">
        <v>3</v>
      </c>
    </row>
    <row r="39" spans="1:9" ht="38.25" customHeight="1" x14ac:dyDescent="0.3">
      <c r="A39" s="1" t="s">
        <v>34</v>
      </c>
      <c r="B39" s="16" t="s">
        <v>107</v>
      </c>
      <c r="C39" s="15" t="s">
        <v>10</v>
      </c>
      <c r="D39" s="15" t="s">
        <v>52</v>
      </c>
      <c r="E39" s="15" t="s">
        <v>19</v>
      </c>
      <c r="F39" s="15" t="s">
        <v>20</v>
      </c>
      <c r="G39" s="17" t="s">
        <v>86</v>
      </c>
      <c r="H39" s="25"/>
      <c r="I39" s="9">
        <v>3</v>
      </c>
    </row>
    <row r="40" spans="1:9" ht="38.25" customHeight="1" x14ac:dyDescent="0.3">
      <c r="A40" s="1" t="s">
        <v>36</v>
      </c>
      <c r="B40" s="16" t="s">
        <v>108</v>
      </c>
      <c r="C40" s="15" t="s">
        <v>10</v>
      </c>
      <c r="D40" s="15" t="s">
        <v>72</v>
      </c>
      <c r="E40" s="15" t="s">
        <v>19</v>
      </c>
      <c r="F40" s="15" t="s">
        <v>20</v>
      </c>
      <c r="G40" s="17" t="s">
        <v>86</v>
      </c>
      <c r="H40" s="25"/>
      <c r="I40" s="9">
        <v>3</v>
      </c>
    </row>
    <row r="41" spans="1:9" ht="38.25" customHeight="1" x14ac:dyDescent="0.3">
      <c r="A41" s="1" t="s">
        <v>38</v>
      </c>
      <c r="B41" s="16" t="s">
        <v>109</v>
      </c>
      <c r="C41" s="15" t="s">
        <v>10</v>
      </c>
      <c r="D41" s="15" t="s">
        <v>72</v>
      </c>
      <c r="E41" s="15" t="s">
        <v>19</v>
      </c>
      <c r="F41" s="15" t="s">
        <v>20</v>
      </c>
      <c r="G41" s="17" t="s">
        <v>86</v>
      </c>
      <c r="H41" s="25"/>
      <c r="I41" s="9">
        <v>3</v>
      </c>
    </row>
    <row r="42" spans="1:9" ht="38.25" customHeight="1" x14ac:dyDescent="0.3">
      <c r="A42" s="1" t="s">
        <v>40</v>
      </c>
      <c r="B42" s="16" t="s">
        <v>77</v>
      </c>
      <c r="C42" s="15" t="s">
        <v>10</v>
      </c>
      <c r="D42" s="15" t="s">
        <v>27</v>
      </c>
      <c r="E42" s="15"/>
      <c r="F42" s="15" t="s">
        <v>12</v>
      </c>
      <c r="G42" s="1" t="s">
        <v>86</v>
      </c>
      <c r="H42" s="4"/>
      <c r="I42" s="9">
        <v>3</v>
      </c>
    </row>
    <row r="43" spans="1:9" s="10" customFormat="1" ht="38.25" customHeight="1" x14ac:dyDescent="0.3">
      <c r="A43" s="1" t="s">
        <v>42</v>
      </c>
      <c r="B43" s="2" t="s">
        <v>78</v>
      </c>
      <c r="C43" s="4" t="s">
        <v>10</v>
      </c>
      <c r="D43" s="4" t="s">
        <v>27</v>
      </c>
      <c r="E43" s="4"/>
      <c r="F43" s="4" t="s">
        <v>12</v>
      </c>
      <c r="G43" s="1" t="s">
        <v>86</v>
      </c>
      <c r="H43" s="4"/>
      <c r="I43" s="9">
        <v>3</v>
      </c>
    </row>
    <row r="44" spans="1:9" ht="38.25" customHeight="1" x14ac:dyDescent="0.3">
      <c r="A44" s="1" t="s">
        <v>44</v>
      </c>
      <c r="B44" s="44" t="s">
        <v>79</v>
      </c>
      <c r="C44" s="40" t="s">
        <v>10</v>
      </c>
      <c r="D44" s="40" t="s">
        <v>27</v>
      </c>
      <c r="E44" s="40"/>
      <c r="F44" s="40" t="s">
        <v>12</v>
      </c>
      <c r="G44" s="38" t="s">
        <v>86</v>
      </c>
      <c r="H44" s="40"/>
      <c r="I44" s="9">
        <v>3</v>
      </c>
    </row>
    <row r="45" spans="1:9" ht="38.25" customHeight="1" x14ac:dyDescent="0.3">
      <c r="A45" s="1" t="s">
        <v>49</v>
      </c>
      <c r="B45" s="2" t="s">
        <v>80</v>
      </c>
      <c r="C45" s="4" t="s">
        <v>10</v>
      </c>
      <c r="D45" s="4" t="s">
        <v>27</v>
      </c>
      <c r="E45" s="4"/>
      <c r="F45" s="4" t="s">
        <v>20</v>
      </c>
      <c r="G45" s="1" t="s">
        <v>86</v>
      </c>
      <c r="H45" s="4"/>
      <c r="I45" s="9">
        <v>3</v>
      </c>
    </row>
    <row r="46" spans="1:9" ht="38.25" customHeight="1" x14ac:dyDescent="0.3">
      <c r="A46" s="1" t="s">
        <v>54</v>
      </c>
      <c r="B46" s="39" t="s">
        <v>81</v>
      </c>
      <c r="C46" s="40" t="s">
        <v>10</v>
      </c>
      <c r="D46" s="40" t="s">
        <v>24</v>
      </c>
      <c r="E46" s="40" t="s">
        <v>62</v>
      </c>
      <c r="F46" s="40" t="s">
        <v>63</v>
      </c>
      <c r="G46" s="41" t="s">
        <v>86</v>
      </c>
      <c r="H46" s="40"/>
      <c r="I46" s="9">
        <v>3</v>
      </c>
    </row>
    <row r="47" spans="1:9" ht="38.25" customHeight="1" x14ac:dyDescent="0.3">
      <c r="A47" s="1" t="s">
        <v>57</v>
      </c>
      <c r="B47" s="16" t="s">
        <v>82</v>
      </c>
      <c r="C47" s="15" t="s">
        <v>10</v>
      </c>
      <c r="D47" s="19" t="s">
        <v>43</v>
      </c>
      <c r="E47" s="15" t="s">
        <v>83</v>
      </c>
      <c r="F47" s="15" t="s">
        <v>12</v>
      </c>
      <c r="G47" s="1" t="s">
        <v>86</v>
      </c>
      <c r="H47" s="4"/>
      <c r="I47" s="9">
        <v>3</v>
      </c>
    </row>
    <row r="48" spans="1:9" ht="38.25" customHeight="1" x14ac:dyDescent="0.3">
      <c r="A48" s="1" t="s">
        <v>188</v>
      </c>
      <c r="B48" s="2" t="s">
        <v>85</v>
      </c>
      <c r="C48" s="4" t="s">
        <v>10</v>
      </c>
      <c r="D48" s="3" t="s">
        <v>43</v>
      </c>
      <c r="E48" s="4" t="s">
        <v>19</v>
      </c>
      <c r="F48" s="4" t="s">
        <v>12</v>
      </c>
      <c r="G48" s="13" t="s">
        <v>86</v>
      </c>
      <c r="H48" s="4"/>
      <c r="I48" s="9">
        <v>3</v>
      </c>
    </row>
    <row r="49" spans="1:9" ht="56.25" x14ac:dyDescent="0.3">
      <c r="A49" s="1" t="s">
        <v>197</v>
      </c>
      <c r="B49" s="5" t="s">
        <v>29</v>
      </c>
      <c r="C49" s="4" t="s">
        <v>10</v>
      </c>
      <c r="D49" s="4" t="s">
        <v>27</v>
      </c>
      <c r="E49" s="4" t="s">
        <v>19</v>
      </c>
      <c r="F49" s="4" t="s">
        <v>12</v>
      </c>
      <c r="G49" s="3" t="s">
        <v>86</v>
      </c>
      <c r="H49" s="4"/>
      <c r="I49" s="9">
        <v>3</v>
      </c>
    </row>
    <row r="50" spans="1:9" ht="38.25" customHeight="1" x14ac:dyDescent="0.3">
      <c r="A50" s="1" t="s">
        <v>198</v>
      </c>
      <c r="B50" s="5" t="s">
        <v>31</v>
      </c>
      <c r="C50" s="4" t="s">
        <v>10</v>
      </c>
      <c r="D50" s="4" t="s">
        <v>27</v>
      </c>
      <c r="E50" s="4" t="s">
        <v>19</v>
      </c>
      <c r="F50" s="4" t="s">
        <v>12</v>
      </c>
      <c r="G50" s="3" t="s">
        <v>86</v>
      </c>
      <c r="H50" s="4"/>
      <c r="I50" s="9">
        <v>3</v>
      </c>
    </row>
    <row r="51" spans="1:9" ht="38.25" customHeight="1" x14ac:dyDescent="0.3">
      <c r="A51" s="1" t="s">
        <v>199</v>
      </c>
      <c r="B51" s="5" t="s">
        <v>33</v>
      </c>
      <c r="C51" s="4" t="s">
        <v>10</v>
      </c>
      <c r="D51" s="4" t="s">
        <v>27</v>
      </c>
      <c r="E51" s="4" t="s">
        <v>19</v>
      </c>
      <c r="F51" s="4" t="s">
        <v>12</v>
      </c>
      <c r="G51" s="3" t="s">
        <v>86</v>
      </c>
      <c r="H51" s="4"/>
      <c r="I51" s="9">
        <v>3</v>
      </c>
    </row>
    <row r="52" spans="1:9" ht="56.25" x14ac:dyDescent="0.3">
      <c r="A52" s="1" t="s">
        <v>200</v>
      </c>
      <c r="B52" s="5" t="s">
        <v>35</v>
      </c>
      <c r="C52" s="4" t="s">
        <v>10</v>
      </c>
      <c r="D52" s="4" t="s">
        <v>27</v>
      </c>
      <c r="E52" s="4" t="s">
        <v>19</v>
      </c>
      <c r="F52" s="4" t="s">
        <v>12</v>
      </c>
      <c r="G52" s="3" t="s">
        <v>86</v>
      </c>
      <c r="H52" s="4"/>
      <c r="I52" s="9">
        <v>3</v>
      </c>
    </row>
    <row r="53" spans="1:9" ht="38.25" customHeight="1" x14ac:dyDescent="0.3">
      <c r="A53" s="1" t="s">
        <v>201</v>
      </c>
      <c r="B53" s="5" t="s">
        <v>39</v>
      </c>
      <c r="C53" s="4" t="s">
        <v>10</v>
      </c>
      <c r="D53" s="4" t="s">
        <v>27</v>
      </c>
      <c r="E53" s="4" t="s">
        <v>19</v>
      </c>
      <c r="F53" s="4" t="s">
        <v>20</v>
      </c>
      <c r="G53" s="3" t="s">
        <v>86</v>
      </c>
      <c r="H53" s="4"/>
      <c r="I53" s="9">
        <v>3</v>
      </c>
    </row>
    <row r="54" spans="1:9" ht="38.25" customHeight="1" x14ac:dyDescent="0.3">
      <c r="A54" s="1" t="s">
        <v>202</v>
      </c>
      <c r="B54" s="2" t="s">
        <v>110</v>
      </c>
      <c r="C54" s="4" t="s">
        <v>51</v>
      </c>
      <c r="D54" s="4" t="s">
        <v>52</v>
      </c>
      <c r="E54" s="4" t="s">
        <v>19</v>
      </c>
      <c r="F54" s="4" t="s">
        <v>20</v>
      </c>
      <c r="G54" s="45" t="s">
        <v>86</v>
      </c>
      <c r="H54" s="25"/>
      <c r="I54" s="9">
        <v>3</v>
      </c>
    </row>
    <row r="55" spans="1:9" ht="39.75" customHeight="1" x14ac:dyDescent="0.3">
      <c r="A55" s="48" t="str">
        <f>"THÁNG 4 "&amp;"- ("&amp;COUNTA(A56:A65)&amp;" nhiệm vụ)"</f>
        <v>THÁNG 4 - (10 nhiệm vụ)</v>
      </c>
      <c r="B55" s="49"/>
      <c r="C55" s="49"/>
      <c r="D55" s="49"/>
      <c r="E55" s="49"/>
      <c r="F55" s="49"/>
      <c r="G55" s="49"/>
      <c r="H55" s="50"/>
    </row>
    <row r="56" spans="1:9" ht="37.5" x14ac:dyDescent="0.3">
      <c r="A56" s="1" t="s">
        <v>8</v>
      </c>
      <c r="B56" s="2" t="s">
        <v>193</v>
      </c>
      <c r="C56" s="4" t="s">
        <v>23</v>
      </c>
      <c r="D56" s="4" t="s">
        <v>11</v>
      </c>
      <c r="E56" s="4" t="s">
        <v>113</v>
      </c>
      <c r="F56" s="4" t="s">
        <v>114</v>
      </c>
      <c r="G56" s="1" t="s">
        <v>115</v>
      </c>
      <c r="H56" s="28"/>
      <c r="I56" s="9">
        <v>4</v>
      </c>
    </row>
    <row r="57" spans="1:9" ht="37.5" x14ac:dyDescent="0.3">
      <c r="A57" s="1" t="s">
        <v>14</v>
      </c>
      <c r="B57" s="2" t="s">
        <v>194</v>
      </c>
      <c r="C57" s="4" t="s">
        <v>23</v>
      </c>
      <c r="D57" s="4" t="s">
        <v>11</v>
      </c>
      <c r="E57" s="4" t="s">
        <v>116</v>
      </c>
      <c r="F57" s="4" t="s">
        <v>117</v>
      </c>
      <c r="G57" s="1" t="s">
        <v>118</v>
      </c>
      <c r="H57" s="28"/>
      <c r="I57" s="9">
        <v>4</v>
      </c>
    </row>
    <row r="58" spans="1:9" ht="37.5" x14ac:dyDescent="0.3">
      <c r="A58" s="1" t="s">
        <v>17</v>
      </c>
      <c r="B58" s="2" t="s">
        <v>119</v>
      </c>
      <c r="C58" s="4" t="s">
        <v>10</v>
      </c>
      <c r="D58" s="4" t="s">
        <v>11</v>
      </c>
      <c r="E58" s="4" t="s">
        <v>113</v>
      </c>
      <c r="F58" s="4" t="s">
        <v>114</v>
      </c>
      <c r="G58" s="1" t="s">
        <v>115</v>
      </c>
      <c r="H58" s="28"/>
      <c r="I58" s="9">
        <v>4</v>
      </c>
    </row>
    <row r="59" spans="1:9" ht="37.5" x14ac:dyDescent="0.3">
      <c r="A59" s="1" t="s">
        <v>70</v>
      </c>
      <c r="B59" s="16" t="s">
        <v>121</v>
      </c>
      <c r="C59" s="15" t="s">
        <v>10</v>
      </c>
      <c r="D59" s="15" t="s">
        <v>24</v>
      </c>
      <c r="E59" s="15" t="s">
        <v>19</v>
      </c>
      <c r="F59" s="15" t="s">
        <v>20</v>
      </c>
      <c r="G59" s="1" t="s">
        <v>115</v>
      </c>
      <c r="H59" s="28"/>
      <c r="I59" s="9">
        <v>4</v>
      </c>
    </row>
    <row r="60" spans="1:9" ht="37.5" x14ac:dyDescent="0.3">
      <c r="A60" s="1" t="s">
        <v>21</v>
      </c>
      <c r="B60" s="5" t="s">
        <v>122</v>
      </c>
      <c r="C60" s="3" t="s">
        <v>10</v>
      </c>
      <c r="D60" s="3" t="s">
        <v>43</v>
      </c>
      <c r="E60" s="15" t="s">
        <v>19</v>
      </c>
      <c r="F60" s="3" t="s">
        <v>123</v>
      </c>
      <c r="G60" s="1" t="s">
        <v>115</v>
      </c>
      <c r="H60" s="28"/>
      <c r="I60" s="9">
        <v>4</v>
      </c>
    </row>
    <row r="61" spans="1:9" ht="39" customHeight="1" x14ac:dyDescent="0.3">
      <c r="A61" s="1" t="s">
        <v>25</v>
      </c>
      <c r="B61" s="2" t="s">
        <v>148</v>
      </c>
      <c r="C61" s="4" t="s">
        <v>46</v>
      </c>
      <c r="D61" s="4" t="s">
        <v>47</v>
      </c>
      <c r="E61" s="4" t="s">
        <v>149</v>
      </c>
      <c r="F61" s="4" t="s">
        <v>20</v>
      </c>
      <c r="G61" s="42" t="s">
        <v>115</v>
      </c>
      <c r="H61" s="28"/>
      <c r="I61" s="9">
        <v>4</v>
      </c>
    </row>
    <row r="62" spans="1:9" ht="37.5" x14ac:dyDescent="0.3">
      <c r="A62" s="1" t="s">
        <v>28</v>
      </c>
      <c r="B62" s="2" t="s">
        <v>151</v>
      </c>
      <c r="C62" s="4" t="s">
        <v>46</v>
      </c>
      <c r="D62" s="4" t="s">
        <v>47</v>
      </c>
      <c r="E62" s="4" t="s">
        <v>19</v>
      </c>
      <c r="F62" s="4" t="s">
        <v>20</v>
      </c>
      <c r="G62" s="42" t="s">
        <v>115</v>
      </c>
      <c r="H62" s="47"/>
      <c r="I62" s="9">
        <v>4</v>
      </c>
    </row>
    <row r="63" spans="1:9" ht="37.5" customHeight="1" x14ac:dyDescent="0.3">
      <c r="A63" s="1" t="s">
        <v>30</v>
      </c>
      <c r="B63" s="5" t="s">
        <v>26</v>
      </c>
      <c r="C63" s="4" t="s">
        <v>10</v>
      </c>
      <c r="D63" s="4" t="s">
        <v>27</v>
      </c>
      <c r="E63" s="4" t="s">
        <v>19</v>
      </c>
      <c r="F63" s="4" t="s">
        <v>12</v>
      </c>
      <c r="G63" s="4" t="s">
        <v>189</v>
      </c>
      <c r="H63" s="4"/>
      <c r="I63" s="9">
        <v>4</v>
      </c>
    </row>
    <row r="64" spans="1:9" ht="37.5" x14ac:dyDescent="0.3">
      <c r="A64" s="1" t="s">
        <v>32</v>
      </c>
      <c r="B64" s="5" t="s">
        <v>61</v>
      </c>
      <c r="C64" s="4" t="s">
        <v>10</v>
      </c>
      <c r="D64" s="4" t="s">
        <v>52</v>
      </c>
      <c r="E64" s="4" t="s">
        <v>62</v>
      </c>
      <c r="F64" s="4" t="s">
        <v>63</v>
      </c>
      <c r="G64" s="13" t="s">
        <v>203</v>
      </c>
      <c r="H64" s="4"/>
      <c r="I64" s="9">
        <v>4</v>
      </c>
    </row>
    <row r="65" spans="1:9" ht="56.25" x14ac:dyDescent="0.3">
      <c r="A65" s="1" t="s">
        <v>34</v>
      </c>
      <c r="B65" s="16" t="s">
        <v>152</v>
      </c>
      <c r="C65" s="15" t="s">
        <v>46</v>
      </c>
      <c r="D65" s="15" t="s">
        <v>47</v>
      </c>
      <c r="E65" s="15" t="s">
        <v>48</v>
      </c>
      <c r="F65" s="15" t="s">
        <v>20</v>
      </c>
      <c r="G65" s="46" t="s">
        <v>138</v>
      </c>
      <c r="H65" s="28"/>
      <c r="I65" s="9">
        <v>4</v>
      </c>
    </row>
    <row r="66" spans="1:9" ht="42.75" customHeight="1" x14ac:dyDescent="0.3">
      <c r="A66" s="48" t="str">
        <f>"THÁNG 5 "&amp;"- ("&amp;COUNTA(A67:A68)&amp;" nhiệm vụ)"</f>
        <v>THÁNG 5 - (2 nhiệm vụ)</v>
      </c>
      <c r="B66" s="49"/>
      <c r="C66" s="49"/>
      <c r="D66" s="49"/>
      <c r="E66" s="49"/>
      <c r="F66" s="49"/>
      <c r="G66" s="49"/>
      <c r="H66" s="50"/>
    </row>
    <row r="67" spans="1:9" ht="37.5" x14ac:dyDescent="0.3">
      <c r="A67" s="1" t="s">
        <v>8</v>
      </c>
      <c r="B67" s="16" t="s">
        <v>124</v>
      </c>
      <c r="C67" s="15" t="s">
        <v>10</v>
      </c>
      <c r="D67" s="15" t="s">
        <v>24</v>
      </c>
      <c r="E67" s="15" t="s">
        <v>19</v>
      </c>
      <c r="F67" s="15" t="s">
        <v>117</v>
      </c>
      <c r="G67" s="1" t="s">
        <v>125</v>
      </c>
      <c r="H67" s="25" t="s">
        <v>59</v>
      </c>
      <c r="I67" s="9">
        <v>5</v>
      </c>
    </row>
    <row r="68" spans="1:9" ht="37.5" x14ac:dyDescent="0.3">
      <c r="A68" s="1" t="s">
        <v>14</v>
      </c>
      <c r="B68" s="16" t="s">
        <v>126</v>
      </c>
      <c r="C68" s="15" t="s">
        <v>23</v>
      </c>
      <c r="D68" s="15" t="s">
        <v>24</v>
      </c>
      <c r="E68" s="15" t="s">
        <v>19</v>
      </c>
      <c r="F68" s="19" t="s">
        <v>20</v>
      </c>
      <c r="G68" s="1" t="s">
        <v>127</v>
      </c>
      <c r="H68" s="25"/>
      <c r="I68" s="9">
        <v>5</v>
      </c>
    </row>
    <row r="69" spans="1:9" ht="45" customHeight="1" x14ac:dyDescent="0.3">
      <c r="A69" s="48" t="str">
        <f>"THÁNG 6 "&amp;"- ("&amp;COUNTA(A70:A74)&amp;" nhiệm vụ)"</f>
        <v>THÁNG 6 - (5 nhiệm vụ)</v>
      </c>
      <c r="B69" s="49"/>
      <c r="C69" s="49"/>
      <c r="D69" s="49"/>
      <c r="E69" s="49"/>
      <c r="F69" s="49"/>
      <c r="G69" s="49"/>
      <c r="H69" s="50"/>
    </row>
    <row r="70" spans="1:9" ht="37.5" x14ac:dyDescent="0.3">
      <c r="A70" s="1" t="s">
        <v>8</v>
      </c>
      <c r="B70" s="2" t="s">
        <v>128</v>
      </c>
      <c r="C70" s="3" t="s">
        <v>10</v>
      </c>
      <c r="D70" s="4" t="s">
        <v>11</v>
      </c>
      <c r="E70" s="4" t="s">
        <v>129</v>
      </c>
      <c r="F70" s="4" t="s">
        <v>130</v>
      </c>
      <c r="G70" s="1" t="s">
        <v>131</v>
      </c>
      <c r="H70" s="25"/>
      <c r="I70" s="9">
        <v>6</v>
      </c>
    </row>
    <row r="71" spans="1:9" ht="37.5" x14ac:dyDescent="0.3">
      <c r="A71" s="1" t="s">
        <v>14</v>
      </c>
      <c r="B71" s="2" t="s">
        <v>132</v>
      </c>
      <c r="C71" s="3" t="s">
        <v>23</v>
      </c>
      <c r="D71" s="4" t="s">
        <v>11</v>
      </c>
      <c r="E71" s="4"/>
      <c r="F71" s="4" t="s">
        <v>133</v>
      </c>
      <c r="G71" s="1" t="s">
        <v>131</v>
      </c>
      <c r="H71" s="25"/>
      <c r="I71" s="9">
        <v>6</v>
      </c>
    </row>
    <row r="72" spans="1:9" ht="37.5" x14ac:dyDescent="0.3">
      <c r="A72" s="1" t="s">
        <v>17</v>
      </c>
      <c r="B72" s="16" t="s">
        <v>134</v>
      </c>
      <c r="C72" s="15" t="s">
        <v>46</v>
      </c>
      <c r="D72" s="15" t="s">
        <v>72</v>
      </c>
      <c r="E72" s="15" t="s">
        <v>19</v>
      </c>
      <c r="F72" s="15" t="s">
        <v>120</v>
      </c>
      <c r="G72" s="1" t="s">
        <v>131</v>
      </c>
      <c r="H72" s="25"/>
      <c r="I72" s="9">
        <v>6</v>
      </c>
    </row>
    <row r="73" spans="1:9" ht="37.5" x14ac:dyDescent="0.3">
      <c r="A73" s="1" t="s">
        <v>70</v>
      </c>
      <c r="B73" s="21" t="s">
        <v>135</v>
      </c>
      <c r="C73" s="18" t="s">
        <v>10</v>
      </c>
      <c r="D73" s="18" t="s">
        <v>24</v>
      </c>
      <c r="E73" s="18" t="s">
        <v>19</v>
      </c>
      <c r="F73" s="22" t="s">
        <v>12</v>
      </c>
      <c r="G73" s="23" t="s">
        <v>131</v>
      </c>
      <c r="H73" s="25"/>
      <c r="I73" s="9">
        <v>6</v>
      </c>
    </row>
    <row r="74" spans="1:9" ht="37.5" x14ac:dyDescent="0.3">
      <c r="A74" s="1" t="s">
        <v>21</v>
      </c>
      <c r="B74" s="16" t="s">
        <v>136</v>
      </c>
      <c r="C74" s="37" t="s">
        <v>10</v>
      </c>
      <c r="D74" s="15" t="s">
        <v>27</v>
      </c>
      <c r="E74" s="18" t="s">
        <v>19</v>
      </c>
      <c r="F74" s="15" t="s">
        <v>20</v>
      </c>
      <c r="G74" s="30" t="s">
        <v>131</v>
      </c>
      <c r="H74" s="25"/>
      <c r="I74" s="9">
        <v>6</v>
      </c>
    </row>
    <row r="75" spans="1:9" ht="43.5" customHeight="1" x14ac:dyDescent="0.3">
      <c r="A75" s="48" t="str">
        <f>"THÁNG 7 "&amp;"- ("&amp;COUNTA(A76:A83)&amp;" nhiệm vụ)"</f>
        <v>THÁNG 7 - (8 nhiệm vụ)</v>
      </c>
      <c r="B75" s="49"/>
      <c r="C75" s="49"/>
      <c r="D75" s="49"/>
      <c r="E75" s="49"/>
      <c r="F75" s="49"/>
      <c r="G75" s="49"/>
      <c r="H75" s="50"/>
    </row>
    <row r="76" spans="1:9" ht="56.25" x14ac:dyDescent="0.3">
      <c r="A76" s="31" t="s">
        <v>8</v>
      </c>
      <c r="B76" s="2" t="s">
        <v>139</v>
      </c>
      <c r="C76" s="4" t="s">
        <v>94</v>
      </c>
      <c r="D76" s="4" t="s">
        <v>11</v>
      </c>
      <c r="E76" s="4"/>
      <c r="F76" s="4" t="s">
        <v>137</v>
      </c>
      <c r="G76" s="1" t="s">
        <v>138</v>
      </c>
      <c r="H76" s="25"/>
      <c r="I76" s="9">
        <v>7</v>
      </c>
    </row>
    <row r="77" spans="1:9" ht="56.25" x14ac:dyDescent="0.3">
      <c r="A77" s="1" t="s">
        <v>14</v>
      </c>
      <c r="B77" s="2" t="s">
        <v>195</v>
      </c>
      <c r="C77" s="4" t="s">
        <v>94</v>
      </c>
      <c r="D77" s="4" t="s">
        <v>11</v>
      </c>
      <c r="E77" s="4"/>
      <c r="F77" s="4" t="s">
        <v>137</v>
      </c>
      <c r="G77" s="1" t="s">
        <v>138</v>
      </c>
      <c r="H77" s="25"/>
      <c r="I77" s="9">
        <v>7</v>
      </c>
    </row>
    <row r="78" spans="1:9" ht="37.5" x14ac:dyDescent="0.3">
      <c r="A78" s="31" t="s">
        <v>17</v>
      </c>
      <c r="B78" s="11" t="s">
        <v>140</v>
      </c>
      <c r="C78" s="4" t="s">
        <v>46</v>
      </c>
      <c r="D78" s="4" t="s">
        <v>72</v>
      </c>
      <c r="E78" s="4" t="s">
        <v>19</v>
      </c>
      <c r="F78" s="4" t="s">
        <v>120</v>
      </c>
      <c r="G78" s="12" t="s">
        <v>141</v>
      </c>
      <c r="H78" s="25"/>
      <c r="I78" s="9">
        <v>7</v>
      </c>
    </row>
    <row r="79" spans="1:9" ht="37.5" x14ac:dyDescent="0.3">
      <c r="A79" s="1" t="s">
        <v>70</v>
      </c>
      <c r="B79" s="11" t="s">
        <v>142</v>
      </c>
      <c r="C79" s="4" t="s">
        <v>23</v>
      </c>
      <c r="D79" s="4" t="s">
        <v>24</v>
      </c>
      <c r="E79" s="4" t="s">
        <v>143</v>
      </c>
      <c r="F79" s="4" t="s">
        <v>20</v>
      </c>
      <c r="G79" s="12" t="s">
        <v>138</v>
      </c>
      <c r="H79" s="25" t="s">
        <v>59</v>
      </c>
      <c r="I79" s="9">
        <v>7</v>
      </c>
    </row>
    <row r="80" spans="1:9" ht="37.5" x14ac:dyDescent="0.3">
      <c r="A80" s="31" t="s">
        <v>21</v>
      </c>
      <c r="B80" s="5" t="s">
        <v>144</v>
      </c>
      <c r="C80" s="4" t="s">
        <v>10</v>
      </c>
      <c r="D80" s="4" t="s">
        <v>24</v>
      </c>
      <c r="E80" s="4" t="s">
        <v>143</v>
      </c>
      <c r="F80" s="4" t="s">
        <v>20</v>
      </c>
      <c r="G80" s="45" t="s">
        <v>138</v>
      </c>
      <c r="H80" s="25"/>
      <c r="I80" s="9">
        <v>7</v>
      </c>
    </row>
    <row r="81" spans="1:9" ht="37.5" x14ac:dyDescent="0.3">
      <c r="A81" s="1" t="s">
        <v>25</v>
      </c>
      <c r="B81" s="2" t="s">
        <v>145</v>
      </c>
      <c r="C81" s="3" t="s">
        <v>10</v>
      </c>
      <c r="D81" s="3" t="s">
        <v>43</v>
      </c>
      <c r="E81" s="4" t="s">
        <v>19</v>
      </c>
      <c r="F81" s="4" t="s">
        <v>56</v>
      </c>
      <c r="G81" s="3" t="s">
        <v>146</v>
      </c>
      <c r="H81" s="25"/>
      <c r="I81" s="9">
        <v>7</v>
      </c>
    </row>
    <row r="82" spans="1:9" ht="37.5" x14ac:dyDescent="0.3">
      <c r="A82" s="31" t="s">
        <v>28</v>
      </c>
      <c r="B82" s="2" t="s">
        <v>150</v>
      </c>
      <c r="C82" s="4" t="s">
        <v>46</v>
      </c>
      <c r="D82" s="4" t="s">
        <v>47</v>
      </c>
      <c r="E82" s="4" t="s">
        <v>19</v>
      </c>
      <c r="F82" s="4" t="s">
        <v>20</v>
      </c>
      <c r="G82" s="42" t="s">
        <v>138</v>
      </c>
      <c r="H82" s="25"/>
      <c r="I82" s="9">
        <v>4</v>
      </c>
    </row>
    <row r="83" spans="1:9" ht="37.5" x14ac:dyDescent="0.3">
      <c r="A83" s="1" t="s">
        <v>30</v>
      </c>
      <c r="B83" s="2" t="s">
        <v>147</v>
      </c>
      <c r="C83" s="3" t="s">
        <v>10</v>
      </c>
      <c r="D83" s="3" t="s">
        <v>43</v>
      </c>
      <c r="E83" s="4" t="s">
        <v>19</v>
      </c>
      <c r="F83" s="4" t="s">
        <v>12</v>
      </c>
      <c r="G83" s="3" t="s">
        <v>146</v>
      </c>
      <c r="H83" s="25"/>
      <c r="I83" s="9">
        <v>7</v>
      </c>
    </row>
    <row r="84" spans="1:9" ht="42" customHeight="1" x14ac:dyDescent="0.3">
      <c r="A84" s="48" t="str">
        <f>"THÁNG 8 "&amp;"- ("&amp;COUNTA(A85:A89)&amp;" nhiệm vụ)"</f>
        <v>THÁNG 8 - (5 nhiệm vụ)</v>
      </c>
      <c r="B84" s="49"/>
      <c r="C84" s="49"/>
      <c r="D84" s="49"/>
      <c r="E84" s="49"/>
      <c r="F84" s="49"/>
      <c r="G84" s="49"/>
      <c r="H84" s="50"/>
    </row>
    <row r="85" spans="1:9" ht="37.5" x14ac:dyDescent="0.3">
      <c r="A85" s="3">
        <v>1</v>
      </c>
      <c r="B85" s="7" t="s">
        <v>153</v>
      </c>
      <c r="C85" s="3" t="s">
        <v>23</v>
      </c>
      <c r="D85" s="4" t="s">
        <v>11</v>
      </c>
      <c r="E85" s="4" t="s">
        <v>154</v>
      </c>
      <c r="F85" s="6" t="s">
        <v>20</v>
      </c>
      <c r="G85" s="1" t="s">
        <v>155</v>
      </c>
      <c r="H85" s="25"/>
      <c r="I85" s="9">
        <v>8</v>
      </c>
    </row>
    <row r="86" spans="1:9" ht="37.5" x14ac:dyDescent="0.3">
      <c r="A86" s="3">
        <v>2</v>
      </c>
      <c r="B86" s="16" t="s">
        <v>156</v>
      </c>
      <c r="C86" s="15" t="s">
        <v>23</v>
      </c>
      <c r="D86" s="15" t="s">
        <v>24</v>
      </c>
      <c r="E86" s="15" t="s">
        <v>19</v>
      </c>
      <c r="F86" s="15" t="s">
        <v>20</v>
      </c>
      <c r="G86" s="1" t="s">
        <v>155</v>
      </c>
      <c r="H86" s="25"/>
      <c r="I86" s="9">
        <v>8</v>
      </c>
    </row>
    <row r="87" spans="1:9" ht="75" x14ac:dyDescent="0.3">
      <c r="A87" s="3">
        <v>3</v>
      </c>
      <c r="B87" s="16" t="s">
        <v>157</v>
      </c>
      <c r="C87" s="15" t="s">
        <v>10</v>
      </c>
      <c r="D87" s="15" t="s">
        <v>24</v>
      </c>
      <c r="E87" s="15" t="s">
        <v>19</v>
      </c>
      <c r="F87" s="15" t="s">
        <v>20</v>
      </c>
      <c r="G87" s="17" t="s">
        <v>155</v>
      </c>
      <c r="H87" s="25"/>
      <c r="I87" s="9">
        <v>8</v>
      </c>
    </row>
    <row r="88" spans="1:9" ht="37.5" x14ac:dyDescent="0.3">
      <c r="A88" s="3">
        <v>4</v>
      </c>
      <c r="B88" s="16" t="s">
        <v>196</v>
      </c>
      <c r="C88" s="15" t="s">
        <v>51</v>
      </c>
      <c r="D88" s="15" t="s">
        <v>52</v>
      </c>
      <c r="E88" s="15" t="s">
        <v>19</v>
      </c>
      <c r="F88" s="15" t="s">
        <v>20</v>
      </c>
      <c r="G88" s="1" t="s">
        <v>155</v>
      </c>
      <c r="H88" s="25"/>
      <c r="I88" s="9">
        <v>8</v>
      </c>
    </row>
    <row r="89" spans="1:9" ht="37.5" x14ac:dyDescent="0.3">
      <c r="A89" s="3">
        <v>5</v>
      </c>
      <c r="B89" s="16" t="s">
        <v>158</v>
      </c>
      <c r="C89" s="15" t="s">
        <v>10</v>
      </c>
      <c r="D89" s="15" t="s">
        <v>24</v>
      </c>
      <c r="E89" s="15" t="s">
        <v>19</v>
      </c>
      <c r="F89" s="15" t="s">
        <v>20</v>
      </c>
      <c r="G89" s="17" t="s">
        <v>155</v>
      </c>
      <c r="H89" s="25"/>
      <c r="I89" s="9">
        <v>8</v>
      </c>
    </row>
    <row r="90" spans="1:9" ht="37.5" customHeight="1" x14ac:dyDescent="0.3">
      <c r="A90" s="48" t="str">
        <f>"THÁNG 9 "&amp;"- ("&amp;COUNTA(A91:A96)&amp;" nhiệm vụ)"</f>
        <v>THÁNG 9 - (6 nhiệm vụ)</v>
      </c>
      <c r="B90" s="49"/>
      <c r="C90" s="49"/>
      <c r="D90" s="49"/>
      <c r="E90" s="49"/>
      <c r="F90" s="49"/>
      <c r="G90" s="49"/>
      <c r="H90" s="50"/>
    </row>
    <row r="91" spans="1:9" ht="37.5" x14ac:dyDescent="0.3">
      <c r="A91" s="3">
        <v>1</v>
      </c>
      <c r="B91" s="2" t="s">
        <v>159</v>
      </c>
      <c r="C91" s="3" t="s">
        <v>10</v>
      </c>
      <c r="D91" s="4" t="s">
        <v>11</v>
      </c>
      <c r="E91" s="4" t="s">
        <v>154</v>
      </c>
      <c r="F91" s="4" t="s">
        <v>20</v>
      </c>
      <c r="G91" s="1" t="s">
        <v>160</v>
      </c>
      <c r="H91" s="25"/>
      <c r="I91" s="9">
        <v>9</v>
      </c>
    </row>
    <row r="92" spans="1:9" ht="37.5" x14ac:dyDescent="0.3">
      <c r="A92" s="3">
        <v>2</v>
      </c>
      <c r="B92" s="2" t="s">
        <v>161</v>
      </c>
      <c r="C92" s="4" t="s">
        <v>23</v>
      </c>
      <c r="D92" s="4" t="s">
        <v>11</v>
      </c>
      <c r="E92" s="4" t="s">
        <v>154</v>
      </c>
      <c r="F92" s="4" t="s">
        <v>162</v>
      </c>
      <c r="G92" s="1" t="s">
        <v>160</v>
      </c>
      <c r="H92" s="25"/>
      <c r="I92" s="9">
        <v>9</v>
      </c>
    </row>
    <row r="93" spans="1:9" ht="37.5" x14ac:dyDescent="0.3">
      <c r="A93" s="3">
        <v>3</v>
      </c>
      <c r="B93" s="5" t="s">
        <v>163</v>
      </c>
      <c r="C93" s="4" t="s">
        <v>10</v>
      </c>
      <c r="D93" s="4" t="s">
        <v>11</v>
      </c>
      <c r="E93" s="4" t="s">
        <v>19</v>
      </c>
      <c r="F93" s="4" t="s">
        <v>20</v>
      </c>
      <c r="G93" s="13" t="s">
        <v>164</v>
      </c>
      <c r="H93" s="4"/>
      <c r="I93" s="9">
        <v>9</v>
      </c>
    </row>
    <row r="94" spans="1:9" ht="37.5" x14ac:dyDescent="0.3">
      <c r="A94" s="3">
        <v>4</v>
      </c>
      <c r="B94" s="5" t="s">
        <v>165</v>
      </c>
      <c r="C94" s="4" t="s">
        <v>10</v>
      </c>
      <c r="D94" s="4" t="s">
        <v>11</v>
      </c>
      <c r="E94" s="4" t="s">
        <v>19</v>
      </c>
      <c r="F94" s="4" t="s">
        <v>20</v>
      </c>
      <c r="G94" s="13" t="s">
        <v>164</v>
      </c>
      <c r="H94" s="4"/>
      <c r="I94" s="9">
        <v>9</v>
      </c>
    </row>
    <row r="95" spans="1:9" ht="37.5" x14ac:dyDescent="0.3">
      <c r="A95" s="3">
        <v>5</v>
      </c>
      <c r="B95" s="5" t="s">
        <v>166</v>
      </c>
      <c r="C95" s="4" t="s">
        <v>23</v>
      </c>
      <c r="D95" s="4" t="s">
        <v>24</v>
      </c>
      <c r="E95" s="4" t="s">
        <v>19</v>
      </c>
      <c r="F95" s="4" t="s">
        <v>20</v>
      </c>
      <c r="G95" s="13" t="s">
        <v>160</v>
      </c>
      <c r="H95" s="36"/>
      <c r="I95" s="9">
        <v>9</v>
      </c>
    </row>
    <row r="96" spans="1:9" ht="37.5" x14ac:dyDescent="0.3">
      <c r="A96" s="3">
        <v>6</v>
      </c>
      <c r="B96" s="27" t="s">
        <v>167</v>
      </c>
      <c r="C96" s="26" t="s">
        <v>10</v>
      </c>
      <c r="D96" s="26" t="s">
        <v>27</v>
      </c>
      <c r="E96" s="4" t="s">
        <v>154</v>
      </c>
      <c r="F96" s="26" t="s">
        <v>20</v>
      </c>
      <c r="G96" s="1" t="s">
        <v>160</v>
      </c>
      <c r="H96" s="32"/>
      <c r="I96" s="9">
        <v>9</v>
      </c>
    </row>
    <row r="97" spans="1:9" ht="39" customHeight="1" x14ac:dyDescent="0.3">
      <c r="A97" s="48" t="str">
        <f>"THÁNG 10 "&amp;"- ("&amp;COUNTA(A98:A102)&amp;" nhiệm vụ)"</f>
        <v>THÁNG 10 - (5 nhiệm vụ)</v>
      </c>
      <c r="B97" s="49"/>
      <c r="C97" s="49"/>
      <c r="D97" s="49"/>
      <c r="E97" s="49"/>
      <c r="F97" s="49"/>
      <c r="G97" s="49"/>
      <c r="H97" s="50"/>
    </row>
    <row r="98" spans="1:9" ht="75" x14ac:dyDescent="0.3">
      <c r="A98" s="3">
        <v>1</v>
      </c>
      <c r="B98" s="11" t="s">
        <v>168</v>
      </c>
      <c r="C98" s="4" t="s">
        <v>10</v>
      </c>
      <c r="D98" s="4" t="s">
        <v>72</v>
      </c>
      <c r="E98" s="4" t="s">
        <v>19</v>
      </c>
      <c r="F98" s="4" t="s">
        <v>120</v>
      </c>
      <c r="G98" s="12" t="s">
        <v>164</v>
      </c>
      <c r="H98" s="25"/>
      <c r="I98" s="9">
        <v>10</v>
      </c>
    </row>
    <row r="99" spans="1:9" ht="37.5" x14ac:dyDescent="0.3">
      <c r="A99" s="1" t="s">
        <v>14</v>
      </c>
      <c r="B99" s="11" t="s">
        <v>169</v>
      </c>
      <c r="C99" s="4" t="s">
        <v>10</v>
      </c>
      <c r="D99" s="4" t="s">
        <v>72</v>
      </c>
      <c r="E99" s="4" t="s">
        <v>19</v>
      </c>
      <c r="F99" s="4" t="s">
        <v>120</v>
      </c>
      <c r="G99" s="20" t="s">
        <v>170</v>
      </c>
      <c r="H99" s="25"/>
      <c r="I99" s="9">
        <v>10</v>
      </c>
    </row>
    <row r="100" spans="1:9" ht="37.5" x14ac:dyDescent="0.3">
      <c r="A100" s="3">
        <v>3</v>
      </c>
      <c r="B100" s="16" t="s">
        <v>171</v>
      </c>
      <c r="C100" s="15" t="s">
        <v>23</v>
      </c>
      <c r="D100" s="15" t="s">
        <v>24</v>
      </c>
      <c r="E100" s="15" t="s">
        <v>19</v>
      </c>
      <c r="F100" s="15" t="s">
        <v>20</v>
      </c>
      <c r="G100" s="1" t="s">
        <v>164</v>
      </c>
      <c r="H100" s="25"/>
      <c r="I100" s="9">
        <v>10</v>
      </c>
    </row>
    <row r="101" spans="1:9" ht="37.5" x14ac:dyDescent="0.3">
      <c r="A101" s="3">
        <v>4</v>
      </c>
      <c r="B101" s="16" t="s">
        <v>204</v>
      </c>
      <c r="C101" s="15" t="s">
        <v>23</v>
      </c>
      <c r="D101" s="15" t="s">
        <v>24</v>
      </c>
      <c r="E101" s="15" t="s">
        <v>143</v>
      </c>
      <c r="F101" s="15" t="s">
        <v>12</v>
      </c>
      <c r="G101" s="1" t="s">
        <v>164</v>
      </c>
      <c r="H101" s="25"/>
      <c r="I101" s="9">
        <v>10</v>
      </c>
    </row>
    <row r="102" spans="1:9" ht="44.25" customHeight="1" x14ac:dyDescent="0.3">
      <c r="A102" s="3">
        <v>5</v>
      </c>
      <c r="B102" s="2" t="s">
        <v>172</v>
      </c>
      <c r="C102" s="4" t="s">
        <v>46</v>
      </c>
      <c r="D102" s="4" t="s">
        <v>47</v>
      </c>
      <c r="E102" s="4" t="s">
        <v>173</v>
      </c>
      <c r="F102" s="4" t="s">
        <v>20</v>
      </c>
      <c r="G102" s="1" t="s">
        <v>175</v>
      </c>
      <c r="H102" s="25"/>
      <c r="I102" s="9">
        <v>10</v>
      </c>
    </row>
    <row r="103" spans="1:9" ht="40.5" customHeight="1" x14ac:dyDescent="0.3">
      <c r="A103" s="48" t="str">
        <f>"THÁNG 11 "&amp;"- ("&amp;COUNTA(A105:A106)&amp;" nhiệm vụ)"</f>
        <v>THÁNG 11 - (2 nhiệm vụ)</v>
      </c>
      <c r="B103" s="49"/>
      <c r="C103" s="49"/>
      <c r="D103" s="49"/>
      <c r="E103" s="49"/>
      <c r="F103" s="49"/>
      <c r="G103" s="49"/>
      <c r="H103" s="50"/>
    </row>
    <row r="104" spans="1:9" ht="37.5" x14ac:dyDescent="0.3">
      <c r="A104" s="1" t="s">
        <v>8</v>
      </c>
      <c r="B104" s="11" t="s">
        <v>174</v>
      </c>
      <c r="C104" s="4" t="s">
        <v>46</v>
      </c>
      <c r="D104" s="4" t="s">
        <v>72</v>
      </c>
      <c r="E104" s="4" t="s">
        <v>19</v>
      </c>
      <c r="F104" s="4" t="s">
        <v>120</v>
      </c>
      <c r="G104" s="1" t="s">
        <v>175</v>
      </c>
      <c r="H104" s="25"/>
      <c r="I104" s="9">
        <v>11</v>
      </c>
    </row>
    <row r="105" spans="1:9" ht="37.5" x14ac:dyDescent="0.3">
      <c r="A105" s="3">
        <v>2</v>
      </c>
      <c r="B105" s="2" t="s">
        <v>176</v>
      </c>
      <c r="C105" s="24" t="s">
        <v>10</v>
      </c>
      <c r="D105" s="15" t="s">
        <v>24</v>
      </c>
      <c r="E105" s="15" t="s">
        <v>19</v>
      </c>
      <c r="F105" s="15" t="s">
        <v>20</v>
      </c>
      <c r="G105" s="17" t="s">
        <v>175</v>
      </c>
      <c r="H105" s="33"/>
      <c r="I105" s="9">
        <v>11</v>
      </c>
    </row>
    <row r="106" spans="1:9" ht="37.5" x14ac:dyDescent="0.3">
      <c r="A106" s="34">
        <v>3</v>
      </c>
      <c r="B106" s="35" t="s">
        <v>177</v>
      </c>
      <c r="C106" s="15" t="s">
        <v>10</v>
      </c>
      <c r="D106" s="15" t="s">
        <v>27</v>
      </c>
      <c r="E106" s="15" t="s">
        <v>19</v>
      </c>
      <c r="F106" s="15" t="s">
        <v>20</v>
      </c>
      <c r="G106" s="30" t="s">
        <v>175</v>
      </c>
      <c r="H106" s="33"/>
      <c r="I106" s="9">
        <v>11</v>
      </c>
    </row>
    <row r="107" spans="1:9" ht="35.25" customHeight="1" x14ac:dyDescent="0.3">
      <c r="A107" s="48" t="str">
        <f>"THÁNG 12 "&amp;"- ("&amp;COUNTA(A108:A112)&amp;" nhiệm vụ)"</f>
        <v>THÁNG 12 - (5 nhiệm vụ)</v>
      </c>
      <c r="B107" s="49"/>
      <c r="C107" s="49"/>
      <c r="D107" s="49"/>
      <c r="E107" s="49"/>
      <c r="F107" s="49"/>
      <c r="G107" s="49"/>
      <c r="H107" s="50"/>
    </row>
    <row r="108" spans="1:9" ht="56.25" x14ac:dyDescent="0.3">
      <c r="A108" s="3">
        <v>1</v>
      </c>
      <c r="B108" s="16" t="s">
        <v>178</v>
      </c>
      <c r="C108" s="15" t="s">
        <v>10</v>
      </c>
      <c r="D108" s="15" t="s">
        <v>27</v>
      </c>
      <c r="E108" s="15" t="s">
        <v>19</v>
      </c>
      <c r="F108" s="15" t="s">
        <v>179</v>
      </c>
      <c r="G108" s="30" t="s">
        <v>180</v>
      </c>
      <c r="H108" s="25"/>
      <c r="I108" s="9">
        <v>12</v>
      </c>
    </row>
    <row r="109" spans="1:9" ht="56.25" x14ac:dyDescent="0.3">
      <c r="A109" s="3">
        <v>2</v>
      </c>
      <c r="B109" s="16" t="s">
        <v>181</v>
      </c>
      <c r="C109" s="15" t="s">
        <v>10</v>
      </c>
      <c r="D109" s="15" t="s">
        <v>27</v>
      </c>
      <c r="E109" s="15" t="s">
        <v>19</v>
      </c>
      <c r="F109" s="15" t="s">
        <v>56</v>
      </c>
      <c r="G109" s="30" t="s">
        <v>180</v>
      </c>
      <c r="H109" s="25"/>
      <c r="I109" s="9">
        <v>12</v>
      </c>
    </row>
    <row r="110" spans="1:9" ht="37.5" x14ac:dyDescent="0.3">
      <c r="A110" s="3">
        <v>3</v>
      </c>
      <c r="B110" s="2" t="s">
        <v>182</v>
      </c>
      <c r="C110" s="4" t="s">
        <v>46</v>
      </c>
      <c r="D110" s="4" t="s">
        <v>47</v>
      </c>
      <c r="E110" s="4" t="s">
        <v>183</v>
      </c>
      <c r="F110" s="4" t="s">
        <v>184</v>
      </c>
      <c r="G110" s="30" t="s">
        <v>180</v>
      </c>
      <c r="H110" s="25"/>
      <c r="I110" s="9">
        <v>12</v>
      </c>
    </row>
    <row r="111" spans="1:9" ht="37.5" x14ac:dyDescent="0.3">
      <c r="A111" s="3">
        <v>4</v>
      </c>
      <c r="B111" s="16" t="s">
        <v>185</v>
      </c>
      <c r="C111" s="15" t="s">
        <v>10</v>
      </c>
      <c r="D111" s="15" t="s">
        <v>52</v>
      </c>
      <c r="E111" s="15" t="s">
        <v>19</v>
      </c>
      <c r="F111" s="15" t="s">
        <v>20</v>
      </c>
      <c r="G111" s="30" t="s">
        <v>180</v>
      </c>
      <c r="H111" s="16"/>
      <c r="I111" s="9">
        <v>12</v>
      </c>
    </row>
    <row r="112" spans="1:9" ht="37.5" x14ac:dyDescent="0.3">
      <c r="A112" s="3">
        <v>5</v>
      </c>
      <c r="B112" s="2" t="s">
        <v>186</v>
      </c>
      <c r="C112" s="4" t="s">
        <v>46</v>
      </c>
      <c r="D112" s="4" t="s">
        <v>47</v>
      </c>
      <c r="E112" s="4" t="s">
        <v>183</v>
      </c>
      <c r="F112" s="4" t="s">
        <v>20</v>
      </c>
      <c r="G112" s="30" t="s">
        <v>180</v>
      </c>
      <c r="H112" s="25"/>
      <c r="I112" s="9">
        <v>12</v>
      </c>
    </row>
  </sheetData>
  <mergeCells count="21">
    <mergeCell ref="A4:H4"/>
    <mergeCell ref="A14:H14"/>
    <mergeCell ref="A1:H1"/>
    <mergeCell ref="A2:A3"/>
    <mergeCell ref="B2:B3"/>
    <mergeCell ref="C2:C3"/>
    <mergeCell ref="D2:D3"/>
    <mergeCell ref="G2:G3"/>
    <mergeCell ref="H2:H3"/>
    <mergeCell ref="F2:F3"/>
    <mergeCell ref="E2:E3"/>
    <mergeCell ref="A29:H29"/>
    <mergeCell ref="A55:H55"/>
    <mergeCell ref="A66:H66"/>
    <mergeCell ref="A69:H69"/>
    <mergeCell ref="A75:H75"/>
    <mergeCell ref="A84:H84"/>
    <mergeCell ref="A90:H90"/>
    <mergeCell ref="A97:H97"/>
    <mergeCell ref="A103:H103"/>
    <mergeCell ref="A107:H107"/>
  </mergeCells>
  <phoneticPr fontId="6" type="noConversion"/>
  <conditionalFormatting sqref="B5:B6">
    <cfRule type="dataBar" priority="32">
      <dataBar>
        <cfvo type="min"/>
        <cfvo type="max"/>
        <color rgb="FF638EC6"/>
      </dataBar>
      <extLst>
        <ext xmlns:x14="http://schemas.microsoft.com/office/spreadsheetml/2009/9/main" uri="{B025F937-C7B1-47D3-B67F-A62EFF666E3E}">
          <x14:id>{341D1F8D-2879-44C0-885B-2293F2EE9BCF}</x14:id>
        </ext>
      </extLst>
    </cfRule>
  </conditionalFormatting>
  <conditionalFormatting sqref="B7">
    <cfRule type="dataBar" priority="37">
      <dataBar>
        <cfvo type="min"/>
        <cfvo type="max"/>
        <color rgb="FF638EC6"/>
      </dataBar>
      <extLst>
        <ext xmlns:x14="http://schemas.microsoft.com/office/spreadsheetml/2009/9/main" uri="{B025F937-C7B1-47D3-B67F-A62EFF666E3E}">
          <x14:id>{343E9C1A-B885-4E30-B999-942D5A6844A1}</x14:id>
        </ext>
      </extLst>
    </cfRule>
  </conditionalFormatting>
  <conditionalFormatting sqref="B19">
    <cfRule type="dataBar" priority="33">
      <dataBar>
        <cfvo type="min"/>
        <cfvo type="max"/>
        <color rgb="FF638EC6"/>
      </dataBar>
      <extLst>
        <ext xmlns:x14="http://schemas.microsoft.com/office/spreadsheetml/2009/9/main" uri="{B025F937-C7B1-47D3-B67F-A62EFF666E3E}">
          <x14:id>{CD8E96FB-D6AE-412D-9500-12B2877FB865}</x14:id>
        </ext>
      </extLst>
    </cfRule>
  </conditionalFormatting>
  <conditionalFormatting sqref="B23:B26 B8:B13 B47">
    <cfRule type="dataBar" priority="54">
      <dataBar>
        <cfvo type="min"/>
        <cfvo type="max"/>
        <color rgb="FF638EC6"/>
      </dataBar>
      <extLst>
        <ext xmlns:x14="http://schemas.microsoft.com/office/spreadsheetml/2009/9/main" uri="{B025F937-C7B1-47D3-B67F-A62EFF666E3E}">
          <x14:id>{6881C2B6-0848-44AC-8C78-13C312C93382}</x14:id>
        </ext>
      </extLst>
    </cfRule>
  </conditionalFormatting>
  <conditionalFormatting sqref="B37:B38">
    <cfRule type="dataBar" priority="22">
      <dataBar>
        <cfvo type="min"/>
        <cfvo type="max"/>
        <color rgb="FF638EC6"/>
      </dataBar>
      <extLst>
        <ext xmlns:x14="http://schemas.microsoft.com/office/spreadsheetml/2009/9/main" uri="{B025F937-C7B1-47D3-B67F-A62EFF666E3E}">
          <x14:id>{69AD2206-754C-41F1-ACF4-F12BA76558B1}</x14:id>
        </ext>
      </extLst>
    </cfRule>
  </conditionalFormatting>
  <conditionalFormatting sqref="B39:B41">
    <cfRule type="dataBar" priority="5">
      <dataBar>
        <cfvo type="min"/>
        <cfvo type="max"/>
        <color rgb="FF638EC6"/>
      </dataBar>
      <extLst>
        <ext xmlns:x14="http://schemas.microsoft.com/office/spreadsheetml/2009/9/main" uri="{B025F937-C7B1-47D3-B67F-A62EFF666E3E}">
          <x14:id>{1FB2F7D1-DA6E-44D8-840F-DCD769D42E25}</x14:id>
        </ext>
      </extLst>
    </cfRule>
  </conditionalFormatting>
  <conditionalFormatting sqref="B44:B46 B63 B42 B20:B22 B28">
    <cfRule type="dataBar" priority="52">
      <dataBar>
        <cfvo type="min"/>
        <cfvo type="max"/>
        <color rgb="FF638EC6"/>
      </dataBar>
      <extLst>
        <ext xmlns:x14="http://schemas.microsoft.com/office/spreadsheetml/2009/9/main" uri="{B025F937-C7B1-47D3-B67F-A62EFF666E3E}">
          <x14:id>{A87D4A9F-A27D-43BE-A75D-05AB42D0D354}</x14:id>
        </ext>
      </extLst>
    </cfRule>
  </conditionalFormatting>
  <conditionalFormatting sqref="B49:B52 B64 B93:B95 B43 B27">
    <cfRule type="dataBar" priority="26">
      <dataBar>
        <cfvo type="min"/>
        <cfvo type="max"/>
        <color rgb="FF638EC6"/>
      </dataBar>
      <extLst>
        <ext xmlns:x14="http://schemas.microsoft.com/office/spreadsheetml/2009/9/main" uri="{B025F937-C7B1-47D3-B67F-A62EFF666E3E}">
          <x14:id>{9B495814-800F-48C6-9398-A3D083BE20F9}</x14:id>
        </ext>
      </extLst>
    </cfRule>
  </conditionalFormatting>
  <conditionalFormatting sqref="B54">
    <cfRule type="dataBar" priority="20">
      <dataBar>
        <cfvo type="min"/>
        <cfvo type="max"/>
        <color rgb="FF638EC6"/>
      </dataBar>
      <extLst>
        <ext xmlns:x14="http://schemas.microsoft.com/office/spreadsheetml/2009/9/main" uri="{B025F937-C7B1-47D3-B67F-A62EFF666E3E}">
          <x14:id>{08F7FA29-EDBF-4D7C-81CE-8B46BED37ECC}</x14:id>
        </ext>
      </extLst>
    </cfRule>
  </conditionalFormatting>
  <conditionalFormatting sqref="B59:B60 B104">
    <cfRule type="dataBar" priority="38">
      <dataBar>
        <cfvo type="min"/>
        <cfvo type="max"/>
        <color rgb="FF638EC6"/>
      </dataBar>
      <extLst>
        <ext xmlns:x14="http://schemas.microsoft.com/office/spreadsheetml/2009/9/main" uri="{B025F937-C7B1-47D3-B67F-A62EFF666E3E}">
          <x14:id>{FF440973-55FD-434B-9352-4CBECB6CA30A}</x14:id>
        </ext>
      </extLst>
    </cfRule>
  </conditionalFormatting>
  <conditionalFormatting sqref="B62 B82">
    <cfRule type="dataBar" priority="41">
      <dataBar>
        <cfvo type="min"/>
        <cfvo type="max"/>
        <color rgb="FF638EC6"/>
      </dataBar>
      <extLst>
        <ext xmlns:x14="http://schemas.microsoft.com/office/spreadsheetml/2009/9/main" uri="{B025F937-C7B1-47D3-B67F-A62EFF666E3E}">
          <x14:id>{3F2E42FB-6D3F-4670-BE66-4F9B0EAA9CF1}</x14:id>
        </ext>
      </extLst>
    </cfRule>
  </conditionalFormatting>
  <conditionalFormatting sqref="B67">
    <cfRule type="dataBar" priority="3">
      <dataBar>
        <cfvo type="min"/>
        <cfvo type="max"/>
        <color rgb="FF638EC6"/>
      </dataBar>
      <extLst>
        <ext xmlns:x14="http://schemas.microsoft.com/office/spreadsheetml/2009/9/main" uri="{B025F937-C7B1-47D3-B67F-A62EFF666E3E}">
          <x14:id>{850040DF-500F-4120-8A56-060E2DD9B225}</x14:id>
        </ext>
      </extLst>
    </cfRule>
  </conditionalFormatting>
  <conditionalFormatting sqref="B68">
    <cfRule type="dataBar" priority="48">
      <dataBar>
        <cfvo type="min"/>
        <cfvo type="max"/>
        <color rgb="FF638EC6"/>
      </dataBar>
      <extLst>
        <ext xmlns:x14="http://schemas.microsoft.com/office/spreadsheetml/2009/9/main" uri="{B025F937-C7B1-47D3-B67F-A62EFF666E3E}">
          <x14:id>{5BFA59A9-0277-4EE3-A1BA-E3C9C99C61B6}</x14:id>
        </ext>
      </extLst>
    </cfRule>
  </conditionalFormatting>
  <conditionalFormatting sqref="B72">
    <cfRule type="dataBar" priority="1">
      <dataBar>
        <cfvo type="min"/>
        <cfvo type="max"/>
        <color rgb="FF638EC6"/>
      </dataBar>
      <extLst>
        <ext xmlns:x14="http://schemas.microsoft.com/office/spreadsheetml/2009/9/main" uri="{B025F937-C7B1-47D3-B67F-A62EFF666E3E}">
          <x14:id>{1BE5C3BC-BCDA-4015-A3B3-D7C2CFB32F69}</x14:id>
        </ext>
      </extLst>
    </cfRule>
  </conditionalFormatting>
  <conditionalFormatting sqref="B79">
    <cfRule type="dataBar" priority="24">
      <dataBar>
        <cfvo type="min"/>
        <cfvo type="max"/>
        <color rgb="FF638EC6"/>
      </dataBar>
      <extLst>
        <ext xmlns:x14="http://schemas.microsoft.com/office/spreadsheetml/2009/9/main" uri="{B025F937-C7B1-47D3-B67F-A62EFF666E3E}">
          <x14:id>{FA2C236B-F077-410F-AF24-349058A6BA37}</x14:id>
        </ext>
      </extLst>
    </cfRule>
  </conditionalFormatting>
  <conditionalFormatting sqref="B80">
    <cfRule type="dataBar" priority="13">
      <dataBar>
        <cfvo type="min"/>
        <cfvo type="max"/>
        <color rgb="FF638EC6"/>
      </dataBar>
      <extLst>
        <ext xmlns:x14="http://schemas.microsoft.com/office/spreadsheetml/2009/9/main" uri="{B025F937-C7B1-47D3-B67F-A62EFF666E3E}">
          <x14:id>{1A3BDD43-CDD1-40F4-BDFC-EE82006D15AB}</x14:id>
        </ext>
      </extLst>
    </cfRule>
  </conditionalFormatting>
  <conditionalFormatting sqref="B81">
    <cfRule type="dataBar" priority="14">
      <dataBar>
        <cfvo type="min"/>
        <cfvo type="max"/>
        <color rgb="FF638EC6"/>
      </dataBar>
      <extLst>
        <ext xmlns:x14="http://schemas.microsoft.com/office/spreadsheetml/2009/9/main" uri="{B025F937-C7B1-47D3-B67F-A62EFF666E3E}">
          <x14:id>{E3124D48-20C6-41F3-A140-BC2FAA4B236D}</x14:id>
        </ext>
      </extLst>
    </cfRule>
  </conditionalFormatting>
  <conditionalFormatting sqref="B83">
    <cfRule type="dataBar" priority="11">
      <dataBar>
        <cfvo type="min"/>
        <cfvo type="max"/>
        <color rgb="FF638EC6"/>
      </dataBar>
      <extLst>
        <ext xmlns:x14="http://schemas.microsoft.com/office/spreadsheetml/2009/9/main" uri="{B025F937-C7B1-47D3-B67F-A62EFF666E3E}">
          <x14:id>{D4A6A232-D41D-4061-A2D1-1F85BAA24E3F}</x14:id>
        </ext>
      </extLst>
    </cfRule>
  </conditionalFormatting>
  <conditionalFormatting sqref="B86:B89">
    <cfRule type="dataBar" priority="49">
      <dataBar>
        <cfvo type="min"/>
        <cfvo type="max"/>
        <color rgb="FF638EC6"/>
      </dataBar>
      <extLst>
        <ext xmlns:x14="http://schemas.microsoft.com/office/spreadsheetml/2009/9/main" uri="{B025F937-C7B1-47D3-B67F-A62EFF666E3E}">
          <x14:id>{2BA772A3-0D48-4518-BC3D-BB4B3E2A19F5}</x14:id>
        </ext>
      </extLst>
    </cfRule>
  </conditionalFormatting>
  <conditionalFormatting sqref="B99">
    <cfRule type="dataBar" priority="28">
      <dataBar>
        <cfvo type="min"/>
        <cfvo type="max"/>
        <color rgb="FF638EC6"/>
      </dataBar>
      <extLst>
        <ext xmlns:x14="http://schemas.microsoft.com/office/spreadsheetml/2009/9/main" uri="{B025F937-C7B1-47D3-B67F-A62EFF666E3E}">
          <x14:id>{E2DD5007-F83A-4A10-8179-3F5EA05664BD}</x14:id>
        </ext>
      </extLst>
    </cfRule>
  </conditionalFormatting>
  <conditionalFormatting sqref="B100:B101 B98">
    <cfRule type="dataBar" priority="46">
      <dataBar>
        <cfvo type="min"/>
        <cfvo type="max"/>
        <color rgb="FF638EC6"/>
      </dataBar>
      <extLst>
        <ext xmlns:x14="http://schemas.microsoft.com/office/spreadsheetml/2009/9/main" uri="{B025F937-C7B1-47D3-B67F-A62EFF666E3E}">
          <x14:id>{59C43DE6-CD49-4635-B5CB-6B2CF35DCEA1}</x14:id>
        </ext>
      </extLst>
    </cfRule>
  </conditionalFormatting>
  <conditionalFormatting sqref="B102">
    <cfRule type="dataBar" priority="16">
      <dataBar>
        <cfvo type="min"/>
        <cfvo type="max"/>
        <color rgb="FF638EC6"/>
      </dataBar>
      <extLst>
        <ext xmlns:x14="http://schemas.microsoft.com/office/spreadsheetml/2009/9/main" uri="{B025F937-C7B1-47D3-B67F-A62EFF666E3E}">
          <x14:id>{406C089B-9F79-44E0-8B8F-30EF72A4DF54}</x14:id>
        </ext>
      </extLst>
    </cfRule>
  </conditionalFormatting>
  <conditionalFormatting sqref="B105:B106">
    <cfRule type="dataBar" priority="44">
      <dataBar>
        <cfvo type="min"/>
        <cfvo type="max"/>
        <color rgb="FF638EC6"/>
      </dataBar>
      <extLst>
        <ext xmlns:x14="http://schemas.microsoft.com/office/spreadsheetml/2009/9/main" uri="{B025F937-C7B1-47D3-B67F-A62EFF666E3E}">
          <x14:id>{12072521-E7DD-4ED1-A505-A2A3D3C9479A}</x14:id>
        </ext>
      </extLst>
    </cfRule>
  </conditionalFormatting>
  <conditionalFormatting sqref="B110">
    <cfRule type="dataBar" priority="18">
      <dataBar>
        <cfvo type="min"/>
        <cfvo type="max"/>
        <color rgb="FF638EC6"/>
      </dataBar>
      <extLst>
        <ext xmlns:x14="http://schemas.microsoft.com/office/spreadsheetml/2009/9/main" uri="{B025F937-C7B1-47D3-B67F-A62EFF666E3E}">
          <x14:id>{C6322F88-6141-484D-9550-B9FFC7281AAF}</x14:id>
        </ext>
      </extLst>
    </cfRule>
  </conditionalFormatting>
  <conditionalFormatting sqref="B112">
    <cfRule type="dataBar" priority="9">
      <dataBar>
        <cfvo type="min"/>
        <cfvo type="max"/>
        <color rgb="FF638EC6"/>
      </dataBar>
      <extLst>
        <ext xmlns:x14="http://schemas.microsoft.com/office/spreadsheetml/2009/9/main" uri="{B025F937-C7B1-47D3-B67F-A62EFF666E3E}">
          <x14:id>{5B3150C3-1C64-4715-A6C9-5AC201D35662}</x14:id>
        </ext>
      </extLst>
    </cfRule>
  </conditionalFormatting>
  <conditionalFormatting sqref="C23:C26 C9:C13 C47">
    <cfRule type="dataBar" priority="55">
      <dataBar>
        <cfvo type="min"/>
        <cfvo type="max"/>
        <color rgb="FF638EC6"/>
      </dataBar>
      <extLst>
        <ext xmlns:x14="http://schemas.microsoft.com/office/spreadsheetml/2009/9/main" uri="{B025F937-C7B1-47D3-B67F-A62EFF666E3E}">
          <x14:id>{C59CCF2E-4223-4586-A959-287661FB6C3C}</x14:id>
        </ext>
      </extLst>
    </cfRule>
  </conditionalFormatting>
  <conditionalFormatting sqref="C30 C48">
    <cfRule type="dataBar" priority="51">
      <dataBar>
        <cfvo type="min"/>
        <cfvo type="max"/>
        <color rgb="FF638EC6"/>
      </dataBar>
      <extLst>
        <ext xmlns:x14="http://schemas.microsoft.com/office/spreadsheetml/2009/9/main" uri="{B025F937-C7B1-47D3-B67F-A62EFF666E3E}">
          <x14:id>{84DD6D85-BA87-47F9-91F2-651C72B75691}</x14:id>
        </ext>
      </extLst>
    </cfRule>
  </conditionalFormatting>
  <conditionalFormatting sqref="C32:C41">
    <cfRule type="dataBar" priority="36">
      <dataBar>
        <cfvo type="min"/>
        <cfvo type="max"/>
        <color rgb="FF638EC6"/>
      </dataBar>
      <extLst>
        <ext xmlns:x14="http://schemas.microsoft.com/office/spreadsheetml/2009/9/main" uri="{B025F937-C7B1-47D3-B67F-A62EFF666E3E}">
          <x14:id>{8C2701DB-3EB2-4C67-8CD4-F276D8AFDD26}</x14:id>
        </ext>
      </extLst>
    </cfRule>
  </conditionalFormatting>
  <conditionalFormatting sqref="C37">
    <cfRule type="dataBar" priority="23">
      <dataBar>
        <cfvo type="min"/>
        <cfvo type="max"/>
        <color rgb="FF638EC6"/>
      </dataBar>
      <extLst>
        <ext xmlns:x14="http://schemas.microsoft.com/office/spreadsheetml/2009/9/main" uri="{B025F937-C7B1-47D3-B67F-A62EFF666E3E}">
          <x14:id>{40833EDC-4DFC-4CCE-96C0-6F1FCEC55FEE}</x14:id>
        </ext>
      </extLst>
    </cfRule>
  </conditionalFormatting>
  <conditionalFormatting sqref="C38">
    <cfRule type="dataBar" priority="7">
      <dataBar>
        <cfvo type="min"/>
        <cfvo type="max"/>
        <color rgb="FF638EC6"/>
      </dataBar>
      <extLst>
        <ext xmlns:x14="http://schemas.microsoft.com/office/spreadsheetml/2009/9/main" uri="{B025F937-C7B1-47D3-B67F-A62EFF666E3E}">
          <x14:id>{49B4AFB1-53A1-4688-B61F-3F8DDFD70D0B}</x14:id>
        </ext>
      </extLst>
    </cfRule>
  </conditionalFormatting>
  <conditionalFormatting sqref="C39:C41">
    <cfRule type="dataBar" priority="6">
      <dataBar>
        <cfvo type="min"/>
        <cfvo type="max"/>
        <color rgb="FF638EC6"/>
      </dataBar>
      <extLst>
        <ext xmlns:x14="http://schemas.microsoft.com/office/spreadsheetml/2009/9/main" uri="{B025F937-C7B1-47D3-B67F-A62EFF666E3E}">
          <x14:id>{E98A9F34-28B5-434D-B458-35D441953143}</x14:id>
        </ext>
      </extLst>
    </cfRule>
  </conditionalFormatting>
  <conditionalFormatting sqref="C44:C46 C63 C53 C5:C8 C15:C22 C28 C42">
    <cfRule type="dataBar" priority="53">
      <dataBar>
        <cfvo type="min"/>
        <cfvo type="max"/>
        <color rgb="FF638EC6"/>
      </dataBar>
      <extLst>
        <ext xmlns:x14="http://schemas.microsoft.com/office/spreadsheetml/2009/9/main" uri="{B025F937-C7B1-47D3-B67F-A62EFF666E3E}">
          <x14:id>{F514DC3B-21F4-4FD1-AE3A-A2744014DBF3}</x14:id>
        </ext>
      </extLst>
    </cfRule>
  </conditionalFormatting>
  <conditionalFormatting sqref="C49:C52 C64 C93:C95 C43 C27">
    <cfRule type="dataBar" priority="27">
      <dataBar>
        <cfvo type="min"/>
        <cfvo type="max"/>
        <color rgb="FF638EC6"/>
      </dataBar>
      <extLst>
        <ext xmlns:x14="http://schemas.microsoft.com/office/spreadsheetml/2009/9/main" uri="{B025F937-C7B1-47D3-B67F-A62EFF666E3E}">
          <x14:id>{9D4BC780-C227-45D5-B268-F96FF85E0918}</x14:id>
        </ext>
      </extLst>
    </cfRule>
  </conditionalFormatting>
  <conditionalFormatting sqref="C54">
    <cfRule type="dataBar" priority="21">
      <dataBar>
        <cfvo type="min"/>
        <cfvo type="max"/>
        <color rgb="FF638EC6"/>
      </dataBar>
      <extLst>
        <ext xmlns:x14="http://schemas.microsoft.com/office/spreadsheetml/2009/9/main" uri="{B025F937-C7B1-47D3-B67F-A62EFF666E3E}">
          <x14:id>{00977C9E-CD2F-4174-B0C3-9F1160244C1E}</x14:id>
        </ext>
      </extLst>
    </cfRule>
  </conditionalFormatting>
  <conditionalFormatting sqref="C56:C57">
    <cfRule type="dataBar" priority="8">
      <dataBar>
        <cfvo type="min"/>
        <cfvo type="max"/>
        <color rgb="FF638EC6"/>
      </dataBar>
      <extLst>
        <ext xmlns:x14="http://schemas.microsoft.com/office/spreadsheetml/2009/9/main" uri="{B025F937-C7B1-47D3-B67F-A62EFF666E3E}">
          <x14:id>{2EE5D077-186E-4C54-9B69-FDAD71071E9E}</x14:id>
        </ext>
      </extLst>
    </cfRule>
  </conditionalFormatting>
  <conditionalFormatting sqref="C58">
    <cfRule type="dataBar" priority="56">
      <dataBar>
        <cfvo type="min"/>
        <cfvo type="max"/>
        <color rgb="FF638EC6"/>
      </dataBar>
      <extLst>
        <ext xmlns:x14="http://schemas.microsoft.com/office/spreadsheetml/2009/9/main" uri="{B025F937-C7B1-47D3-B67F-A62EFF666E3E}">
          <x14:id>{E8EC06EE-6C6F-4858-84E7-2901AAA765E1}</x14:id>
        </ext>
      </extLst>
    </cfRule>
  </conditionalFormatting>
  <conditionalFormatting sqref="C59:C60 C104">
    <cfRule type="dataBar" priority="39">
      <dataBar>
        <cfvo type="min"/>
        <cfvo type="max"/>
        <color rgb="FF638EC6"/>
      </dataBar>
      <extLst>
        <ext xmlns:x14="http://schemas.microsoft.com/office/spreadsheetml/2009/9/main" uri="{B025F937-C7B1-47D3-B67F-A62EFF666E3E}">
          <x14:id>{7BCA906E-10B8-4D60-BDD4-7EA532FD5837}</x14:id>
        </ext>
      </extLst>
    </cfRule>
  </conditionalFormatting>
  <conditionalFormatting sqref="C82 C62">
    <cfRule type="dataBar" priority="42">
      <dataBar>
        <cfvo type="min"/>
        <cfvo type="max"/>
        <color rgb="FF638EC6"/>
      </dataBar>
      <extLst>
        <ext xmlns:x14="http://schemas.microsoft.com/office/spreadsheetml/2009/9/main" uri="{B025F937-C7B1-47D3-B67F-A62EFF666E3E}">
          <x14:id>{534CE320-6EC9-4CAB-A11D-92D9DB82783F}</x14:id>
        </ext>
      </extLst>
    </cfRule>
  </conditionalFormatting>
  <conditionalFormatting sqref="C67">
    <cfRule type="dataBar" priority="4">
      <dataBar>
        <cfvo type="min"/>
        <cfvo type="max"/>
        <color rgb="FF638EC6"/>
      </dataBar>
      <extLst>
        <ext xmlns:x14="http://schemas.microsoft.com/office/spreadsheetml/2009/9/main" uri="{B025F937-C7B1-47D3-B67F-A62EFF666E3E}">
          <x14:id>{E0A5DED5-62BF-4BED-884D-DA05BFF1BD5C}</x14:id>
        </ext>
      </extLst>
    </cfRule>
  </conditionalFormatting>
  <conditionalFormatting sqref="C68 C73">
    <cfRule type="dataBar" priority="40">
      <dataBar>
        <cfvo type="min"/>
        <cfvo type="max"/>
        <color rgb="FF638EC6"/>
      </dataBar>
      <extLst>
        <ext xmlns:x14="http://schemas.microsoft.com/office/spreadsheetml/2009/9/main" uri="{B025F937-C7B1-47D3-B67F-A62EFF666E3E}">
          <x14:id>{6DCFEC15-A9AA-4C17-AA54-F66E5DB25275}</x14:id>
        </ext>
      </extLst>
    </cfRule>
  </conditionalFormatting>
  <conditionalFormatting sqref="C70">
    <cfRule type="dataBar" priority="31">
      <dataBar>
        <cfvo type="min"/>
        <cfvo type="max"/>
        <color rgb="FF638EC6"/>
      </dataBar>
      <extLst>
        <ext xmlns:x14="http://schemas.microsoft.com/office/spreadsheetml/2009/9/main" uri="{B025F937-C7B1-47D3-B67F-A62EFF666E3E}">
          <x14:id>{4417FB5F-64AE-4207-AFFF-356D7F39ADC2}</x14:id>
        </ext>
      </extLst>
    </cfRule>
  </conditionalFormatting>
  <conditionalFormatting sqref="C71">
    <cfRule type="dataBar" priority="35">
      <dataBar>
        <cfvo type="min"/>
        <cfvo type="max"/>
        <color rgb="FF638EC6"/>
      </dataBar>
      <extLst>
        <ext xmlns:x14="http://schemas.microsoft.com/office/spreadsheetml/2009/9/main" uri="{B025F937-C7B1-47D3-B67F-A62EFF666E3E}">
          <x14:id>{44481D5B-5295-4DA0-8293-410E31531973}</x14:id>
        </ext>
      </extLst>
    </cfRule>
  </conditionalFormatting>
  <conditionalFormatting sqref="C72">
    <cfRule type="dataBar" priority="2">
      <dataBar>
        <cfvo type="min"/>
        <cfvo type="max"/>
        <color rgb="FF638EC6"/>
      </dataBar>
      <extLst>
        <ext xmlns:x14="http://schemas.microsoft.com/office/spreadsheetml/2009/9/main" uri="{B025F937-C7B1-47D3-B67F-A62EFF666E3E}">
          <x14:id>{BF94BBDB-E9D7-4B54-AC80-89341885FB78}</x14:id>
        </ext>
      </extLst>
    </cfRule>
  </conditionalFormatting>
  <conditionalFormatting sqref="C79">
    <cfRule type="dataBar" priority="25">
      <dataBar>
        <cfvo type="min"/>
        <cfvo type="max"/>
        <color rgb="FF638EC6"/>
      </dataBar>
      <extLst>
        <ext xmlns:x14="http://schemas.microsoft.com/office/spreadsheetml/2009/9/main" uri="{B025F937-C7B1-47D3-B67F-A62EFF666E3E}">
          <x14:id>{68BF6CCA-04F5-4350-9E40-F6A87B1026FE}</x14:id>
        </ext>
      </extLst>
    </cfRule>
  </conditionalFormatting>
  <conditionalFormatting sqref="C80:C81">
    <cfRule type="dataBar" priority="15">
      <dataBar>
        <cfvo type="min"/>
        <cfvo type="max"/>
        <color rgb="FF638EC6"/>
      </dataBar>
      <extLst>
        <ext xmlns:x14="http://schemas.microsoft.com/office/spreadsheetml/2009/9/main" uri="{B025F937-C7B1-47D3-B67F-A62EFF666E3E}">
          <x14:id>{1E9256E7-3039-44C0-BC7C-2BAAF81E1637}</x14:id>
        </ext>
      </extLst>
    </cfRule>
  </conditionalFormatting>
  <conditionalFormatting sqref="C83">
    <cfRule type="dataBar" priority="12">
      <dataBar>
        <cfvo type="min"/>
        <cfvo type="max"/>
        <color rgb="FF638EC6"/>
      </dataBar>
      <extLst>
        <ext xmlns:x14="http://schemas.microsoft.com/office/spreadsheetml/2009/9/main" uri="{B025F937-C7B1-47D3-B67F-A62EFF666E3E}">
          <x14:id>{6E81E425-78FB-421C-BB0C-D62DFB482B0A}</x14:id>
        </ext>
      </extLst>
    </cfRule>
  </conditionalFormatting>
  <conditionalFormatting sqref="C85">
    <cfRule type="dataBar" priority="43">
      <dataBar>
        <cfvo type="min"/>
        <cfvo type="max"/>
        <color rgb="FF638EC6"/>
      </dataBar>
      <extLst>
        <ext xmlns:x14="http://schemas.microsoft.com/office/spreadsheetml/2009/9/main" uri="{B025F937-C7B1-47D3-B67F-A62EFF666E3E}">
          <x14:id>{6A34FAB0-21BF-41C5-AFA1-6FFD061259CD}</x14:id>
        </ext>
      </extLst>
    </cfRule>
  </conditionalFormatting>
  <conditionalFormatting sqref="C86:C89">
    <cfRule type="dataBar" priority="50">
      <dataBar>
        <cfvo type="min"/>
        <cfvo type="max"/>
        <color rgb="FF638EC6"/>
      </dataBar>
      <extLst>
        <ext xmlns:x14="http://schemas.microsoft.com/office/spreadsheetml/2009/9/main" uri="{B025F937-C7B1-47D3-B67F-A62EFF666E3E}">
          <x14:id>{69247C78-D542-498C-8436-F60996F1BD79}</x14:id>
        </ext>
      </extLst>
    </cfRule>
  </conditionalFormatting>
  <conditionalFormatting sqref="C91">
    <cfRule type="dataBar" priority="30">
      <dataBar>
        <cfvo type="min"/>
        <cfvo type="max"/>
        <color rgb="FF638EC6"/>
      </dataBar>
      <extLst>
        <ext xmlns:x14="http://schemas.microsoft.com/office/spreadsheetml/2009/9/main" uri="{B025F937-C7B1-47D3-B67F-A62EFF666E3E}">
          <x14:id>{279C766D-C9D8-497D-9CC4-4F2FCF95AEEE}</x14:id>
        </ext>
      </extLst>
    </cfRule>
  </conditionalFormatting>
  <conditionalFormatting sqref="C92 C96">
    <cfRule type="dataBar" priority="34">
      <dataBar>
        <cfvo type="min"/>
        <cfvo type="max"/>
        <color rgb="FF638EC6"/>
      </dataBar>
      <extLst>
        <ext xmlns:x14="http://schemas.microsoft.com/office/spreadsheetml/2009/9/main" uri="{B025F937-C7B1-47D3-B67F-A62EFF666E3E}">
          <x14:id>{1AE5F92F-6D46-4A51-AB76-83BD41E7F57D}</x14:id>
        </ext>
      </extLst>
    </cfRule>
  </conditionalFormatting>
  <conditionalFormatting sqref="C99">
    <cfRule type="dataBar" priority="29">
      <dataBar>
        <cfvo type="min"/>
        <cfvo type="max"/>
        <color rgb="FF638EC6"/>
      </dataBar>
      <extLst>
        <ext xmlns:x14="http://schemas.microsoft.com/office/spreadsheetml/2009/9/main" uri="{B025F937-C7B1-47D3-B67F-A62EFF666E3E}">
          <x14:id>{3CF43ED2-854F-4434-829A-56DC14849ABE}</x14:id>
        </ext>
      </extLst>
    </cfRule>
  </conditionalFormatting>
  <conditionalFormatting sqref="C100:C101 C98">
    <cfRule type="dataBar" priority="47">
      <dataBar>
        <cfvo type="min"/>
        <cfvo type="max"/>
        <color rgb="FF638EC6"/>
      </dataBar>
      <extLst>
        <ext xmlns:x14="http://schemas.microsoft.com/office/spreadsheetml/2009/9/main" uri="{B025F937-C7B1-47D3-B67F-A62EFF666E3E}">
          <x14:id>{051F8888-1E21-4CDD-A9BE-620E645C1BB7}</x14:id>
        </ext>
      </extLst>
    </cfRule>
  </conditionalFormatting>
  <conditionalFormatting sqref="C102">
    <cfRule type="dataBar" priority="17">
      <dataBar>
        <cfvo type="min"/>
        <cfvo type="max"/>
        <color rgb="FF638EC6"/>
      </dataBar>
      <extLst>
        <ext xmlns:x14="http://schemas.microsoft.com/office/spreadsheetml/2009/9/main" uri="{B025F937-C7B1-47D3-B67F-A62EFF666E3E}">
          <x14:id>{330C0EF4-26EE-46D9-88F4-D13287336BFA}</x14:id>
        </ext>
      </extLst>
    </cfRule>
  </conditionalFormatting>
  <conditionalFormatting sqref="C105:C106">
    <cfRule type="dataBar" priority="45">
      <dataBar>
        <cfvo type="min"/>
        <cfvo type="max"/>
        <color rgb="FF638EC6"/>
      </dataBar>
      <extLst>
        <ext xmlns:x14="http://schemas.microsoft.com/office/spreadsheetml/2009/9/main" uri="{B025F937-C7B1-47D3-B67F-A62EFF666E3E}">
          <x14:id>{1C8EF88D-20CC-46FB-9CC1-6E82F153D2D7}</x14:id>
        </ext>
      </extLst>
    </cfRule>
  </conditionalFormatting>
  <conditionalFormatting sqref="C110">
    <cfRule type="dataBar" priority="19">
      <dataBar>
        <cfvo type="min"/>
        <cfvo type="max"/>
        <color rgb="FF638EC6"/>
      </dataBar>
      <extLst>
        <ext xmlns:x14="http://schemas.microsoft.com/office/spreadsheetml/2009/9/main" uri="{B025F937-C7B1-47D3-B67F-A62EFF666E3E}">
          <x14:id>{6D9ACF85-3B76-4ED4-87B8-1495FC43A84B}</x14:id>
        </ext>
      </extLst>
    </cfRule>
  </conditionalFormatting>
  <conditionalFormatting sqref="C112">
    <cfRule type="dataBar" priority="10">
      <dataBar>
        <cfvo type="min"/>
        <cfvo type="max"/>
        <color rgb="FF638EC6"/>
      </dataBar>
      <extLst>
        <ext xmlns:x14="http://schemas.microsoft.com/office/spreadsheetml/2009/9/main" uri="{B025F937-C7B1-47D3-B67F-A62EFF666E3E}">
          <x14:id>{4CB9D9DA-AB08-4FDD-8D8E-B6AA42B9C5CE}</x14:id>
        </ext>
      </extLst>
    </cfRule>
  </conditionalFormatting>
  <dataValidations count="5">
    <dataValidation type="list" allowBlank="1" showInputMessage="1" showErrorMessage="1" sqref="C110:C112 C32 C102 C85 C35:C37 C5:C8 C91:C96 C56:C58 C104 C98:C99 C70:C72 C30 C15:C20 C27 C39:C54 C79:C83 C60:C65" xr:uid="{29FA5700-51D7-472B-ABBD-E08B31AC0312}">
      <formula1>"Hiệu trưởng, PHT Nguyễn Trung Hiếu, PHT Huỳnh Văn Chung, PHT Dương Văn Anh Dũng"</formula1>
    </dataValidation>
    <dataValidation type="list" allowBlank="1" showInputMessage="1" showErrorMessage="1" sqref="D110:D112 D102 D96 D85 D37 D5:D8 D91:D94 D56:D58 D104 D98:D99 D70:D72 D76 D30:D32 D15:D20 D27 D39:D54 D64 D79:D83 D61" xr:uid="{D527A916-5289-4565-BB26-DA67B10BC77F}">
      <formula1>"P. QLĐT, P. TH-HC&amp;QT, P. KT&amp;QLCL, P. QLKHCN&amp;HTPT, P. TCKT, P. KN&amp;HTDN, P. TCCB&amp;CTHSSV"</formula1>
    </dataValidation>
    <dataValidation type="list" allowBlank="1" showErrorMessage="1" sqref="F34 F68 F108:F112 F93:F95 F86:F89 F104:F106 F98:F102 F72:F74 F15:F28 F5:F13 F37:F54 F79:F83 F59:F65" xr:uid="{F221BE92-3581-404F-ACB8-328DFCF93E80}">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ErrorMessage="1" sqref="D100:D101 D34:D36 D95 D68 D105:D106 D108:D109 D38 D73:D74 D86:D89 D44 D77:D78 D46:D53 D42:E43 D21:E28 D9:D13 D82 D59:D65" xr:uid="{22176308-7C74-49A3-9806-DD4D5182C746}">
      <formula1>"P. QLĐT,P. TH-HC&amp;QT,P. KT&amp;QLCL,P. QLKHCN&amp;HTPT,P. TCKT,P. KN&amp;HTDN,P. TCCB&amp;CTHSSV"</formula1>
    </dataValidation>
    <dataValidation type="list" allowBlank="1" showErrorMessage="1" sqref="C100:C101 C34 C105:C106 C59 C68 C73:C74 C38 C86:C89 C108:C109 C62:C65 C47:C53 C42:C43 C21:C28 C9:C13" xr:uid="{3C92B359-BA15-4649-9D75-BBF75629BCB6}">
      <formula1>"Hiệu trưởng,PHT Nguyễn Trung Hiếu,PHT Huỳnh Văn Chung,PHT Dương Văn Anh Dũng"</formula1>
    </dataValidation>
  </dataValidations>
  <printOptions horizontalCentered="1"/>
  <pageMargins left="0.75" right="0.75" top="1" bottom="1" header="0.3" footer="0.3"/>
  <pageSetup paperSize="9" scale="57" fitToHeight="0" orientation="landscape" r:id="rId1"/>
  <headerFooter>
    <oddHeader>&amp;C
&amp;14&amp;P</oddHeader>
  </headerFooter>
  <drawing r:id="rId2"/>
  <extLst>
    <ext xmlns:x14="http://schemas.microsoft.com/office/spreadsheetml/2009/9/main" uri="{78C0D931-6437-407d-A8EE-F0AAD7539E65}">
      <x14:conditionalFormattings>
        <x14:conditionalFormatting xmlns:xm="http://schemas.microsoft.com/office/excel/2006/main">
          <x14:cfRule type="dataBar" id="{341D1F8D-2879-44C0-885B-2293F2EE9BCF}">
            <x14:dataBar minLength="0" maxLength="100" gradient="0">
              <x14:cfvo type="autoMin"/>
              <x14:cfvo type="autoMax"/>
              <x14:negativeFillColor rgb="FFFF0000"/>
              <x14:axisColor rgb="FF000000"/>
            </x14:dataBar>
          </x14:cfRule>
          <xm:sqref>B5:B6</xm:sqref>
        </x14:conditionalFormatting>
        <x14:conditionalFormatting xmlns:xm="http://schemas.microsoft.com/office/excel/2006/main">
          <x14:cfRule type="dataBar" id="{343E9C1A-B885-4E30-B999-942D5A6844A1}">
            <x14:dataBar minLength="0" maxLength="100" gradient="0">
              <x14:cfvo type="autoMin"/>
              <x14:cfvo type="autoMax"/>
              <x14:negativeFillColor rgb="FFFF0000"/>
              <x14:axisColor rgb="FF000000"/>
            </x14:dataBar>
          </x14:cfRule>
          <xm:sqref>B7</xm:sqref>
        </x14:conditionalFormatting>
        <x14:conditionalFormatting xmlns:xm="http://schemas.microsoft.com/office/excel/2006/main">
          <x14:cfRule type="dataBar" id="{CD8E96FB-D6AE-412D-9500-12B2877FB865}">
            <x14:dataBar minLength="0" maxLength="100" gradient="0">
              <x14:cfvo type="autoMin"/>
              <x14:cfvo type="autoMax"/>
              <x14:negativeFillColor rgb="FFFF0000"/>
              <x14:axisColor rgb="FF000000"/>
            </x14:dataBar>
          </x14:cfRule>
          <xm:sqref>B19</xm:sqref>
        </x14:conditionalFormatting>
        <x14:conditionalFormatting xmlns:xm="http://schemas.microsoft.com/office/excel/2006/main">
          <x14:cfRule type="dataBar" id="{6881C2B6-0848-44AC-8C78-13C312C93382}">
            <x14:dataBar minLength="0" maxLength="100" gradient="0">
              <x14:cfvo type="autoMin"/>
              <x14:cfvo type="autoMax"/>
              <x14:negativeFillColor rgb="FFFF0000"/>
              <x14:axisColor rgb="FF000000"/>
            </x14:dataBar>
          </x14:cfRule>
          <xm:sqref>B23:B26 B8:B13 B47</xm:sqref>
        </x14:conditionalFormatting>
        <x14:conditionalFormatting xmlns:xm="http://schemas.microsoft.com/office/excel/2006/main">
          <x14:cfRule type="dataBar" id="{69AD2206-754C-41F1-ACF4-F12BA76558B1}">
            <x14:dataBar minLength="0" maxLength="100" gradient="0">
              <x14:cfvo type="autoMin"/>
              <x14:cfvo type="autoMax"/>
              <x14:negativeFillColor rgb="FFFF0000"/>
              <x14:axisColor rgb="FF000000"/>
            </x14:dataBar>
          </x14:cfRule>
          <xm:sqref>B37:B38</xm:sqref>
        </x14:conditionalFormatting>
        <x14:conditionalFormatting xmlns:xm="http://schemas.microsoft.com/office/excel/2006/main">
          <x14:cfRule type="dataBar" id="{1FB2F7D1-DA6E-44D8-840F-DCD769D42E25}">
            <x14:dataBar minLength="0" maxLength="100" gradient="0">
              <x14:cfvo type="autoMin"/>
              <x14:cfvo type="autoMax"/>
              <x14:negativeFillColor rgb="FFFF0000"/>
              <x14:axisColor rgb="FF000000"/>
            </x14:dataBar>
          </x14:cfRule>
          <xm:sqref>B39:B41</xm:sqref>
        </x14:conditionalFormatting>
        <x14:conditionalFormatting xmlns:xm="http://schemas.microsoft.com/office/excel/2006/main">
          <x14:cfRule type="dataBar" id="{A87D4A9F-A27D-43BE-A75D-05AB42D0D354}">
            <x14:dataBar minLength="0" maxLength="100" gradient="0">
              <x14:cfvo type="autoMin"/>
              <x14:cfvo type="autoMax"/>
              <x14:negativeFillColor rgb="FFFF0000"/>
              <x14:axisColor rgb="FF000000"/>
            </x14:dataBar>
          </x14:cfRule>
          <xm:sqref>B44:B46 B63 B42 B20:B22 B28</xm:sqref>
        </x14:conditionalFormatting>
        <x14:conditionalFormatting xmlns:xm="http://schemas.microsoft.com/office/excel/2006/main">
          <x14:cfRule type="dataBar" id="{9B495814-800F-48C6-9398-A3D083BE20F9}">
            <x14:dataBar minLength="0" maxLength="100" gradient="0">
              <x14:cfvo type="autoMin"/>
              <x14:cfvo type="autoMax"/>
              <x14:negativeFillColor rgb="FFFF0000"/>
              <x14:axisColor rgb="FF000000"/>
            </x14:dataBar>
          </x14:cfRule>
          <xm:sqref>B49:B52 B64 B93:B95 B43 B27</xm:sqref>
        </x14:conditionalFormatting>
        <x14:conditionalFormatting xmlns:xm="http://schemas.microsoft.com/office/excel/2006/main">
          <x14:cfRule type="dataBar" id="{08F7FA29-EDBF-4D7C-81CE-8B46BED37ECC}">
            <x14:dataBar minLength="0" maxLength="100" gradient="0">
              <x14:cfvo type="autoMin"/>
              <x14:cfvo type="autoMax"/>
              <x14:negativeFillColor rgb="FFFF0000"/>
              <x14:axisColor rgb="FF000000"/>
            </x14:dataBar>
          </x14:cfRule>
          <xm:sqref>B54</xm:sqref>
        </x14:conditionalFormatting>
        <x14:conditionalFormatting xmlns:xm="http://schemas.microsoft.com/office/excel/2006/main">
          <x14:cfRule type="dataBar" id="{FF440973-55FD-434B-9352-4CBECB6CA30A}">
            <x14:dataBar minLength="0" maxLength="100" gradient="0">
              <x14:cfvo type="autoMin"/>
              <x14:cfvo type="autoMax"/>
              <x14:negativeFillColor rgb="FFFF0000"/>
              <x14:axisColor rgb="FF000000"/>
            </x14:dataBar>
          </x14:cfRule>
          <xm:sqref>B59:B60 B104</xm:sqref>
        </x14:conditionalFormatting>
        <x14:conditionalFormatting xmlns:xm="http://schemas.microsoft.com/office/excel/2006/main">
          <x14:cfRule type="dataBar" id="{3F2E42FB-6D3F-4670-BE66-4F9B0EAA9CF1}">
            <x14:dataBar minLength="0" maxLength="100" gradient="0">
              <x14:cfvo type="autoMin"/>
              <x14:cfvo type="autoMax"/>
              <x14:negativeFillColor rgb="FFFF0000"/>
              <x14:axisColor rgb="FF000000"/>
            </x14:dataBar>
          </x14:cfRule>
          <xm:sqref>B62 B82</xm:sqref>
        </x14:conditionalFormatting>
        <x14:conditionalFormatting xmlns:xm="http://schemas.microsoft.com/office/excel/2006/main">
          <x14:cfRule type="dataBar" id="{850040DF-500F-4120-8A56-060E2DD9B225}">
            <x14:dataBar minLength="0" maxLength="100" gradient="0">
              <x14:cfvo type="autoMin"/>
              <x14:cfvo type="autoMax"/>
              <x14:negativeFillColor rgb="FFFF0000"/>
              <x14:axisColor rgb="FF000000"/>
            </x14:dataBar>
          </x14:cfRule>
          <xm:sqref>B67</xm:sqref>
        </x14:conditionalFormatting>
        <x14:conditionalFormatting xmlns:xm="http://schemas.microsoft.com/office/excel/2006/main">
          <x14:cfRule type="dataBar" id="{5BFA59A9-0277-4EE3-A1BA-E3C9C99C61B6}">
            <x14:dataBar minLength="0" maxLength="100" gradient="0">
              <x14:cfvo type="autoMin"/>
              <x14:cfvo type="autoMax"/>
              <x14:negativeFillColor rgb="FFFF0000"/>
              <x14:axisColor rgb="FF000000"/>
            </x14:dataBar>
          </x14:cfRule>
          <xm:sqref>B68</xm:sqref>
        </x14:conditionalFormatting>
        <x14:conditionalFormatting xmlns:xm="http://schemas.microsoft.com/office/excel/2006/main">
          <x14:cfRule type="dataBar" id="{1BE5C3BC-BCDA-4015-A3B3-D7C2CFB32F69}">
            <x14:dataBar minLength="0" maxLength="100" gradient="0">
              <x14:cfvo type="autoMin"/>
              <x14:cfvo type="autoMax"/>
              <x14:negativeFillColor rgb="FFFF0000"/>
              <x14:axisColor rgb="FF000000"/>
            </x14:dataBar>
          </x14:cfRule>
          <xm:sqref>B72</xm:sqref>
        </x14:conditionalFormatting>
        <x14:conditionalFormatting xmlns:xm="http://schemas.microsoft.com/office/excel/2006/main">
          <x14:cfRule type="dataBar" id="{FA2C236B-F077-410F-AF24-349058A6BA37}">
            <x14:dataBar minLength="0" maxLength="100" gradient="0">
              <x14:cfvo type="autoMin"/>
              <x14:cfvo type="autoMax"/>
              <x14:negativeFillColor rgb="FFFF0000"/>
              <x14:axisColor rgb="FF000000"/>
            </x14:dataBar>
          </x14:cfRule>
          <xm:sqref>B79</xm:sqref>
        </x14:conditionalFormatting>
        <x14:conditionalFormatting xmlns:xm="http://schemas.microsoft.com/office/excel/2006/main">
          <x14:cfRule type="dataBar" id="{1A3BDD43-CDD1-40F4-BDFC-EE82006D15AB}">
            <x14:dataBar minLength="0" maxLength="100" gradient="0">
              <x14:cfvo type="autoMin"/>
              <x14:cfvo type="autoMax"/>
              <x14:negativeFillColor rgb="FFFF0000"/>
              <x14:axisColor rgb="FF000000"/>
            </x14:dataBar>
          </x14:cfRule>
          <xm:sqref>B80</xm:sqref>
        </x14:conditionalFormatting>
        <x14:conditionalFormatting xmlns:xm="http://schemas.microsoft.com/office/excel/2006/main">
          <x14:cfRule type="dataBar" id="{E3124D48-20C6-41F3-A140-BC2FAA4B236D}">
            <x14:dataBar minLength="0" maxLength="100" gradient="0">
              <x14:cfvo type="autoMin"/>
              <x14:cfvo type="autoMax"/>
              <x14:negativeFillColor rgb="FFFF0000"/>
              <x14:axisColor rgb="FF000000"/>
            </x14:dataBar>
          </x14:cfRule>
          <xm:sqref>B81</xm:sqref>
        </x14:conditionalFormatting>
        <x14:conditionalFormatting xmlns:xm="http://schemas.microsoft.com/office/excel/2006/main">
          <x14:cfRule type="dataBar" id="{D4A6A232-D41D-4061-A2D1-1F85BAA24E3F}">
            <x14:dataBar minLength="0" maxLength="100" gradient="0">
              <x14:cfvo type="autoMin"/>
              <x14:cfvo type="autoMax"/>
              <x14:negativeFillColor rgb="FFFF0000"/>
              <x14:axisColor rgb="FF000000"/>
            </x14:dataBar>
          </x14:cfRule>
          <xm:sqref>B83</xm:sqref>
        </x14:conditionalFormatting>
        <x14:conditionalFormatting xmlns:xm="http://schemas.microsoft.com/office/excel/2006/main">
          <x14:cfRule type="dataBar" id="{2BA772A3-0D48-4518-BC3D-BB4B3E2A19F5}">
            <x14:dataBar minLength="0" maxLength="100" gradient="0">
              <x14:cfvo type="autoMin"/>
              <x14:cfvo type="autoMax"/>
              <x14:negativeFillColor rgb="FFFF0000"/>
              <x14:axisColor rgb="FF000000"/>
            </x14:dataBar>
          </x14:cfRule>
          <xm:sqref>B86:B89</xm:sqref>
        </x14:conditionalFormatting>
        <x14:conditionalFormatting xmlns:xm="http://schemas.microsoft.com/office/excel/2006/main">
          <x14:cfRule type="dataBar" id="{E2DD5007-F83A-4A10-8179-3F5EA05664BD}">
            <x14:dataBar minLength="0" maxLength="100" gradient="0">
              <x14:cfvo type="autoMin"/>
              <x14:cfvo type="autoMax"/>
              <x14:negativeFillColor rgb="FFFF0000"/>
              <x14:axisColor rgb="FF000000"/>
            </x14:dataBar>
          </x14:cfRule>
          <xm:sqref>B99</xm:sqref>
        </x14:conditionalFormatting>
        <x14:conditionalFormatting xmlns:xm="http://schemas.microsoft.com/office/excel/2006/main">
          <x14:cfRule type="dataBar" id="{59C43DE6-CD49-4635-B5CB-6B2CF35DCEA1}">
            <x14:dataBar minLength="0" maxLength="100" gradient="0">
              <x14:cfvo type="autoMin"/>
              <x14:cfvo type="autoMax"/>
              <x14:negativeFillColor rgb="FFFF0000"/>
              <x14:axisColor rgb="FF000000"/>
            </x14:dataBar>
          </x14:cfRule>
          <xm:sqref>B100:B101 B98</xm:sqref>
        </x14:conditionalFormatting>
        <x14:conditionalFormatting xmlns:xm="http://schemas.microsoft.com/office/excel/2006/main">
          <x14:cfRule type="dataBar" id="{406C089B-9F79-44E0-8B8F-30EF72A4DF54}">
            <x14:dataBar minLength="0" maxLength="100" gradient="0">
              <x14:cfvo type="autoMin"/>
              <x14:cfvo type="autoMax"/>
              <x14:negativeFillColor rgb="FFFF0000"/>
              <x14:axisColor rgb="FF000000"/>
            </x14:dataBar>
          </x14:cfRule>
          <xm:sqref>B102</xm:sqref>
        </x14:conditionalFormatting>
        <x14:conditionalFormatting xmlns:xm="http://schemas.microsoft.com/office/excel/2006/main">
          <x14:cfRule type="dataBar" id="{12072521-E7DD-4ED1-A505-A2A3D3C9479A}">
            <x14:dataBar minLength="0" maxLength="100" gradient="0">
              <x14:cfvo type="autoMin"/>
              <x14:cfvo type="autoMax"/>
              <x14:negativeFillColor rgb="FFFF0000"/>
              <x14:axisColor rgb="FF000000"/>
            </x14:dataBar>
          </x14:cfRule>
          <xm:sqref>B105:B106</xm:sqref>
        </x14:conditionalFormatting>
        <x14:conditionalFormatting xmlns:xm="http://schemas.microsoft.com/office/excel/2006/main">
          <x14:cfRule type="dataBar" id="{C6322F88-6141-484D-9550-B9FFC7281AAF}">
            <x14:dataBar minLength="0" maxLength="100" gradient="0">
              <x14:cfvo type="autoMin"/>
              <x14:cfvo type="autoMax"/>
              <x14:negativeFillColor rgb="FFFF0000"/>
              <x14:axisColor rgb="FF000000"/>
            </x14:dataBar>
          </x14:cfRule>
          <xm:sqref>B110</xm:sqref>
        </x14:conditionalFormatting>
        <x14:conditionalFormatting xmlns:xm="http://schemas.microsoft.com/office/excel/2006/main">
          <x14:cfRule type="dataBar" id="{5B3150C3-1C64-4715-A6C9-5AC201D35662}">
            <x14:dataBar minLength="0" maxLength="100" gradient="0">
              <x14:cfvo type="autoMin"/>
              <x14:cfvo type="autoMax"/>
              <x14:negativeFillColor rgb="FFFF0000"/>
              <x14:axisColor rgb="FF000000"/>
            </x14:dataBar>
          </x14:cfRule>
          <xm:sqref>B112</xm:sqref>
        </x14:conditionalFormatting>
        <x14:conditionalFormatting xmlns:xm="http://schemas.microsoft.com/office/excel/2006/main">
          <x14:cfRule type="dataBar" id="{C59CCF2E-4223-4586-A959-287661FB6C3C}">
            <x14:dataBar minLength="0" maxLength="100" gradient="0">
              <x14:cfvo type="autoMin"/>
              <x14:cfvo type="autoMax"/>
              <x14:negativeFillColor rgb="FFFF0000"/>
              <x14:axisColor rgb="FF000000"/>
            </x14:dataBar>
          </x14:cfRule>
          <xm:sqref>C23:C26 C9:C13 C47</xm:sqref>
        </x14:conditionalFormatting>
        <x14:conditionalFormatting xmlns:xm="http://schemas.microsoft.com/office/excel/2006/main">
          <x14:cfRule type="dataBar" id="{84DD6D85-BA87-47F9-91F2-651C72B75691}">
            <x14:dataBar minLength="0" maxLength="100" gradient="0">
              <x14:cfvo type="autoMin"/>
              <x14:cfvo type="autoMax"/>
              <x14:negativeFillColor rgb="FFFF0000"/>
              <x14:axisColor rgb="FF000000"/>
            </x14:dataBar>
          </x14:cfRule>
          <xm:sqref>C30 C48</xm:sqref>
        </x14:conditionalFormatting>
        <x14:conditionalFormatting xmlns:xm="http://schemas.microsoft.com/office/excel/2006/main">
          <x14:cfRule type="dataBar" id="{8C2701DB-3EB2-4C67-8CD4-F276D8AFDD26}">
            <x14:dataBar minLength="0" maxLength="100" gradient="0">
              <x14:cfvo type="autoMin"/>
              <x14:cfvo type="autoMax"/>
              <x14:negativeFillColor rgb="FFFF0000"/>
              <x14:axisColor rgb="FF000000"/>
            </x14:dataBar>
          </x14:cfRule>
          <xm:sqref>C32:C41</xm:sqref>
        </x14:conditionalFormatting>
        <x14:conditionalFormatting xmlns:xm="http://schemas.microsoft.com/office/excel/2006/main">
          <x14:cfRule type="dataBar" id="{40833EDC-4DFC-4CCE-96C0-6F1FCEC55FEE}">
            <x14:dataBar minLength="0" maxLength="100" gradient="0">
              <x14:cfvo type="autoMin"/>
              <x14:cfvo type="autoMax"/>
              <x14:negativeFillColor rgb="FFFF0000"/>
              <x14:axisColor rgb="FF000000"/>
            </x14:dataBar>
          </x14:cfRule>
          <xm:sqref>C37</xm:sqref>
        </x14:conditionalFormatting>
        <x14:conditionalFormatting xmlns:xm="http://schemas.microsoft.com/office/excel/2006/main">
          <x14:cfRule type="dataBar" id="{49B4AFB1-53A1-4688-B61F-3F8DDFD70D0B}">
            <x14:dataBar minLength="0" maxLength="100" gradient="0">
              <x14:cfvo type="autoMin"/>
              <x14:cfvo type="autoMax"/>
              <x14:negativeFillColor rgb="FFFF0000"/>
              <x14:axisColor rgb="FF000000"/>
            </x14:dataBar>
          </x14:cfRule>
          <xm:sqref>C38</xm:sqref>
        </x14:conditionalFormatting>
        <x14:conditionalFormatting xmlns:xm="http://schemas.microsoft.com/office/excel/2006/main">
          <x14:cfRule type="dataBar" id="{E98A9F34-28B5-434D-B458-35D441953143}">
            <x14:dataBar minLength="0" maxLength="100" gradient="0">
              <x14:cfvo type="autoMin"/>
              <x14:cfvo type="autoMax"/>
              <x14:negativeFillColor rgb="FFFF0000"/>
              <x14:axisColor rgb="FF000000"/>
            </x14:dataBar>
          </x14:cfRule>
          <xm:sqref>C39:C41</xm:sqref>
        </x14:conditionalFormatting>
        <x14:conditionalFormatting xmlns:xm="http://schemas.microsoft.com/office/excel/2006/main">
          <x14:cfRule type="dataBar" id="{F514DC3B-21F4-4FD1-AE3A-A2744014DBF3}">
            <x14:dataBar minLength="0" maxLength="100" gradient="0">
              <x14:cfvo type="autoMin"/>
              <x14:cfvo type="autoMax"/>
              <x14:negativeFillColor rgb="FFFF0000"/>
              <x14:axisColor rgb="FF000000"/>
            </x14:dataBar>
          </x14:cfRule>
          <xm:sqref>C44:C46 C63 C53 C5:C8 C15:C22 C28 C42</xm:sqref>
        </x14:conditionalFormatting>
        <x14:conditionalFormatting xmlns:xm="http://schemas.microsoft.com/office/excel/2006/main">
          <x14:cfRule type="dataBar" id="{9D4BC780-C227-45D5-B268-F96FF85E0918}">
            <x14:dataBar minLength="0" maxLength="100" gradient="0">
              <x14:cfvo type="autoMin"/>
              <x14:cfvo type="autoMax"/>
              <x14:negativeFillColor rgb="FFFF0000"/>
              <x14:axisColor rgb="FF000000"/>
            </x14:dataBar>
          </x14:cfRule>
          <xm:sqref>C49:C52 C64 C93:C95 C43 C27</xm:sqref>
        </x14:conditionalFormatting>
        <x14:conditionalFormatting xmlns:xm="http://schemas.microsoft.com/office/excel/2006/main">
          <x14:cfRule type="dataBar" id="{00977C9E-CD2F-4174-B0C3-9F1160244C1E}">
            <x14:dataBar minLength="0" maxLength="100" gradient="0">
              <x14:cfvo type="autoMin"/>
              <x14:cfvo type="autoMax"/>
              <x14:negativeFillColor rgb="FFFF0000"/>
              <x14:axisColor rgb="FF000000"/>
            </x14:dataBar>
          </x14:cfRule>
          <xm:sqref>C54</xm:sqref>
        </x14:conditionalFormatting>
        <x14:conditionalFormatting xmlns:xm="http://schemas.microsoft.com/office/excel/2006/main">
          <x14:cfRule type="dataBar" id="{2EE5D077-186E-4C54-9B69-FDAD71071E9E}">
            <x14:dataBar minLength="0" maxLength="100" gradient="0">
              <x14:cfvo type="autoMin"/>
              <x14:cfvo type="autoMax"/>
              <x14:negativeFillColor rgb="FFFF0000"/>
              <x14:axisColor rgb="FF000000"/>
            </x14:dataBar>
          </x14:cfRule>
          <xm:sqref>C56:C57</xm:sqref>
        </x14:conditionalFormatting>
        <x14:conditionalFormatting xmlns:xm="http://schemas.microsoft.com/office/excel/2006/main">
          <x14:cfRule type="dataBar" id="{E8EC06EE-6C6F-4858-84E7-2901AAA765E1}">
            <x14:dataBar minLength="0" maxLength="100" gradient="0">
              <x14:cfvo type="autoMin"/>
              <x14:cfvo type="autoMax"/>
              <x14:negativeFillColor rgb="FFFF0000"/>
              <x14:axisColor rgb="FF000000"/>
            </x14:dataBar>
          </x14:cfRule>
          <xm:sqref>C58</xm:sqref>
        </x14:conditionalFormatting>
        <x14:conditionalFormatting xmlns:xm="http://schemas.microsoft.com/office/excel/2006/main">
          <x14:cfRule type="dataBar" id="{7BCA906E-10B8-4D60-BDD4-7EA532FD5837}">
            <x14:dataBar minLength="0" maxLength="100" gradient="0">
              <x14:cfvo type="autoMin"/>
              <x14:cfvo type="autoMax"/>
              <x14:negativeFillColor rgb="FFFF0000"/>
              <x14:axisColor rgb="FF000000"/>
            </x14:dataBar>
          </x14:cfRule>
          <xm:sqref>C59:C60 C104</xm:sqref>
        </x14:conditionalFormatting>
        <x14:conditionalFormatting xmlns:xm="http://schemas.microsoft.com/office/excel/2006/main">
          <x14:cfRule type="dataBar" id="{534CE320-6EC9-4CAB-A11D-92D9DB82783F}">
            <x14:dataBar minLength="0" maxLength="100" gradient="0">
              <x14:cfvo type="autoMin"/>
              <x14:cfvo type="autoMax"/>
              <x14:negativeFillColor rgb="FFFF0000"/>
              <x14:axisColor rgb="FF000000"/>
            </x14:dataBar>
          </x14:cfRule>
          <xm:sqref>C82 C62</xm:sqref>
        </x14:conditionalFormatting>
        <x14:conditionalFormatting xmlns:xm="http://schemas.microsoft.com/office/excel/2006/main">
          <x14:cfRule type="dataBar" id="{E0A5DED5-62BF-4BED-884D-DA05BFF1BD5C}">
            <x14:dataBar minLength="0" maxLength="100" gradient="0">
              <x14:cfvo type="autoMin"/>
              <x14:cfvo type="autoMax"/>
              <x14:negativeFillColor rgb="FFFF0000"/>
              <x14:axisColor rgb="FF000000"/>
            </x14:dataBar>
          </x14:cfRule>
          <xm:sqref>C67</xm:sqref>
        </x14:conditionalFormatting>
        <x14:conditionalFormatting xmlns:xm="http://schemas.microsoft.com/office/excel/2006/main">
          <x14:cfRule type="dataBar" id="{6DCFEC15-A9AA-4C17-AA54-F66E5DB25275}">
            <x14:dataBar minLength="0" maxLength="100" gradient="0">
              <x14:cfvo type="autoMin"/>
              <x14:cfvo type="autoMax"/>
              <x14:negativeFillColor rgb="FFFF0000"/>
              <x14:axisColor rgb="FF000000"/>
            </x14:dataBar>
          </x14:cfRule>
          <xm:sqref>C68 C73</xm:sqref>
        </x14:conditionalFormatting>
        <x14:conditionalFormatting xmlns:xm="http://schemas.microsoft.com/office/excel/2006/main">
          <x14:cfRule type="dataBar" id="{4417FB5F-64AE-4207-AFFF-356D7F39ADC2}">
            <x14:dataBar minLength="0" maxLength="100" gradient="0">
              <x14:cfvo type="autoMin"/>
              <x14:cfvo type="autoMax"/>
              <x14:negativeFillColor rgb="FFFF0000"/>
              <x14:axisColor rgb="FF000000"/>
            </x14:dataBar>
          </x14:cfRule>
          <xm:sqref>C70</xm:sqref>
        </x14:conditionalFormatting>
        <x14:conditionalFormatting xmlns:xm="http://schemas.microsoft.com/office/excel/2006/main">
          <x14:cfRule type="dataBar" id="{44481D5B-5295-4DA0-8293-410E31531973}">
            <x14:dataBar minLength="0" maxLength="100" gradient="0">
              <x14:cfvo type="autoMin"/>
              <x14:cfvo type="autoMax"/>
              <x14:negativeFillColor rgb="FFFF0000"/>
              <x14:axisColor rgb="FF000000"/>
            </x14:dataBar>
          </x14:cfRule>
          <xm:sqref>C71</xm:sqref>
        </x14:conditionalFormatting>
        <x14:conditionalFormatting xmlns:xm="http://schemas.microsoft.com/office/excel/2006/main">
          <x14:cfRule type="dataBar" id="{BF94BBDB-E9D7-4B54-AC80-89341885FB78}">
            <x14:dataBar minLength="0" maxLength="100" gradient="0">
              <x14:cfvo type="autoMin"/>
              <x14:cfvo type="autoMax"/>
              <x14:negativeFillColor rgb="FFFF0000"/>
              <x14:axisColor rgb="FF000000"/>
            </x14:dataBar>
          </x14:cfRule>
          <xm:sqref>C72</xm:sqref>
        </x14:conditionalFormatting>
        <x14:conditionalFormatting xmlns:xm="http://schemas.microsoft.com/office/excel/2006/main">
          <x14:cfRule type="dataBar" id="{68BF6CCA-04F5-4350-9E40-F6A87B1026FE}">
            <x14:dataBar minLength="0" maxLength="100" gradient="0">
              <x14:cfvo type="autoMin"/>
              <x14:cfvo type="autoMax"/>
              <x14:negativeFillColor rgb="FFFF0000"/>
              <x14:axisColor rgb="FF000000"/>
            </x14:dataBar>
          </x14:cfRule>
          <xm:sqref>C79</xm:sqref>
        </x14:conditionalFormatting>
        <x14:conditionalFormatting xmlns:xm="http://schemas.microsoft.com/office/excel/2006/main">
          <x14:cfRule type="dataBar" id="{1E9256E7-3039-44C0-BC7C-2BAAF81E1637}">
            <x14:dataBar minLength="0" maxLength="100" gradient="0">
              <x14:cfvo type="autoMin"/>
              <x14:cfvo type="autoMax"/>
              <x14:negativeFillColor rgb="FFFF0000"/>
              <x14:axisColor rgb="FF000000"/>
            </x14:dataBar>
          </x14:cfRule>
          <xm:sqref>C80:C81</xm:sqref>
        </x14:conditionalFormatting>
        <x14:conditionalFormatting xmlns:xm="http://schemas.microsoft.com/office/excel/2006/main">
          <x14:cfRule type="dataBar" id="{6E81E425-78FB-421C-BB0C-D62DFB482B0A}">
            <x14:dataBar minLength="0" maxLength="100" gradient="0">
              <x14:cfvo type="autoMin"/>
              <x14:cfvo type="autoMax"/>
              <x14:negativeFillColor rgb="FFFF0000"/>
              <x14:axisColor rgb="FF000000"/>
            </x14:dataBar>
          </x14:cfRule>
          <xm:sqref>C83</xm:sqref>
        </x14:conditionalFormatting>
        <x14:conditionalFormatting xmlns:xm="http://schemas.microsoft.com/office/excel/2006/main">
          <x14:cfRule type="dataBar" id="{6A34FAB0-21BF-41C5-AFA1-6FFD061259CD}">
            <x14:dataBar minLength="0" maxLength="100" gradient="0">
              <x14:cfvo type="autoMin"/>
              <x14:cfvo type="autoMax"/>
              <x14:negativeFillColor rgb="FFFF0000"/>
              <x14:axisColor rgb="FF000000"/>
            </x14:dataBar>
          </x14:cfRule>
          <xm:sqref>C85</xm:sqref>
        </x14:conditionalFormatting>
        <x14:conditionalFormatting xmlns:xm="http://schemas.microsoft.com/office/excel/2006/main">
          <x14:cfRule type="dataBar" id="{69247C78-D542-498C-8436-F60996F1BD79}">
            <x14:dataBar minLength="0" maxLength="100" gradient="0">
              <x14:cfvo type="autoMin"/>
              <x14:cfvo type="autoMax"/>
              <x14:negativeFillColor rgb="FFFF0000"/>
              <x14:axisColor rgb="FF000000"/>
            </x14:dataBar>
          </x14:cfRule>
          <xm:sqref>C86:C89</xm:sqref>
        </x14:conditionalFormatting>
        <x14:conditionalFormatting xmlns:xm="http://schemas.microsoft.com/office/excel/2006/main">
          <x14:cfRule type="dataBar" id="{279C766D-C9D8-497D-9CC4-4F2FCF95AEEE}">
            <x14:dataBar minLength="0" maxLength="100" gradient="0">
              <x14:cfvo type="autoMin"/>
              <x14:cfvo type="autoMax"/>
              <x14:negativeFillColor rgb="FFFF0000"/>
              <x14:axisColor rgb="FF000000"/>
            </x14:dataBar>
          </x14:cfRule>
          <xm:sqref>C91</xm:sqref>
        </x14:conditionalFormatting>
        <x14:conditionalFormatting xmlns:xm="http://schemas.microsoft.com/office/excel/2006/main">
          <x14:cfRule type="dataBar" id="{1AE5F92F-6D46-4A51-AB76-83BD41E7F57D}">
            <x14:dataBar minLength="0" maxLength="100" gradient="0">
              <x14:cfvo type="autoMin"/>
              <x14:cfvo type="autoMax"/>
              <x14:negativeFillColor rgb="FFFF0000"/>
              <x14:axisColor rgb="FF000000"/>
            </x14:dataBar>
          </x14:cfRule>
          <xm:sqref>C92 C96</xm:sqref>
        </x14:conditionalFormatting>
        <x14:conditionalFormatting xmlns:xm="http://schemas.microsoft.com/office/excel/2006/main">
          <x14:cfRule type="dataBar" id="{3CF43ED2-854F-4434-829A-56DC14849ABE}">
            <x14:dataBar minLength="0" maxLength="100" gradient="0">
              <x14:cfvo type="autoMin"/>
              <x14:cfvo type="autoMax"/>
              <x14:negativeFillColor rgb="FFFF0000"/>
              <x14:axisColor rgb="FF000000"/>
            </x14:dataBar>
          </x14:cfRule>
          <xm:sqref>C99</xm:sqref>
        </x14:conditionalFormatting>
        <x14:conditionalFormatting xmlns:xm="http://schemas.microsoft.com/office/excel/2006/main">
          <x14:cfRule type="dataBar" id="{051F8888-1E21-4CDD-A9BE-620E645C1BB7}">
            <x14:dataBar minLength="0" maxLength="100" gradient="0">
              <x14:cfvo type="autoMin"/>
              <x14:cfvo type="autoMax"/>
              <x14:negativeFillColor rgb="FFFF0000"/>
              <x14:axisColor rgb="FF000000"/>
            </x14:dataBar>
          </x14:cfRule>
          <xm:sqref>C100:C101 C98</xm:sqref>
        </x14:conditionalFormatting>
        <x14:conditionalFormatting xmlns:xm="http://schemas.microsoft.com/office/excel/2006/main">
          <x14:cfRule type="dataBar" id="{330C0EF4-26EE-46D9-88F4-D13287336BFA}">
            <x14:dataBar minLength="0" maxLength="100" gradient="0">
              <x14:cfvo type="autoMin"/>
              <x14:cfvo type="autoMax"/>
              <x14:negativeFillColor rgb="FFFF0000"/>
              <x14:axisColor rgb="FF000000"/>
            </x14:dataBar>
          </x14:cfRule>
          <xm:sqref>C102</xm:sqref>
        </x14:conditionalFormatting>
        <x14:conditionalFormatting xmlns:xm="http://schemas.microsoft.com/office/excel/2006/main">
          <x14:cfRule type="dataBar" id="{1C8EF88D-20CC-46FB-9CC1-6E82F153D2D7}">
            <x14:dataBar minLength="0" maxLength="100" gradient="0">
              <x14:cfvo type="autoMin"/>
              <x14:cfvo type="autoMax"/>
              <x14:negativeFillColor rgb="FFFF0000"/>
              <x14:axisColor rgb="FF000000"/>
            </x14:dataBar>
          </x14:cfRule>
          <xm:sqref>C105:C106</xm:sqref>
        </x14:conditionalFormatting>
        <x14:conditionalFormatting xmlns:xm="http://schemas.microsoft.com/office/excel/2006/main">
          <x14:cfRule type="dataBar" id="{6D9ACF85-3B76-4ED4-87B8-1495FC43A84B}">
            <x14:dataBar minLength="0" maxLength="100" gradient="0">
              <x14:cfvo type="autoMin"/>
              <x14:cfvo type="autoMax"/>
              <x14:negativeFillColor rgb="FFFF0000"/>
              <x14:axisColor rgb="FF000000"/>
            </x14:dataBar>
          </x14:cfRule>
          <xm:sqref>C110</xm:sqref>
        </x14:conditionalFormatting>
        <x14:conditionalFormatting xmlns:xm="http://schemas.microsoft.com/office/excel/2006/main">
          <x14:cfRule type="dataBar" id="{4CB9D9DA-AB08-4FDD-8D8E-B6AA42B9C5CE}">
            <x14:dataBar minLength="0" maxLength="100" gradient="0">
              <x14:cfvo type="autoMin"/>
              <x14:cfvo type="autoMax"/>
              <x14:negativeFillColor rgb="FFFF0000"/>
              <x14:axisColor rgb="FF000000"/>
            </x14:dataBar>
          </x14:cfRule>
          <xm:sqref>C112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CTCT 2026</vt:lpstr>
      <vt:lpstr>'CTCT 2026'!Print_Titles</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Nguyễn Ngọc Quang Phục</cp:lastModifiedBy>
  <cp:revision/>
  <cp:lastPrinted>2026-02-04T00:36:06Z</cp:lastPrinted>
  <dcterms:created xsi:type="dcterms:W3CDTF">2020-10-19T07:29:36Z</dcterms:created>
  <dcterms:modified xsi:type="dcterms:W3CDTF">2026-02-04T00:36:19Z</dcterms:modified>
  <cp:category/>
  <cp:contentStatus/>
</cp:coreProperties>
</file>