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KH tháng 9" sheetId="1" state="visible" r:id="rId1"/>
  </sheets>
  <definedNames>
    <definedName name="_xlnm.Print_Titles" localSheetId="0">'KH tháng 9'!$8:$9</definedName>
    <definedName name="_xlnm.Print_Area" localSheetId="0">'KH tháng 9'!$A$1:$K$81</definedName>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Times New Roman"/>
      <family val="1"/>
      <sz val="14"/>
    </font>
    <font>
      <name val="Times New Roman"/>
      <family val="1"/>
      <b val="1"/>
      <sz val="14"/>
    </font>
    <font>
      <name val="Calibri"/>
      <family val="2"/>
      <sz val="8"/>
      <scheme val="minor"/>
    </font>
    <font>
      <name val="Times New Roman"/>
      <family val="1"/>
      <i val="1"/>
      <sz val="14"/>
    </font>
    <font>
      <name val="Times New Roman"/>
      <family val="1"/>
      <color rgb="FFFF0000"/>
      <sz val="14"/>
    </font>
    <font>
      <name val="Times New Roman"/>
      <family val="1"/>
      <b val="1"/>
      <color theme="1"/>
      <sz val="14"/>
    </font>
    <font>
      <name val="Calibri"/>
      <charset val="1"/>
      <family val="2"/>
      <color theme="1"/>
      <sz val="11"/>
    </font>
    <font>
      <name val="Calibri"/>
      <family val="2"/>
      <color rgb="FF000000"/>
      <sz val="11"/>
      <scheme val="minor"/>
    </font>
    <font>
      <name val="Times New Roman"/>
      <family val="1"/>
      <color theme="1"/>
      <sz val="14"/>
    </font>
    <font>
      <name val="Times New Roman"/>
      <family val="1"/>
      <color rgb="FF000000"/>
      <sz val="14"/>
    </font>
    <font>
      <name val="Times New Roman"/>
      <family val="1"/>
      <b val="1"/>
      <color rgb="FF000000"/>
      <sz val="14"/>
    </font>
    <font>
      <name val="Times New Roman"/>
      <family val="1"/>
      <color rgb="FFC00000"/>
      <sz val="14"/>
    </font>
    <font>
      <name val="Times New Roman"/>
      <family val="1"/>
      <sz val="13"/>
    </font>
    <font>
      <name val="Times New Roman"/>
      <family val="1"/>
      <b val="1"/>
      <sz val="13"/>
    </font>
    <font>
      <name val="Times New Roman"/>
      <family val="1"/>
      <sz val="11"/>
    </font>
    <font>
      <name val="Times New Roman"/>
      <family val="1"/>
      <b val="1"/>
      <i val="1"/>
      <sz val="12"/>
    </font>
    <font>
      <name val="Times New Roman"/>
      <family val="1"/>
      <sz val="12"/>
    </font>
  </fonts>
  <fills count="2">
    <fill>
      <patternFill/>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7" fillId="0" borderId="0"/>
    <xf numFmtId="0" fontId="8" fillId="0" borderId="0"/>
  </cellStyleXfs>
  <cellXfs count="58">
    <xf numFmtId="0" fontId="0" fillId="0" borderId="0" pivotButton="0" quotePrefix="0" xfId="0"/>
    <xf numFmtId="0" fontId="1" fillId="0" borderId="1" applyAlignment="1" pivotButton="0" quotePrefix="1" xfId="0">
      <alignment horizontal="center" vertical="center" wrapText="1"/>
    </xf>
    <xf numFmtId="0"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0" pivotButton="0" quotePrefix="0" xfId="0"/>
    <xf numFmtId="0" fontId="1" fillId="0" borderId="0" applyAlignment="1" pivotButton="0" quotePrefix="0" xfId="0">
      <alignment vertical="top"/>
    </xf>
    <xf numFmtId="0" fontId="1" fillId="0" borderId="0" applyAlignment="1" pivotButton="0" quotePrefix="0" xfId="0">
      <alignment horizontal="justify"/>
    </xf>
    <xf numFmtId="0" fontId="1" fillId="0" borderId="0" applyAlignment="1" pivotButton="0" quotePrefix="0" xfId="0">
      <alignment horizontal="justify"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1" fillId="0" borderId="1" applyAlignment="1" pivotButton="0" quotePrefix="0" xfId="0">
      <alignment horizontal="justify" vertical="center" wrapText="1"/>
    </xf>
    <xf numFmtId="0" fontId="1" fillId="0" borderId="1" pivotButton="0" quotePrefix="0" xfId="0"/>
    <xf numFmtId="0" fontId="1" fillId="0" borderId="1" applyAlignment="1" pivotButton="0" quotePrefix="0" xfId="0">
      <alignment horizontal="left"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2">
      <alignment horizontal="center" vertical="center" wrapText="1"/>
    </xf>
    <xf numFmtId="0" fontId="1" fillId="0" borderId="1" applyAlignment="1" pivotButton="0" quotePrefix="0" xfId="1">
      <alignment horizontal="left" vertical="center" wrapText="1"/>
    </xf>
    <xf numFmtId="0" fontId="1" fillId="0" borderId="1" applyAlignment="1" pivotButton="0" quotePrefix="0" xfId="1">
      <alignment horizontal="center" vertical="center" wrapText="1"/>
    </xf>
    <xf numFmtId="0" fontId="10" fillId="0" borderId="1" applyAlignment="1" pivotButton="0" quotePrefix="0" xfId="2">
      <alignment vertical="center" wrapText="1"/>
    </xf>
    <xf numFmtId="0" fontId="10" fillId="0" borderId="1" applyAlignment="1" pivotButton="0" quotePrefix="0" xfId="2">
      <alignment horizontal="center" vertical="center" wrapText="1"/>
    </xf>
    <xf numFmtId="0" fontId="9" fillId="0" borderId="1" applyAlignment="1" pivotButton="0" quotePrefix="0" xfId="0">
      <alignment horizontal="justify" vertical="center"/>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applyAlignment="1" pivotButton="0" quotePrefix="0" xfId="0">
      <alignment vertical="center"/>
    </xf>
    <xf numFmtId="0" fontId="1" fillId="0" borderId="0" applyAlignment="1" pivotButton="0" quotePrefix="0" xfId="0">
      <alignment wrapText="1"/>
    </xf>
    <xf numFmtId="0" fontId="9" fillId="0" borderId="1" applyAlignment="1" pivotButton="0" quotePrefix="0" xfId="0">
      <alignment vertical="center" wrapText="1"/>
    </xf>
    <xf numFmtId="0" fontId="1" fillId="0" borderId="0" applyAlignment="1" pivotButton="0" quotePrefix="0" xfId="0">
      <alignment vertical="center"/>
    </xf>
    <xf numFmtId="0" fontId="1" fillId="0" borderId="1" applyAlignment="1" pivotButton="0" quotePrefix="0" xfId="0">
      <alignment horizontal="justify" vertical="center"/>
    </xf>
    <xf numFmtId="0" fontId="5"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10" fillId="0" borderId="1" applyAlignment="1" pivotButton="0" quotePrefix="0" xfId="0">
      <alignment vertical="center" wrapText="1"/>
    </xf>
    <xf numFmtId="0" fontId="13" fillId="0" borderId="1" applyAlignment="1" pivotButton="0" quotePrefix="0" xfId="0">
      <alignment vertical="center" wrapText="1"/>
    </xf>
    <xf numFmtId="0" fontId="2" fillId="0" borderId="0" applyAlignment="1" pivotButton="0" quotePrefix="0" xfId="0">
      <alignment horizontal="center"/>
    </xf>
    <xf numFmtId="0" fontId="1" fillId="0" borderId="0" applyAlignment="1" pivotButton="0" quotePrefix="0" xfId="0">
      <alignment horizontal="center" vertical="top" wrapText="1"/>
    </xf>
    <xf numFmtId="0" fontId="1" fillId="0" borderId="0" applyAlignment="1" pivotButton="0" quotePrefix="0" xfId="0">
      <alignment horizontal="center" vertical="top"/>
    </xf>
    <xf numFmtId="0" fontId="1" fillId="0" borderId="0" applyAlignment="1" pivotButton="0" quotePrefix="0" xfId="0">
      <alignment horizontal="center"/>
    </xf>
    <xf numFmtId="0" fontId="2" fillId="0" borderId="0" applyAlignment="1" pivotButton="0" quotePrefix="0" xfId="0">
      <alignment horizontal="center" vertical="top" wrapText="1"/>
    </xf>
    <xf numFmtId="0" fontId="4" fillId="0" borderId="0" applyAlignment="1" pivotButton="0" quotePrefix="0" xfId="0">
      <alignment horizont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2" fillId="0" borderId="1" applyAlignment="1" pivotButton="0" quotePrefix="0" xfId="0">
      <alignment vertical="center" wrapText="1"/>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2" applyAlignment="1" pivotButton="0" quotePrefix="0" xfId="0">
      <alignment horizontal="justify" vertical="center" wrapText="1"/>
    </xf>
    <xf numFmtId="0" fontId="15" fillId="0" borderId="0" applyAlignment="1" pivotButton="0" quotePrefix="1" xfId="0">
      <alignment horizontal="left"/>
    </xf>
    <xf numFmtId="0" fontId="15" fillId="0" borderId="0" applyAlignment="1" pivotButton="0" quotePrefix="0" xfId="0">
      <alignment horizontal="left"/>
    </xf>
    <xf numFmtId="0" fontId="17" fillId="0" borderId="0" applyAlignment="1" pivotButton="0" quotePrefix="0" xfId="0">
      <alignment horizontal="justify" vertical="top" wrapText="1"/>
    </xf>
    <xf numFmtId="0" fontId="0" fillId="0" borderId="2" pivotButton="0" quotePrefix="0" xfId="0"/>
    <xf numFmtId="0" fontId="0" fillId="0" borderId="5" pivotButton="0" quotePrefix="0" xfId="0"/>
    <xf numFmtId="0" fontId="0" fillId="0" borderId="8" pivotButton="0" quotePrefix="0" xfId="0"/>
    <xf numFmtId="0" fontId="0" fillId="0" borderId="9" pivotButton="0" quotePrefix="0" xfId="0"/>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79"/>
  <sheetViews>
    <sheetView tabSelected="1" view="pageBreakPreview" topLeftCell="A67" zoomScale="85" zoomScaleNormal="70" zoomScaleSheetLayoutView="85" workbookViewId="0">
      <selection activeCell="E73" sqref="E73:K79"/>
    </sheetView>
  </sheetViews>
  <sheetFormatPr baseColWidth="8" defaultColWidth="8.88671875" defaultRowHeight="18"/>
  <cols>
    <col width="5.77734375" customWidth="1" style="6" min="1" max="1"/>
    <col width="44.109375" customWidth="1" style="8" min="2" max="2"/>
    <col width="12.5546875" customWidth="1" style="6" min="3" max="3"/>
    <col width="11.33203125" customWidth="1" style="6" min="4" max="4"/>
    <col width="11.21875" customWidth="1" style="6" min="5" max="5"/>
    <col width="7.88671875" customWidth="1" style="6" min="6" max="6"/>
    <col width="8.77734375" customWidth="1" style="6" min="7" max="7"/>
    <col width="13.88671875" customWidth="1" style="6" min="8" max="8"/>
    <col width="7.21875" customWidth="1" style="6" min="9" max="9"/>
    <col width="5.21875" customWidth="1" style="6" min="10" max="10"/>
    <col width="7.109375" customWidth="1" style="6" min="11" max="11"/>
    <col width="8.88671875" customWidth="1" style="6" min="12" max="16384"/>
  </cols>
  <sheetData>
    <row r="1">
      <c r="A1" s="38" t="inlineStr">
        <is>
          <t>UBND TỈNH QUẢNG NGÃI
TRƯỜNG CAO ĐẲNG KON TUM</t>
        </is>
      </c>
      <c r="C1" s="7" t="n"/>
      <c r="D1" s="7" t="n"/>
      <c r="E1" s="41" t="inlineStr">
        <is>
          <t>CỘNG HÒA XÃ HỘI CHỦ NGHĨA VIỆT NAM
Độc lập - Tự do - Hạnh phúc</t>
        </is>
      </c>
    </row>
    <row r="2">
      <c r="A2" s="37" t="inlineStr">
        <is>
          <t>TRƯỜNG CAO ĐẲNG KON TUM</t>
        </is>
      </c>
      <c r="E2" s="37" t="inlineStr">
        <is>
          <t>Độc lập - Tự do - Hạnh phúc</t>
        </is>
      </c>
    </row>
    <row r="3" ht="27" customHeight="1">
      <c r="A3" s="40" t="inlineStr">
        <is>
          <t>Số: 834/KH-CĐKT</t>
        </is>
      </c>
      <c r="E3" s="42" t="inlineStr">
        <is>
          <t>Quảng Ngãi, ngày 28 tháng 8 năm 2026</t>
        </is>
      </c>
    </row>
    <row r="5">
      <c r="A5" s="47" t="inlineStr">
        <is>
          <t>KẾ HOẠCH
công tác tháng 9 năm 2026</t>
        </is>
      </c>
    </row>
    <row r="6">
      <c r="A6" s="49" t="inlineStr">
        <is>
          <t>công tác tháng 8 năm 2026</t>
        </is>
      </c>
    </row>
    <row r="7" ht="73.8" customHeight="1">
      <c r="A7" s="50" t="inlineStr">
        <is>
          <t xml:space="preserve">        Căn cứ Kế hoạch số 824/KH-CĐKT ngày 26/8/2026 của Trường Cao đẳng Kon Tum về kế hoạch công tác Quý III năm 2026 (điều chỉnh, bổ sung).
        Nhà trường ban hành Kế hoạch công tác tháng 9 năm 2026, cụ thể như sau:</t>
        </is>
      </c>
      <c r="B7" s="54" t="n"/>
      <c r="C7" s="54" t="n"/>
      <c r="D7" s="54" t="n"/>
      <c r="E7" s="54" t="n"/>
      <c r="F7" s="54" t="n"/>
      <c r="G7" s="54" t="n"/>
      <c r="H7" s="54" t="n"/>
      <c r="I7" s="54" t="n"/>
      <c r="J7" s="54" t="n"/>
      <c r="K7" s="54" t="n"/>
    </row>
    <row r="8">
      <c r="A8" s="46" t="inlineStr">
        <is>
          <t>TT</t>
        </is>
      </c>
      <c r="B8" s="46" t="inlineStr">
        <is>
          <t>NỘI DUNG CÔNG VIỆC</t>
        </is>
      </c>
      <c r="C8" s="46" t="inlineStr">
        <is>
          <t>Người trực tiếp chỉ đạo</t>
        </is>
      </c>
      <c r="D8" s="46" t="inlineStr">
        <is>
          <t>Đơn vị chủ trì</t>
        </is>
      </c>
      <c r="E8" s="46" t="inlineStr">
        <is>
          <t>Sản phẩm/ công việc</t>
        </is>
      </c>
      <c r="F8" s="46" t="inlineStr">
        <is>
          <t>Số lượng</t>
        </is>
      </c>
      <c r="G8" s="46" t="inlineStr">
        <is>
          <t>Độ khó, mới, phức tạp; phạm vi tác động</t>
        </is>
      </c>
      <c r="H8" s="46" t="inlineStr">
        <is>
          <t>Thời gian hoàn thành</t>
        </is>
      </c>
      <c r="I8" s="46" t="inlineStr">
        <is>
          <t>Điểm chấm công việc</t>
        </is>
      </c>
      <c r="J8" s="46" t="inlineStr">
        <is>
          <t>Hệ số quy đổi</t>
        </is>
      </c>
      <c r="K8" s="46" t="inlineStr">
        <is>
          <t>Ghi chú</t>
        </is>
      </c>
    </row>
    <row r="9" ht="121.8" customHeight="1">
      <c r="A9" s="55" t="n"/>
      <c r="B9" s="55" t="n"/>
      <c r="C9" s="55" t="n"/>
      <c r="D9" s="55" t="n"/>
      <c r="E9" s="55" t="n"/>
      <c r="F9" s="55" t="n"/>
      <c r="G9" s="55" t="n"/>
      <c r="H9" s="55" t="n"/>
      <c r="I9" s="55" t="n"/>
      <c r="J9" s="55" t="n"/>
      <c r="K9" s="55" t="n"/>
    </row>
    <row r="10">
      <c r="A10" s="1" t="inlineStr">
        <is>
          <t>(1)</t>
        </is>
      </c>
      <c r="B10" s="1" t="inlineStr">
        <is>
          <t>(2)</t>
        </is>
      </c>
      <c r="C10" s="1" t="inlineStr">
        <is>
          <t>(3)</t>
        </is>
      </c>
      <c r="D10" s="1" t="inlineStr">
        <is>
          <t>(4)</t>
        </is>
      </c>
      <c r="E10" s="1" t="inlineStr">
        <is>
          <t>(5)</t>
        </is>
      </c>
      <c r="F10" s="1" t="inlineStr">
        <is>
          <t>(6)</t>
        </is>
      </c>
      <c r="G10" s="1" t="inlineStr">
        <is>
          <t>(7)</t>
        </is>
      </c>
      <c r="H10" s="1" t="inlineStr">
        <is>
          <t>(8)</t>
        </is>
      </c>
      <c r="I10" s="1" t="inlineStr">
        <is>
          <t>(9)</t>
        </is>
      </c>
      <c r="J10" s="1" t="inlineStr">
        <is>
          <t>(10)</t>
        </is>
      </c>
      <c r="K10" s="1" t="inlineStr">
        <is>
          <t>(11)</t>
        </is>
      </c>
    </row>
    <row r="11">
      <c r="A11" s="46" t="inlineStr">
        <is>
          <t>I</t>
        </is>
      </c>
      <c r="B11" s="45" t="inlineStr">
        <is>
          <t>Các nhiệm vụ theo kế hoạch công tác đã đề ra từ đầu quý</t>
        </is>
      </c>
      <c r="C11" s="56" t="n"/>
      <c r="D11" s="56" t="n"/>
      <c r="E11" s="56" t="n"/>
      <c r="F11" s="56" t="n"/>
      <c r="G11" s="56" t="n"/>
      <c r="H11" s="56" t="n"/>
      <c r="I11" s="56" t="n"/>
      <c r="J11" s="56" t="n"/>
      <c r="K11" s="57" t="n"/>
    </row>
    <row r="12">
      <c r="A12" s="11" t="n">
        <v>1</v>
      </c>
      <c r="B12" s="43" t="inlineStr">
        <is>
          <t xml:space="preserve">Trục (1) - Thực hiện mục tiêu phát triển Kinh tế - xã hội và nhiệm vụ chính trị được giao </t>
        </is>
      </c>
      <c r="C12" s="56" t="n"/>
      <c r="D12" s="56" t="n"/>
      <c r="E12" s="56" t="n"/>
      <c r="F12" s="56" t="n"/>
      <c r="G12" s="56" t="n"/>
      <c r="H12" s="56" t="n"/>
      <c r="I12" s="56" t="n"/>
      <c r="J12" s="56" t="n"/>
      <c r="K12" s="57" t="n"/>
    </row>
    <row r="13" ht="72" customHeight="1">
      <c r="A13" s="1" t="inlineStr">
        <is>
          <t>1.1</t>
        </is>
      </c>
      <c r="B13" s="12" t="inlineStr">
        <is>
          <t>Xây dựng Chương trình đào tạo ngành, nghề Y sỹ đa khoa, trình độ cao đẳng</t>
        </is>
      </c>
      <c r="C13" s="5" t="inlineStr">
        <is>
          <t>PHT Nguyễn Trung Hiếu</t>
        </is>
      </c>
      <c r="D13" s="5" t="inlineStr">
        <is>
          <t>Khoa Y – Dược</t>
        </is>
      </c>
      <c r="E13" s="5" t="inlineStr">
        <is>
          <t>Quyết định</t>
        </is>
      </c>
      <c r="F13" s="5" t="n">
        <v>1</v>
      </c>
      <c r="G13" s="5" t="inlineStr">
        <is>
          <t>Trung bình</t>
        </is>
      </c>
      <c r="H13" s="5" t="inlineStr">
        <is>
          <t>Chậm nhất ngày 30/9/2026</t>
        </is>
      </c>
      <c r="I13" s="5">
        <f>IF(G13="Khó và phức tạp",200,IF(G13="Cao",150,IF(G13="Trung bình",120,100)))</f>
        <v/>
      </c>
      <c r="J13" s="5">
        <f>I13*0.01</f>
        <v/>
      </c>
      <c r="K13" s="13" t="n"/>
    </row>
    <row r="14" ht="54" customHeight="1">
      <c r="A14" s="1" t="inlineStr">
        <is>
          <t>1.2</t>
        </is>
      </c>
      <c r="B14" s="12" t="inlineStr">
        <is>
          <t>Tổ chức Lễ Khai giảng năm học 2026-2027</t>
        </is>
      </c>
      <c r="C14" s="5" t="inlineStr">
        <is>
          <t>Hiệu trưởng</t>
        </is>
      </c>
      <c r="D14" s="5" t="inlineStr">
        <is>
          <t>Phòng QLĐT&amp;BĐCL</t>
        </is>
      </c>
      <c r="E14" s="5" t="inlineStr">
        <is>
          <t>Kế hoạch</t>
        </is>
      </c>
      <c r="F14" s="5" t="n">
        <v>1</v>
      </c>
      <c r="G14" s="5" t="inlineStr">
        <is>
          <t>Thấp</t>
        </is>
      </c>
      <c r="H14" s="5" t="inlineStr">
        <is>
          <t>Chậm nhất ngày 30/9/2026</t>
        </is>
      </c>
      <c r="I14" s="5">
        <f>IF(G14="Khó và phức tạp",200,IF(G14="Cao",150,IF(G14="Trung bình",120,100)))</f>
        <v/>
      </c>
      <c r="J14" s="5">
        <f>I14*0.01</f>
        <v/>
      </c>
      <c r="K14" s="5" t="n"/>
    </row>
    <row r="15" ht="54" customHeight="1">
      <c r="A15" s="1" t="inlineStr">
        <is>
          <t>1.3</t>
        </is>
      </c>
      <c r="B15" s="12" t="inlineStr">
        <is>
          <t>Tổ chức Lễ tốt nghiệp và trao bằng tốt nghiệp năm 2026</t>
        </is>
      </c>
      <c r="C15" s="5" t="inlineStr">
        <is>
          <t>Hiệu trưởng</t>
        </is>
      </c>
      <c r="D15" s="5" t="inlineStr">
        <is>
          <t>Phòng QLĐT&amp;BĐCL</t>
        </is>
      </c>
      <c r="E15" s="5" t="inlineStr">
        <is>
          <t>Chương trình</t>
        </is>
      </c>
      <c r="F15" s="5" t="n">
        <v>1</v>
      </c>
      <c r="G15" s="5" t="inlineStr">
        <is>
          <t>Trung bình</t>
        </is>
      </c>
      <c r="H15" s="5" t="inlineStr">
        <is>
          <t>Chậm nhất ngày 30/9/2026</t>
        </is>
      </c>
      <c r="I15" s="5">
        <f>IF(G15="Khó và phức tạp",200,IF(G15="Cao",150,IF(G15="Trung bình",120,100)))</f>
        <v/>
      </c>
      <c r="J15" s="5">
        <f>I15*0.01</f>
        <v/>
      </c>
      <c r="K15" s="5" t="n"/>
    </row>
    <row r="16" ht="72" customHeight="1">
      <c r="A16" s="1" t="inlineStr">
        <is>
          <t>1.4</t>
        </is>
      </c>
      <c r="B16" s="12" t="inlineStr">
        <is>
          <t>Xây dựng kế hoạch khảo thí năm học 2026-2027 cho các lớp trình độ cao đẳng, trung cấp (tuyển sinh năm 2024, 2025, 2026)</t>
        </is>
      </c>
      <c r="C16" s="5" t="inlineStr">
        <is>
          <t>PHT Dương Văn Anh Dũng</t>
        </is>
      </c>
      <c r="D16" s="5" t="inlineStr">
        <is>
          <t>Phòng QLĐT&amp;BĐCL</t>
        </is>
      </c>
      <c r="E16" s="5" t="inlineStr">
        <is>
          <t>Kế hoạch</t>
        </is>
      </c>
      <c r="F16" s="5" t="n">
        <v>1</v>
      </c>
      <c r="G16" s="5" t="inlineStr">
        <is>
          <t>Trung bình</t>
        </is>
      </c>
      <c r="H16" s="5" t="inlineStr">
        <is>
          <t>Chậm nhất ngày 30/9/2026</t>
        </is>
      </c>
      <c r="I16" s="5">
        <f>IF(G16="Khó và phức tạp",200,IF(G16="Cao",150,IF(G16="Trung bình",120,100)))</f>
        <v/>
      </c>
      <c r="J16" s="5">
        <f>I16*0.01</f>
        <v/>
      </c>
      <c r="K16" s="5" t="n"/>
    </row>
    <row r="17" ht="54" customHeight="1">
      <c r="A17" s="1" t="inlineStr">
        <is>
          <t>1.5</t>
        </is>
      </c>
      <c r="B17" s="12" t="inlineStr">
        <is>
          <t>Rà soát, đăng ký loại bỏ các ngành, nghề đào tạo không còn phù hợp, nguồn tuyển sinh hạn chế</t>
        </is>
      </c>
      <c r="C17" s="5" t="inlineStr">
        <is>
          <t>Hiệu trưởng</t>
        </is>
      </c>
      <c r="D17" s="5" t="inlineStr">
        <is>
          <t>Phòng QLĐT&amp;BĐCL</t>
        </is>
      </c>
      <c r="E17" s="5" t="inlineStr">
        <is>
          <t>Kế hoạch; Công văn</t>
        </is>
      </c>
      <c r="F17" s="5" t="n">
        <v>1</v>
      </c>
      <c r="G17" s="5" t="inlineStr">
        <is>
          <t>Trung bình</t>
        </is>
      </c>
      <c r="H17" s="5" t="inlineStr">
        <is>
          <t>Chậm nhất ngày 30/9/2026</t>
        </is>
      </c>
      <c r="I17" s="5">
        <f>IF(G17="Khó và phức tạp",200,IF(G17="Cao",150,IF(G17="Trung bình",120,100)))</f>
        <v/>
      </c>
      <c r="J17" s="5">
        <f>I17*0.01</f>
        <v/>
      </c>
      <c r="K17" s="5" t="n"/>
    </row>
    <row r="18" ht="72" customHeight="1">
      <c r="A18" s="1" t="inlineStr">
        <is>
          <t>1.6</t>
        </is>
      </c>
      <c r="B18" s="14" t="inlineStr">
        <is>
          <t>Tổ chức tiếp sinh, nhập học thí sinh trúng tuyển trình độ cao đẳng, trung cấp, hệ chính quy năm học 2026-2027</t>
        </is>
      </c>
      <c r="C18" s="5" t="inlineStr">
        <is>
          <t>PHT Huỳnh Văn Chung</t>
        </is>
      </c>
      <c r="D18" s="5" t="inlineStr">
        <is>
          <t>Đoàn TN;
Hội SV</t>
        </is>
      </c>
      <c r="E18" s="5" t="inlineStr">
        <is>
          <t>Công văn/Thông báo</t>
        </is>
      </c>
      <c r="F18" s="5" t="n">
        <v>1</v>
      </c>
      <c r="G18" s="5" t="inlineStr">
        <is>
          <t>Trung bình</t>
        </is>
      </c>
      <c r="H18" s="5" t="inlineStr">
        <is>
          <t>Chậm nhất ngày 30/9/2026</t>
        </is>
      </c>
      <c r="I18" s="5">
        <f>IF(G18="Khó và phức tạp",200,IF(G18="Cao",150,IF(G18="Trung bình",120,100)))</f>
        <v/>
      </c>
      <c r="J18" s="5">
        <f>I18*0.01</f>
        <v/>
      </c>
      <c r="K18" s="5" t="n"/>
    </row>
    <row r="19" ht="72" customHeight="1">
      <c r="A19" s="1" t="inlineStr">
        <is>
          <t>1.7</t>
        </is>
      </c>
      <c r="B19" s="15" t="inlineStr">
        <is>
          <t>Xây dựng Chiến lược phát triển Khoa các Khoa học cơ bản đến năm 2030 và tầm nhìn đến năm 2045</t>
        </is>
      </c>
      <c r="C19" s="16" t="inlineStr">
        <is>
          <t>Hiệu trưởng</t>
        </is>
      </c>
      <c r="D19" s="16" t="inlineStr">
        <is>
          <t>Khoa CKHCB</t>
        </is>
      </c>
      <c r="E19" s="16" t="inlineStr">
        <is>
          <t>Kế hoạch</t>
        </is>
      </c>
      <c r="F19" s="17" t="n">
        <v>1</v>
      </c>
      <c r="G19" s="16" t="inlineStr">
        <is>
          <t>Cao</t>
        </is>
      </c>
      <c r="H19" s="5" t="inlineStr">
        <is>
          <t>Chậm nhất ngày 30/9/2026</t>
        </is>
      </c>
      <c r="I19" s="5">
        <f>IF(G19="Khó và phức tạp",200,IF(G19="Cao",150,IF(G19="Trung bình",120,100)))</f>
        <v/>
      </c>
      <c r="J19" s="5">
        <f>I19*0.01</f>
        <v/>
      </c>
      <c r="K19" s="5" t="inlineStr">
        <is>
          <t>Kết luận giao ban</t>
        </is>
      </c>
    </row>
    <row r="20" ht="90" customHeight="1">
      <c r="A20" s="1" t="inlineStr">
        <is>
          <t>1.8</t>
        </is>
      </c>
      <c r="B20" s="18" t="inlineStr">
        <is>
          <t>Kế hoạch chuẩn bị sơ kết tình hình triển khai thực hiện mô hình đào tạo kép "Một chương trình – Hai địa điểm" và Đề án Bảo đảm sĩ số học sinh sinh viên từ đầu đến cuối khóa học</t>
        </is>
      </c>
      <c r="C20" s="5" t="inlineStr">
        <is>
          <t>Hiệu trưởng</t>
        </is>
      </c>
      <c r="D20" s="5" t="inlineStr">
        <is>
          <t>Phòng QLĐT&amp;BĐCL</t>
        </is>
      </c>
      <c r="E20" s="19" t="inlineStr">
        <is>
          <t>Kế hoạch</t>
        </is>
      </c>
      <c r="F20" s="5" t="n">
        <v>1</v>
      </c>
      <c r="G20" s="5" t="inlineStr">
        <is>
          <t>Trung bình</t>
        </is>
      </c>
      <c r="H20" s="5" t="inlineStr">
        <is>
          <t>Chậm nhất ngày 30/9/2026</t>
        </is>
      </c>
      <c r="I20" s="5">
        <f>IF(G20="Khó và phức tạp",200,IF(G20="Cao",150,IF(G20="Trung bình",120,100)))</f>
        <v/>
      </c>
      <c r="J20" s="5">
        <f>I20*0.01</f>
        <v/>
      </c>
      <c r="K20" s="5" t="inlineStr">
        <is>
          <t>Kết luận giao ban</t>
        </is>
      </c>
    </row>
    <row r="21" ht="108" customHeight="1">
      <c r="A21" s="1" t="inlineStr">
        <is>
          <t>1.9</t>
        </is>
      </c>
      <c r="B21" s="12" t="inlineStr">
        <is>
          <t>Triển khai kế hoạch chuẩn bị các điều kiện để triển khai chương trình giáo dục trung học nghề, chương trình giáo dục thường xuyên cấp THPT; giảng dạy, liên kết đào tạo và cấp chứng chỉ giáo dục quốc phòng và an ninh</t>
        </is>
      </c>
      <c r="C21" s="5" t="inlineStr">
        <is>
          <t>Hiệu trưởng</t>
        </is>
      </c>
      <c r="D21" s="5" t="inlineStr">
        <is>
          <t>Khoa CKHCB</t>
        </is>
      </c>
      <c r="E21" s="5" t="inlineStr">
        <is>
          <t>Kế hoạch</t>
        </is>
      </c>
      <c r="F21" s="5" t="n">
        <v>1</v>
      </c>
      <c r="G21" s="5" t="inlineStr">
        <is>
          <t>Cao</t>
        </is>
      </c>
      <c r="H21" s="5" t="inlineStr">
        <is>
          <t>Chậm nhất ngày 25/9/2026</t>
        </is>
      </c>
      <c r="I21" s="5">
        <f>IF(G21="Khó và phức tạp",200,IF(G21="Cao",150,IF(G21="Trung bình",120,100)))</f>
        <v/>
      </c>
      <c r="J21" s="5">
        <f>I21*0.01</f>
        <v/>
      </c>
      <c r="K21" s="5" t="n"/>
    </row>
    <row r="22" ht="126" customHeight="1">
      <c r="A22" s="1" t="inlineStr">
        <is>
          <t>1.10</t>
        </is>
      </c>
      <c r="B22" s="12" t="inlineStr">
        <is>
          <t>Kế hoạch triển khai thực hiện Kế hoạch số 295/KH-UBND ngày 03/8/2026 của UBND tỉnh triển khai Chương trình phát triển nguồn nhân lực ngành công nghiệp bán dẫn đến năm 2030, định hướng đến năm 2050 trên địa bàn tỉnh Quảng Ngãi</t>
        </is>
      </c>
      <c r="C22" s="5" t="inlineStr">
        <is>
          <t>Hiệu trưởng</t>
        </is>
      </c>
      <c r="D22" s="5" t="inlineStr">
        <is>
          <t>Phòng QLĐT&amp;BĐCL</t>
        </is>
      </c>
      <c r="E22" s="5" t="inlineStr">
        <is>
          <t>Kế hoạch</t>
        </is>
      </c>
      <c r="F22" s="5" t="n">
        <v>1</v>
      </c>
      <c r="G22" s="5" t="inlineStr">
        <is>
          <t>Trung bình</t>
        </is>
      </c>
      <c r="H22" s="5" t="inlineStr">
        <is>
          <t>Chậm nhất ngày 30/9/2026</t>
        </is>
      </c>
      <c r="I22" s="5">
        <f>IF(G22="Khó và phức tạp",200,IF(G22="Cao",150,IF(G22="Trung bình",120,100)))</f>
        <v/>
      </c>
      <c r="J22" s="5">
        <f>I22*0.01</f>
        <v/>
      </c>
      <c r="K22" s="5" t="inlineStr">
        <is>
          <t>Kết luận giao ban</t>
        </is>
      </c>
    </row>
    <row r="23" ht="100.8" customHeight="1">
      <c r="A23" s="1" t="inlineStr">
        <is>
          <t>1.11</t>
        </is>
      </c>
      <c r="B23" s="2" t="inlineStr">
        <is>
          <t xml:space="preserve">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 </t>
        </is>
      </c>
      <c r="C23" s="3" t="inlineStr">
        <is>
          <t>Hiệu trưởng</t>
        </is>
      </c>
      <c r="D23" s="3" t="inlineStr">
        <is>
          <t>Phòng QLKHCN&amp;HTPT</t>
        </is>
      </c>
      <c r="E23" s="3" t="inlineStr">
        <is>
          <t>Quyết định</t>
        </is>
      </c>
      <c r="F23" s="4" t="n">
        <v>1</v>
      </c>
      <c r="G23" s="3" t="inlineStr">
        <is>
          <t>Trung bình</t>
        </is>
      </c>
      <c r="H23" s="3" t="inlineStr">
        <is>
          <t>Chậm nhất ngày 30/9/2026</t>
        </is>
      </c>
      <c r="I23" s="3">
        <f>IF(G23="Khó và phức tạp",200,IF(G23="Cao",150,IF(G23="Trung bình",120,100)))</f>
        <v/>
      </c>
      <c r="J23" s="3">
        <f>I23*0.01</f>
        <v/>
      </c>
      <c r="K23" s="5" t="inlineStr">
        <is>
          <t>Kết luận giao ban</t>
        </is>
      </c>
    </row>
    <row r="24">
      <c r="A24" s="11" t="n">
        <v>2</v>
      </c>
      <c r="B24" s="43" t="inlineStr">
        <is>
          <t>Trục (2) - Hoàn thiện thể chế, đẩy mạnh phân cấp, phân quyền gắn với kiểm tra, giám sát</t>
        </is>
      </c>
      <c r="C24" s="56" t="n"/>
      <c r="D24" s="56" t="n"/>
      <c r="E24" s="56" t="n"/>
      <c r="F24" s="56" t="n"/>
      <c r="G24" s="56" t="n"/>
      <c r="H24" s="56" t="n"/>
      <c r="I24" s="56" t="n"/>
      <c r="J24" s="56" t="n"/>
      <c r="K24" s="57" t="n"/>
    </row>
    <row r="25" ht="72" customHeight="1">
      <c r="A25" s="5" t="n">
        <v>2.1</v>
      </c>
      <c r="B25" s="12" t="inlineStr">
        <is>
          <t>Ban hành Quy chế kiểm toán nội bộ</t>
        </is>
      </c>
      <c r="C25" s="5" t="inlineStr">
        <is>
          <t>Hiệu trưởng</t>
        </is>
      </c>
      <c r="D25" s="5" t="inlineStr">
        <is>
          <t>Phòng TC-KT</t>
        </is>
      </c>
      <c r="E25" s="5" t="inlineStr">
        <is>
          <t>Quy chế</t>
        </is>
      </c>
      <c r="F25" s="5" t="n">
        <v>1</v>
      </c>
      <c r="G25" s="5" t="inlineStr">
        <is>
          <t>Cao</t>
        </is>
      </c>
      <c r="H25" s="5" t="inlineStr">
        <is>
          <t>Chậm nhất ngày 30/9/2026</t>
        </is>
      </c>
      <c r="I25" s="5">
        <f>IF(G25="Khó và phức tạp",200,IF(G25="Cao",150,IF(G25="Trung bình",120,100)))</f>
        <v/>
      </c>
      <c r="J25" s="5">
        <f>I25*0.01</f>
        <v/>
      </c>
      <c r="K25" s="5" t="inlineStr">
        <is>
          <t>Kết luận giao ban</t>
        </is>
      </c>
    </row>
    <row r="26" ht="108" customHeight="1">
      <c r="A26" s="5" t="n">
        <v>2.2</v>
      </c>
      <c r="B26" s="12" t="inlineStr">
        <is>
          <t>Ban hành Quy định xây dựng, thẩm định và ban hành chương trình đào tạo; tổ chức biên soạn, lựa chọn, thẩm định, duyệt và sử dụng giáo trình đào tạo trình độ cao đẳng, trung cấp, sơ cấp và đào tạo dưới 3 tháng</t>
        </is>
      </c>
      <c r="C26" s="5" t="inlineStr">
        <is>
          <t>Hiệu trưởng</t>
        </is>
      </c>
      <c r="D26" s="5" t="inlineStr">
        <is>
          <t>Phòng QLĐT&amp;BĐCL</t>
        </is>
      </c>
      <c r="E26" s="5" t="inlineStr">
        <is>
          <t>Quyết định</t>
        </is>
      </c>
      <c r="F26" s="5" t="n">
        <v>1</v>
      </c>
      <c r="G26" s="5" t="inlineStr">
        <is>
          <t>Trung bình</t>
        </is>
      </c>
      <c r="H26" s="5" t="inlineStr">
        <is>
          <t>Chậm nhất ngày 30/9/2026</t>
        </is>
      </c>
      <c r="I26" s="5">
        <f>IF(G26="Khó và phức tạp",200,IF(G26="Cao",150,IF(G26="Trung bình",120,100)))</f>
        <v/>
      </c>
      <c r="J26" s="5">
        <f>I26*0.01</f>
        <v/>
      </c>
      <c r="K26" s="13" t="n"/>
    </row>
    <row r="27" ht="90" customHeight="1">
      <c r="A27" s="5" t="n">
        <v>2.3</v>
      </c>
      <c r="B27" s="24" t="inlineStr">
        <is>
          <t>Ban hành Quyết định thay thế Quyết định số 988/QĐ-CĐKT ngày 12/5/2026 của Hiệu trưởng Trường Cao đẳng Kon Tum ban hành Quy chế tổ chức và hoạt động của Trường Cao đẳng Kon Tum</t>
        </is>
      </c>
      <c r="C27" s="5" t="inlineStr">
        <is>
          <t>Hiệu trưởng</t>
        </is>
      </c>
      <c r="D27" s="5" t="inlineStr">
        <is>
          <t>Phòng TCCB&amp;CTHSSV</t>
        </is>
      </c>
      <c r="E27" s="5" t="inlineStr">
        <is>
          <t>Quyết định</t>
        </is>
      </c>
      <c r="F27" s="5" t="n">
        <v>1</v>
      </c>
      <c r="G27" s="5" t="inlineStr">
        <is>
          <t>Cao</t>
        </is>
      </c>
      <c r="H27" s="5" t="inlineStr">
        <is>
          <t>Chậm nhất ngày 14/9/2026</t>
        </is>
      </c>
      <c r="I27" s="5">
        <f>IF(G27="Khó và phức tạp",200,IF(G27="Cao",150,IF(G27="Trung bình",120,100)))</f>
        <v/>
      </c>
      <c r="J27" s="5">
        <f>I27*0.01</f>
        <v/>
      </c>
      <c r="K27" s="5" t="inlineStr">
        <is>
          <t>Kết luận giao ban</t>
        </is>
      </c>
    </row>
    <row r="28" ht="126" customHeight="1">
      <c r="A28" s="5" t="n">
        <v>2.4</v>
      </c>
      <c r="B28" s="24" t="inlineStr">
        <is>
          <t>Ban hành 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is>
      </c>
      <c r="C28" s="5" t="inlineStr">
        <is>
          <t>Hiệu trưởng</t>
        </is>
      </c>
      <c r="D28" s="5" t="inlineStr">
        <is>
          <t>Phòng TCCB&amp;CTHSSV</t>
        </is>
      </c>
      <c r="E28" s="5" t="inlineStr">
        <is>
          <t>Quyết định</t>
        </is>
      </c>
      <c r="F28" s="5" t="n">
        <v>1</v>
      </c>
      <c r="G28" s="5" t="inlineStr">
        <is>
          <t>Cao</t>
        </is>
      </c>
      <c r="H28" s="5" t="inlineStr">
        <is>
          <t>Chậm nhất ngày 14/9/2026</t>
        </is>
      </c>
      <c r="I28" s="5">
        <f>IF(G28="Khó và phức tạp",200,IF(G28="Cao",150,IF(G28="Trung bình",120,100)))</f>
        <v/>
      </c>
      <c r="J28" s="5">
        <f>I28*0.01</f>
        <v/>
      </c>
      <c r="K28" s="5" t="inlineStr">
        <is>
          <t>Kết luận giao ban</t>
        </is>
      </c>
    </row>
    <row r="29">
      <c r="A29" s="11" t="n">
        <v>3</v>
      </c>
      <c r="B29" s="43" t="inlineStr">
        <is>
          <t>Trục (3) - Thúc đẩy phát triển khoa học, công nghệ, đổi mới sáng tạo và chuyển đổi số</t>
        </is>
      </c>
      <c r="C29" s="56" t="n"/>
      <c r="D29" s="56" t="n"/>
      <c r="E29" s="56" t="n"/>
      <c r="F29" s="56" t="n"/>
      <c r="G29" s="56" t="n"/>
      <c r="H29" s="56" t="n"/>
      <c r="I29" s="56" t="n"/>
      <c r="J29" s="56" t="n"/>
      <c r="K29" s="57" t="n"/>
    </row>
    <row r="30" ht="72" customHeight="1">
      <c r="A30" s="5" t="n">
        <v>3.1</v>
      </c>
      <c r="B30" s="22" t="inlineStr">
        <is>
          <t>Ban hành kế hoạch phát triển các công cụ trí tuệ nhân tạo hỗ trợ thực hiện nhiệm vụ của các đơn vị thuộc Trường</t>
        </is>
      </c>
      <c r="C30" s="23" t="inlineStr">
        <is>
          <t>Hiệu trưởng</t>
        </is>
      </c>
      <c r="D30" s="23" t="inlineStr">
        <is>
          <t>Phòng QLKHCN&amp;HTPT</t>
        </is>
      </c>
      <c r="E30" s="23" t="inlineStr">
        <is>
          <t>Kế hoạch</t>
        </is>
      </c>
      <c r="F30" s="23" t="n">
        <v>1</v>
      </c>
      <c r="G30" s="23" t="inlineStr">
        <is>
          <t>Cao</t>
        </is>
      </c>
      <c r="H30" s="5" t="inlineStr">
        <is>
          <t>Chậm nhất ngày 30/9/2026</t>
        </is>
      </c>
      <c r="I30" s="5">
        <f>IF(G30="Khó và phức tạp",200,IF(G30="Cao",150,IF(G30="Trung bình",120,100)))</f>
        <v/>
      </c>
      <c r="J30" s="5">
        <f>I30*0.01</f>
        <v/>
      </c>
      <c r="K30" s="5" t="inlineStr">
        <is>
          <t>Kết luận giao ban</t>
        </is>
      </c>
    </row>
    <row r="31" ht="90" customHeight="1">
      <c r="A31" s="5" t="n">
        <v>3.2</v>
      </c>
      <c r="B31" s="25" t="inlineStr">
        <is>
          <t>Truyền thông các hội thảo khoa học công nghệ, đổi mới sáng tạo và chuyển đổi số</t>
        </is>
      </c>
      <c r="C31" s="5" t="inlineStr">
        <is>
          <t>PHT Dương Văn Anh Dũng</t>
        </is>
      </c>
      <c r="D31" s="26" t="inlineStr">
        <is>
          <t>Ban Truyền thông</t>
        </is>
      </c>
      <c r="E31" s="26" t="inlineStr">
        <is>
          <t>Tin/bài</t>
        </is>
      </c>
      <c r="F31" s="27" t="n">
        <v>3</v>
      </c>
      <c r="G31" s="26" t="inlineStr">
        <is>
          <t>Trung bình</t>
        </is>
      </c>
      <c r="H31" s="5" t="inlineStr">
        <is>
          <t>Chậm nhất ngày 30/9/2026</t>
        </is>
      </c>
      <c r="I31" s="5">
        <f>IF(G31="Khó và phức tạp",200,IF(G31="Cao",150,IF(G31="Trung bình",120,100)))</f>
        <v/>
      </c>
      <c r="J31" s="5">
        <f>I31*0.01</f>
        <v/>
      </c>
      <c r="K31" s="5" t="inlineStr">
        <is>
          <t>Bổ sung ngoài KH quý</t>
        </is>
      </c>
    </row>
    <row r="32" ht="90" customHeight="1">
      <c r="A32" s="5" t="n">
        <v>3.3</v>
      </c>
      <c r="B32" s="18" t="inlineStr">
        <is>
          <t>Đẩy mạnh tuyên truyền chuyển đổi số, bảo đảm an toàn thông tin; tăng cường ứng dụng nền tảng số trong quản lý, điều hành và truyền thông của nhà trường.</t>
        </is>
      </c>
      <c r="C32" s="5" t="inlineStr">
        <is>
          <t>Chủ tịch Công đoàn</t>
        </is>
      </c>
      <c r="D32" s="5" t="inlineStr">
        <is>
          <t>CĐCS Trường</t>
        </is>
      </c>
      <c r="E32" s="5" t="inlineStr">
        <is>
          <t>Tin/bài/nội dung tuyên truyền</t>
        </is>
      </c>
      <c r="F32" s="5" t="n">
        <v>2</v>
      </c>
      <c r="G32" s="5" t="inlineStr">
        <is>
          <t>Cao</t>
        </is>
      </c>
      <c r="H32" s="5" t="inlineStr">
        <is>
          <t>Chậm nhất ngày 30/9/2026</t>
        </is>
      </c>
      <c r="I32" s="5">
        <f>IF(G32="Khó và phức tạp",200,IF(G32="Cao",150,IF(G32="Trung bình",120,100)))</f>
        <v/>
      </c>
      <c r="J32" s="5">
        <f>I32*0.01</f>
        <v/>
      </c>
      <c r="K32" s="5" t="inlineStr">
        <is>
          <t>Bổ sung ngoài KH quý</t>
        </is>
      </c>
    </row>
    <row r="33" ht="90" customHeight="1">
      <c r="A33" s="5" t="n">
        <v>3.4</v>
      </c>
      <c r="B33" s="18" t="inlineStr">
        <is>
          <t>Triển khai Kế hoạch nhiệm vụ số hóa, tạo lập dữ liệu đảng viên, hồ sơ đảng viên điện tử</t>
        </is>
      </c>
      <c r="C33" s="5" t="inlineStr">
        <is>
          <t>Bí thư Đảng uỷ</t>
        </is>
      </c>
      <c r="D33" s="5" t="inlineStr">
        <is>
          <t>Phòng TCCB&amp;CTHSSV</t>
        </is>
      </c>
      <c r="E33" s="5" t="inlineStr">
        <is>
          <t>Kế hoạch</t>
        </is>
      </c>
      <c r="F33" s="5" t="n">
        <v>1</v>
      </c>
      <c r="G33" s="5" t="inlineStr">
        <is>
          <t>Trung bình</t>
        </is>
      </c>
      <c r="H33" s="5" t="inlineStr">
        <is>
          <t>Chậm nhất ngày 30/9/2026</t>
        </is>
      </c>
      <c r="I33" s="5">
        <f>IF(G33="Khó và phức tạp",200,IF(G33="Cao",150,IF(G33="Trung bình",120,100)))</f>
        <v/>
      </c>
      <c r="J33" s="5">
        <f>I33*0.01</f>
        <v/>
      </c>
      <c r="K33" s="5" t="inlineStr">
        <is>
          <t>Bổ sung ngoài KH quý</t>
        </is>
      </c>
      <c r="L33" s="28" t="n"/>
    </row>
    <row r="34" ht="72" customHeight="1">
      <c r="A34" s="5" t="n">
        <v>3.5</v>
      </c>
      <c r="B34" s="20" t="inlineStr">
        <is>
          <t>Ban hành kế hoạch triển khai công cụ trí tuệ nhân tạo để phát triển kế hoạch bài giảng (lý thuyết, thực hành, tích hợp)</t>
        </is>
      </c>
      <c r="C34" s="21" t="inlineStr">
        <is>
          <t>Hiệu trưởng</t>
        </is>
      </c>
      <c r="D34" s="21" t="inlineStr">
        <is>
          <t>Phòng QLĐT&amp;BĐCL</t>
        </is>
      </c>
      <c r="E34" s="21" t="inlineStr">
        <is>
          <t>Kế hoạch</t>
        </is>
      </c>
      <c r="F34" s="21" t="n">
        <v>1</v>
      </c>
      <c r="G34" s="21" t="inlineStr">
        <is>
          <t>Trung bình</t>
        </is>
      </c>
      <c r="H34" s="5" t="inlineStr">
        <is>
          <t>Chậm nhất ngày 11/9/2026</t>
        </is>
      </c>
      <c r="I34" s="5">
        <f>IF(G34="Khó và phức tạp",200,IF(G34="Cao",150,IF(G34="Trung bình",120,100)))</f>
        <v/>
      </c>
      <c r="J34" s="5">
        <f>I34*0.01</f>
        <v/>
      </c>
      <c r="K34" s="5" t="inlineStr">
        <is>
          <t>Kết luận giao ban</t>
        </is>
      </c>
    </row>
    <row r="35" ht="180" customHeight="1">
      <c r="A35" s="5" t="n">
        <v>3.6</v>
      </c>
      <c r="B35" s="22" t="inlineStr">
        <is>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is>
      </c>
      <c r="C35" s="23" t="inlineStr">
        <is>
          <t>Hiệu trưởng</t>
        </is>
      </c>
      <c r="D35" s="23" t="inlineStr">
        <is>
          <t>Phòng QLKHCN&amp;HTPT</t>
        </is>
      </c>
      <c r="E35" s="23" t="inlineStr">
        <is>
          <t>Văn bản</t>
        </is>
      </c>
      <c r="F35" s="23" t="n">
        <v>1</v>
      </c>
      <c r="G35" s="23" t="inlineStr">
        <is>
          <t>Cao</t>
        </is>
      </c>
      <c r="H35" s="5" t="inlineStr">
        <is>
          <t>Chậm nhất ngày 30/9/2026</t>
        </is>
      </c>
      <c r="I35" s="5">
        <f>IF(G35="Khó và phức tạp",200,IF(G35="Cao",150,IF(G35="Trung bình",120,100)))</f>
        <v/>
      </c>
      <c r="J35" s="5">
        <f>I35*0.01</f>
        <v/>
      </c>
      <c r="K35" s="5" t="inlineStr">
        <is>
          <t>Kết luận giao ban</t>
        </is>
      </c>
    </row>
    <row r="36" customFormat="1" s="29">
      <c r="A36" s="46" t="n">
        <v>4</v>
      </c>
      <c r="B36" s="44" t="inlineStr">
        <is>
          <t>Trục (4) - Xây dựng Đảng và hệ thống chính trị trong sạch, vững mạnh; giữ gìn đoàn kết, thống nhất nội bộ; phòng, chống tham nhũng, lãng phí, tiêu cực</t>
        </is>
      </c>
      <c r="C36" s="56" t="n"/>
      <c r="D36" s="56" t="n"/>
      <c r="E36" s="56" t="n"/>
      <c r="F36" s="56" t="n"/>
      <c r="G36" s="56" t="n"/>
      <c r="H36" s="56" t="n"/>
      <c r="I36" s="56" t="n"/>
      <c r="J36" s="56" t="n"/>
      <c r="K36" s="57" t="n"/>
    </row>
    <row r="37" ht="108" customHeight="1">
      <c r="A37" s="5" t="n">
        <v>4.1</v>
      </c>
      <c r="B37" s="30" t="inlineStr">
        <is>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is>
      </c>
      <c r="C37" s="5" t="inlineStr">
        <is>
          <t>Hiệu trưởng</t>
        </is>
      </c>
      <c r="D37" s="5" t="inlineStr">
        <is>
          <t>Phòng TCCB&amp;CTHSSV</t>
        </is>
      </c>
      <c r="E37" s="23" t="inlineStr">
        <is>
          <t>Kế hoạch</t>
        </is>
      </c>
      <c r="F37" s="5" t="n">
        <v>1</v>
      </c>
      <c r="G37" s="5" t="inlineStr">
        <is>
          <t>Cao</t>
        </is>
      </c>
      <c r="H37" s="5" t="inlineStr">
        <is>
          <t>Chậm nhất ngày 11/9/2026</t>
        </is>
      </c>
      <c r="I37" s="5">
        <f>IF(G37="Khó và phức tạp",200,IF(G37="Cao",150,IF(G37="Trung bình",120,100)))</f>
        <v/>
      </c>
      <c r="J37" s="5">
        <f>I37*0.01</f>
        <v/>
      </c>
      <c r="K37" s="5" t="inlineStr">
        <is>
          <t>Kết luận giao ban</t>
        </is>
      </c>
      <c r="L37" s="31" t="n"/>
    </row>
    <row r="38" ht="54" customHeight="1">
      <c r="A38" s="5" t="n">
        <v>4.2</v>
      </c>
      <c r="B38" s="32" t="inlineStr">
        <is>
          <t>Báo cáo sơ kết công tác quý III và phương hướng, nhiệm vụ công tác quý IV năm 2026 của Đảng ủy Trường.</t>
        </is>
      </c>
      <c r="C38" s="5" t="inlineStr">
        <is>
          <t>Phó Bí thư Đảng uỷ</t>
        </is>
      </c>
      <c r="D38" s="5" t="inlineStr">
        <is>
          <t>BPVPĐU</t>
        </is>
      </c>
      <c r="E38" s="5" t="inlineStr">
        <is>
          <t>Báo cáo</t>
        </is>
      </c>
      <c r="F38" s="5" t="n">
        <v>1</v>
      </c>
      <c r="G38" s="5" t="inlineStr">
        <is>
          <t>Trung bình</t>
        </is>
      </c>
      <c r="H38" s="5" t="inlineStr">
        <is>
          <t>Chậm nhất ngày 30/9/2026</t>
        </is>
      </c>
      <c r="I38" s="5">
        <f>IF(G38="Khó và phức tạp",200,IF(G38="Cao",150,IF(G38="Trung bình",120,100)))</f>
        <v/>
      </c>
      <c r="J38" s="5">
        <f>I38*0.01</f>
        <v/>
      </c>
      <c r="K38" s="5" t="n"/>
    </row>
    <row r="39" ht="54" customHeight="1">
      <c r="A39" s="5" t="n">
        <v>4.3</v>
      </c>
      <c r="B39" s="32" t="inlineStr">
        <is>
          <t>Xây dựng Chương trình Công tác Đoàn và phong trào thanh niên năm học 2026-2027</t>
        </is>
      </c>
      <c r="C39" s="5" t="inlineStr">
        <is>
          <t>Bí thư Đảng uỷ</t>
        </is>
      </c>
      <c r="D39" s="5" t="inlineStr">
        <is>
          <t>Đoàn TN;
Hội SV</t>
        </is>
      </c>
      <c r="E39" s="5" t="inlineStr">
        <is>
          <t>Chương trình</t>
        </is>
      </c>
      <c r="F39" s="5" t="n">
        <v>1</v>
      </c>
      <c r="G39" s="5" t="inlineStr">
        <is>
          <t>Trung bình</t>
        </is>
      </c>
      <c r="H39" s="5" t="inlineStr">
        <is>
          <t>Chậm nhất ngày 30/9/2026</t>
        </is>
      </c>
      <c r="I39" s="5">
        <f>IF(G39="Khó và phức tạp",200,IF(G39="Cao",150,IF(G39="Trung bình",120,100)))</f>
        <v/>
      </c>
      <c r="J39" s="5">
        <f>I39*0.01</f>
        <v/>
      </c>
      <c r="K39" s="33" t="n"/>
    </row>
    <row r="40" ht="54" customHeight="1">
      <c r="A40" s="5" t="n">
        <v>4.4</v>
      </c>
      <c r="B40" s="32" t="inlineStr">
        <is>
          <t>Xây dựng Chương trình Công tác Hội và phong trào Sinh viên năm học 2026-2027</t>
        </is>
      </c>
      <c r="C40" s="5" t="inlineStr">
        <is>
          <t>Bí thư Đảng uỷ</t>
        </is>
      </c>
      <c r="D40" s="5" t="inlineStr">
        <is>
          <t>Đoàn TN;
Hội SV</t>
        </is>
      </c>
      <c r="E40" s="5" t="inlineStr">
        <is>
          <t>Chương trình</t>
        </is>
      </c>
      <c r="F40" s="5" t="n">
        <v>1</v>
      </c>
      <c r="G40" s="5" t="inlineStr">
        <is>
          <t>Trung bình</t>
        </is>
      </c>
      <c r="H40" s="5" t="inlineStr">
        <is>
          <t>Chậm nhất ngày 30/9/2026</t>
        </is>
      </c>
      <c r="I40" s="5">
        <f>IF(G40="Khó và phức tạp",200,IF(G40="Cao",150,IF(G40="Trung bình",120,100)))</f>
        <v/>
      </c>
      <c r="J40" s="5">
        <f>I40*0.01</f>
        <v/>
      </c>
      <c r="K40" s="33" t="n"/>
    </row>
    <row r="41" ht="54" customHeight="1">
      <c r="A41" s="5" t="n">
        <v>4.5</v>
      </c>
      <c r="B41" s="12" t="inlineStr">
        <is>
          <t>Báo cáo Phòng chống tham nhũng quý III/2026</t>
        </is>
      </c>
      <c r="C41" s="5" t="inlineStr">
        <is>
          <t>Hiệu trưởng</t>
        </is>
      </c>
      <c r="D41" s="5" t="inlineStr">
        <is>
          <t>Phòng QLĐT&amp;BĐCL</t>
        </is>
      </c>
      <c r="E41" s="5" t="inlineStr">
        <is>
          <t>Báo cáo</t>
        </is>
      </c>
      <c r="F41" s="5" t="n">
        <v>1</v>
      </c>
      <c r="G41" s="5" t="inlineStr">
        <is>
          <t>Trung bình</t>
        </is>
      </c>
      <c r="H41" s="5" t="inlineStr">
        <is>
          <t>Chậm nhất ngày 30/9/2026</t>
        </is>
      </c>
      <c r="I41" s="5">
        <f>IF(G41="Khó và phức tạp",200,IF(G41="Cao",150,IF(G41="Trung bình",120,100)))</f>
        <v/>
      </c>
      <c r="J41" s="5">
        <f>I41*0.01</f>
        <v/>
      </c>
      <c r="K41" s="5" t="n"/>
    </row>
    <row r="42" ht="72" customHeight="1">
      <c r="A42" s="5" t="n">
        <v>4.6</v>
      </c>
      <c r="B42" s="32" t="inlineStr">
        <is>
          <t>Tổ chức các hoạt động chào mừng Ngày Phụ nữ Việt Nam 20/10</t>
        </is>
      </c>
      <c r="C42" s="5" t="inlineStr">
        <is>
          <t>Chủ tịch Công đoàn</t>
        </is>
      </c>
      <c r="D42" s="5" t="inlineStr">
        <is>
          <t>Ban Nữ công; BCH CĐCS</t>
        </is>
      </c>
      <c r="E42" s="5" t="inlineStr">
        <is>
          <t>Kế hoạch</t>
        </is>
      </c>
      <c r="F42" s="5" t="n">
        <v>1</v>
      </c>
      <c r="G42" s="5" t="inlineStr">
        <is>
          <t>Cao</t>
        </is>
      </c>
      <c r="H42" s="5" t="inlineStr">
        <is>
          <t>Chậm nhất ngày 30/9/2026</t>
        </is>
      </c>
      <c r="I42" s="5">
        <f>IF(G42="Khó và phức tạp",200,IF(G42="Cao",150,IF(G42="Trung bình",120,100)))</f>
        <v/>
      </c>
      <c r="J42" s="5">
        <f>I42*0.01</f>
        <v/>
      </c>
      <c r="K42" s="5" t="n"/>
      <c r="L42" s="31" t="n"/>
    </row>
    <row r="43" ht="72" customHeight="1">
      <c r="A43" s="5" t="n">
        <v>4.7</v>
      </c>
      <c r="B43" s="18" t="inlineStr">
        <is>
          <t>Ban hành kế hoạch triển khai phần mềm VNPT KPI – Hệ thống quản lý đánh giá, xếp loại chất lượng CBCCVC</t>
        </is>
      </c>
      <c r="C43" s="5" t="inlineStr">
        <is>
          <t>Hiệu trưởng</t>
        </is>
      </c>
      <c r="D43" s="5" t="inlineStr">
        <is>
          <t>Phòng TCCB&amp;CTHSSV</t>
        </is>
      </c>
      <c r="E43" s="5" t="inlineStr">
        <is>
          <t>Kế hoạch</t>
        </is>
      </c>
      <c r="F43" s="5" t="n">
        <v>1</v>
      </c>
      <c r="G43" s="5" t="inlineStr">
        <is>
          <t>Trung bình</t>
        </is>
      </c>
      <c r="H43" s="5" t="inlineStr">
        <is>
          <t>Chậm nhất ngày 28/8/2026</t>
        </is>
      </c>
      <c r="I43" s="5">
        <f>IF(G43="Khó và phức tạp",200,IF(G43="Cao",150,IF(G43="Trung bình",120,100)))</f>
        <v/>
      </c>
      <c r="J43" s="5">
        <f>I43*0.01</f>
        <v/>
      </c>
      <c r="K43" s="5" t="inlineStr">
        <is>
          <t>Kết luận giao ban</t>
        </is>
      </c>
      <c r="L43" s="31" t="n"/>
    </row>
    <row r="44" ht="126" customHeight="1">
      <c r="A44" s="5" t="n">
        <v>4.8</v>
      </c>
      <c r="B44" s="32" t="inlineStr">
        <is>
          <t>Tổ chức Chương trình "Tết Trung thu năm 2026" cho con đoàn viên, viên chức và người lao động.</t>
        </is>
      </c>
      <c r="C44" s="5" t="inlineStr">
        <is>
          <t>Chủ tịch Công đoàn</t>
        </is>
      </c>
      <c r="D44" s="5" t="inlineStr">
        <is>
          <t>Ban Nữ công; BCH CĐCS; các Tổ Công đoàn</t>
        </is>
      </c>
      <c r="E44" s="5" t="inlineStr">
        <is>
          <t>Danh sách; Báo cáo; quyết toán kinh phí</t>
        </is>
      </c>
      <c r="F44" s="5" t="n">
        <v>1</v>
      </c>
      <c r="G44" s="5" t="inlineStr">
        <is>
          <t>Khó và phức tạp</t>
        </is>
      </c>
      <c r="H44" s="5" t="inlineStr">
        <is>
          <t>Chậm nhất ngày 30/9/2026</t>
        </is>
      </c>
      <c r="I44" s="5">
        <f>IF(G44="Khó và phức tạp",200,IF(G44="Cao",150,IF(G44="Trung bình",120,100)))</f>
        <v/>
      </c>
      <c r="J44" s="5">
        <f>I44*0.01</f>
        <v/>
      </c>
      <c r="K44" s="5" t="n"/>
      <c r="L44" s="31" t="n"/>
    </row>
    <row r="45" ht="126" customHeight="1">
      <c r="A45" s="5" t="n">
        <v>4.9</v>
      </c>
      <c r="B45" s="18" t="inlineStr">
        <is>
          <t>Ban hành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is>
      </c>
      <c r="C45" s="5" t="inlineStr">
        <is>
          <t>Hiệu trưởng</t>
        </is>
      </c>
      <c r="D45" s="5" t="inlineStr">
        <is>
          <t>Phòng TCCB&amp;CTHSSV</t>
        </is>
      </c>
      <c r="E45" s="5" t="inlineStr">
        <is>
          <t>Kế hoạch</t>
        </is>
      </c>
      <c r="F45" s="5" t="n">
        <v>1</v>
      </c>
      <c r="G45" s="5" t="inlineStr">
        <is>
          <t>Trung bình</t>
        </is>
      </c>
      <c r="H45" s="5" t="inlineStr">
        <is>
          <t>Chậm nhất ngày 04/9/2026</t>
        </is>
      </c>
      <c r="I45" s="5">
        <f>IF(G45="Khó và phức tạp",200,IF(G45="Cao",150,IF(G45="Trung bình",120,100)))</f>
        <v/>
      </c>
      <c r="J45" s="5">
        <f>I45*0.01</f>
        <v/>
      </c>
      <c r="K45" s="5" t="inlineStr">
        <is>
          <t>Kết luận giao ban</t>
        </is>
      </c>
    </row>
    <row r="46" ht="72" customHeight="1">
      <c r="A46" s="1" t="inlineStr">
        <is>
          <t>4.10</t>
        </is>
      </c>
      <c r="B46" s="20" t="inlineStr">
        <is>
          <t>Ban hành kế hoạch cử viên chức đi đào tạo về kiểm định viên ASEAN</t>
        </is>
      </c>
      <c r="C46" s="21" t="inlineStr">
        <is>
          <t>Hiệu trưởng</t>
        </is>
      </c>
      <c r="D46" s="21" t="inlineStr">
        <is>
          <t>Phòng QLĐT&amp;BĐCL</t>
        </is>
      </c>
      <c r="E46" s="21" t="inlineStr">
        <is>
          <t>Kế hoạch</t>
        </is>
      </c>
      <c r="F46" s="21" t="n">
        <v>1</v>
      </c>
      <c r="G46" s="21" t="inlineStr">
        <is>
          <t>Trung bình</t>
        </is>
      </c>
      <c r="H46" s="5" t="inlineStr">
        <is>
          <t>Chậm nhất ngày 30/9/2026</t>
        </is>
      </c>
      <c r="I46" s="5">
        <f>IF(G46="Khó và phức tạp",200,IF(G46="Cao",150,IF(G46="Trung bình",120,100)))</f>
        <v/>
      </c>
      <c r="J46" s="5">
        <f>I46*0.01</f>
        <v/>
      </c>
      <c r="K46" s="5" t="inlineStr">
        <is>
          <t>Kết luận giao ban</t>
        </is>
      </c>
    </row>
    <row r="47" ht="90" customHeight="1">
      <c r="A47" s="1" t="inlineStr">
        <is>
          <t>4.11</t>
        </is>
      </c>
      <c r="B47" s="24" t="inlineStr">
        <is>
          <t>Ban hành Kế hoạch triển khai Thông tư số 59/2026/TT-BGDĐT của Bộ trưởng Bộ Giáo dục và Đào tạo quy định về nhà giáo hợp đồng toàn thời gian sau khi nghỉ hưu và nhà giáo thỉnh giảng</t>
        </is>
      </c>
      <c r="C47" s="5" t="inlineStr">
        <is>
          <t>Hiệu trưởng</t>
        </is>
      </c>
      <c r="D47" s="5" t="inlineStr">
        <is>
          <t>Phòng TCCB&amp;CTHSSV</t>
        </is>
      </c>
      <c r="E47" s="5" t="inlineStr">
        <is>
          <t>Kế hoạch</t>
        </is>
      </c>
      <c r="F47" s="5" t="n">
        <v>1</v>
      </c>
      <c r="G47" s="5" t="inlineStr">
        <is>
          <t>Trung bình</t>
        </is>
      </c>
      <c r="H47" s="5" t="inlineStr">
        <is>
          <t>Chậm nhất ngày 30/9/2026</t>
        </is>
      </c>
      <c r="I47" s="5">
        <f>IF(G47="Khó và phức tạp",200,IF(G47="Cao",150,IF(G47="Trung bình",120,100)))</f>
        <v/>
      </c>
      <c r="J47" s="5">
        <f>I47*0.01</f>
        <v/>
      </c>
      <c r="K47" s="5" t="inlineStr">
        <is>
          <t>Kết luận giao ban</t>
        </is>
      </c>
    </row>
    <row r="48" ht="134.4" customHeight="1">
      <c r="A48" s="1" t="inlineStr">
        <is>
          <t>4.12</t>
        </is>
      </c>
      <c r="B48" s="34" t="inlineStr">
        <is>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is>
      </c>
      <c r="C48" s="3" t="inlineStr">
        <is>
          <t>Bí thư Đảng uỷ</t>
        </is>
      </c>
      <c r="D48" s="3" t="inlineStr">
        <is>
          <t>BPVPĐU</t>
        </is>
      </c>
      <c r="E48" s="3" t="inlineStr">
        <is>
          <t>Kế hoạch</t>
        </is>
      </c>
      <c r="F48" s="3" t="n">
        <v>1</v>
      </c>
      <c r="G48" s="3" t="inlineStr">
        <is>
          <t>Trung bình</t>
        </is>
      </c>
      <c r="H48" s="3" t="inlineStr">
        <is>
          <t>Chậm nhất ngày 30/9/2026</t>
        </is>
      </c>
      <c r="I48" s="3">
        <f>IF(G48="Khó và phức tạp",200,IF(G48="Cao",150,IF(G48="Trung bình",120,100)))</f>
        <v/>
      </c>
      <c r="J48" s="3">
        <f>I48*0.01</f>
        <v/>
      </c>
      <c r="K48" s="5" t="inlineStr">
        <is>
          <t>Kết luận giao ban</t>
        </is>
      </c>
    </row>
    <row r="49" ht="72" customHeight="1">
      <c r="A49" s="1" t="inlineStr">
        <is>
          <t>4.13</t>
        </is>
      </c>
      <c r="B49" s="34" t="inlineStr">
        <is>
          <t>Quyết định kết thúc hoạt động của Ban chỉ đạo thực hiện dân chủ ở cơ sở của Đảng uỷ Trường</t>
        </is>
      </c>
      <c r="C49" s="3" t="inlineStr">
        <is>
          <t>Bí thư Đảng uỷ</t>
        </is>
      </c>
      <c r="D49" s="3" t="inlineStr">
        <is>
          <t>BPVPĐU</t>
        </is>
      </c>
      <c r="E49" s="3" t="inlineStr">
        <is>
          <t>Quyết định</t>
        </is>
      </c>
      <c r="F49" s="3" t="n">
        <v>1</v>
      </c>
      <c r="G49" s="3" t="inlineStr">
        <is>
          <t>Trung bình</t>
        </is>
      </c>
      <c r="H49" s="3" t="inlineStr">
        <is>
          <t>Chậm nhất ngày 28/8/2026</t>
        </is>
      </c>
      <c r="I49" s="3">
        <f>IF(G49="Khó và phức tạp",200,IF(G49="Cao",150,IF(G49="Trung bình",120,100)))</f>
        <v/>
      </c>
      <c r="J49" s="3">
        <f>I49*0.01</f>
        <v/>
      </c>
      <c r="K49" s="5" t="inlineStr">
        <is>
          <t>Kết luận giao ban</t>
        </is>
      </c>
    </row>
    <row r="50">
      <c r="A50" s="11" t="n">
        <v>5</v>
      </c>
      <c r="B50" s="43" t="inlineStr">
        <is>
          <t>Trục (5) - Phát triển văn hóa, con người, bảo đảm an sinh xã hội, nâng cao đời sống nhân dân</t>
        </is>
      </c>
      <c r="C50" s="56" t="n"/>
      <c r="D50" s="56" t="n"/>
      <c r="E50" s="56" t="n"/>
      <c r="F50" s="56" t="n"/>
      <c r="G50" s="56" t="n"/>
      <c r="H50" s="56" t="n"/>
      <c r="I50" s="56" t="n"/>
      <c r="J50" s="56" t="n"/>
      <c r="K50" s="57" t="n"/>
    </row>
    <row r="51" ht="72" customHeight="1">
      <c r="A51" s="5" t="n">
        <v>5.1</v>
      </c>
      <c r="B51" s="9" t="inlineStr">
        <is>
          <t>Tổ chức “Ngày hội đầu khóa” năm học 2026-2027 và “Tuần sinh hoạt công dân - Học sinh, Sinh viên” Đợt 1 năm học 2026-2027</t>
        </is>
      </c>
      <c r="C51" s="5" t="inlineStr">
        <is>
          <t>PHT Huỳnh Văn Chung</t>
        </is>
      </c>
      <c r="D51" s="5" t="inlineStr">
        <is>
          <t>Đoàn TN;
Hội SV</t>
        </is>
      </c>
      <c r="E51" s="5" t="inlineStr">
        <is>
          <t>Kế hoạch</t>
        </is>
      </c>
      <c r="F51" s="5" t="n">
        <v>1</v>
      </c>
      <c r="G51" s="5" t="inlineStr">
        <is>
          <t>Cao</t>
        </is>
      </c>
      <c r="H51" s="5" t="inlineStr">
        <is>
          <t>Chậm nhất ngày 30/9/2026</t>
        </is>
      </c>
      <c r="I51" s="5">
        <f>IF(G51="Khó và phức tạp",200,IF(G51="Cao",150,IF(G51="Trung bình",120,100)))</f>
        <v/>
      </c>
      <c r="J51" s="5">
        <f>I51*0.01</f>
        <v/>
      </c>
      <c r="K51" s="33" t="n"/>
      <c r="L51" s="31" t="n"/>
    </row>
    <row r="52" ht="90" customHeight="1">
      <c r="A52" s="5" t="n">
        <v>5.2</v>
      </c>
      <c r="B52" s="35" t="inlineStr">
        <is>
          <t>Triển khai kế hoạch khám sức khỏe cho sinh viên các lớp tuyển sinh năm 2026</t>
        </is>
      </c>
      <c r="C52" s="21" t="inlineStr">
        <is>
          <t>PHT Nguyễn Trung Hiếu</t>
        </is>
      </c>
      <c r="D52" s="21" t="inlineStr">
        <is>
          <t>Khoa Y – Dược</t>
        </is>
      </c>
      <c r="E52" s="26" t="inlineStr">
        <is>
          <t>Kế hoạch</t>
        </is>
      </c>
      <c r="F52" s="26" t="n">
        <v>1</v>
      </c>
      <c r="G52" s="5" t="inlineStr">
        <is>
          <t>Cao</t>
        </is>
      </c>
      <c r="H52" s="5" t="inlineStr">
        <is>
          <t>Chậm nhất ngày 30/9/2026</t>
        </is>
      </c>
      <c r="I52" s="5">
        <f>IF(G52="Khó và phức tạp",200,IF(G52="Cao",150,IF(G52="Trung bình",120,100)))</f>
        <v/>
      </c>
      <c r="J52" s="5">
        <f>I52*0.01</f>
        <v/>
      </c>
      <c r="K52" s="5" t="inlineStr">
        <is>
          <t>Bổ sung ngoài KH quý</t>
        </is>
      </c>
    </row>
    <row r="53" ht="108" customHeight="1">
      <c r="A53" s="5" t="n">
        <v>5.3</v>
      </c>
      <c r="B53" s="12" t="inlineStr">
        <is>
          <t xml:space="preserve">kế hoạch xây dựng định mức kinh tế - kỹ thuật, giá dịch vụ đào tạo hoặc định mức chi phí đào tạo và mức thu học phí năm học 2026-2027 đối với ngành, nghề Y sỹ đa khoa trình độ cao đẳng và các chương trình đào tạo lái xe; </t>
        </is>
      </c>
      <c r="C53" s="5" t="inlineStr">
        <is>
          <t>Hiệu trưởng</t>
        </is>
      </c>
      <c r="D53" s="5" t="inlineStr">
        <is>
          <t>Phòng TC-KT</t>
        </is>
      </c>
      <c r="E53" s="5" t="inlineStr">
        <is>
          <t>Kế hoạch</t>
        </is>
      </c>
      <c r="F53" s="5" t="n">
        <v>1</v>
      </c>
      <c r="G53" s="5" t="inlineStr">
        <is>
          <t>Cao</t>
        </is>
      </c>
      <c r="H53" s="5" t="inlineStr">
        <is>
          <t>Chậm nhất ngày 30/9/2026</t>
        </is>
      </c>
      <c r="I53" s="5">
        <f>IF(G53="Khó và phức tạp",200,IF(G53="Cao",150,IF(G53="Trung bình",120,100)))</f>
        <v/>
      </c>
      <c r="J53" s="5">
        <f>I53*0.01</f>
        <v/>
      </c>
      <c r="K53" s="5" t="inlineStr">
        <is>
          <t>Kết luận giao ban</t>
        </is>
      </c>
    </row>
    <row r="54" ht="198" customHeight="1">
      <c r="A54" s="5" t="n">
        <v>5.4</v>
      </c>
      <c r="B54" s="12" t="inlineStr">
        <is>
          <t xml:space="preserve">Quyết định ban hành Quy định quản lý tài chính Phòng khám Đa khoa và Nhà thuốc Phòng khám Đa khoa Trường Cao đẳng Kon Tum để thay thế cho các Quyết định đã ban hành trước đây; trong đó đối với ngày thứ Bảy, Chủ nhật và các ngày nghỉ lễ viên chức, người lao động trực tiếp bán hàng được hưởng 100% lợi nhuận gộp sau khi trừ đi chi phí tiền điện, nước, điện thoại, internet, phần mềm bán hàng, thuế,..; </t>
        </is>
      </c>
      <c r="C54" s="5" t="inlineStr">
        <is>
          <t>Hiệu trưởng</t>
        </is>
      </c>
      <c r="D54" s="5" t="inlineStr">
        <is>
          <t>Phòng TC-KT</t>
        </is>
      </c>
      <c r="E54" s="5" t="inlineStr">
        <is>
          <t>Quyết định</t>
        </is>
      </c>
      <c r="F54" s="5" t="n">
        <v>1</v>
      </c>
      <c r="G54" s="5" t="inlineStr">
        <is>
          <t>Trung bình</t>
        </is>
      </c>
      <c r="H54" s="5" t="inlineStr">
        <is>
          <t>Chậm nhất ngày 30/9/2026</t>
        </is>
      </c>
      <c r="I54" s="5">
        <f>IF(G54="Khó và phức tạp",200,IF(G54="Cao",150,IF(G54="Trung bình",120,100)))</f>
        <v/>
      </c>
      <c r="J54" s="5">
        <f>I54*0.01</f>
        <v/>
      </c>
      <c r="K54" s="5" t="inlineStr">
        <is>
          <t>Kết luận giao ban</t>
        </is>
      </c>
    </row>
    <row r="55" ht="108" customHeight="1">
      <c r="A55" s="5" t="n">
        <v>5.5</v>
      </c>
      <c r="B55" s="24" t="inlineStr">
        <is>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is>
      </c>
      <c r="C55" s="5" t="inlineStr">
        <is>
          <t>Hiệu trưởng</t>
        </is>
      </c>
      <c r="D55" s="5" t="inlineStr">
        <is>
          <t>Phòng TH-HC&amp;QT</t>
        </is>
      </c>
      <c r="E55" s="5" t="inlineStr">
        <is>
          <t>Kế hoạch</t>
        </is>
      </c>
      <c r="F55" s="5" t="n">
        <v>1</v>
      </c>
      <c r="G55" s="5" t="inlineStr">
        <is>
          <t>Cao</t>
        </is>
      </c>
      <c r="H55" s="5" t="inlineStr">
        <is>
          <t>Chậm nhất ngày 30/9/2026</t>
        </is>
      </c>
      <c r="I55" s="5">
        <f>IF(G55="Khó và phức tạp",200,IF(G55="Cao",150,IF(G55="Trung bình",120,100)))</f>
        <v/>
      </c>
      <c r="J55" s="5">
        <f>I55*0.01</f>
        <v/>
      </c>
      <c r="K55" s="5" t="inlineStr">
        <is>
          <t>Kết luận giao ban</t>
        </is>
      </c>
    </row>
    <row r="56" ht="108" customHeight="1">
      <c r="A56" s="5" t="n">
        <v>5.6</v>
      </c>
      <c r="B56" s="24" t="inlineStr">
        <is>
          <t>Ban hành kế hoạch triển khai thực hiện Thông tư số 66/2026/TT- BGDĐT ngày 11/8/2026 của Bộ trưởng Bộ Giáo dục và Đào tạo hướng dẫn tiêu chuẩn, định mức sử dụng máy móc, thiết bị chuyên dùng trong lĩnh vực giáo dục và đào tạo.</t>
        </is>
      </c>
      <c r="C56" s="5" t="inlineStr">
        <is>
          <t>Hiệu trưởng</t>
        </is>
      </c>
      <c r="D56" s="5" t="inlineStr">
        <is>
          <t>Phòng TH-HC&amp;QT</t>
        </is>
      </c>
      <c r="E56" s="5" t="inlineStr">
        <is>
          <t>Kế hoạch</t>
        </is>
      </c>
      <c r="F56" s="5" t="n">
        <v>1</v>
      </c>
      <c r="G56" s="5" t="inlineStr">
        <is>
          <t>Cao</t>
        </is>
      </c>
      <c r="H56" s="5" t="inlineStr">
        <is>
          <t>Chậm nhất ngày 30/9/2026</t>
        </is>
      </c>
      <c r="I56" s="5">
        <f>IF(G56="Khó và phức tạp",200,IF(G56="Cao",150,IF(G56="Trung bình",120,100)))</f>
        <v/>
      </c>
      <c r="J56" s="5">
        <f>I56*0.01</f>
        <v/>
      </c>
      <c r="K56" s="5" t="inlineStr">
        <is>
          <t>Kết luận giao ban</t>
        </is>
      </c>
    </row>
    <row r="57" ht="90" customHeight="1">
      <c r="A57" s="5" t="n">
        <v>5.7</v>
      </c>
      <c r="B57" s="24" t="inlineStr">
        <is>
          <t xml:space="preserve">Phương án sắp xếp, bố trí máy móc, thiết bị phục vụ công tác các chức danh và phục vụ hoạt động chung theo Quyết định số 1763/QĐ-CĐKT ngày 13/8/2026 của Hiệu trưởng nhà trường; </t>
        </is>
      </c>
      <c r="C57" s="5" t="inlineStr">
        <is>
          <t>Hiệu trưởng</t>
        </is>
      </c>
      <c r="D57" s="5" t="inlineStr">
        <is>
          <t>Phòng TH-HC&amp;QT</t>
        </is>
      </c>
      <c r="E57" s="5" t="inlineStr">
        <is>
          <t>Phương án</t>
        </is>
      </c>
      <c r="F57" s="5" t="n">
        <v>1</v>
      </c>
      <c r="G57" s="5" t="inlineStr">
        <is>
          <t>Trung bình</t>
        </is>
      </c>
      <c r="H57" s="5" t="inlineStr">
        <is>
          <t>Chậm nhất ngày 30/9/2026</t>
        </is>
      </c>
      <c r="I57" s="5">
        <f>IF(G57="Khó và phức tạp",200,IF(G57="Cao",150,IF(G57="Trung bình",120,100)))</f>
        <v/>
      </c>
      <c r="J57" s="5">
        <f>I57*0.01</f>
        <v/>
      </c>
      <c r="K57" s="5" t="inlineStr">
        <is>
          <t>Kết luận giao ban</t>
        </is>
      </c>
    </row>
    <row r="58" ht="126" customHeight="1">
      <c r="A58" s="5" t="n">
        <v>5.8</v>
      </c>
      <c r="B58" s="24" t="inlineStr">
        <is>
          <t>kế hoạch triển khai thực hiện Nghị định số 271/2026/NĐ-CP ngày 03/7/2026 của Chính phủ quy định về miễn phí sách giáo khoa giáo dục phổ thông và miễn học phí, giáo trình môn học Giáo dục quốc phòng và an ninh tại cơ sở giáo dục đại học, giáo dục nghề nghiệp</t>
        </is>
      </c>
      <c r="C58" s="5" t="inlineStr">
        <is>
          <t>Hiệu trưởng</t>
        </is>
      </c>
      <c r="D58" s="5" t="inlineStr">
        <is>
          <t>Khoa CKHCB</t>
        </is>
      </c>
      <c r="E58" s="5" t="inlineStr">
        <is>
          <t>Kế hoạch</t>
        </is>
      </c>
      <c r="F58" s="5" t="n">
        <v>1</v>
      </c>
      <c r="G58" s="5" t="inlineStr">
        <is>
          <t>Trung bình</t>
        </is>
      </c>
      <c r="H58" s="5" t="inlineStr">
        <is>
          <t>Chậm nhất ngày 30/9/2026</t>
        </is>
      </c>
      <c r="I58" s="5">
        <f>IF(G58="Khó và phức tạp",200,IF(G58="Cao",150,IF(G58="Trung bình",120,100)))</f>
        <v/>
      </c>
      <c r="J58" s="5">
        <f>I58*0.01</f>
        <v/>
      </c>
      <c r="K58" s="5" t="inlineStr">
        <is>
          <t>Kết luận giao ban</t>
        </is>
      </c>
    </row>
    <row r="59" ht="72" customHeight="1">
      <c r="A59" s="5" t="n">
        <v>5.9</v>
      </c>
      <c r="B59" s="24" t="inlineStr">
        <is>
          <t>Phương án hoặc Kế hoạch đầu tư nâng cấp sân tập lái xe ô tô</t>
        </is>
      </c>
      <c r="C59" s="5" t="inlineStr">
        <is>
          <t>Hiệu trưởng</t>
        </is>
      </c>
      <c r="D59" s="5" t="inlineStr">
        <is>
          <t>Khoa ĐT&amp;SHLX</t>
        </is>
      </c>
      <c r="E59" s="5" t="inlineStr">
        <is>
          <t>Kế hoạch</t>
        </is>
      </c>
      <c r="F59" s="5" t="n">
        <v>1</v>
      </c>
      <c r="G59" s="5" t="inlineStr">
        <is>
          <t>Trung bình</t>
        </is>
      </c>
      <c r="H59" s="5" t="inlineStr">
        <is>
          <t>Chậm nhất ngày 30/9/2026</t>
        </is>
      </c>
      <c r="I59" s="5">
        <f>IF(G59="Khó và phức tạp",200,IF(G59="Cao",150,IF(G59="Trung bình",120,100)))</f>
        <v/>
      </c>
      <c r="J59" s="5">
        <f>I59*0.01</f>
        <v/>
      </c>
      <c r="K59" s="5" t="inlineStr">
        <is>
          <t>Kết luận giao ban</t>
        </is>
      </c>
    </row>
    <row r="60" ht="72" customFormat="1" customHeight="1" s="31">
      <c r="A60" s="1" t="inlineStr">
        <is>
          <t>5.10</t>
        </is>
      </c>
      <c r="B60" s="12" t="inlineStr">
        <is>
          <t>Triển khai sửa chữa sân nền tiếp giáp giữa trục đường chính và lối vào Nhà để xe ô tô phía sau Khu hiệu bộ, Trụ sở chính</t>
        </is>
      </c>
      <c r="C60" s="5" t="inlineStr">
        <is>
          <t>Hiệu trưởng</t>
        </is>
      </c>
      <c r="D60" s="5" t="inlineStr">
        <is>
          <t>Phòng TH-HC&amp;QT</t>
        </is>
      </c>
      <c r="E60" s="5" t="inlineStr">
        <is>
          <t>Hồ sơ triển khai sửa chữa</t>
        </is>
      </c>
      <c r="F60" s="5" t="n">
        <v>1</v>
      </c>
      <c r="G60" s="5" t="inlineStr">
        <is>
          <t>Trung bình</t>
        </is>
      </c>
      <c r="H60" s="5" t="inlineStr">
        <is>
          <t>Chậm nhất 15/9/2026</t>
        </is>
      </c>
      <c r="I60" s="5">
        <f>IF(G60="Khó và phức tạp",200,IF(G60="Cao",150,IF(G60="Trung bình",120,100)))</f>
        <v/>
      </c>
      <c r="J60" s="5">
        <f>I60*0.01</f>
        <v/>
      </c>
      <c r="K60" s="5" t="inlineStr">
        <is>
          <t>Kết luận giao ban</t>
        </is>
      </c>
    </row>
    <row r="61" ht="72" customFormat="1" customHeight="1" s="31">
      <c r="A61" s="1" t="inlineStr">
        <is>
          <t>5.11</t>
        </is>
      </c>
      <c r="B61" s="36" t="inlineStr">
        <is>
          <t>Kế hoạch triển khai thực hiện Nghị quyết số 398/NQUBTVQH16 và Phong trào “Bình dân học vụ số”</t>
        </is>
      </c>
      <c r="C61" s="3" t="inlineStr">
        <is>
          <t>Hiệu trưởng</t>
        </is>
      </c>
      <c r="D61" s="3" t="inlineStr">
        <is>
          <t>Phòng QLKHCN&amp;HTPT</t>
        </is>
      </c>
      <c r="E61" s="3" t="inlineStr">
        <is>
          <t>Kế hoạch</t>
        </is>
      </c>
      <c r="F61" s="3" t="n">
        <v>1</v>
      </c>
      <c r="G61" s="3" t="inlineStr">
        <is>
          <t>Trung bình</t>
        </is>
      </c>
      <c r="H61" s="3" t="inlineStr">
        <is>
          <t>Chậm nhất ngày 30/9/2026</t>
        </is>
      </c>
      <c r="I61" s="36" t="n">
        <v>120</v>
      </c>
      <c r="J61" s="36" t="n">
        <v>1.2</v>
      </c>
      <c r="K61" s="5" t="inlineStr">
        <is>
          <t>Kết luận giao ban</t>
        </is>
      </c>
    </row>
    <row r="62">
      <c r="A62" s="11" t="n">
        <v>6</v>
      </c>
      <c r="B62" s="44" t="inlineStr">
        <is>
          <t>Trục (6) - Củng cố quốc phòng, an ninh, giữ vững ổn định chính trị - xã hội, nâng cao hiệu quả đối ngoại và hội nhập quốc tế</t>
        </is>
      </c>
      <c r="C62" s="56" t="n"/>
      <c r="D62" s="56" t="n"/>
      <c r="E62" s="56" t="n"/>
      <c r="F62" s="56" t="n"/>
      <c r="G62" s="56" t="n"/>
      <c r="H62" s="56" t="n"/>
      <c r="I62" s="56" t="n"/>
      <c r="J62" s="56" t="n"/>
      <c r="K62" s="57" t="n"/>
    </row>
    <row r="63" ht="90" customHeight="1">
      <c r="A63" s="5" t="inlineStr">
        <is>
          <t>6.1</t>
        </is>
      </c>
      <c r="B63" s="12" t="inlineStr">
        <is>
          <t>Duy trì ổn định chính trị nội bộ, đảm bảo an ninh trật tự trường học và thực hiện Đề án xây dựng xã hội trật tự, kỷ cương</t>
        </is>
      </c>
      <c r="C63" s="5" t="inlineStr">
        <is>
          <t>Hiệu trưởng</t>
        </is>
      </c>
      <c r="D63" s="5" t="inlineStr">
        <is>
          <t>Phòng TCCB&amp;CTHSSV</t>
        </is>
      </c>
      <c r="E63" s="5" t="inlineStr">
        <is>
          <t>Theo dõi, Giám sát, Báo cáo</t>
        </is>
      </c>
      <c r="F63" s="5" t="n">
        <v>3</v>
      </c>
      <c r="G63" s="5" t="inlineStr">
        <is>
          <t>Thấp</t>
        </is>
      </c>
      <c r="H63" s="5" t="inlineStr">
        <is>
          <t>Chậm nhất ngày 30/9/2026</t>
        </is>
      </c>
      <c r="I63" s="5">
        <f>IF(G63="Khó và phức tạp",200,IF(G63="Cao",150,IF(G63="Trung bình",120,100)))</f>
        <v/>
      </c>
      <c r="J63" s="5">
        <f>I63*0.01</f>
        <v/>
      </c>
      <c r="K63" s="5" t="n"/>
    </row>
    <row r="64" ht="90" customHeight="1">
      <c r="A64" s="5" t="n">
        <v>6.2</v>
      </c>
      <c r="B64" s="25" t="inlineStr">
        <is>
          <t>Truyền thông hoạt động hợp tác, kết nối và hội nhập</t>
        </is>
      </c>
      <c r="C64" s="5" t="inlineStr">
        <is>
          <t>PHT Dương Văn Anh Dũng</t>
        </is>
      </c>
      <c r="D64" s="26" t="inlineStr">
        <is>
          <t>Ban Truyền thông</t>
        </is>
      </c>
      <c r="E64" s="26" t="inlineStr">
        <is>
          <t>Tin/bài/video</t>
        </is>
      </c>
      <c r="F64" s="26" t="n">
        <v>5</v>
      </c>
      <c r="G64" s="26" t="inlineStr">
        <is>
          <t>Khó và phức tạp</t>
        </is>
      </c>
      <c r="H64" s="5" t="inlineStr">
        <is>
          <t>Chậm nhất ngày 30/9/2026</t>
        </is>
      </c>
      <c r="I64" s="5">
        <f>IF(G64="Khó và phức tạp",200,IF(G64="Cao",150,IF(G64="Trung bình",120,100)))</f>
        <v/>
      </c>
      <c r="J64" s="5">
        <f>I64*0.01</f>
        <v/>
      </c>
      <c r="K64" s="5" t="inlineStr">
        <is>
          <t>Bổ sung ngoài KH quý</t>
        </is>
      </c>
    </row>
    <row r="65">
      <c r="A65" s="11" t="inlineStr">
        <is>
          <t>II</t>
        </is>
      </c>
      <c r="B65" s="43" t="inlineStr">
        <is>
          <t>Các nhiệm vụ đột xuất, phát sinh khác ngoài kế hoạch, từ tháng trước chuyển sang</t>
        </is>
      </c>
      <c r="C65" s="56" t="n"/>
      <c r="D65" s="56" t="n"/>
      <c r="E65" s="56" t="n"/>
      <c r="F65" s="56" t="n"/>
      <c r="G65" s="56" t="n"/>
      <c r="H65" s="56" t="n"/>
      <c r="I65" s="56" t="n"/>
      <c r="J65" s="56" t="n"/>
      <c r="K65" s="57" t="n"/>
    </row>
    <row r="66" ht="72" customHeight="1">
      <c r="A66" s="5" t="n">
        <v>1</v>
      </c>
      <c r="B66" s="12" t="inlineStr">
        <is>
          <t>Ban hành Quy định xây dựng ngân hàng đề thi (áp dụng từ năm học 2026-2027)</t>
        </is>
      </c>
      <c r="C66" s="5" t="inlineStr">
        <is>
          <t>Hiệu trưởng</t>
        </is>
      </c>
      <c r="D66" s="5" t="inlineStr">
        <is>
          <t>Phòng QLĐT&amp;BĐCL</t>
        </is>
      </c>
      <c r="E66" s="5" t="inlineStr">
        <is>
          <t>Kế hoạch; Quyết định</t>
        </is>
      </c>
      <c r="F66" s="5" t="n">
        <v>2</v>
      </c>
      <c r="G66" s="5" t="inlineStr">
        <is>
          <t>Cao</t>
        </is>
      </c>
      <c r="H66" s="5" t="inlineStr">
        <is>
          <t>Chậm nhất ngày 30/9/2026</t>
        </is>
      </c>
      <c r="I66" s="5">
        <f>IF(G66="Khó và phức tạp",200,IF(G66="Cao",150,IF(G66="Trung bình",120,100)))</f>
        <v/>
      </c>
      <c r="J66" s="5">
        <f>I66*0.01</f>
        <v/>
      </c>
      <c r="K66" s="5" t="inlineStr">
        <is>
          <t>Trục 2</t>
        </is>
      </c>
    </row>
    <row r="67" ht="90" customHeight="1">
      <c r="A67" s="5" t="n">
        <v>2</v>
      </c>
      <c r="B67" s="12" t="inlineStr">
        <is>
          <t>Thông báo hướng dẫn sử dụng trí tuệ nhân tạo để: (i) kiểm tra, rà soát dự thảo chương trình đào tạo và dự thảo giáo trình đào tạo; (ii) ra đề thi kết thúc học phần, môn học, mô đun</t>
        </is>
      </c>
      <c r="C67" s="5" t="inlineStr">
        <is>
          <t>Hiệu trưởng</t>
        </is>
      </c>
      <c r="D67" s="5" t="inlineStr">
        <is>
          <t>Phòng QLĐT&amp;BĐCL</t>
        </is>
      </c>
      <c r="E67" s="5" t="inlineStr">
        <is>
          <t>Thông báo</t>
        </is>
      </c>
      <c r="F67" s="5" t="n">
        <v>1</v>
      </c>
      <c r="G67" s="5" t="inlineStr">
        <is>
          <t>Trung bình</t>
        </is>
      </c>
      <c r="H67" s="5" t="inlineStr">
        <is>
          <t>Chậm nhất ngày 30/9/2026</t>
        </is>
      </c>
      <c r="I67" s="5">
        <f>IF(G67="Khó và phức tạp",200,IF(G67="Cao",150,IF(G67="Trung bình",120,100)))</f>
        <v/>
      </c>
      <c r="J67" s="5">
        <f>I67*0.01</f>
        <v/>
      </c>
      <c r="K67" s="5" t="inlineStr">
        <is>
          <t>Trục 3</t>
        </is>
      </c>
    </row>
    <row r="68" ht="54" customHeight="1">
      <c r="A68" s="5" t="n">
        <v>3</v>
      </c>
      <c r="B68" s="12" t="inlineStr">
        <is>
          <t>Ban hành Quy định ứng dụng công nghệ thông tin trong tổ chức đào tạo trực tuyến</t>
        </is>
      </c>
      <c r="C68" s="5" t="inlineStr">
        <is>
          <t>Hiệu trưởng</t>
        </is>
      </c>
      <c r="D68" s="5" t="inlineStr">
        <is>
          <t>Phòng QLĐT&amp;BĐCL</t>
        </is>
      </c>
      <c r="E68" s="5" t="inlineStr">
        <is>
          <t>Quyết định</t>
        </is>
      </c>
      <c r="F68" s="5" t="n">
        <v>1</v>
      </c>
      <c r="G68" s="5" t="inlineStr">
        <is>
          <t>Trung bình</t>
        </is>
      </c>
      <c r="H68" s="5" t="inlineStr">
        <is>
          <t>Chậm nhất 30/9/2026</t>
        </is>
      </c>
      <c r="I68" s="5">
        <f>IF(G68="Khó và phức tạp",200,IF(G68="Cao",150,IF(G68="Trung bình",120,100)))</f>
        <v/>
      </c>
      <c r="J68" s="5">
        <f>I68*0.01</f>
        <v/>
      </c>
      <c r="K68" s="5" t="inlineStr">
        <is>
          <t>Trục 3</t>
        </is>
      </c>
      <c r="L68" s="28" t="n"/>
    </row>
    <row r="69" ht="54" customHeight="1">
      <c r="A69" s="5" t="n">
        <v>4</v>
      </c>
      <c r="B69" s="32" t="inlineStr">
        <is>
          <t xml:space="preserve">Công nhận mô hình, điển hình "Dân vận khéo" cấp cơ sở </t>
        </is>
      </c>
      <c r="C69" s="5" t="inlineStr">
        <is>
          <t>Bí thư Đảng uỷ</t>
        </is>
      </c>
      <c r="D69" s="5" t="inlineStr">
        <is>
          <t>BPVPĐU</t>
        </is>
      </c>
      <c r="E69" s="5" t="inlineStr">
        <is>
          <t>Hồ sơ công nhận</t>
        </is>
      </c>
      <c r="F69" s="5" t="n">
        <v>2</v>
      </c>
      <c r="G69" s="5" t="inlineStr">
        <is>
          <t>Trung bình</t>
        </is>
      </c>
      <c r="H69" s="5" t="inlineStr">
        <is>
          <t>Chậm nhất ngày 30/9/2026</t>
        </is>
      </c>
      <c r="I69" s="5">
        <f>IF(G69="Khó và phức tạp",200,IF(G69="Cao",150,IF(G69="Trung bình",120,100)))</f>
        <v/>
      </c>
      <c r="J69" s="5">
        <f>I69*0.01</f>
        <v/>
      </c>
      <c r="K69" s="5" t="inlineStr">
        <is>
          <t>Trục 4</t>
        </is>
      </c>
    </row>
    <row r="70" ht="72" customHeight="1">
      <c r="A70" s="5" t="n">
        <v>5</v>
      </c>
      <c r="B70" s="32" t="inlineStr">
        <is>
          <t>Hồ sơ đề nghị công nhận mô hình "Dân vận khéo" cấp tỉnh năm 2026</t>
        </is>
      </c>
      <c r="C70" s="5" t="inlineStr">
        <is>
          <t>Hiệu trưởng, Bí thư Đảng ủy</t>
        </is>
      </c>
      <c r="D70" s="5" t="inlineStr">
        <is>
          <t>BPVPĐU</t>
        </is>
      </c>
      <c r="E70" s="5" t="inlineStr">
        <is>
          <t>Hồ sơ công nhận</t>
        </is>
      </c>
      <c r="F70" s="5" t="n">
        <v>2</v>
      </c>
      <c r="G70" s="5" t="inlineStr">
        <is>
          <t>Trung bình</t>
        </is>
      </c>
      <c r="H70" s="5" t="inlineStr">
        <is>
          <t>Chậm nhất ngày 30/9/2026</t>
        </is>
      </c>
      <c r="I70" s="5">
        <f>IF(G70="Khó và phức tạp",200,IF(G70="Cao",150,IF(G70="Trung bình",120,100)))</f>
        <v/>
      </c>
      <c r="J70" s="5">
        <f>I70*0.01</f>
        <v/>
      </c>
      <c r="K70" s="5" t="inlineStr">
        <is>
          <t>Trục 4</t>
        </is>
      </c>
    </row>
    <row r="71" ht="54" customHeight="1">
      <c r="A71" s="5" t="n">
        <v>6</v>
      </c>
      <c r="B71" s="12" t="inlineStr">
        <is>
          <t>Ban hành Phương án giá dịch vụ đào tạo các ngành, nghề trình độ cao đẳng, trung cấp</t>
        </is>
      </c>
      <c r="C71" s="5" t="inlineStr">
        <is>
          <t>Hiệu trưởng</t>
        </is>
      </c>
      <c r="D71" s="5" t="inlineStr">
        <is>
          <t>Phòng TC-KT</t>
        </is>
      </c>
      <c r="E71" s="5" t="inlineStr">
        <is>
          <t>Quyết định; Tờ trình</t>
        </is>
      </c>
      <c r="F71" s="5" t="n">
        <v>3</v>
      </c>
      <c r="G71" s="5" t="inlineStr">
        <is>
          <t>Cao</t>
        </is>
      </c>
      <c r="H71" s="5" t="inlineStr">
        <is>
          <t>Chậm nhất ngày 30/9/2026</t>
        </is>
      </c>
      <c r="I71" s="5">
        <f>IF(G71="Khó và phức tạp",200,IF(G71="Cao",150,IF(G71="Trung bình",120,100)))</f>
        <v/>
      </c>
      <c r="J71" s="5">
        <f>I71*0.01</f>
        <v/>
      </c>
      <c r="K71" s="5" t="inlineStr">
        <is>
          <t>Trục 5</t>
        </is>
      </c>
    </row>
    <row r="73">
      <c r="A73" s="53" t="inlineStr">
        <is>
          <t>Nơi nhận: 
- Đảng ủy Trường;
- Lãnh đạo Trường;
- Công đoàn Trường;
- Đoàn Trường;
- Các đơn vị thuộc Trường;
- Lưu: VT, THHCQT.</t>
        </is>
      </c>
      <c r="E73" s="41" t="inlineStr">
        <is>
          <t>HIỆU TRƯỞNG
Lê Trí Khải</t>
        </is>
      </c>
    </row>
    <row r="74">
      <c r="A74" s="51" t="inlineStr">
        <is>
          <t>- Đàng ủy Trường;</t>
        </is>
      </c>
    </row>
    <row r="75">
      <c r="A75" s="51" t="inlineStr">
        <is>
          <t>- Lãnh đạo Trường;</t>
        </is>
      </c>
    </row>
    <row r="76">
      <c r="A76" s="51" t="inlineStr">
        <is>
          <t>- Công đoàn Trường;</t>
        </is>
      </c>
    </row>
    <row r="77">
      <c r="A77" s="51" t="inlineStr">
        <is>
          <t>- Đoàn TN - Hội SV;</t>
        </is>
      </c>
    </row>
    <row r="78">
      <c r="A78" s="51" t="inlineStr">
        <is>
          <t>- Các đơn vị thuộc Trường;</t>
        </is>
      </c>
    </row>
    <row r="79">
      <c r="A79" s="51" t="inlineStr">
        <is>
          <t>- Lưu: VT, THHCQT.</t>
        </is>
      </c>
      <c r="E79" s="41" t="inlineStr">
        <is>
          <t>Lê Trí Khải</t>
        </is>
      </c>
    </row>
  </sheetData>
  <mergeCells count="37">
    <mergeCell ref="E8:E9"/>
    <mergeCell ref="G8:G9"/>
    <mergeCell ref="A73:B73"/>
    <mergeCell ref="B65:K65"/>
    <mergeCell ref="B8:B9"/>
    <mergeCell ref="B24:K24"/>
    <mergeCell ref="A1:B1"/>
    <mergeCell ref="A79:B79"/>
    <mergeCell ref="B36:K36"/>
    <mergeCell ref="A6:K6"/>
    <mergeCell ref="A78:B78"/>
    <mergeCell ref="B50:K50"/>
    <mergeCell ref="F8:F9"/>
    <mergeCell ref="A7:K7"/>
    <mergeCell ref="E3:K3"/>
    <mergeCell ref="A75:B75"/>
    <mergeCell ref="A74:B74"/>
    <mergeCell ref="B62:K62"/>
    <mergeCell ref="A3:B3"/>
    <mergeCell ref="A8:A9"/>
    <mergeCell ref="A2:B2"/>
    <mergeCell ref="C8:C9"/>
    <mergeCell ref="I8:I9"/>
    <mergeCell ref="A76:B76"/>
    <mergeCell ref="K8:K9"/>
    <mergeCell ref="E79:K79"/>
    <mergeCell ref="E73:K73"/>
    <mergeCell ref="D8:D9"/>
    <mergeCell ref="B12:K12"/>
    <mergeCell ref="A5:K5"/>
    <mergeCell ref="B11:K11"/>
    <mergeCell ref="E1:K1"/>
    <mergeCell ref="H8:H9"/>
    <mergeCell ref="J8:J9"/>
    <mergeCell ref="B29:K29"/>
    <mergeCell ref="E2:K2"/>
    <mergeCell ref="A77:B77"/>
  </mergeCells>
  <conditionalFormatting sqref="B13">
    <cfRule type="dataBar" priority="13">
      <dataBar>
        <cfvo type="min"/>
        <cfvo type="max"/>
        <color rgb="FF638EC6"/>
      </dataBar>
    </cfRule>
  </conditionalFormatting>
  <conditionalFormatting sqref="B14:E14">
    <cfRule type="dataBar" priority="49">
      <dataBar>
        <cfvo type="min"/>
        <cfvo type="max"/>
        <color rgb="FF638EC6"/>
      </dataBar>
    </cfRule>
  </conditionalFormatting>
  <conditionalFormatting sqref="C15">
    <cfRule type="dataBar" priority="48">
      <dataBar>
        <cfvo type="min"/>
        <cfvo type="max"/>
        <color rgb="FF638EC6"/>
      </dataBar>
    </cfRule>
  </conditionalFormatting>
  <conditionalFormatting sqref="C16:C17">
    <cfRule type="dataBar" priority="47">
      <dataBar>
        <cfvo type="min"/>
        <cfvo type="max"/>
        <color rgb="FF638EC6"/>
      </dataBar>
    </cfRule>
  </conditionalFormatting>
  <conditionalFormatting sqref="C18 C20">
    <cfRule type="dataBar" priority="9">
      <dataBar>
        <cfvo type="min"/>
        <cfvo type="max"/>
        <color rgb="FF638EC6"/>
      </dataBar>
    </cfRule>
    <cfRule type="dataBar" priority="11">
      <dataBar>
        <cfvo type="min"/>
        <cfvo type="max"/>
        <color rgb="FF638EC6"/>
      </dataBar>
    </cfRule>
  </conditionalFormatting>
  <conditionalFormatting sqref="C21">
    <cfRule type="dataBar" priority="10">
      <dataBar>
        <cfvo type="min"/>
        <cfvo type="max"/>
        <color rgb="FF638EC6"/>
      </dataBar>
    </cfRule>
    <cfRule type="dataBar" priority="12">
      <dataBar>
        <cfvo type="min"/>
        <cfvo type="max"/>
        <color rgb="FF638EC6"/>
      </dataBar>
    </cfRule>
  </conditionalFormatting>
  <conditionalFormatting sqref="C23">
    <cfRule type="dataBar" priority="4">
      <dataBar>
        <cfvo type="min"/>
        <cfvo type="max"/>
        <color rgb="FF638EC6"/>
      </dataBar>
    </cfRule>
    <cfRule type="dataBar" priority="5">
      <dataBar>
        <cfvo type="min"/>
        <cfvo type="max"/>
        <color rgb="FF638EC6"/>
      </dataBar>
    </cfRule>
  </conditionalFormatting>
  <conditionalFormatting sqref="C26">
    <cfRule type="dataBar" priority="46">
      <dataBar>
        <cfvo type="min"/>
        <cfvo type="max"/>
        <color rgb="FF638EC6"/>
      </dataBar>
    </cfRule>
  </conditionalFormatting>
  <conditionalFormatting sqref="C27">
    <cfRule type="dataBar" priority="16">
      <dataBar>
        <cfvo type="min"/>
        <cfvo type="max"/>
        <color rgb="FF638EC6"/>
      </dataBar>
    </cfRule>
  </conditionalFormatting>
  <conditionalFormatting sqref="C28">
    <cfRule type="dataBar" priority="15">
      <dataBar>
        <cfvo type="min"/>
        <cfvo type="max"/>
        <color rgb="FF638EC6"/>
      </dataBar>
    </cfRule>
  </conditionalFormatting>
  <conditionalFormatting sqref="C31">
    <cfRule type="dataBar" priority="31">
      <dataBar>
        <cfvo type="min"/>
        <cfvo type="max"/>
        <color rgb="FF638EC6"/>
      </dataBar>
    </cfRule>
  </conditionalFormatting>
  <conditionalFormatting sqref="C32">
    <cfRule type="dataBar" priority="26">
      <dataBar>
        <cfvo type="min"/>
        <cfvo type="max"/>
        <color rgb="FF638EC6"/>
      </dataBar>
    </cfRule>
  </conditionalFormatting>
  <conditionalFormatting sqref="C33">
    <cfRule type="dataBar" priority="14">
      <dataBar>
        <cfvo type="min"/>
        <cfvo type="max"/>
        <color rgb="FF638EC6"/>
      </dataBar>
    </cfRule>
  </conditionalFormatting>
  <conditionalFormatting sqref="C37">
    <cfRule type="dataBar" priority="8">
      <dataBar>
        <cfvo type="min"/>
        <cfvo type="max"/>
        <color rgb="FF638EC6"/>
      </dataBar>
    </cfRule>
  </conditionalFormatting>
  <conditionalFormatting sqref="C38">
    <cfRule type="dataBar" priority="45">
      <dataBar>
        <cfvo type="min"/>
        <cfvo type="max"/>
        <color rgb="FF638EC6"/>
      </dataBar>
    </cfRule>
  </conditionalFormatting>
  <conditionalFormatting sqref="C39:C40">
    <cfRule type="dataBar" priority="39">
      <dataBar>
        <cfvo type="min"/>
        <cfvo type="max"/>
        <color rgb="FF638EC6"/>
      </dataBar>
    </cfRule>
  </conditionalFormatting>
  <conditionalFormatting sqref="C42">
    <cfRule type="dataBar" priority="35">
      <dataBar>
        <cfvo type="min"/>
        <cfvo type="max"/>
        <color rgb="FF638EC6"/>
      </dataBar>
    </cfRule>
  </conditionalFormatting>
  <conditionalFormatting sqref="C43">
    <cfRule type="dataBar" priority="19">
      <dataBar>
        <cfvo type="min"/>
        <cfvo type="max"/>
        <color rgb="FF638EC6"/>
      </dataBar>
    </cfRule>
  </conditionalFormatting>
  <conditionalFormatting sqref="C44">
    <cfRule type="dataBar" priority="36">
      <dataBar>
        <cfvo type="min"/>
        <cfvo type="max"/>
        <color rgb="FF638EC6"/>
      </dataBar>
    </cfRule>
  </conditionalFormatting>
  <conditionalFormatting sqref="C45">
    <cfRule type="dataBar" priority="18">
      <dataBar>
        <cfvo type="min"/>
        <cfvo type="max"/>
        <color rgb="FF638EC6"/>
      </dataBar>
    </cfRule>
  </conditionalFormatting>
  <conditionalFormatting sqref="C51">
    <cfRule type="dataBar" priority="40">
      <dataBar>
        <cfvo type="min"/>
        <cfvo type="max"/>
        <color rgb="FF638EC6"/>
      </dataBar>
    </cfRule>
  </conditionalFormatting>
  <conditionalFormatting sqref="C19 C22 C25 C30 C34:C35 C46 C52:C54">
    <cfRule type="dataBar" priority="658">
      <dataBar>
        <cfvo type="min"/>
        <cfvo type="max"/>
        <color rgb="FF638EC6"/>
      </dataBar>
    </cfRule>
  </conditionalFormatting>
  <conditionalFormatting sqref="C47 C55:C59">
    <cfRule type="dataBar" priority="17">
      <dataBar>
        <cfvo type="min"/>
        <cfvo type="max"/>
        <color rgb="FF638EC6"/>
      </dataBar>
    </cfRule>
  </conditionalFormatting>
  <conditionalFormatting sqref="C60">
    <cfRule type="dataBar" priority="6">
      <dataBar>
        <cfvo type="min"/>
        <cfvo type="max"/>
        <color rgb="FF638EC6"/>
      </dataBar>
    </cfRule>
    <cfRule type="dataBar" priority="7">
      <dataBar>
        <cfvo type="min"/>
        <cfvo type="max"/>
        <color rgb="FF638EC6"/>
      </dataBar>
    </cfRule>
  </conditionalFormatting>
  <conditionalFormatting sqref="C61">
    <cfRule type="dataBar" priority="1">
      <dataBar>
        <cfvo type="min"/>
        <cfvo type="max"/>
        <color rgb="FF638EC6"/>
      </dataBar>
    </cfRule>
  </conditionalFormatting>
  <conditionalFormatting sqref="C63">
    <cfRule type="dataBar" priority="118">
      <dataBar>
        <cfvo type="min"/>
        <cfvo type="max"/>
        <color rgb="FF638EC6"/>
      </dataBar>
    </cfRule>
  </conditionalFormatting>
  <conditionalFormatting sqref="C64">
    <cfRule type="dataBar" priority="29">
      <dataBar>
        <cfvo type="min"/>
        <cfvo type="max"/>
        <color rgb="FF638EC6"/>
      </dataBar>
    </cfRule>
  </conditionalFormatting>
  <conditionalFormatting sqref="C66">
    <cfRule type="dataBar" priority="82">
      <dataBar>
        <cfvo type="min"/>
        <cfvo type="max"/>
        <color rgb="FF638EC6"/>
      </dataBar>
    </cfRule>
  </conditionalFormatting>
  <conditionalFormatting sqref="C67">
    <cfRule type="dataBar" priority="53">
      <dataBar>
        <cfvo type="min"/>
        <cfvo type="max"/>
        <color rgb="FF638EC6"/>
      </dataBar>
    </cfRule>
  </conditionalFormatting>
  <conditionalFormatting sqref="C68">
    <cfRule type="dataBar" priority="34">
      <dataBar>
        <cfvo type="min"/>
        <cfvo type="max"/>
        <color rgb="FF638EC6"/>
      </dataBar>
    </cfRule>
  </conditionalFormatting>
  <conditionalFormatting sqref="C69">
    <cfRule type="dataBar" priority="95">
      <dataBar>
        <cfvo type="min"/>
        <cfvo type="max"/>
        <color rgb="FF638EC6"/>
      </dataBar>
    </cfRule>
  </conditionalFormatting>
  <conditionalFormatting sqref="C69:C70">
    <cfRule type="dataBar" priority="651">
      <dataBar>
        <cfvo type="min"/>
        <cfvo type="max"/>
        <color rgb="FF638EC6"/>
      </dataBar>
    </cfRule>
  </conditionalFormatting>
  <conditionalFormatting sqref="C71">
    <cfRule type="dataBar" priority="92">
      <dataBar>
        <cfvo type="min"/>
        <cfvo type="max"/>
        <color rgb="FF638EC6"/>
      </dataBar>
    </cfRule>
  </conditionalFormatting>
  <conditionalFormatting sqref="C41:D41">
    <cfRule type="dataBar" priority="43">
      <dataBar>
        <cfvo type="min"/>
        <cfvo type="max"/>
        <color rgb="FF638EC6"/>
      </dataBar>
    </cfRule>
  </conditionalFormatting>
  <conditionalFormatting sqref="C48:D49">
    <cfRule type="dataBar" priority="2">
      <dataBar>
        <cfvo type="min"/>
        <cfvo type="max"/>
        <color rgb="FF638EC6"/>
      </dataBar>
    </cfRule>
    <cfRule type="dataBar" priority="3">
      <dataBar>
        <cfvo type="min"/>
        <cfvo type="max"/>
        <color rgb="FF638EC6"/>
      </dataBar>
    </cfRule>
  </conditionalFormatting>
  <conditionalFormatting sqref="C13:E13">
    <cfRule type="dataBar" priority="51">
      <dataBar>
        <cfvo type="min"/>
        <cfvo type="max"/>
        <color rgb="FF638EC6"/>
      </dataBar>
    </cfRule>
  </conditionalFormatting>
  <conditionalFormatting sqref="D38">
    <cfRule type="dataBar" priority="44">
      <dataBar>
        <cfvo type="min"/>
        <cfvo type="max"/>
        <color rgb="FF638EC6"/>
      </dataBar>
    </cfRule>
  </conditionalFormatting>
  <conditionalFormatting sqref="D63">
    <cfRule type="dataBar" priority="117">
      <dataBar>
        <cfvo type="min"/>
        <cfvo type="max"/>
        <color rgb="FF638EC6"/>
      </dataBar>
    </cfRule>
  </conditionalFormatting>
  <conditionalFormatting sqref="G13">
    <cfRule type="dataBar" priority="52">
      <dataBar>
        <cfvo type="min"/>
        <cfvo type="max"/>
        <color rgb="FF638EC6"/>
      </dataBar>
    </cfRule>
  </conditionalFormatting>
  <conditionalFormatting sqref="G14">
    <cfRule type="dataBar" priority="50">
      <dataBar>
        <cfvo type="min"/>
        <cfvo type="max"/>
        <color rgb="FF638EC6"/>
      </dataBar>
    </cfRule>
  </conditionalFormatting>
  <conditionalFormatting sqref="K14 K16">
    <cfRule type="dataBar" priority="617">
      <dataBar>
        <cfvo type="min"/>
        <cfvo type="max"/>
        <color rgb="FF638EC6"/>
      </dataBar>
    </cfRule>
  </conditionalFormatting>
  <conditionalFormatting sqref="K63">
    <cfRule type="dataBar" priority="116">
      <dataBar>
        <cfvo type="min"/>
        <cfvo type="max"/>
        <color rgb="FF638EC6"/>
      </dataBar>
    </cfRule>
  </conditionalFormatting>
  <dataValidations count="7">
    <dataValidation sqref="G13:G23 G25:G28 G30:G35 G37:G49 G51:G61 G63:G64 G66:G71" showDropDown="0" showInputMessage="1" showErrorMessage="0" allowBlank="1" type="list">
      <formula1>"Thấp,Trung bình,Cao,Khó và phức tạp"</formula1>
    </dataValidation>
    <dataValidation sqref="E13:E23 E25:E26 E30 E32 E34:E35 E37:E49 E51:E52 E64 E66:E68"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C13:C23 C25:C28 C30:C35 C37:C49 C51:C61 C63:C64 C66:C71"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E22 E25 E27:E28 E33:E35 E42:E47 E55:E59 H13:J21 H18:K23 H25:K25 H26:J26 H27:K28 H30:K35 H37:K49 H51:J60 H63:K64 H66:K71 K14:K21 K51:K61 L33:L35 L68" showDropDown="0" showInputMessage="1" showErrorMessage="0" allowBlank="1"/>
    <dataValidation sqref="E19:E20 E22:E23 E25 E30 E34:E35 E37 E46 E52:E61 E67:E71"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D19:D20 D22:D23 D25 D30 D34:D35 D46 D52:D61 D63 D66:D71"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D13:D22 D25:D28 D32:D35 D37:D38 D41:D49 D51 D52:E52 D55:D59 E42:E43"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s>
  <printOptions horizontalCentered="1"/>
  <pageMargins left="0.5" right="0.5" top="0.5" bottom="0.5" header="0.05" footer="0.31496063"/>
  <pageSetup orientation="landscape" paperSize="9"/>
  <headerFooter differentFirst="1">
    <oddHeader>&amp;C&amp;"Times New Roman,Regular"&amp;14 &amp;P</oddHeader>
    <oddFooter/>
    <evenHeader/>
    <evenFooter/>
    <firstHeader/>
    <firstFooter/>
  </headerFooter>
  <rowBreaks count="16" manualBreakCount="16">
    <brk id="13" min="0" max="10" man="1"/>
    <brk id="18" min="0" max="10" man="1"/>
    <brk id="21" min="0" max="16383" man="1"/>
    <brk id="22" min="0" max="10" man="1"/>
    <brk id="23" min="0" max="16383" man="1"/>
    <brk id="27" min="0" max="10" man="1"/>
    <brk id="32" min="0" max="16383" man="1"/>
    <brk id="35" min="0" max="16383" man="1"/>
    <brk id="40" min="0" max="16383" man="1"/>
    <brk id="44" min="0" max="10" man="1"/>
    <brk id="47" min="0" max="16383" man="1"/>
    <brk id="52" min="0" max="10" man="1"/>
    <brk id="54" min="0" max="10" man="1"/>
    <brk id="56" min="0" max="16383" man="1"/>
    <brk id="59" min="0" max="10" man="1"/>
    <brk id="6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2026-09-25T06:57:07Z</dcterms:modified>
  <cp:lastModifiedBy>Nguyễn Phục</cp:lastModifiedBy>
  <cp:lastPrinted>2026-08-27T23:53:41Z</cp:lastPrinted>
</cp:coreProperties>
</file>