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D:\PHONG\"/>
    </mc:Choice>
  </mc:AlternateContent>
  <xr:revisionPtr revIDLastSave="0" documentId="8_{2285A9A3-734E-4B81-9547-36CBAC6C35C7}" xr6:coauthVersionLast="47" xr6:coauthVersionMax="47" xr10:uidLastSave="{00000000-0000-0000-0000-000000000000}"/>
  <bookViews>
    <workbookView xWindow="-110" yWindow="-110" windowWidth="19420" windowHeight="11500" xr2:uid="{CF09AA7D-F157-435F-8730-78D5FF9F5A39}"/>
  </bookViews>
  <sheets>
    <sheet name="Mẫu BC tháng" sheetId="1" r:id="rId1"/>
    <sheet name="Mẫu BC QUÝ" sheetId="3" r:id="rId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28" i="1" l="1"/>
  <c r="M28" i="1" s="1"/>
  <c r="H28" i="1"/>
  <c r="I28" i="1" s="1"/>
  <c r="J28" i="1" s="1"/>
  <c r="K23" i="1"/>
  <c r="O23" i="1" s="1"/>
  <c r="H23" i="1"/>
  <c r="I23" i="1" s="1"/>
  <c r="P23" i="1" s="1"/>
  <c r="K22" i="1"/>
  <c r="O22" i="1" s="1"/>
  <c r="H22" i="1"/>
  <c r="I22" i="1" s="1"/>
  <c r="K14" i="1"/>
  <c r="O14" i="1" s="1"/>
  <c r="H14" i="1"/>
  <c r="I14" i="1" s="1"/>
  <c r="H11" i="1"/>
  <c r="I11" i="1" s="1"/>
  <c r="K11" i="1"/>
  <c r="M11" i="1" s="1"/>
  <c r="N28" i="1" l="1"/>
  <c r="O28" i="1"/>
  <c r="P28" i="1" s="1"/>
  <c r="L28" i="1"/>
  <c r="P22" i="1"/>
  <c r="J22" i="1"/>
  <c r="J23" i="1"/>
  <c r="L22" i="1"/>
  <c r="L23" i="1"/>
  <c r="M23" i="1"/>
  <c r="N23" i="1" s="1"/>
  <c r="M22" i="1"/>
  <c r="N22" i="1" s="1"/>
  <c r="P14" i="1"/>
  <c r="J14" i="1"/>
  <c r="L14" i="1"/>
  <c r="M14" i="1"/>
  <c r="N14" i="1" s="1"/>
  <c r="N11" i="1"/>
  <c r="J11" i="1"/>
  <c r="O11" i="1"/>
  <c r="L11" i="1"/>
  <c r="K12" i="3"/>
  <c r="M12" i="3" s="1"/>
  <c r="K13" i="3"/>
  <c r="O13" i="3" s="1"/>
  <c r="K14" i="3"/>
  <c r="K11" i="3"/>
  <c r="K41" i="3"/>
  <c r="O41" i="3" s="1"/>
  <c r="H41" i="3"/>
  <c r="I41" i="3" s="1"/>
  <c r="K40" i="3"/>
  <c r="M40" i="3" s="1"/>
  <c r="H40" i="3"/>
  <c r="I40" i="3" s="1"/>
  <c r="K39" i="3"/>
  <c r="H39" i="3"/>
  <c r="I39" i="3" s="1"/>
  <c r="F38" i="3"/>
  <c r="K37" i="3"/>
  <c r="O37" i="3" s="1"/>
  <c r="H37" i="3"/>
  <c r="I37" i="3" s="1"/>
  <c r="K36" i="3"/>
  <c r="O36" i="3" s="1"/>
  <c r="H36" i="3"/>
  <c r="I36" i="3" s="1"/>
  <c r="F35" i="3"/>
  <c r="K34" i="3"/>
  <c r="M34" i="3" s="1"/>
  <c r="H34" i="3"/>
  <c r="I34" i="3" s="1"/>
  <c r="K33" i="3"/>
  <c r="H33" i="3"/>
  <c r="I33" i="3" s="1"/>
  <c r="J33" i="3" s="1"/>
  <c r="K32" i="3"/>
  <c r="M32" i="3" s="1"/>
  <c r="H32" i="3"/>
  <c r="I32" i="3" s="1"/>
  <c r="L32" i="3" s="1"/>
  <c r="K31" i="3"/>
  <c r="O31" i="3" s="1"/>
  <c r="H31" i="3"/>
  <c r="I31" i="3" s="1"/>
  <c r="M30" i="3"/>
  <c r="K30" i="3"/>
  <c r="H30" i="3"/>
  <c r="I30" i="3" s="1"/>
  <c r="J30" i="3" s="1"/>
  <c r="K29" i="3"/>
  <c r="O29" i="3" s="1"/>
  <c r="H29" i="3"/>
  <c r="I29" i="3" s="1"/>
  <c r="F28" i="3"/>
  <c r="K27" i="3"/>
  <c r="M27" i="3" s="1"/>
  <c r="H27" i="3"/>
  <c r="I27" i="3" s="1"/>
  <c r="K26" i="3"/>
  <c r="O26" i="3" s="1"/>
  <c r="H26" i="3"/>
  <c r="I26" i="3" s="1"/>
  <c r="K25" i="3"/>
  <c r="H25" i="3"/>
  <c r="I25" i="3" s="1"/>
  <c r="K24" i="3"/>
  <c r="M24" i="3" s="1"/>
  <c r="H24" i="3"/>
  <c r="I24" i="3" s="1"/>
  <c r="K23" i="3"/>
  <c r="O23" i="3" s="1"/>
  <c r="H23" i="3"/>
  <c r="I23" i="3" s="1"/>
  <c r="K22" i="3"/>
  <c r="O22" i="3" s="1"/>
  <c r="H22" i="3"/>
  <c r="I22" i="3" s="1"/>
  <c r="F21" i="3"/>
  <c r="K20" i="3"/>
  <c r="O20" i="3" s="1"/>
  <c r="H20" i="3"/>
  <c r="I20" i="3" s="1"/>
  <c r="K19" i="3"/>
  <c r="M19" i="3" s="1"/>
  <c r="H19" i="3"/>
  <c r="I19" i="3" s="1"/>
  <c r="F18" i="3"/>
  <c r="K17" i="3"/>
  <c r="M17" i="3" s="1"/>
  <c r="H17" i="3"/>
  <c r="I17" i="3" s="1"/>
  <c r="K16" i="3"/>
  <c r="O16" i="3" s="1"/>
  <c r="H16" i="3"/>
  <c r="I16" i="3" s="1"/>
  <c r="F15" i="3"/>
  <c r="O14" i="3"/>
  <c r="H14" i="3"/>
  <c r="I14" i="3" s="1"/>
  <c r="H13" i="3"/>
  <c r="I13" i="3" s="1"/>
  <c r="H12" i="3"/>
  <c r="I12" i="3" s="1"/>
  <c r="H11" i="3"/>
  <c r="I11" i="3" s="1"/>
  <c r="F10" i="3"/>
  <c r="K47" i="1"/>
  <c r="O47" i="1" s="1"/>
  <c r="K46" i="1"/>
  <c r="M46" i="1" s="1"/>
  <c r="K45" i="1"/>
  <c r="M45" i="1" s="1"/>
  <c r="K43" i="1"/>
  <c r="M43" i="1" s="1"/>
  <c r="K42" i="1"/>
  <c r="M42" i="1" s="1"/>
  <c r="H40" i="1"/>
  <c r="I40" i="1" s="1"/>
  <c r="J40" i="1" s="1"/>
  <c r="K40" i="1"/>
  <c r="O40" i="1" s="1"/>
  <c r="K39" i="1"/>
  <c r="M39" i="1" s="1"/>
  <c r="K38" i="1"/>
  <c r="M38" i="1" s="1"/>
  <c r="K37" i="1"/>
  <c r="K36" i="1"/>
  <c r="O36" i="1" s="1"/>
  <c r="K35" i="1"/>
  <c r="M35" i="1" s="1"/>
  <c r="K33" i="1"/>
  <c r="M33" i="1" s="1"/>
  <c r="K32" i="1"/>
  <c r="M32" i="1" s="1"/>
  <c r="K31" i="1"/>
  <c r="M31" i="1" s="1"/>
  <c r="K30" i="1"/>
  <c r="M30" i="1" s="1"/>
  <c r="K29" i="1"/>
  <c r="O29" i="1" s="1"/>
  <c r="K26" i="1"/>
  <c r="K25" i="1"/>
  <c r="M25" i="1" s="1"/>
  <c r="H47" i="1"/>
  <c r="I47" i="1" s="1"/>
  <c r="J47" i="1" s="1"/>
  <c r="H46" i="1"/>
  <c r="I46" i="1" s="1"/>
  <c r="J46" i="1" s="1"/>
  <c r="H45" i="1"/>
  <c r="I45" i="1" s="1"/>
  <c r="J45" i="1" s="1"/>
  <c r="H43" i="1"/>
  <c r="I43" i="1" s="1"/>
  <c r="J43" i="1" s="1"/>
  <c r="H42" i="1"/>
  <c r="I42" i="1" s="1"/>
  <c r="J42" i="1" s="1"/>
  <c r="H39" i="1"/>
  <c r="I39" i="1" s="1"/>
  <c r="J39" i="1" s="1"/>
  <c r="H38" i="1"/>
  <c r="I38" i="1" s="1"/>
  <c r="J38" i="1" s="1"/>
  <c r="H37" i="1"/>
  <c r="I37" i="1" s="1"/>
  <c r="J37" i="1" s="1"/>
  <c r="H36" i="1"/>
  <c r="I36" i="1" s="1"/>
  <c r="J36" i="1" s="1"/>
  <c r="H35" i="1"/>
  <c r="I35" i="1" s="1"/>
  <c r="J35" i="1" s="1"/>
  <c r="H33" i="1"/>
  <c r="I33" i="1" s="1"/>
  <c r="J33" i="1" s="1"/>
  <c r="H32" i="1"/>
  <c r="I32" i="1" s="1"/>
  <c r="J32" i="1" s="1"/>
  <c r="H31" i="1"/>
  <c r="I31" i="1" s="1"/>
  <c r="J31" i="1" s="1"/>
  <c r="H30" i="1"/>
  <c r="I30" i="1" s="1"/>
  <c r="J30" i="1" s="1"/>
  <c r="H29" i="1"/>
  <c r="I29" i="1" s="1"/>
  <c r="H26" i="1"/>
  <c r="I26" i="1" s="1"/>
  <c r="J26" i="1" s="1"/>
  <c r="H25" i="1"/>
  <c r="I25" i="1" s="1"/>
  <c r="J25" i="1" s="1"/>
  <c r="H12" i="1"/>
  <c r="I12" i="1" s="1"/>
  <c r="H13" i="1"/>
  <c r="I13" i="1" s="1"/>
  <c r="J13" i="1" s="1"/>
  <c r="F24" i="1"/>
  <c r="F27" i="1"/>
  <c r="F34" i="1"/>
  <c r="F41" i="1"/>
  <c r="F44" i="1"/>
  <c r="F21" i="1"/>
  <c r="K13" i="1"/>
  <c r="O13" i="1" s="1"/>
  <c r="K12" i="1"/>
  <c r="O12" i="1" s="1"/>
  <c r="F10" i="1"/>
  <c r="K24" i="1" l="1"/>
  <c r="L29" i="1"/>
  <c r="P36" i="1"/>
  <c r="N46" i="1"/>
  <c r="P47" i="1"/>
  <c r="M12" i="1"/>
  <c r="N12" i="1" s="1"/>
  <c r="J41" i="1"/>
  <c r="M15" i="3"/>
  <c r="O17" i="3"/>
  <c r="O15" i="3" s="1"/>
  <c r="O24" i="3"/>
  <c r="O32" i="3"/>
  <c r="M26" i="3"/>
  <c r="N26" i="3" s="1"/>
  <c r="M20" i="3"/>
  <c r="P11" i="1"/>
  <c r="L11" i="3"/>
  <c r="K28" i="3"/>
  <c r="J29" i="1"/>
  <c r="J27" i="1" s="1"/>
  <c r="M13" i="3"/>
  <c r="N13" i="3" s="1"/>
  <c r="M16" i="3"/>
  <c r="M23" i="3"/>
  <c r="O12" i="3"/>
  <c r="K10" i="1"/>
  <c r="N43" i="1"/>
  <c r="P24" i="3"/>
  <c r="P37" i="3"/>
  <c r="N40" i="3"/>
  <c r="J40" i="3"/>
  <c r="K15" i="3"/>
  <c r="L19" i="3"/>
  <c r="P29" i="3"/>
  <c r="L40" i="3"/>
  <c r="O11" i="3"/>
  <c r="O10" i="3" s="1"/>
  <c r="M18" i="3"/>
  <c r="M11" i="3"/>
  <c r="P20" i="3"/>
  <c r="K18" i="3"/>
  <c r="O19" i="3"/>
  <c r="O18" i="3" s="1"/>
  <c r="M22" i="3"/>
  <c r="N22" i="3" s="1"/>
  <c r="L30" i="3"/>
  <c r="M31" i="3"/>
  <c r="N31" i="3" s="1"/>
  <c r="M36" i="3"/>
  <c r="N36" i="3" s="1"/>
  <c r="M41" i="3"/>
  <c r="N41" i="3" s="1"/>
  <c r="K10" i="3"/>
  <c r="J44" i="1"/>
  <c r="M47" i="1"/>
  <c r="N47" i="1" s="1"/>
  <c r="N31" i="1"/>
  <c r="N33" i="1"/>
  <c r="L37" i="1"/>
  <c r="P29" i="1"/>
  <c r="N30" i="1"/>
  <c r="L36" i="1"/>
  <c r="M37" i="1"/>
  <c r="N37" i="1" s="1"/>
  <c r="N39" i="1"/>
  <c r="J21" i="1"/>
  <c r="L26" i="1"/>
  <c r="N32" i="1"/>
  <c r="M36" i="1"/>
  <c r="N36" i="1" s="1"/>
  <c r="K21" i="1"/>
  <c r="L25" i="1"/>
  <c r="M26" i="1"/>
  <c r="N26" i="1" s="1"/>
  <c r="M29" i="1"/>
  <c r="N29" i="1" s="1"/>
  <c r="L31" i="1"/>
  <c r="N38" i="1"/>
  <c r="L47" i="1"/>
  <c r="N12" i="3"/>
  <c r="P13" i="3"/>
  <c r="P14" i="3"/>
  <c r="N23" i="3"/>
  <c r="J23" i="3"/>
  <c r="P23" i="3"/>
  <c r="L23" i="3"/>
  <c r="J12" i="3"/>
  <c r="P12" i="3"/>
  <c r="L12" i="3"/>
  <c r="N17" i="3"/>
  <c r="J17" i="3"/>
  <c r="P17" i="3"/>
  <c r="J22" i="3"/>
  <c r="L22" i="3"/>
  <c r="P22" i="3"/>
  <c r="J31" i="3"/>
  <c r="L31" i="3"/>
  <c r="P31" i="3"/>
  <c r="N11" i="3"/>
  <c r="J11" i="3"/>
  <c r="P16" i="3"/>
  <c r="N16" i="3"/>
  <c r="J16" i="3"/>
  <c r="L16" i="3"/>
  <c r="L17" i="3"/>
  <c r="J26" i="3"/>
  <c r="P26" i="3"/>
  <c r="L26" i="3"/>
  <c r="N24" i="3"/>
  <c r="J39" i="3"/>
  <c r="J13" i="3"/>
  <c r="J14" i="3"/>
  <c r="N19" i="3"/>
  <c r="N20" i="3"/>
  <c r="K21" i="3"/>
  <c r="J24" i="3"/>
  <c r="J25" i="3"/>
  <c r="L27" i="3"/>
  <c r="M33" i="3"/>
  <c r="N33" i="3" s="1"/>
  <c r="L33" i="3"/>
  <c r="N34" i="3"/>
  <c r="J37" i="3"/>
  <c r="K38" i="3"/>
  <c r="M39" i="3"/>
  <c r="L39" i="3"/>
  <c r="L14" i="3"/>
  <c r="J19" i="3"/>
  <c r="J20" i="3"/>
  <c r="L25" i="3"/>
  <c r="O25" i="3"/>
  <c r="O27" i="3"/>
  <c r="P27" i="3" s="1"/>
  <c r="J29" i="3"/>
  <c r="N32" i="3"/>
  <c r="J32" i="3"/>
  <c r="P32" i="3"/>
  <c r="J34" i="3"/>
  <c r="P36" i="3"/>
  <c r="L36" i="3"/>
  <c r="J36" i="3"/>
  <c r="O39" i="3"/>
  <c r="P41" i="3"/>
  <c r="L41" i="3"/>
  <c r="J41" i="3"/>
  <c r="L13" i="3"/>
  <c r="M14" i="3"/>
  <c r="N14" i="3" s="1"/>
  <c r="L20" i="3"/>
  <c r="L24" i="3"/>
  <c r="M25" i="3"/>
  <c r="N25" i="3" s="1"/>
  <c r="N27" i="3"/>
  <c r="J27" i="3"/>
  <c r="M29" i="3"/>
  <c r="L29" i="3"/>
  <c r="N30" i="3"/>
  <c r="O33" i="3"/>
  <c r="P33" i="3" s="1"/>
  <c r="L34" i="3"/>
  <c r="O35" i="3"/>
  <c r="L37" i="3"/>
  <c r="O30" i="3"/>
  <c r="P30" i="3" s="1"/>
  <c r="O34" i="3"/>
  <c r="P34" i="3" s="1"/>
  <c r="K35" i="3"/>
  <c r="M37" i="3"/>
  <c r="M35" i="3" s="1"/>
  <c r="O40" i="3"/>
  <c r="P40" i="3" s="1"/>
  <c r="L21" i="1"/>
  <c r="N45" i="1"/>
  <c r="O46" i="1"/>
  <c r="P46" i="1" s="1"/>
  <c r="K44" i="1"/>
  <c r="O45" i="1"/>
  <c r="L46" i="1"/>
  <c r="L45" i="1"/>
  <c r="N42" i="1"/>
  <c r="M41" i="1"/>
  <c r="O43" i="1"/>
  <c r="P43" i="1" s="1"/>
  <c r="O42" i="1"/>
  <c r="L43" i="1"/>
  <c r="K41" i="1"/>
  <c r="L42" i="1"/>
  <c r="J34" i="1"/>
  <c r="P40" i="1"/>
  <c r="L40" i="1"/>
  <c r="M40" i="1"/>
  <c r="N40" i="1" s="1"/>
  <c r="N35" i="1"/>
  <c r="O35" i="1"/>
  <c r="O39" i="1"/>
  <c r="P39" i="1" s="1"/>
  <c r="L35" i="1"/>
  <c r="L39" i="1"/>
  <c r="K34" i="1"/>
  <c r="O37" i="1"/>
  <c r="P37" i="1" s="1"/>
  <c r="L38" i="1"/>
  <c r="O38" i="1"/>
  <c r="P38" i="1" s="1"/>
  <c r="O33" i="1"/>
  <c r="P33" i="1" s="1"/>
  <c r="O32" i="1"/>
  <c r="P32" i="1" s="1"/>
  <c r="L33" i="1"/>
  <c r="L32" i="1"/>
  <c r="O31" i="1"/>
  <c r="P31" i="1" s="1"/>
  <c r="O30" i="1"/>
  <c r="P30" i="1" s="1"/>
  <c r="K27" i="1"/>
  <c r="L30" i="1"/>
  <c r="J24" i="1"/>
  <c r="O26" i="1"/>
  <c r="P26" i="1" s="1"/>
  <c r="N25" i="1"/>
  <c r="O25" i="1"/>
  <c r="P12" i="1"/>
  <c r="P13" i="1"/>
  <c r="M13" i="1"/>
  <c r="N13" i="1" s="1"/>
  <c r="J12" i="1"/>
  <c r="L12" i="1"/>
  <c r="L13" i="1"/>
  <c r="N41" i="1" l="1"/>
  <c r="O10" i="1"/>
  <c r="L24" i="1"/>
  <c r="M44" i="1"/>
  <c r="L15" i="3"/>
  <c r="M27" i="1"/>
  <c r="M10" i="1"/>
  <c r="J15" i="3"/>
  <c r="N15" i="3"/>
  <c r="L18" i="3"/>
  <c r="P11" i="3"/>
  <c r="P10" i="3" s="1"/>
  <c r="N10" i="1"/>
  <c r="N24" i="1"/>
  <c r="O38" i="3"/>
  <c r="L38" i="3"/>
  <c r="J10" i="1"/>
  <c r="P35" i="3"/>
  <c r="N44" i="1"/>
  <c r="J38" i="3"/>
  <c r="O28" i="3"/>
  <c r="M38" i="3"/>
  <c r="N39" i="3"/>
  <c r="N38" i="3" s="1"/>
  <c r="O21" i="3"/>
  <c r="P19" i="3"/>
  <c r="P18" i="3" s="1"/>
  <c r="N27" i="1"/>
  <c r="L44" i="1"/>
  <c r="L41" i="1"/>
  <c r="M24" i="1"/>
  <c r="N21" i="1"/>
  <c r="M21" i="1"/>
  <c r="M10" i="3"/>
  <c r="M28" i="3"/>
  <c r="N29" i="3"/>
  <c r="N28" i="3" s="1"/>
  <c r="L35" i="3"/>
  <c r="P25" i="3"/>
  <c r="P21" i="3" s="1"/>
  <c r="N37" i="3"/>
  <c r="N35" i="3" s="1"/>
  <c r="L10" i="3"/>
  <c r="L21" i="3"/>
  <c r="P28" i="3"/>
  <c r="J35" i="3"/>
  <c r="J28" i="3"/>
  <c r="M21" i="3"/>
  <c r="J10" i="3"/>
  <c r="J21" i="3"/>
  <c r="L28" i="3"/>
  <c r="J18" i="3"/>
  <c r="N18" i="3"/>
  <c r="P39" i="3"/>
  <c r="P38" i="3" s="1"/>
  <c r="P15" i="3"/>
  <c r="N10" i="3"/>
  <c r="N21" i="3"/>
  <c r="P45" i="1"/>
  <c r="P44" i="1" s="1"/>
  <c r="O44" i="1"/>
  <c r="P42" i="1"/>
  <c r="P41" i="1" s="1"/>
  <c r="O41" i="1"/>
  <c r="M34" i="1"/>
  <c r="N34" i="1"/>
  <c r="L34" i="1"/>
  <c r="P35" i="1"/>
  <c r="P34" i="1" s="1"/>
  <c r="O34" i="1"/>
  <c r="L27" i="1"/>
  <c r="P27" i="1"/>
  <c r="O27" i="1"/>
  <c r="P25" i="1"/>
  <c r="P24" i="1" s="1"/>
  <c r="O24" i="1"/>
  <c r="P21" i="1"/>
  <c r="O21" i="1"/>
  <c r="L10" i="1"/>
  <c r="P10" i="1"/>
</calcChain>
</file>

<file path=xl/sharedStrings.xml><?xml version="1.0" encoding="utf-8"?>
<sst xmlns="http://schemas.openxmlformats.org/spreadsheetml/2006/main" count="360" uniqueCount="89">
  <si>
    <t>TT</t>
  </si>
  <si>
    <t>NỘI DUNG CÔNG VIỆC</t>
  </si>
  <si>
    <t>Người trực tiếp chỉ đạo</t>
  </si>
  <si>
    <t>I</t>
  </si>
  <si>
    <t xml:space="preserve">Trục (1) - Thực hiện mục tiêu phát triển Kinh tế - xã hội và nhiệm vụ chính trị được giao </t>
  </si>
  <si>
    <t>…</t>
  </si>
  <si>
    <t>Trục (2) - Hoàn thiện thể chế, đẩy mạnh phân cấp, phân quyền gắn với kiểm tra, giám sát</t>
  </si>
  <si>
    <t>Trục (3) - Thúc đẩy phát triển khoa học, công nghệ, đổi mới sáng tạo và chuyển đổi số</t>
  </si>
  <si>
    <t>Trục (4) - Xây dựng đảng và hệ thống chính trị trong sạch, vững mạnh; giữ gìn đoàn kết, thống nhất nội bộ; phòng, chống tham nhũng, lãng phí, tiêu cực</t>
  </si>
  <si>
    <t>Trục (5) - Phát triển văn hóa, con người, bảo đảm an sinh xã hội, nâng cao đời sống nhân dân</t>
  </si>
  <si>
    <t>Trục (6) - Củng cố quốc phòng, an ninh, giữ vững ổn định chính trị - xã hội, nâng cao hiệu quả đối ngoại và hội nhập quốc tế</t>
  </si>
  <si>
    <t>II</t>
  </si>
  <si>
    <t>Số lượng</t>
  </si>
  <si>
    <t>(1)</t>
  </si>
  <si>
    <t>(2)</t>
  </si>
  <si>
    <t>(3)</t>
  </si>
  <si>
    <t>(4)</t>
  </si>
  <si>
    <t>(5)</t>
  </si>
  <si>
    <t>(6)</t>
  </si>
  <si>
    <t>(7)</t>
  </si>
  <si>
    <t>CỘNG HÒA XÃ HỘI CHỦ NGHĨA VIỆT NAM</t>
  </si>
  <si>
    <t>Độc lập - Tự do - Hạnh phúc</t>
  </si>
  <si>
    <t>1.1</t>
  </si>
  <si>
    <t>1.2</t>
  </si>
  <si>
    <t>TRƯỜNG CAO ĐẲNG KON TUM</t>
  </si>
  <si>
    <t>ĐƠN VỊ:….......</t>
  </si>
  <si>
    <t>Đơn vị chủ trì</t>
  </si>
  <si>
    <r>
      <rPr>
        <i/>
        <sz val="14"/>
        <rFont val="Times New Roman"/>
        <family val="1"/>
        <charset val="163"/>
      </rPr>
      <t>Quảng Ngãi, ngày…..tháng……năm………..</t>
    </r>
    <r>
      <rPr>
        <sz val="14"/>
        <rFont val="Times New Roman"/>
        <family val="1"/>
      </rPr>
      <t xml:space="preserve">
</t>
    </r>
    <r>
      <rPr>
        <b/>
        <sz val="14"/>
        <rFont val="Times New Roman"/>
        <family val="1"/>
      </rPr>
      <t xml:space="preserve">LÃNH ĐẠO KHOA/PHÒNG
</t>
    </r>
  </si>
  <si>
    <r>
      <rPr>
        <b/>
        <i/>
        <sz val="12"/>
        <rFont val="Times New Roman"/>
        <family val="1"/>
        <charset val="163"/>
      </rPr>
      <t xml:space="preserve">
Nơi nhận:</t>
    </r>
    <r>
      <rPr>
        <sz val="12"/>
        <rFont val="Times New Roman"/>
        <family val="1"/>
      </rPr>
      <t xml:space="preserve">
</t>
    </r>
    <r>
      <rPr>
        <sz val="11"/>
        <rFont val="Times New Roman"/>
        <family val="1"/>
        <charset val="163"/>
      </rPr>
      <t>- …..............;
- …..............;
- …..............;
- …..............;
- Lưu: …......</t>
    </r>
  </si>
  <si>
    <t>PHT Dương Văn Anh Dũng</t>
  </si>
  <si>
    <t>Hiệu trưởng</t>
  </si>
  <si>
    <t>PHT Huỳnh Văn Chung</t>
  </si>
  <si>
    <t>PHT Nguyễn Trung Hiếu</t>
  </si>
  <si>
    <t>1.3</t>
  </si>
  <si>
    <t>Phòng  TCCB&amp;CTHSSV</t>
  </si>
  <si>
    <t>Bí thư Đảng uỷ</t>
  </si>
  <si>
    <t>Phó Bí thư Đảng uỷ</t>
  </si>
  <si>
    <t>Uỷ viên BTV</t>
  </si>
  <si>
    <t>Chủ tịch Công đoàn</t>
  </si>
  <si>
    <t>Bí thư ĐTN</t>
  </si>
  <si>
    <t>Chủ tịch HSV</t>
  </si>
  <si>
    <t>Các nhiệm vụ đột xuất, phát sinh khác ngoài kế hoạch (nếu có)</t>
  </si>
  <si>
    <t>Quyết định</t>
  </si>
  <si>
    <t>Trung bình</t>
  </si>
  <si>
    <t>Cao</t>
  </si>
  <si>
    <t>Khó và phức tạp</t>
  </si>
  <si>
    <t>Phòng TH-HC&amp;QT</t>
  </si>
  <si>
    <t>Phòng QLKHCN&amp;HTPT</t>
  </si>
  <si>
    <t>Phòng QLĐT&amp;BĐCL</t>
  </si>
  <si>
    <t>1.4</t>
  </si>
  <si>
    <t>Điểm chấm công việc</t>
  </si>
  <si>
    <t>Hệ số quy đổi</t>
  </si>
  <si>
    <t>KPI (số lượng)</t>
  </si>
  <si>
    <t>KPI (chất lượng)</t>
  </si>
  <si>
    <t>KPI (tiến độ)</t>
  </si>
  <si>
    <t>Thực tế hoàn thành</t>
  </si>
  <si>
    <t>Quy đổi</t>
  </si>
  <si>
    <t>Số lượng quy đổi</t>
  </si>
  <si>
    <t>Quyết định Chính sách chất lượng giai đoạn 2026-2030</t>
  </si>
  <si>
    <t>Thấp</t>
  </si>
  <si>
    <t>BÁO CÁO
kết quả thực hiện công tác Quý … năm 20…</t>
  </si>
  <si>
    <t>Khoa Y – Dược</t>
  </si>
  <si>
    <t> Các nhiệm vụ theo kế hoạch (chương trình) công tác đã đề ra từ đầu quý</t>
  </si>
  <si>
    <t>Phòng TC-KT</t>
  </si>
  <si>
    <t>Khoa Sư phạm</t>
  </si>
  <si>
    <t> Các nhiệm vụ theo kế hoạch (chương trình) công tác đã đề ra từ đầu tháng</t>
  </si>
  <si>
    <t>Sản phẩm/ Công việc</t>
  </si>
  <si>
    <t>(8)</t>
  </si>
  <si>
    <t>(9)=(8)*1%</t>
  </si>
  <si>
    <t>(13)=(11)*[Tỷ lệ hoàn thành chất lượng]
Sửa đổi 1-2 lần 75% (trừ 0,25)</t>
  </si>
  <si>
    <t>(11)=(6)* [Tỷ lệ hoàn thành khối lượng]
Thiếu 1 = 75% (trừ 0,25)</t>
  </si>
  <si>
    <t>(15)=(11)*[Tỷ lệ hoàn thành tiến độ]
Chậm tiến độ 75% (trừ 0,25)</t>
  </si>
  <si>
    <t>Độ khó, mới, phức tạp; phạm vi tác
động</t>
  </si>
  <si>
    <t>(14)= (9)* (13)</t>
  </si>
  <si>
    <t>(16)= (9)* (15)</t>
  </si>
  <si>
    <t>(12)= (9)* (11)</t>
  </si>
  <si>
    <t>(10)= (6)* (9)</t>
  </si>
  <si>
    <t>(9)= (8)* 1%</t>
  </si>
  <si>
    <t>Phụ lục IIb
MẪU BÁO CÁO KẾT QUẢ THỰC  HIỆN CÔNG TÁC THÁNG CỦA TRƯỜNG CAO ĐẲNG KON TUM</t>
  </si>
  <si>
    <t>Phụ lục IIc
MẪU BÁO CÁO KẾT QUẢ THỰC HIỆN CÔNG TÁC QUÝ CỦA TRƯỜNG CAO ĐẲNG KON TUM</t>
  </si>
  <si>
    <t>Kế hoạch</t>
  </si>
  <si>
    <t>BÁO CÁO
kết quả thực hiện công tác tháng 9 năm 2026</t>
  </si>
  <si>
    <t>Tham mưu kế hoạch triển khai thực hiện 
Phong trào thi đua Quyết tâm thực hiện 
thắng lợi mục tiêu tăng trưởng bền vững “2 con số” giai đoạn 2026 - 2030 trên địa bàn tỉnh theo Kế hoạch số 303/KH-UBND ngày 10/8/2026 của UBND tỉnh</t>
  </si>
  <si>
    <t>Tham mưu kế hoạch triển khai phần mềm VNPT KPI – Hệ thống quản lý đánh giá, xếp loại chất lượng CBCCVC</t>
  </si>
  <si>
    <t>Tham mưu kế hoạch triển khai thực hiện Thông tư số 64/2026/TT-BGDĐT ngày 10/8/2026 của Bộ trưởng Bộ Giáo dục và Đào tạo quy định mã số, chuẩn nghề nghiệp, bổ nhiệm, xếp lương và chế độ làm việc đối với giáo viên trung học nghề</t>
  </si>
  <si>
    <t>Tham mưu Kế hoạch triển khai Thông tư số 59/2026/TT-BGDĐT của Bộ trưởng Bộ Giáo dục và Đào tạo quy định về nhà giáo hợp đồng toàn thời gian sau khi nghỉ hưu và nhà giáo thỉnh giảng</t>
  </si>
  <si>
    <t>Tham mưu Quyết định thay thế Quyết định số 988/QĐ-CĐKT ngày 12/5/2026 của Hiệu trưởng Trường Cao đẳng Kon Tum ban hành Quy chế tổ chức và hoạt động của Trường Cao đẳng Kon Tum</t>
  </si>
  <si>
    <t>Quy định vị trí, chức năng, nhiệm vụ, quyền hạn, cơ cấu tổ chức và mối quan hệ công tác của các đơn vị thuộc Trường theo quy định tại Thông tư số 63/2026/TT-BGDĐT và Quy chế tổ chức và hoạt động của Trường Cao đẳng Kon Tum (mới)</t>
  </si>
  <si>
    <t>Xây dựng Kế hoạch triển khai nhiệm vụ số hóa, tạo lập dữ liệu đảng viên, hồ sơ đảng viên điện tử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</si>
</sst>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0_);_(* \(#,##0.0\);_(* &quot;-&quot;??_);_(@_)"/>
  </numFmts>
  <fonts count="29" x14ac:knownFonts="1">
    <font>
      <sz val="11"/>
      <color theme="1"/>
      <name val="Calibri"/>
      <family val="2"/>
      <scheme val="minor"/>
    </font>
    <font>
      <b/>
      <sz val="14"/>
      <color theme="1"/>
      <name val="Times New Roman"/>
      <family val="1"/>
    </font>
    <font>
      <sz val="14"/>
      <color theme="1"/>
      <name val="Calibri"/>
      <family val="2"/>
      <scheme val="minor"/>
    </font>
    <font>
      <sz val="12"/>
      <color theme="1"/>
      <name val="Times New Roman"/>
      <family val="1"/>
    </font>
    <font>
      <b/>
      <sz val="12"/>
      <color theme="1"/>
      <name val="Times New Roman"/>
      <family val="1"/>
    </font>
    <font>
      <sz val="12"/>
      <color theme="1"/>
      <name val="Calibri"/>
      <family val="2"/>
      <scheme val="minor"/>
    </font>
    <font>
      <b/>
      <sz val="13"/>
      <color theme="1"/>
      <name val="Times New Roman"/>
      <family val="1"/>
    </font>
    <font>
      <sz val="11"/>
      <name val="Calibri"/>
      <family val="2"/>
      <scheme val="minor"/>
    </font>
    <font>
      <b/>
      <sz val="12"/>
      <name val="Times New Roman"/>
      <family val="1"/>
    </font>
    <font>
      <sz val="12"/>
      <name val="Times New Roman"/>
      <family val="1"/>
    </font>
    <font>
      <sz val="14"/>
      <name val="Times New Roman"/>
      <family val="1"/>
    </font>
    <font>
      <b/>
      <sz val="14"/>
      <name val="Times New Roman"/>
      <family val="1"/>
    </font>
    <font>
      <sz val="12"/>
      <name val="Times New Roman"/>
      <family val="1"/>
      <charset val="163"/>
    </font>
    <font>
      <b/>
      <i/>
      <sz val="12"/>
      <name val="Times New Roman"/>
      <family val="1"/>
      <charset val="163"/>
    </font>
    <font>
      <sz val="11"/>
      <name val="Times New Roman"/>
      <family val="1"/>
      <charset val="163"/>
    </font>
    <font>
      <sz val="12"/>
      <name val="Calibri"/>
      <family val="2"/>
      <scheme val="minor"/>
    </font>
    <font>
      <sz val="13"/>
      <color theme="1"/>
      <name val="Times New Roman"/>
      <family val="1"/>
    </font>
    <font>
      <sz val="13"/>
      <color theme="1"/>
      <name val="Calibri"/>
      <family val="2"/>
      <scheme val="minor"/>
    </font>
    <font>
      <i/>
      <sz val="14"/>
      <name val="Times New Roman"/>
      <family val="1"/>
      <charset val="163"/>
    </font>
    <font>
      <b/>
      <sz val="14"/>
      <name val="Times New Roman"/>
      <family val="1"/>
      <charset val="163"/>
    </font>
    <font>
      <sz val="11"/>
      <color theme="1"/>
      <name val="Calibri"/>
      <family val="2"/>
      <scheme val="minor"/>
    </font>
    <font>
      <b/>
      <sz val="12"/>
      <name val="Times New Roman"/>
      <family val="1"/>
      <charset val="163"/>
    </font>
    <font>
      <sz val="12"/>
      <name val="Calibri"/>
      <family val="2"/>
    </font>
    <font>
      <sz val="13"/>
      <name val="Times New Roman"/>
      <family val="1"/>
    </font>
    <font>
      <sz val="13"/>
      <name val="Calibri"/>
      <family val="2"/>
      <scheme val="minor"/>
    </font>
    <font>
      <b/>
      <sz val="13"/>
      <name val="Times New Roman"/>
      <family val="1"/>
    </font>
    <font>
      <sz val="14"/>
      <name val="Calibri"/>
      <family val="2"/>
      <scheme val="minor"/>
    </font>
    <font>
      <sz val="14"/>
      <color theme="1"/>
      <name val="Times New Roman"/>
      <family val="1"/>
    </font>
    <font>
      <sz val="8"/>
      <name val="Calibri"/>
      <family val="2"/>
      <scheme val="minor"/>
    </font>
  </fonts>
  <fills count="6">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rgb="FFFFC000"/>
        <bgColor indexed="64"/>
      </patternFill>
    </fill>
    <fill>
      <patternFill patternType="solid">
        <fgColor theme="5" tint="0.59999389629810485"/>
        <bgColor indexed="64"/>
      </patternFill>
    </fill>
  </fills>
  <borders count="1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bottom style="thin">
        <color indexed="64"/>
      </bottom>
      <diagonal/>
    </border>
  </borders>
  <cellStyleXfs count="2">
    <xf numFmtId="0" fontId="0" fillId="0" borderId="0"/>
    <xf numFmtId="43" fontId="20" fillId="0" borderId="0" applyFont="0" applyFill="0" applyBorder="0" applyAlignment="0" applyProtection="0"/>
  </cellStyleXfs>
  <cellXfs count="68">
    <xf numFmtId="0" fontId="0" fillId="0" borderId="0" xfId="0"/>
    <xf numFmtId="0" fontId="5" fillId="0" borderId="0" xfId="0" applyFont="1"/>
    <xf numFmtId="0" fontId="4" fillId="0" borderId="0" xfId="0" applyFont="1" applyAlignment="1">
      <alignment vertical="center"/>
    </xf>
    <xf numFmtId="0" fontId="7" fillId="0" borderId="0" xfId="0" applyFont="1"/>
    <xf numFmtId="0" fontId="15" fillId="0" borderId="0" xfId="0" applyFont="1"/>
    <xf numFmtId="0" fontId="6" fillId="0" borderId="0" xfId="0" applyFont="1" applyAlignment="1">
      <alignment wrapText="1"/>
    </xf>
    <xf numFmtId="0" fontId="1" fillId="0" borderId="0" xfId="0" applyFont="1" applyAlignment="1">
      <alignment vertical="center" wrapText="1"/>
    </xf>
    <xf numFmtId="0" fontId="0" fillId="3" borderId="0" xfId="0" applyFill="1"/>
    <xf numFmtId="0" fontId="0" fillId="4" borderId="0" xfId="0" applyFill="1"/>
    <xf numFmtId="0" fontId="0" fillId="2" borderId="0" xfId="0" applyFill="1"/>
    <xf numFmtId="0" fontId="0" fillId="5" borderId="0" xfId="0" applyFill="1"/>
    <xf numFmtId="0" fontId="12" fillId="0" borderId="2" xfId="0" applyFont="1" applyBorder="1" applyAlignment="1">
      <alignment horizontal="center" vertical="center" wrapText="1"/>
    </xf>
    <xf numFmtId="43" fontId="12" fillId="0" borderId="2" xfId="1" applyFont="1" applyFill="1" applyBorder="1" applyAlignment="1">
      <alignment horizontal="center" vertical="center" wrapText="1"/>
    </xf>
    <xf numFmtId="0" fontId="12" fillId="0" borderId="0" xfId="0" applyFont="1" applyAlignment="1">
      <alignment horizontal="left" vertical="top" wrapText="1"/>
    </xf>
    <xf numFmtId="2" fontId="8" fillId="0" borderId="8" xfId="0" applyNumberFormat="1" applyFont="1" applyBorder="1" applyAlignment="1">
      <alignment horizontal="center" vertical="center" wrapText="1"/>
    </xf>
    <xf numFmtId="0" fontId="8" fillId="0" borderId="2" xfId="0" applyFont="1" applyBorder="1" applyAlignment="1">
      <alignment horizontal="center" vertical="center" wrapText="1"/>
    </xf>
    <xf numFmtId="0" fontId="8" fillId="0" borderId="2" xfId="0" applyFont="1" applyBorder="1" applyAlignment="1">
      <alignment horizontal="center" vertical="center"/>
    </xf>
    <xf numFmtId="0" fontId="8" fillId="0" borderId="2" xfId="0" applyFont="1" applyBorder="1" applyAlignment="1">
      <alignment vertical="center"/>
    </xf>
    <xf numFmtId="164" fontId="12" fillId="0" borderId="2" xfId="1" applyNumberFormat="1" applyFont="1" applyFill="1" applyBorder="1" applyAlignment="1">
      <alignment horizontal="center" vertical="center" wrapText="1"/>
    </xf>
    <xf numFmtId="0" fontId="12" fillId="0" borderId="2" xfId="0" applyFont="1" applyBorder="1" applyAlignment="1">
      <alignment vertical="center" wrapText="1"/>
    </xf>
    <xf numFmtId="43" fontId="12" fillId="0" borderId="2" xfId="1" quotePrefix="1" applyFont="1" applyFill="1" applyBorder="1" applyAlignment="1">
      <alignment horizontal="center" vertical="center" wrapText="1"/>
    </xf>
    <xf numFmtId="0" fontId="25" fillId="0" borderId="0" xfId="0" applyFont="1" applyAlignment="1">
      <alignment wrapText="1"/>
    </xf>
    <xf numFmtId="0" fontId="8" fillId="0" borderId="0" xfId="0" applyFont="1" applyAlignment="1">
      <alignment vertical="center"/>
    </xf>
    <xf numFmtId="0" fontId="11" fillId="0" borderId="0" xfId="0" applyFont="1" applyAlignment="1">
      <alignment vertical="center" wrapText="1"/>
    </xf>
    <xf numFmtId="0" fontId="10" fillId="0" borderId="2" xfId="0" applyFont="1" applyBorder="1" applyAlignment="1">
      <alignment vertical="center" wrapText="1"/>
    </xf>
    <xf numFmtId="0" fontId="9" fillId="0" borderId="2" xfId="0" applyFont="1" applyBorder="1" applyAlignment="1">
      <alignment horizontal="center" vertical="center" wrapText="1"/>
    </xf>
    <xf numFmtId="43" fontId="9" fillId="0" borderId="2" xfId="1" applyFont="1" applyFill="1" applyBorder="1" applyAlignment="1">
      <alignment horizontal="center" vertical="center" wrapText="1"/>
    </xf>
    <xf numFmtId="0" fontId="9" fillId="0" borderId="2" xfId="0" applyFont="1" applyBorder="1" applyAlignment="1">
      <alignment vertical="center" wrapText="1"/>
    </xf>
    <xf numFmtId="0" fontId="14" fillId="0" borderId="2" xfId="0" quotePrefix="1" applyFont="1" applyBorder="1" applyAlignment="1">
      <alignment horizontal="center" vertical="center" wrapText="1"/>
    </xf>
    <xf numFmtId="0" fontId="27" fillId="0" borderId="0" xfId="0" applyFont="1" applyAlignment="1">
      <alignment horizontal="justify" vertical="center"/>
    </xf>
    <xf numFmtId="0" fontId="19" fillId="0" borderId="0" xfId="0" applyFont="1" applyAlignment="1">
      <alignment horizontal="center" vertical="top" wrapText="1"/>
    </xf>
    <xf numFmtId="0" fontId="11" fillId="0" borderId="0" xfId="0" applyFont="1" applyAlignment="1">
      <alignment horizontal="center" vertical="top" wrapText="1"/>
    </xf>
    <xf numFmtId="0" fontId="12" fillId="0" borderId="0" xfId="0" applyFont="1" applyAlignment="1">
      <alignment horizontal="left" vertical="top" wrapText="1"/>
    </xf>
    <xf numFmtId="0" fontId="1" fillId="0" borderId="0" xfId="0" applyFont="1" applyAlignment="1">
      <alignment horizontal="center" vertical="center" wrapText="1"/>
    </xf>
    <xf numFmtId="0" fontId="1" fillId="0" borderId="0" xfId="0" applyFont="1" applyAlignment="1">
      <alignment horizontal="center" vertical="center"/>
    </xf>
    <xf numFmtId="0" fontId="8" fillId="0" borderId="6" xfId="0" applyFont="1" applyBorder="1" applyAlignment="1">
      <alignment horizontal="center" vertical="center" wrapText="1"/>
    </xf>
    <xf numFmtId="0" fontId="8" fillId="0" borderId="7" xfId="0" applyFont="1" applyBorder="1" applyAlignment="1">
      <alignment horizontal="center" vertical="center" wrapText="1"/>
    </xf>
    <xf numFmtId="0" fontId="21" fillId="0" borderId="6" xfId="0" applyFont="1" applyBorder="1" applyAlignment="1">
      <alignment horizontal="center" vertical="center" wrapText="1"/>
    </xf>
    <xf numFmtId="0" fontId="21" fillId="0" borderId="7" xfId="0" applyFont="1" applyBorder="1" applyAlignment="1">
      <alignment horizontal="center" vertical="center" wrapText="1"/>
    </xf>
    <xf numFmtId="0" fontId="8" fillId="0" borderId="2" xfId="0" applyFont="1" applyBorder="1" applyAlignment="1">
      <alignment vertical="center" wrapText="1"/>
    </xf>
    <xf numFmtId="0" fontId="9" fillId="0" borderId="3" xfId="0" applyFont="1" applyBorder="1" applyAlignment="1">
      <alignment horizontal="left" vertical="center" wrapText="1"/>
    </xf>
    <xf numFmtId="0" fontId="16" fillId="0" borderId="0" xfId="0" applyFont="1" applyAlignment="1">
      <alignment horizontal="center"/>
    </xf>
    <xf numFmtId="0" fontId="17" fillId="0" borderId="0" xfId="0" applyFont="1" applyAlignment="1">
      <alignment horizontal="center"/>
    </xf>
    <xf numFmtId="0" fontId="6" fillId="0" borderId="0" xfId="0" applyFont="1" applyAlignment="1">
      <alignment horizontal="center" vertical="center" wrapText="1"/>
    </xf>
    <xf numFmtId="0" fontId="2" fillId="0" borderId="0" xfId="0" applyFont="1" applyAlignment="1">
      <alignment horizontal="center" vertical="center"/>
    </xf>
    <xf numFmtId="0" fontId="8" fillId="0" borderId="8" xfId="0" applyFont="1" applyBorder="1" applyAlignment="1">
      <alignment horizontal="center" vertical="center" wrapText="1"/>
    </xf>
    <xf numFmtId="0" fontId="22" fillId="0" borderId="10" xfId="0" applyFont="1" applyBorder="1"/>
    <xf numFmtId="0" fontId="6" fillId="0" borderId="0" xfId="0" applyFont="1" applyAlignment="1">
      <alignment horizontal="center" wrapText="1"/>
    </xf>
    <xf numFmtId="2" fontId="8" fillId="0" borderId="8" xfId="0" applyNumberFormat="1" applyFont="1" applyBorder="1" applyAlignment="1">
      <alignment horizontal="center" vertical="center" wrapText="1"/>
    </xf>
    <xf numFmtId="2" fontId="22" fillId="0" borderId="9" xfId="0" applyNumberFormat="1" applyFont="1" applyBorder="1" applyAlignment="1">
      <alignment wrapText="1"/>
    </xf>
    <xf numFmtId="0" fontId="3" fillId="0" borderId="1" xfId="0" applyFont="1" applyBorder="1" applyAlignment="1">
      <alignment horizontal="left" vertical="center"/>
    </xf>
    <xf numFmtId="0" fontId="8" fillId="0" borderId="11" xfId="0" applyFont="1" applyBorder="1" applyAlignment="1">
      <alignment horizontal="center" vertical="center" wrapText="1"/>
    </xf>
    <xf numFmtId="0" fontId="8" fillId="0" borderId="12" xfId="0" applyFont="1" applyBorder="1" applyAlignment="1">
      <alignment horizontal="center" vertical="center" wrapText="1"/>
    </xf>
    <xf numFmtId="0" fontId="8" fillId="0" borderId="4" xfId="0" applyFont="1" applyBorder="1" applyAlignment="1">
      <alignment horizontal="left" vertical="center" wrapText="1"/>
    </xf>
    <xf numFmtId="0" fontId="8" fillId="0" borderId="5" xfId="0" applyFont="1" applyBorder="1" applyAlignment="1">
      <alignment horizontal="left" vertical="center" wrapText="1"/>
    </xf>
    <xf numFmtId="0" fontId="8" fillId="0" borderId="4" xfId="0" applyFont="1" applyBorder="1" applyAlignment="1">
      <alignment horizontal="left" vertical="center"/>
    </xf>
    <xf numFmtId="0" fontId="8" fillId="0" borderId="5" xfId="0" applyFont="1" applyBorder="1" applyAlignment="1">
      <alignment horizontal="left" vertical="center"/>
    </xf>
    <xf numFmtId="0" fontId="8" fillId="0" borderId="2" xfId="0" applyFont="1" applyBorder="1" applyAlignment="1">
      <alignment horizontal="left" vertical="center"/>
    </xf>
    <xf numFmtId="0" fontId="8" fillId="0" borderId="2" xfId="0" applyFont="1" applyBorder="1" applyAlignment="1">
      <alignment horizontal="left" vertical="center" wrapText="1"/>
    </xf>
    <xf numFmtId="0" fontId="9" fillId="0" borderId="1" xfId="0" applyFont="1" applyBorder="1" applyAlignment="1">
      <alignment horizontal="left" vertical="center"/>
    </xf>
    <xf numFmtId="0" fontId="11" fillId="0" borderId="0" xfId="0" applyFont="1" applyAlignment="1">
      <alignment horizontal="center" vertical="center" wrapText="1"/>
    </xf>
    <xf numFmtId="0" fontId="26" fillId="0" borderId="0" xfId="0" applyFont="1" applyAlignment="1">
      <alignment horizontal="center" vertical="center"/>
    </xf>
    <xf numFmtId="0" fontId="11" fillId="0" borderId="0" xfId="0" applyFont="1" applyAlignment="1">
      <alignment horizontal="center" vertical="center"/>
    </xf>
    <xf numFmtId="0" fontId="23" fillId="0" borderId="0" xfId="0" applyFont="1" applyAlignment="1">
      <alignment horizontal="center"/>
    </xf>
    <xf numFmtId="0" fontId="24" fillId="0" borderId="0" xfId="0" applyFont="1" applyAlignment="1">
      <alignment horizontal="center"/>
    </xf>
    <xf numFmtId="0" fontId="25" fillId="0" borderId="0" xfId="0" applyFont="1" applyAlignment="1">
      <alignment horizontal="center" wrapText="1"/>
    </xf>
    <xf numFmtId="0" fontId="25" fillId="0" borderId="0" xfId="0" applyFont="1" applyAlignment="1">
      <alignment horizontal="center" vertical="center" wrapText="1"/>
    </xf>
    <xf numFmtId="0" fontId="3" fillId="0" borderId="0" xfId="0" applyFont="1" applyAlignment="1">
      <alignment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611817</xdr:colOff>
      <xdr:row>2</xdr:row>
      <xdr:rowOff>242848</xdr:rowOff>
    </xdr:from>
    <xdr:to>
      <xdr:col>1</xdr:col>
      <xdr:colOff>1409676</xdr:colOff>
      <xdr:row>2</xdr:row>
      <xdr:rowOff>242848</xdr:rowOff>
    </xdr:to>
    <xdr:cxnSp macro="">
      <xdr:nvCxnSpPr>
        <xdr:cNvPr id="2" name="Straight Connector 1">
          <a:extLst>
            <a:ext uri="{FF2B5EF4-FFF2-40B4-BE49-F238E27FC236}">
              <a16:creationId xmlns:a16="http://schemas.microsoft.com/office/drawing/2014/main" id="{C84106FF-030C-484D-91E0-13935D3AC82E}"/>
            </a:ext>
          </a:extLst>
        </xdr:cNvPr>
        <xdr:cNvCxnSpPr/>
      </xdr:nvCxnSpPr>
      <xdr:spPr>
        <a:xfrm>
          <a:off x="979210" y="1154527"/>
          <a:ext cx="79785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279735</xdr:colOff>
      <xdr:row>3</xdr:row>
      <xdr:rowOff>49249</xdr:rowOff>
    </xdr:from>
    <xdr:to>
      <xdr:col>12</xdr:col>
      <xdr:colOff>381001</xdr:colOff>
      <xdr:row>3</xdr:row>
      <xdr:rowOff>49249</xdr:rowOff>
    </xdr:to>
    <xdr:cxnSp macro="">
      <xdr:nvCxnSpPr>
        <xdr:cNvPr id="3" name="Straight Connector 2">
          <a:extLst>
            <a:ext uri="{FF2B5EF4-FFF2-40B4-BE49-F238E27FC236}">
              <a16:creationId xmlns:a16="http://schemas.microsoft.com/office/drawing/2014/main" id="{8DA3F0EA-A2EA-4136-800A-FE8E509630DA}"/>
            </a:ext>
          </a:extLst>
        </xdr:cNvPr>
        <xdr:cNvCxnSpPr/>
      </xdr:nvCxnSpPr>
      <xdr:spPr>
        <a:xfrm>
          <a:off x="9151592" y="1205856"/>
          <a:ext cx="203348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1006927</xdr:colOff>
      <xdr:row>3</xdr:row>
      <xdr:rowOff>533400</xdr:rowOff>
    </xdr:from>
    <xdr:to>
      <xdr:col>6</xdr:col>
      <xdr:colOff>176892</xdr:colOff>
      <xdr:row>3</xdr:row>
      <xdr:rowOff>533400</xdr:rowOff>
    </xdr:to>
    <xdr:cxnSp macro="">
      <xdr:nvCxnSpPr>
        <xdr:cNvPr id="4" name="Straight Connector 3">
          <a:extLst>
            <a:ext uri="{FF2B5EF4-FFF2-40B4-BE49-F238E27FC236}">
              <a16:creationId xmlns:a16="http://schemas.microsoft.com/office/drawing/2014/main" id="{E126119D-5FF3-48E9-B8F9-5FADE7BBE46C}"/>
            </a:ext>
          </a:extLst>
        </xdr:cNvPr>
        <xdr:cNvCxnSpPr/>
      </xdr:nvCxnSpPr>
      <xdr:spPr>
        <a:xfrm>
          <a:off x="6300106" y="1690007"/>
          <a:ext cx="802822"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816428</xdr:colOff>
      <xdr:row>0</xdr:row>
      <xdr:rowOff>504815</xdr:rowOff>
    </xdr:from>
    <xdr:to>
      <xdr:col>6</xdr:col>
      <xdr:colOff>403598</xdr:colOff>
      <xdr:row>0</xdr:row>
      <xdr:rowOff>504815</xdr:rowOff>
    </xdr:to>
    <xdr:cxnSp macro="">
      <xdr:nvCxnSpPr>
        <xdr:cNvPr id="6" name="Straight Connector 5">
          <a:extLst>
            <a:ext uri="{FF2B5EF4-FFF2-40B4-BE49-F238E27FC236}">
              <a16:creationId xmlns:a16="http://schemas.microsoft.com/office/drawing/2014/main" id="{09CE587A-C9FA-4F93-9F09-EB05934BA463}"/>
            </a:ext>
          </a:extLst>
        </xdr:cNvPr>
        <xdr:cNvCxnSpPr/>
      </xdr:nvCxnSpPr>
      <xdr:spPr>
        <a:xfrm>
          <a:off x="6109607" y="504815"/>
          <a:ext cx="122002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736683</xdr:colOff>
      <xdr:row>2</xdr:row>
      <xdr:rowOff>235644</xdr:rowOff>
    </xdr:from>
    <xdr:to>
      <xdr:col>1</xdr:col>
      <xdr:colOff>1534542</xdr:colOff>
      <xdr:row>2</xdr:row>
      <xdr:rowOff>235644</xdr:rowOff>
    </xdr:to>
    <xdr:cxnSp macro="">
      <xdr:nvCxnSpPr>
        <xdr:cNvPr id="2" name="Straight Connector 1">
          <a:extLst>
            <a:ext uri="{FF2B5EF4-FFF2-40B4-BE49-F238E27FC236}">
              <a16:creationId xmlns:a16="http://schemas.microsoft.com/office/drawing/2014/main" id="{B387CFDB-E86F-4D09-BC92-EE7FB1671535}"/>
            </a:ext>
          </a:extLst>
        </xdr:cNvPr>
        <xdr:cNvCxnSpPr/>
      </xdr:nvCxnSpPr>
      <xdr:spPr>
        <a:xfrm>
          <a:off x="1199326" y="1147323"/>
          <a:ext cx="79785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131416</xdr:colOff>
      <xdr:row>3</xdr:row>
      <xdr:rowOff>22035</xdr:rowOff>
    </xdr:from>
    <xdr:to>
      <xdr:col>12</xdr:col>
      <xdr:colOff>408214</xdr:colOff>
      <xdr:row>3</xdr:row>
      <xdr:rowOff>22035</xdr:rowOff>
    </xdr:to>
    <xdr:cxnSp macro="">
      <xdr:nvCxnSpPr>
        <xdr:cNvPr id="3" name="Straight Connector 2">
          <a:extLst>
            <a:ext uri="{FF2B5EF4-FFF2-40B4-BE49-F238E27FC236}">
              <a16:creationId xmlns:a16="http://schemas.microsoft.com/office/drawing/2014/main" id="{8EFCAB05-4241-4485-ACE5-9B0133413C2F}"/>
            </a:ext>
          </a:extLst>
        </xdr:cNvPr>
        <xdr:cNvCxnSpPr/>
      </xdr:nvCxnSpPr>
      <xdr:spPr>
        <a:xfrm>
          <a:off x="9248202" y="1178642"/>
          <a:ext cx="2072941"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503464</xdr:colOff>
      <xdr:row>3</xdr:row>
      <xdr:rowOff>519793</xdr:rowOff>
    </xdr:from>
    <xdr:to>
      <xdr:col>6</xdr:col>
      <xdr:colOff>367393</xdr:colOff>
      <xdr:row>3</xdr:row>
      <xdr:rowOff>519793</xdr:rowOff>
    </xdr:to>
    <xdr:cxnSp macro="">
      <xdr:nvCxnSpPr>
        <xdr:cNvPr id="4" name="Straight Connector 3">
          <a:extLst>
            <a:ext uri="{FF2B5EF4-FFF2-40B4-BE49-F238E27FC236}">
              <a16:creationId xmlns:a16="http://schemas.microsoft.com/office/drawing/2014/main" id="{2BACCD3D-ED8A-48DB-8B0F-2B93E56A3D77}"/>
            </a:ext>
          </a:extLst>
        </xdr:cNvPr>
        <xdr:cNvCxnSpPr/>
      </xdr:nvCxnSpPr>
      <xdr:spPr>
        <a:xfrm>
          <a:off x="6082393" y="1676400"/>
          <a:ext cx="1374321"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557892</xdr:colOff>
      <xdr:row>0</xdr:row>
      <xdr:rowOff>532030</xdr:rowOff>
    </xdr:from>
    <xdr:to>
      <xdr:col>6</xdr:col>
      <xdr:colOff>308348</xdr:colOff>
      <xdr:row>0</xdr:row>
      <xdr:rowOff>532030</xdr:rowOff>
    </xdr:to>
    <xdr:cxnSp macro="">
      <xdr:nvCxnSpPr>
        <xdr:cNvPr id="5" name="Straight Connector 4">
          <a:extLst>
            <a:ext uri="{FF2B5EF4-FFF2-40B4-BE49-F238E27FC236}">
              <a16:creationId xmlns:a16="http://schemas.microsoft.com/office/drawing/2014/main" id="{B603760D-B9C2-4F1E-B992-12BAF6A85F3A}"/>
            </a:ext>
          </a:extLst>
        </xdr:cNvPr>
        <xdr:cNvCxnSpPr/>
      </xdr:nvCxnSpPr>
      <xdr:spPr>
        <a:xfrm>
          <a:off x="6136821" y="532030"/>
          <a:ext cx="1260848"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B42E2-2B61-4B4F-A642-CBE7C4BEBB84}">
  <dimension ref="A1:Q49"/>
  <sheetViews>
    <sheetView tabSelected="1" view="pageBreakPreview" topLeftCell="A8" zoomScale="70" zoomScaleNormal="70" zoomScaleSheetLayoutView="70" workbookViewId="0">
      <selection activeCell="N17" sqref="N17"/>
    </sheetView>
  </sheetViews>
  <sheetFormatPr defaultRowHeight="32.5" customHeight="1" x14ac:dyDescent="0.35"/>
  <cols>
    <col min="1" max="1" width="4.90625" customWidth="1"/>
    <col min="2" max="2" width="31.08984375" customWidth="1"/>
    <col min="3" max="3" width="16.453125" customWidth="1"/>
    <col min="4" max="4" width="17.08984375" customWidth="1"/>
    <col min="5" max="5" width="14.36328125" customWidth="1"/>
    <col min="6" max="6" width="7" style="9" customWidth="1"/>
    <col min="7" max="7" width="10.08984375" customWidth="1"/>
    <col min="8" max="8" width="8.36328125" style="8" customWidth="1"/>
    <col min="9" max="9" width="6.90625" style="7" customWidth="1"/>
    <col min="10" max="10" width="7.26953125" customWidth="1"/>
    <col min="11" max="11" width="11.453125" style="10" customWidth="1"/>
    <col min="12" max="12" width="6.6328125" customWidth="1"/>
    <col min="13" max="13" width="10.453125" style="10" customWidth="1"/>
    <col min="14" max="14" width="6.36328125" customWidth="1"/>
    <col min="15" max="15" width="10.453125" style="10" customWidth="1"/>
    <col min="16" max="16" width="6.6328125" customWidth="1"/>
  </cols>
  <sheetData>
    <row r="1" spans="1:17" ht="42.75" customHeight="1" x14ac:dyDescent="0.35">
      <c r="A1" s="33" t="s">
        <v>78</v>
      </c>
      <c r="B1" s="34"/>
      <c r="C1" s="34"/>
      <c r="D1" s="34"/>
      <c r="E1" s="34"/>
      <c r="F1" s="34"/>
      <c r="G1" s="34"/>
      <c r="H1" s="34"/>
      <c r="I1" s="34"/>
      <c r="J1" s="34"/>
      <c r="K1" s="34"/>
      <c r="L1" s="34"/>
      <c r="M1" s="34"/>
      <c r="N1" s="34"/>
      <c r="O1" s="34"/>
      <c r="P1" s="34"/>
    </row>
    <row r="2" spans="1:17" s="1" customFormat="1" ht="28.5" customHeight="1" x14ac:dyDescent="0.4">
      <c r="A2" s="41" t="s">
        <v>24</v>
      </c>
      <c r="B2" s="42"/>
      <c r="E2" s="5"/>
      <c r="F2" s="5"/>
      <c r="G2" s="47" t="s">
        <v>20</v>
      </c>
      <c r="H2" s="47"/>
      <c r="I2" s="47"/>
      <c r="J2" s="47"/>
      <c r="K2" s="47"/>
      <c r="L2" s="47"/>
      <c r="M2" s="47"/>
      <c r="N2" s="47"/>
      <c r="O2" s="47"/>
      <c r="P2" s="47"/>
    </row>
    <row r="3" spans="1:17" s="1" customFormat="1" ht="18.75" customHeight="1" x14ac:dyDescent="0.35">
      <c r="A3" s="43" t="s">
        <v>25</v>
      </c>
      <c r="B3" s="43"/>
      <c r="C3" s="2"/>
      <c r="E3" s="6"/>
      <c r="F3" s="6"/>
      <c r="G3" s="33" t="s">
        <v>21</v>
      </c>
      <c r="H3" s="33"/>
      <c r="I3" s="33"/>
      <c r="J3" s="33"/>
      <c r="K3" s="33"/>
      <c r="L3" s="33"/>
      <c r="M3" s="33"/>
      <c r="N3" s="33"/>
      <c r="O3" s="33"/>
      <c r="P3" s="33"/>
    </row>
    <row r="4" spans="1:17" ht="44.25" customHeight="1" x14ac:dyDescent="0.35">
      <c r="A4" s="33" t="s">
        <v>81</v>
      </c>
      <c r="B4" s="44"/>
      <c r="C4" s="44"/>
      <c r="D4" s="44"/>
      <c r="E4" s="44"/>
      <c r="F4" s="44"/>
      <c r="G4" s="44"/>
      <c r="H4" s="44"/>
      <c r="I4" s="44"/>
      <c r="J4" s="44"/>
      <c r="K4" s="44"/>
      <c r="L4" s="44"/>
      <c r="M4" s="44"/>
      <c r="N4" s="44"/>
      <c r="O4" s="44"/>
      <c r="P4" s="44"/>
    </row>
    <row r="5" spans="1:17" ht="9" customHeight="1" x14ac:dyDescent="0.35">
      <c r="A5" s="50"/>
      <c r="B5" s="50"/>
      <c r="C5" s="50"/>
      <c r="D5" s="50"/>
      <c r="E5" s="50"/>
      <c r="F5" s="50"/>
      <c r="G5" s="50"/>
      <c r="H5" s="50"/>
      <c r="I5" s="50"/>
      <c r="J5" s="50"/>
      <c r="K5" s="50"/>
      <c r="L5" s="50"/>
      <c r="M5" s="50"/>
      <c r="N5" s="50"/>
      <c r="O5" s="50"/>
      <c r="P5" s="50"/>
    </row>
    <row r="6" spans="1:17" ht="20.25" customHeight="1" x14ac:dyDescent="0.35">
      <c r="A6" s="35" t="s">
        <v>0</v>
      </c>
      <c r="B6" s="35" t="s">
        <v>1</v>
      </c>
      <c r="C6" s="35" t="s">
        <v>2</v>
      </c>
      <c r="D6" s="35" t="s">
        <v>26</v>
      </c>
      <c r="E6" s="35" t="s">
        <v>66</v>
      </c>
      <c r="F6" s="35" t="s">
        <v>12</v>
      </c>
      <c r="G6" s="37" t="s">
        <v>72</v>
      </c>
      <c r="H6" s="45" t="s">
        <v>50</v>
      </c>
      <c r="I6" s="45" t="s">
        <v>51</v>
      </c>
      <c r="J6" s="51" t="s">
        <v>57</v>
      </c>
      <c r="K6" s="48" t="s">
        <v>52</v>
      </c>
      <c r="L6" s="49"/>
      <c r="M6" s="48" t="s">
        <v>53</v>
      </c>
      <c r="N6" s="49"/>
      <c r="O6" s="48" t="s">
        <v>54</v>
      </c>
      <c r="P6" s="49"/>
      <c r="Q6" s="1"/>
    </row>
    <row r="7" spans="1:17" ht="65.25" customHeight="1" x14ac:dyDescent="0.35">
      <c r="A7" s="36"/>
      <c r="B7" s="36"/>
      <c r="C7" s="36"/>
      <c r="D7" s="36"/>
      <c r="E7" s="36"/>
      <c r="F7" s="36"/>
      <c r="G7" s="38"/>
      <c r="H7" s="46"/>
      <c r="I7" s="46"/>
      <c r="J7" s="52"/>
      <c r="K7" s="14" t="s">
        <v>55</v>
      </c>
      <c r="L7" s="14" t="s">
        <v>56</v>
      </c>
      <c r="M7" s="14" t="s">
        <v>55</v>
      </c>
      <c r="N7" s="14" t="s">
        <v>56</v>
      </c>
      <c r="O7" s="14" t="s">
        <v>55</v>
      </c>
      <c r="P7" s="14" t="s">
        <v>56</v>
      </c>
      <c r="Q7" s="1"/>
    </row>
    <row r="8" spans="1:17" ht="102" customHeight="1" x14ac:dyDescent="0.35">
      <c r="A8" s="28" t="s">
        <v>13</v>
      </c>
      <c r="B8" s="28" t="s">
        <v>14</v>
      </c>
      <c r="C8" s="28" t="s">
        <v>15</v>
      </c>
      <c r="D8" s="28" t="s">
        <v>16</v>
      </c>
      <c r="E8" s="28" t="s">
        <v>17</v>
      </c>
      <c r="F8" s="28" t="s">
        <v>18</v>
      </c>
      <c r="G8" s="28" t="s">
        <v>19</v>
      </c>
      <c r="H8" s="28" t="s">
        <v>67</v>
      </c>
      <c r="I8" s="28" t="s">
        <v>77</v>
      </c>
      <c r="J8" s="28" t="s">
        <v>76</v>
      </c>
      <c r="K8" s="28" t="s">
        <v>70</v>
      </c>
      <c r="L8" s="28" t="s">
        <v>75</v>
      </c>
      <c r="M8" s="28" t="s">
        <v>69</v>
      </c>
      <c r="N8" s="28" t="s">
        <v>73</v>
      </c>
      <c r="O8" s="28" t="s">
        <v>71</v>
      </c>
      <c r="P8" s="28" t="s">
        <v>74</v>
      </c>
    </row>
    <row r="9" spans="1:17" ht="31.5" customHeight="1" x14ac:dyDescent="0.35">
      <c r="A9" s="15" t="s">
        <v>3</v>
      </c>
      <c r="B9" s="39" t="s">
        <v>65</v>
      </c>
      <c r="C9" s="39"/>
      <c r="D9" s="39"/>
      <c r="E9" s="39"/>
      <c r="F9" s="39"/>
      <c r="G9" s="39"/>
      <c r="H9" s="39"/>
      <c r="I9" s="39"/>
      <c r="J9" s="39"/>
      <c r="K9" s="39"/>
      <c r="L9" s="39"/>
      <c r="M9" s="39"/>
      <c r="N9" s="39"/>
      <c r="O9" s="39"/>
      <c r="P9" s="39"/>
    </row>
    <row r="10" spans="1:17" ht="15" x14ac:dyDescent="0.35">
      <c r="A10" s="16">
        <v>1</v>
      </c>
      <c r="B10" s="57" t="s">
        <v>4</v>
      </c>
      <c r="C10" s="57"/>
      <c r="D10" s="57"/>
      <c r="E10" s="57"/>
      <c r="F10" s="16">
        <f>SUM(F11:F20)</f>
        <v>4</v>
      </c>
      <c r="G10" s="17"/>
      <c r="H10" s="17"/>
      <c r="I10" s="17"/>
      <c r="J10" s="16">
        <f>SUM(J11:J20)</f>
        <v>4.5</v>
      </c>
      <c r="K10" s="16">
        <f>SUM(K11:K20)</f>
        <v>3.5</v>
      </c>
      <c r="L10" s="16">
        <f>SUM(L11:L20)</f>
        <v>4</v>
      </c>
      <c r="M10" s="16">
        <f>SUM(M11:M20)</f>
        <v>2.75</v>
      </c>
      <c r="N10" s="16">
        <f>SUM(N11:N20)</f>
        <v>3.125</v>
      </c>
      <c r="O10" s="16">
        <f>SUM(O11:O20)</f>
        <v>2.5</v>
      </c>
      <c r="P10" s="16">
        <f>SUM(P11:P20)</f>
        <v>3</v>
      </c>
    </row>
    <row r="11" spans="1:17" ht="139.5" x14ac:dyDescent="0.35">
      <c r="A11" s="11" t="s">
        <v>22</v>
      </c>
      <c r="B11" s="67" t="s">
        <v>82</v>
      </c>
      <c r="C11" s="11" t="s">
        <v>30</v>
      </c>
      <c r="D11" s="11" t="s">
        <v>34</v>
      </c>
      <c r="E11" s="11" t="s">
        <v>80</v>
      </c>
      <c r="F11" s="11">
        <v>1</v>
      </c>
      <c r="G11" s="11" t="s">
        <v>44</v>
      </c>
      <c r="H11" s="11">
        <f>IF(G11="Khó và phức tạp",200,IF(G11="Cao",150,IF(G11="Trungbình",120,100)))</f>
        <v>150</v>
      </c>
      <c r="I11" s="11">
        <f>H11*0.01</f>
        <v>1.5</v>
      </c>
      <c r="J11" s="11">
        <f>F11*I11</f>
        <v>1.5</v>
      </c>
      <c r="K11" s="12">
        <f>F11*100%</f>
        <v>1</v>
      </c>
      <c r="L11" s="18">
        <f>K11*I11</f>
        <v>1.5</v>
      </c>
      <c r="M11" s="12">
        <f>K11*75%</f>
        <v>0.75</v>
      </c>
      <c r="N11" s="18">
        <f>I11*M11</f>
        <v>1.125</v>
      </c>
      <c r="O11" s="12">
        <f>K11*100%</f>
        <v>1</v>
      </c>
      <c r="P11" s="18">
        <f>I11*O11</f>
        <v>1.5</v>
      </c>
    </row>
    <row r="12" spans="1:17" ht="62" x14ac:dyDescent="0.35">
      <c r="A12" s="11" t="s">
        <v>23</v>
      </c>
      <c r="B12" s="19" t="s">
        <v>83</v>
      </c>
      <c r="C12" s="11" t="s">
        <v>30</v>
      </c>
      <c r="D12" s="11" t="s">
        <v>34</v>
      </c>
      <c r="E12" s="11" t="s">
        <v>80</v>
      </c>
      <c r="F12" s="11">
        <v>1</v>
      </c>
      <c r="G12" s="11" t="s">
        <v>43</v>
      </c>
      <c r="H12" s="11">
        <f t="shared" ref="H12:H13" si="0">IF(G12="Khó và phức tạp",200,IF(G12="Cao",150,IF(G12="Trungbình",120,100)))</f>
        <v>100</v>
      </c>
      <c r="I12" s="11">
        <f t="shared" ref="I12:I13" si="1">H12*0.01</f>
        <v>1</v>
      </c>
      <c r="J12" s="11">
        <f t="shared" ref="J12:J13" si="2">F12*I12</f>
        <v>1</v>
      </c>
      <c r="K12" s="12">
        <f>F12*50%</f>
        <v>0.5</v>
      </c>
      <c r="L12" s="18">
        <f t="shared" ref="L12:L13" si="3">K12*I12</f>
        <v>0.5</v>
      </c>
      <c r="M12" s="20">
        <f>K12*100%</f>
        <v>0.5</v>
      </c>
      <c r="N12" s="18">
        <f t="shared" ref="N12:N13" si="4">I12*M12</f>
        <v>0.5</v>
      </c>
      <c r="O12" s="20">
        <f>K12*100%</f>
        <v>0.5</v>
      </c>
      <c r="P12" s="18">
        <f t="shared" ref="P12:P13" si="5">I12*O12</f>
        <v>0.5</v>
      </c>
    </row>
    <row r="13" spans="1:17" ht="124" x14ac:dyDescent="0.35">
      <c r="A13" s="11" t="s">
        <v>33</v>
      </c>
      <c r="B13" s="19" t="s">
        <v>84</v>
      </c>
      <c r="C13" s="11" t="s">
        <v>30</v>
      </c>
      <c r="D13" s="11" t="s">
        <v>34</v>
      </c>
      <c r="E13" s="11" t="s">
        <v>80</v>
      </c>
      <c r="F13" s="11">
        <v>1</v>
      </c>
      <c r="G13" s="11" t="s">
        <v>43</v>
      </c>
      <c r="H13" s="11">
        <f t="shared" si="0"/>
        <v>100</v>
      </c>
      <c r="I13" s="11">
        <f t="shared" si="1"/>
        <v>1</v>
      </c>
      <c r="J13" s="11">
        <f t="shared" si="2"/>
        <v>1</v>
      </c>
      <c r="K13" s="12">
        <f t="shared" ref="K13:K14" si="6">F13*100%</f>
        <v>1</v>
      </c>
      <c r="L13" s="18">
        <f t="shared" si="3"/>
        <v>1</v>
      </c>
      <c r="M13" s="12">
        <f t="shared" ref="M13:M14" si="7">K13*75%</f>
        <v>0.75</v>
      </c>
      <c r="N13" s="18">
        <f t="shared" si="4"/>
        <v>0.75</v>
      </c>
      <c r="O13" s="12">
        <f t="shared" ref="O13:O14" si="8">K13*50%</f>
        <v>0.5</v>
      </c>
      <c r="P13" s="18">
        <f t="shared" si="5"/>
        <v>0.5</v>
      </c>
    </row>
    <row r="14" spans="1:17" ht="144" x14ac:dyDescent="0.35">
      <c r="A14" s="11" t="s">
        <v>49</v>
      </c>
      <c r="B14" s="29" t="s">
        <v>85</v>
      </c>
      <c r="C14" s="11" t="s">
        <v>30</v>
      </c>
      <c r="D14" s="11" t="s">
        <v>34</v>
      </c>
      <c r="E14" s="11" t="s">
        <v>80</v>
      </c>
      <c r="F14" s="11">
        <v>1</v>
      </c>
      <c r="G14" s="11" t="s">
        <v>43</v>
      </c>
      <c r="H14" s="11">
        <f t="shared" ref="H14" si="9">IF(G14="Khó và phức tạp",200,IF(G14="Cao",150,IF(G14="Trungbình",120,100)))</f>
        <v>100</v>
      </c>
      <c r="I14" s="11">
        <f t="shared" ref="I14" si="10">H14*0.01</f>
        <v>1</v>
      </c>
      <c r="J14" s="11">
        <f t="shared" ref="J14" si="11">F14*I14</f>
        <v>1</v>
      </c>
      <c r="K14" s="12">
        <f t="shared" si="6"/>
        <v>1</v>
      </c>
      <c r="L14" s="18">
        <f t="shared" ref="L14" si="12">K14*I14</f>
        <v>1</v>
      </c>
      <c r="M14" s="12">
        <f t="shared" si="7"/>
        <v>0.75</v>
      </c>
      <c r="N14" s="18">
        <f t="shared" ref="N14" si="13">I14*M14</f>
        <v>0.75</v>
      </c>
      <c r="O14" s="12">
        <f t="shared" si="8"/>
        <v>0.5</v>
      </c>
      <c r="P14" s="18">
        <f t="shared" ref="P14" si="14">I14*O14</f>
        <v>0.5</v>
      </c>
    </row>
    <row r="15" spans="1:17" ht="15.5" x14ac:dyDescent="0.35">
      <c r="A15" s="11"/>
      <c r="B15" s="19"/>
      <c r="C15" s="11"/>
      <c r="D15" s="11"/>
      <c r="E15" s="11"/>
      <c r="F15" s="11"/>
      <c r="G15" s="11"/>
      <c r="H15" s="11"/>
      <c r="I15" s="11"/>
      <c r="J15" s="11"/>
      <c r="K15" s="12"/>
      <c r="L15" s="18"/>
      <c r="M15" s="12"/>
      <c r="N15" s="18"/>
      <c r="O15" s="12"/>
      <c r="P15" s="18"/>
    </row>
    <row r="16" spans="1:17" ht="15.5" x14ac:dyDescent="0.35">
      <c r="A16" s="11"/>
      <c r="B16" s="19"/>
      <c r="C16" s="11"/>
      <c r="D16" s="11"/>
      <c r="E16" s="11"/>
      <c r="F16" s="11"/>
      <c r="G16" s="11"/>
      <c r="H16" s="11"/>
      <c r="I16" s="11"/>
      <c r="J16" s="11"/>
      <c r="K16" s="12"/>
      <c r="L16" s="18"/>
      <c r="M16" s="12"/>
      <c r="N16" s="18"/>
      <c r="O16" s="12"/>
      <c r="P16" s="18"/>
    </row>
    <row r="17" spans="1:16" ht="15.5" x14ac:dyDescent="0.35">
      <c r="A17" s="11"/>
      <c r="B17" s="19"/>
      <c r="C17" s="11"/>
      <c r="D17" s="11"/>
      <c r="E17" s="11"/>
      <c r="F17" s="11"/>
      <c r="G17" s="11"/>
      <c r="H17" s="11"/>
      <c r="I17" s="11"/>
      <c r="J17" s="11"/>
      <c r="K17" s="12"/>
      <c r="L17" s="18"/>
      <c r="M17" s="12"/>
      <c r="N17" s="18"/>
      <c r="O17" s="12"/>
      <c r="P17" s="18"/>
    </row>
    <row r="18" spans="1:16" ht="15.5" x14ac:dyDescent="0.35">
      <c r="A18" s="11"/>
      <c r="B18" s="19"/>
      <c r="C18" s="11"/>
      <c r="D18" s="11"/>
      <c r="E18" s="11"/>
      <c r="F18" s="11"/>
      <c r="G18" s="11"/>
      <c r="H18" s="11"/>
      <c r="I18" s="11"/>
      <c r="J18" s="11"/>
      <c r="K18" s="12"/>
      <c r="L18" s="18"/>
      <c r="M18" s="12"/>
      <c r="N18" s="18"/>
      <c r="O18" s="12"/>
      <c r="P18" s="18"/>
    </row>
    <row r="19" spans="1:16" ht="15.5" x14ac:dyDescent="0.35">
      <c r="A19" s="11"/>
      <c r="B19" s="19"/>
      <c r="C19" s="11"/>
      <c r="D19" s="11"/>
      <c r="E19" s="11"/>
      <c r="F19" s="11"/>
      <c r="G19" s="11"/>
      <c r="H19" s="11"/>
      <c r="I19" s="11"/>
      <c r="J19" s="11"/>
      <c r="K19" s="12"/>
      <c r="L19" s="18"/>
      <c r="M19" s="12"/>
      <c r="N19" s="18"/>
      <c r="O19" s="12"/>
      <c r="P19" s="18"/>
    </row>
    <row r="20" spans="1:16" ht="15.5" x14ac:dyDescent="0.35">
      <c r="A20" s="11"/>
      <c r="B20" s="19"/>
      <c r="C20" s="11"/>
      <c r="D20" s="11"/>
      <c r="E20" s="11"/>
      <c r="F20" s="11"/>
      <c r="G20" s="11"/>
      <c r="H20" s="11"/>
      <c r="I20" s="11"/>
      <c r="J20" s="11"/>
      <c r="K20" s="12"/>
      <c r="L20" s="18"/>
      <c r="M20" s="12"/>
      <c r="N20" s="18"/>
      <c r="O20" s="12"/>
      <c r="P20" s="18"/>
    </row>
    <row r="21" spans="1:16" ht="15" x14ac:dyDescent="0.35">
      <c r="A21" s="16">
        <v>2</v>
      </c>
      <c r="B21" s="57" t="s">
        <v>6</v>
      </c>
      <c r="C21" s="57"/>
      <c r="D21" s="57"/>
      <c r="E21" s="57"/>
      <c r="F21" s="16">
        <f>SUM(F22:F23)</f>
        <v>2</v>
      </c>
      <c r="G21" s="17"/>
      <c r="H21" s="17"/>
      <c r="I21" s="17"/>
      <c r="J21" s="16">
        <f t="shared" ref="J21:P21" si="15">SUM(J22:J23)</f>
        <v>3</v>
      </c>
      <c r="K21" s="16">
        <f t="shared" si="15"/>
        <v>2</v>
      </c>
      <c r="L21" s="16">
        <f t="shared" si="15"/>
        <v>3</v>
      </c>
      <c r="M21" s="16">
        <f t="shared" si="15"/>
        <v>1.5</v>
      </c>
      <c r="N21" s="16">
        <f t="shared" si="15"/>
        <v>2.25</v>
      </c>
      <c r="O21" s="16">
        <f t="shared" si="15"/>
        <v>1</v>
      </c>
      <c r="P21" s="16">
        <f t="shared" si="15"/>
        <v>1.5</v>
      </c>
    </row>
    <row r="22" spans="1:16" ht="126" x14ac:dyDescent="0.35">
      <c r="A22" s="11">
        <v>1.1000000000000001</v>
      </c>
      <c r="B22" s="29" t="s">
        <v>86</v>
      </c>
      <c r="C22" s="11" t="s">
        <v>30</v>
      </c>
      <c r="D22" s="11" t="s">
        <v>34</v>
      </c>
      <c r="E22" s="11" t="s">
        <v>42</v>
      </c>
      <c r="F22" s="11">
        <v>1</v>
      </c>
      <c r="G22" s="11" t="s">
        <v>44</v>
      </c>
      <c r="H22" s="11">
        <f t="shared" ref="H22:H23" si="16">IF(G22="Khó và phức tạp",200,IF(G22="Cao",150,IF(G22="Trungbình",120,100)))</f>
        <v>150</v>
      </c>
      <c r="I22" s="11">
        <f t="shared" ref="I22:I23" si="17">H22*0.01</f>
        <v>1.5</v>
      </c>
      <c r="J22" s="11">
        <f t="shared" ref="J22:J23" si="18">F22*I22</f>
        <v>1.5</v>
      </c>
      <c r="K22" s="12">
        <f>F22*100%</f>
        <v>1</v>
      </c>
      <c r="L22" s="18">
        <f t="shared" ref="L22:L23" si="19">K22*I22</f>
        <v>1.5</v>
      </c>
      <c r="M22" s="12">
        <f>K22*75%</f>
        <v>0.75</v>
      </c>
      <c r="N22" s="18">
        <f t="shared" ref="N22:N23" si="20">I22*M22</f>
        <v>1.125</v>
      </c>
      <c r="O22" s="12">
        <f>K22*50%</f>
        <v>0.5</v>
      </c>
      <c r="P22" s="18">
        <f t="shared" ref="P22:P23" si="21">I22*O22</f>
        <v>0.75</v>
      </c>
    </row>
    <row r="23" spans="1:16" ht="162" x14ac:dyDescent="0.35">
      <c r="A23" s="11">
        <v>1.2</v>
      </c>
      <c r="B23" s="29" t="s">
        <v>87</v>
      </c>
      <c r="C23" s="11" t="s">
        <v>30</v>
      </c>
      <c r="D23" s="11" t="s">
        <v>34</v>
      </c>
      <c r="E23" s="11" t="s">
        <v>42</v>
      </c>
      <c r="F23" s="11">
        <v>1</v>
      </c>
      <c r="G23" s="11" t="s">
        <v>44</v>
      </c>
      <c r="H23" s="11">
        <f t="shared" si="16"/>
        <v>150</v>
      </c>
      <c r="I23" s="11">
        <f t="shared" si="17"/>
        <v>1.5</v>
      </c>
      <c r="J23" s="11">
        <f t="shared" si="18"/>
        <v>1.5</v>
      </c>
      <c r="K23" s="12">
        <f>F23*100%</f>
        <v>1</v>
      </c>
      <c r="L23" s="18">
        <f t="shared" si="19"/>
        <v>1.5</v>
      </c>
      <c r="M23" s="12">
        <f>K23*75%</f>
        <v>0.75</v>
      </c>
      <c r="N23" s="18">
        <f t="shared" si="20"/>
        <v>1.125</v>
      </c>
      <c r="O23" s="12">
        <f>K23*50%</f>
        <v>0.5</v>
      </c>
      <c r="P23" s="18">
        <f t="shared" si="21"/>
        <v>0.75</v>
      </c>
    </row>
    <row r="24" spans="1:16" ht="15" x14ac:dyDescent="0.35">
      <c r="A24" s="16">
        <v>3</v>
      </c>
      <c r="B24" s="57" t="s">
        <v>7</v>
      </c>
      <c r="C24" s="57"/>
      <c r="D24" s="57"/>
      <c r="E24" s="57"/>
      <c r="F24" s="16">
        <f>SUM(F25:F26)</f>
        <v>0</v>
      </c>
      <c r="G24" s="17"/>
      <c r="H24" s="17"/>
      <c r="I24" s="17"/>
      <c r="J24" s="16">
        <f t="shared" ref="J24:P24" si="22">SUM(J25:J26)</f>
        <v>0</v>
      </c>
      <c r="K24" s="16">
        <f t="shared" si="22"/>
        <v>0</v>
      </c>
      <c r="L24" s="16">
        <f t="shared" si="22"/>
        <v>0</v>
      </c>
      <c r="M24" s="16">
        <f t="shared" si="22"/>
        <v>0</v>
      </c>
      <c r="N24" s="16">
        <f t="shared" si="22"/>
        <v>0</v>
      </c>
      <c r="O24" s="16">
        <f t="shared" si="22"/>
        <v>0</v>
      </c>
      <c r="P24" s="16">
        <f t="shared" si="22"/>
        <v>0</v>
      </c>
    </row>
    <row r="25" spans="1:16" ht="31" x14ac:dyDescent="0.35">
      <c r="A25" s="11"/>
      <c r="B25" s="19" t="s">
        <v>5</v>
      </c>
      <c r="C25" s="11" t="s">
        <v>31</v>
      </c>
      <c r="D25" s="11" t="s">
        <v>47</v>
      </c>
      <c r="E25" s="11" t="s">
        <v>42</v>
      </c>
      <c r="F25" s="11"/>
      <c r="G25" s="11" t="s">
        <v>44</v>
      </c>
      <c r="H25" s="11">
        <f>IF(G25="Khó và phức tạp",200,IF(G25="Cao",150,IF(G25="Trungbình",120,100)))</f>
        <v>150</v>
      </c>
      <c r="I25" s="11">
        <f>H25*0.01</f>
        <v>1.5</v>
      </c>
      <c r="J25" s="11">
        <f>F25*I25</f>
        <v>0</v>
      </c>
      <c r="K25" s="12">
        <f>F25*100%</f>
        <v>0</v>
      </c>
      <c r="L25" s="18">
        <f t="shared" ref="L25:L26" si="23">K25*I25</f>
        <v>0</v>
      </c>
      <c r="M25" s="12">
        <f>K25*75%</f>
        <v>0</v>
      </c>
      <c r="N25" s="18">
        <f>I25*M25</f>
        <v>0</v>
      </c>
      <c r="O25" s="12">
        <f>K25*100%</f>
        <v>0</v>
      </c>
      <c r="P25" s="18">
        <f>I25*O25</f>
        <v>0</v>
      </c>
    </row>
    <row r="26" spans="1:16" ht="31" x14ac:dyDescent="0.35">
      <c r="A26" s="11"/>
      <c r="B26" s="19" t="s">
        <v>5</v>
      </c>
      <c r="C26" s="11" t="s">
        <v>29</v>
      </c>
      <c r="D26" s="11" t="s">
        <v>47</v>
      </c>
      <c r="E26" s="11" t="s">
        <v>42</v>
      </c>
      <c r="F26" s="11"/>
      <c r="G26" s="11" t="s">
        <v>44</v>
      </c>
      <c r="H26" s="11">
        <f>IF(G26="Khó và phức tạp",200,IF(G26="Cao",150,IF(G26="Trungbình",120,100)))</f>
        <v>150</v>
      </c>
      <c r="I26" s="11">
        <f>H26*0.01</f>
        <v>1.5</v>
      </c>
      <c r="J26" s="11">
        <f>F26*I26</f>
        <v>0</v>
      </c>
      <c r="K26" s="12">
        <f>F26*100%</f>
        <v>0</v>
      </c>
      <c r="L26" s="18">
        <f t="shared" si="23"/>
        <v>0</v>
      </c>
      <c r="M26" s="12">
        <f>K26*75%</f>
        <v>0</v>
      </c>
      <c r="N26" s="18">
        <f>I26*M26</f>
        <v>0</v>
      </c>
      <c r="O26" s="12">
        <f>K26*100%</f>
        <v>0</v>
      </c>
      <c r="P26" s="18">
        <f>I26*O26</f>
        <v>0</v>
      </c>
    </row>
    <row r="27" spans="1:16" ht="15" x14ac:dyDescent="0.35">
      <c r="A27" s="16">
        <v>4</v>
      </c>
      <c r="B27" s="58" t="s">
        <v>8</v>
      </c>
      <c r="C27" s="58"/>
      <c r="D27" s="58"/>
      <c r="E27" s="58"/>
      <c r="F27" s="16">
        <f>SUM(F28:F33)</f>
        <v>1</v>
      </c>
      <c r="G27" s="17"/>
      <c r="H27" s="17"/>
      <c r="I27" s="17"/>
      <c r="J27" s="16">
        <f t="shared" ref="J27:P27" si="24">SUM(J28:J33)</f>
        <v>1</v>
      </c>
      <c r="K27" s="16">
        <f t="shared" si="24"/>
        <v>1</v>
      </c>
      <c r="L27" s="16">
        <f t="shared" si="24"/>
        <v>1</v>
      </c>
      <c r="M27" s="16">
        <f t="shared" si="24"/>
        <v>0.75</v>
      </c>
      <c r="N27" s="16">
        <f t="shared" si="24"/>
        <v>0.75</v>
      </c>
      <c r="O27" s="16">
        <f t="shared" si="24"/>
        <v>0.5</v>
      </c>
      <c r="P27" s="16">
        <f t="shared" si="24"/>
        <v>0.5</v>
      </c>
    </row>
    <row r="28" spans="1:16" ht="62" x14ac:dyDescent="0.35">
      <c r="A28" s="11"/>
      <c r="B28" s="19" t="s">
        <v>88</v>
      </c>
      <c r="C28" s="11" t="s">
        <v>35</v>
      </c>
      <c r="D28" s="11" t="s">
        <v>34</v>
      </c>
      <c r="E28" s="11" t="s">
        <v>80</v>
      </c>
      <c r="F28" s="11">
        <v>1</v>
      </c>
      <c r="G28" s="11" t="s">
        <v>43</v>
      </c>
      <c r="H28" s="11">
        <f t="shared" ref="H28" si="25">IF(G28="Khó và phức tạp",200,IF(G28="Cao",150,IF(G28="Trungbình",120,100)))</f>
        <v>100</v>
      </c>
      <c r="I28" s="11">
        <f t="shared" ref="I28" si="26">H28*0.01</f>
        <v>1</v>
      </c>
      <c r="J28" s="11">
        <f t="shared" ref="J28" si="27">F28*I28</f>
        <v>1</v>
      </c>
      <c r="K28" s="12">
        <f>F28*100%</f>
        <v>1</v>
      </c>
      <c r="L28" s="18">
        <f t="shared" ref="L28" si="28">K28*I28</f>
        <v>1</v>
      </c>
      <c r="M28" s="12">
        <f>K28*75%</f>
        <v>0.75</v>
      </c>
      <c r="N28" s="18">
        <f t="shared" ref="N28" si="29">I28*M28</f>
        <v>0.75</v>
      </c>
      <c r="O28" s="12">
        <f>K28*50%</f>
        <v>0.5</v>
      </c>
      <c r="P28" s="18">
        <f t="shared" ref="P28" si="30">I28*O28</f>
        <v>0.5</v>
      </c>
    </row>
    <row r="29" spans="1:16" ht="31" x14ac:dyDescent="0.35">
      <c r="A29" s="11"/>
      <c r="B29" s="19" t="s">
        <v>5</v>
      </c>
      <c r="C29" s="11" t="s">
        <v>36</v>
      </c>
      <c r="D29" s="11" t="s">
        <v>63</v>
      </c>
      <c r="E29" s="11" t="s">
        <v>42</v>
      </c>
      <c r="F29" s="11"/>
      <c r="G29" s="11" t="s">
        <v>45</v>
      </c>
      <c r="H29" s="11">
        <f t="shared" ref="H29:H33" si="31">IF(G29="Khó và phức tạp",200,IF(G29="Cao",150,IF(G29="Trungbình",120,100)))</f>
        <v>200</v>
      </c>
      <c r="I29" s="11">
        <f t="shared" ref="I29:I33" si="32">H29*0.01</f>
        <v>2</v>
      </c>
      <c r="J29" s="11">
        <f>F29*I29</f>
        <v>0</v>
      </c>
      <c r="K29" s="12">
        <f>F29*100%</f>
        <v>0</v>
      </c>
      <c r="L29" s="18">
        <f t="shared" ref="L29:L33" si="33">K29*I29</f>
        <v>0</v>
      </c>
      <c r="M29" s="12">
        <f>K29*75%</f>
        <v>0</v>
      </c>
      <c r="N29" s="18">
        <f>I29*M29</f>
        <v>0</v>
      </c>
      <c r="O29" s="12">
        <f>K29*100%</f>
        <v>0</v>
      </c>
      <c r="P29" s="18">
        <f>I29*O29</f>
        <v>0</v>
      </c>
    </row>
    <row r="30" spans="1:16" ht="31" x14ac:dyDescent="0.35">
      <c r="A30" s="11"/>
      <c r="B30" s="19" t="s">
        <v>5</v>
      </c>
      <c r="C30" s="11" t="s">
        <v>37</v>
      </c>
      <c r="D30" s="11" t="s">
        <v>64</v>
      </c>
      <c r="E30" s="11" t="s">
        <v>42</v>
      </c>
      <c r="F30" s="11"/>
      <c r="G30" s="11" t="s">
        <v>45</v>
      </c>
      <c r="H30" s="11">
        <f t="shared" si="31"/>
        <v>200</v>
      </c>
      <c r="I30" s="11">
        <f t="shared" si="32"/>
        <v>2</v>
      </c>
      <c r="J30" s="11">
        <f>F30*I30</f>
        <v>0</v>
      </c>
      <c r="K30" s="12">
        <f>F30*100%</f>
        <v>0</v>
      </c>
      <c r="L30" s="18">
        <f t="shared" si="33"/>
        <v>0</v>
      </c>
      <c r="M30" s="12">
        <f>K30*75%</f>
        <v>0</v>
      </c>
      <c r="N30" s="18">
        <f>I30*M30</f>
        <v>0</v>
      </c>
      <c r="O30" s="12">
        <f>K30*100%</f>
        <v>0</v>
      </c>
      <c r="P30" s="18">
        <f>I30*O30</f>
        <v>0</v>
      </c>
    </row>
    <row r="31" spans="1:16" ht="31" x14ac:dyDescent="0.35">
      <c r="A31" s="11"/>
      <c r="B31" s="19" t="s">
        <v>5</v>
      </c>
      <c r="C31" s="11" t="s">
        <v>38</v>
      </c>
      <c r="D31" s="11" t="s">
        <v>63</v>
      </c>
      <c r="E31" s="11" t="s">
        <v>42</v>
      </c>
      <c r="F31" s="11"/>
      <c r="G31" s="11" t="s">
        <v>45</v>
      </c>
      <c r="H31" s="11">
        <f t="shared" si="31"/>
        <v>200</v>
      </c>
      <c r="I31" s="11">
        <f t="shared" si="32"/>
        <v>2</v>
      </c>
      <c r="J31" s="11">
        <f>F31*I31</f>
        <v>0</v>
      </c>
      <c r="K31" s="12">
        <f>F31*100%</f>
        <v>0</v>
      </c>
      <c r="L31" s="18">
        <f t="shared" si="33"/>
        <v>0</v>
      </c>
      <c r="M31" s="12">
        <f>K31*75%</f>
        <v>0</v>
      </c>
      <c r="N31" s="18">
        <f>I31*M31</f>
        <v>0</v>
      </c>
      <c r="O31" s="12">
        <f>K31*100%</f>
        <v>0</v>
      </c>
      <c r="P31" s="18">
        <f>I31*O31</f>
        <v>0</v>
      </c>
    </row>
    <row r="32" spans="1:16" ht="31" x14ac:dyDescent="0.35">
      <c r="A32" s="11"/>
      <c r="B32" s="19" t="s">
        <v>5</v>
      </c>
      <c r="C32" s="11" t="s">
        <v>39</v>
      </c>
      <c r="D32" s="11" t="s">
        <v>46</v>
      </c>
      <c r="E32" s="11" t="s">
        <v>42</v>
      </c>
      <c r="F32" s="11"/>
      <c r="G32" s="11" t="s">
        <v>45</v>
      </c>
      <c r="H32" s="11">
        <f t="shared" si="31"/>
        <v>200</v>
      </c>
      <c r="I32" s="11">
        <f t="shared" si="32"/>
        <v>2</v>
      </c>
      <c r="J32" s="11">
        <f t="shared" ref="J32:J33" si="34">F32*I32</f>
        <v>0</v>
      </c>
      <c r="K32" s="12">
        <f t="shared" ref="K32:K33" si="35">F32*100%</f>
        <v>0</v>
      </c>
      <c r="L32" s="18">
        <f t="shared" si="33"/>
        <v>0</v>
      </c>
      <c r="M32" s="12">
        <f t="shared" ref="M32:M33" si="36">K32*75%</f>
        <v>0</v>
      </c>
      <c r="N32" s="18">
        <f t="shared" ref="N32:N33" si="37">I32*M32</f>
        <v>0</v>
      </c>
      <c r="O32" s="12">
        <f t="shared" ref="O32:O33" si="38">K32*100%</f>
        <v>0</v>
      </c>
      <c r="P32" s="18">
        <f t="shared" ref="P32:P33" si="39">I32*O32</f>
        <v>0</v>
      </c>
    </row>
    <row r="33" spans="1:16" ht="31" x14ac:dyDescent="0.35">
      <c r="A33" s="11"/>
      <c r="B33" s="19" t="s">
        <v>5</v>
      </c>
      <c r="C33" s="11" t="s">
        <v>40</v>
      </c>
      <c r="D33" s="11" t="s">
        <v>34</v>
      </c>
      <c r="E33" s="11" t="s">
        <v>42</v>
      </c>
      <c r="F33" s="11"/>
      <c r="G33" s="11" t="s">
        <v>45</v>
      </c>
      <c r="H33" s="11">
        <f t="shared" si="31"/>
        <v>200</v>
      </c>
      <c r="I33" s="11">
        <f t="shared" si="32"/>
        <v>2</v>
      </c>
      <c r="J33" s="11">
        <f t="shared" si="34"/>
        <v>0</v>
      </c>
      <c r="K33" s="12">
        <f t="shared" si="35"/>
        <v>0</v>
      </c>
      <c r="L33" s="18">
        <f t="shared" si="33"/>
        <v>0</v>
      </c>
      <c r="M33" s="12">
        <f t="shared" si="36"/>
        <v>0</v>
      </c>
      <c r="N33" s="18">
        <f t="shared" si="37"/>
        <v>0</v>
      </c>
      <c r="O33" s="12">
        <f t="shared" si="38"/>
        <v>0</v>
      </c>
      <c r="P33" s="18">
        <f t="shared" si="39"/>
        <v>0</v>
      </c>
    </row>
    <row r="34" spans="1:16" ht="15" x14ac:dyDescent="0.35">
      <c r="A34" s="16">
        <v>5</v>
      </c>
      <c r="B34" s="57" t="s">
        <v>9</v>
      </c>
      <c r="C34" s="57"/>
      <c r="D34" s="57"/>
      <c r="E34" s="57"/>
      <c r="F34" s="16">
        <f>SUM(F35:F40)</f>
        <v>0</v>
      </c>
      <c r="G34" s="17"/>
      <c r="H34" s="17"/>
      <c r="I34" s="17"/>
      <c r="J34" s="16">
        <f t="shared" ref="J34:P34" si="40">SUM(J35:J40)</f>
        <v>0</v>
      </c>
      <c r="K34" s="16">
        <f t="shared" si="40"/>
        <v>0</v>
      </c>
      <c r="L34" s="16">
        <f t="shared" si="40"/>
        <v>0</v>
      </c>
      <c r="M34" s="16">
        <f t="shared" si="40"/>
        <v>0</v>
      </c>
      <c r="N34" s="16">
        <f t="shared" si="40"/>
        <v>0</v>
      </c>
      <c r="O34" s="16">
        <f t="shared" si="40"/>
        <v>0</v>
      </c>
      <c r="P34" s="16">
        <f t="shared" si="40"/>
        <v>0</v>
      </c>
    </row>
    <row r="35" spans="1:16" ht="31" x14ac:dyDescent="0.35">
      <c r="A35" s="11"/>
      <c r="B35" s="19" t="s">
        <v>5</v>
      </c>
      <c r="C35" s="11" t="s">
        <v>35</v>
      </c>
      <c r="D35" s="11" t="s">
        <v>34</v>
      </c>
      <c r="E35" s="11" t="s">
        <v>42</v>
      </c>
      <c r="F35" s="11"/>
      <c r="G35" s="11" t="s">
        <v>45</v>
      </c>
      <c r="H35" s="11">
        <f t="shared" ref="H35:H40" si="41">IF(G35="Khó và phức tạp",200,IF(G35="Cao",150,IF(G35="Trungbình",120,100)))</f>
        <v>200</v>
      </c>
      <c r="I35" s="11">
        <f t="shared" ref="I35:I40" si="42">H35*0.01</f>
        <v>2</v>
      </c>
      <c r="J35" s="11">
        <f t="shared" ref="J35:J40" si="43">F35*I35</f>
        <v>0</v>
      </c>
      <c r="K35" s="12">
        <f t="shared" ref="K35:K40" si="44">F35*100%</f>
        <v>0</v>
      </c>
      <c r="L35" s="18">
        <f t="shared" ref="L35:L40" si="45">K35*I35</f>
        <v>0</v>
      </c>
      <c r="M35" s="12">
        <f t="shared" ref="M35:M40" si="46">K35*75%</f>
        <v>0</v>
      </c>
      <c r="N35" s="18">
        <f t="shared" ref="N35:N40" si="47">I35*M35</f>
        <v>0</v>
      </c>
      <c r="O35" s="12">
        <f t="shared" ref="O35:O40" si="48">K35*100%</f>
        <v>0</v>
      </c>
      <c r="P35" s="18">
        <f t="shared" ref="P35:P40" si="49">I35*O35</f>
        <v>0</v>
      </c>
    </row>
    <row r="36" spans="1:16" ht="31" x14ac:dyDescent="0.35">
      <c r="A36" s="11"/>
      <c r="B36" s="19" t="s">
        <v>5</v>
      </c>
      <c r="C36" s="11" t="s">
        <v>36</v>
      </c>
      <c r="D36" s="11" t="s">
        <v>34</v>
      </c>
      <c r="E36" s="11" t="s">
        <v>42</v>
      </c>
      <c r="F36" s="11"/>
      <c r="G36" s="11" t="s">
        <v>45</v>
      </c>
      <c r="H36" s="11">
        <f t="shared" si="41"/>
        <v>200</v>
      </c>
      <c r="I36" s="11">
        <f t="shared" si="42"/>
        <v>2</v>
      </c>
      <c r="J36" s="11">
        <f t="shared" si="43"/>
        <v>0</v>
      </c>
      <c r="K36" s="12">
        <f t="shared" si="44"/>
        <v>0</v>
      </c>
      <c r="L36" s="18">
        <f t="shared" si="45"/>
        <v>0</v>
      </c>
      <c r="M36" s="12">
        <f t="shared" si="46"/>
        <v>0</v>
      </c>
      <c r="N36" s="18">
        <f t="shared" si="47"/>
        <v>0</v>
      </c>
      <c r="O36" s="12">
        <f t="shared" si="48"/>
        <v>0</v>
      </c>
      <c r="P36" s="18">
        <f t="shared" si="49"/>
        <v>0</v>
      </c>
    </row>
    <row r="37" spans="1:16" ht="31" x14ac:dyDescent="0.35">
      <c r="A37" s="11"/>
      <c r="B37" s="19" t="s">
        <v>5</v>
      </c>
      <c r="C37" s="11" t="s">
        <v>37</v>
      </c>
      <c r="D37" s="11" t="s">
        <v>34</v>
      </c>
      <c r="E37" s="11" t="s">
        <v>42</v>
      </c>
      <c r="F37" s="11"/>
      <c r="G37" s="11" t="s">
        <v>45</v>
      </c>
      <c r="H37" s="11">
        <f t="shared" si="41"/>
        <v>200</v>
      </c>
      <c r="I37" s="11">
        <f t="shared" si="42"/>
        <v>2</v>
      </c>
      <c r="J37" s="11">
        <f t="shared" si="43"/>
        <v>0</v>
      </c>
      <c r="K37" s="12">
        <f t="shared" si="44"/>
        <v>0</v>
      </c>
      <c r="L37" s="18">
        <f t="shared" si="45"/>
        <v>0</v>
      </c>
      <c r="M37" s="12">
        <f t="shared" si="46"/>
        <v>0</v>
      </c>
      <c r="N37" s="18">
        <f t="shared" si="47"/>
        <v>0</v>
      </c>
      <c r="O37" s="12">
        <f t="shared" si="48"/>
        <v>0</v>
      </c>
      <c r="P37" s="18">
        <f t="shared" si="49"/>
        <v>0</v>
      </c>
    </row>
    <row r="38" spans="1:16" ht="31" x14ac:dyDescent="0.35">
      <c r="A38" s="11"/>
      <c r="B38" s="19" t="s">
        <v>5</v>
      </c>
      <c r="C38" s="11" t="s">
        <v>38</v>
      </c>
      <c r="D38" s="11" t="s">
        <v>34</v>
      </c>
      <c r="E38" s="11" t="s">
        <v>42</v>
      </c>
      <c r="F38" s="11"/>
      <c r="G38" s="11" t="s">
        <v>45</v>
      </c>
      <c r="H38" s="11">
        <f t="shared" si="41"/>
        <v>200</v>
      </c>
      <c r="I38" s="11">
        <f t="shared" si="42"/>
        <v>2</v>
      </c>
      <c r="J38" s="11">
        <f t="shared" si="43"/>
        <v>0</v>
      </c>
      <c r="K38" s="12">
        <f t="shared" si="44"/>
        <v>0</v>
      </c>
      <c r="L38" s="18">
        <f t="shared" si="45"/>
        <v>0</v>
      </c>
      <c r="M38" s="12">
        <f t="shared" si="46"/>
        <v>0</v>
      </c>
      <c r="N38" s="18">
        <f t="shared" si="47"/>
        <v>0</v>
      </c>
      <c r="O38" s="12">
        <f t="shared" si="48"/>
        <v>0</v>
      </c>
      <c r="P38" s="18">
        <f t="shared" si="49"/>
        <v>0</v>
      </c>
    </row>
    <row r="39" spans="1:16" ht="31" x14ac:dyDescent="0.35">
      <c r="A39" s="11"/>
      <c r="B39" s="19" t="s">
        <v>5</v>
      </c>
      <c r="C39" s="11" t="s">
        <v>39</v>
      </c>
      <c r="D39" s="11" t="s">
        <v>34</v>
      </c>
      <c r="E39" s="11" t="s">
        <v>42</v>
      </c>
      <c r="F39" s="11"/>
      <c r="G39" s="11" t="s">
        <v>45</v>
      </c>
      <c r="H39" s="11">
        <f t="shared" si="41"/>
        <v>200</v>
      </c>
      <c r="I39" s="11">
        <f t="shared" si="42"/>
        <v>2</v>
      </c>
      <c r="J39" s="11">
        <f t="shared" si="43"/>
        <v>0</v>
      </c>
      <c r="K39" s="12">
        <f t="shared" si="44"/>
        <v>0</v>
      </c>
      <c r="L39" s="18">
        <f t="shared" si="45"/>
        <v>0</v>
      </c>
      <c r="M39" s="12">
        <f t="shared" si="46"/>
        <v>0</v>
      </c>
      <c r="N39" s="18">
        <f t="shared" si="47"/>
        <v>0</v>
      </c>
      <c r="O39" s="12">
        <f t="shared" si="48"/>
        <v>0</v>
      </c>
      <c r="P39" s="18">
        <f t="shared" si="49"/>
        <v>0</v>
      </c>
    </row>
    <row r="40" spans="1:16" ht="31" x14ac:dyDescent="0.35">
      <c r="A40" s="11"/>
      <c r="B40" s="19" t="s">
        <v>5</v>
      </c>
      <c r="C40" s="11" t="s">
        <v>40</v>
      </c>
      <c r="D40" s="11" t="s">
        <v>34</v>
      </c>
      <c r="E40" s="11" t="s">
        <v>42</v>
      </c>
      <c r="F40" s="11"/>
      <c r="G40" s="11" t="s">
        <v>45</v>
      </c>
      <c r="H40" s="11">
        <f t="shared" si="41"/>
        <v>200</v>
      </c>
      <c r="I40" s="11">
        <f t="shared" si="42"/>
        <v>2</v>
      </c>
      <c r="J40" s="11">
        <f t="shared" si="43"/>
        <v>0</v>
      </c>
      <c r="K40" s="12">
        <f t="shared" si="44"/>
        <v>0</v>
      </c>
      <c r="L40" s="18">
        <f t="shared" si="45"/>
        <v>0</v>
      </c>
      <c r="M40" s="12">
        <f t="shared" si="46"/>
        <v>0</v>
      </c>
      <c r="N40" s="18">
        <f t="shared" si="47"/>
        <v>0</v>
      </c>
      <c r="O40" s="12">
        <f t="shared" si="48"/>
        <v>0</v>
      </c>
      <c r="P40" s="18">
        <f t="shared" si="49"/>
        <v>0</v>
      </c>
    </row>
    <row r="41" spans="1:16" ht="15" x14ac:dyDescent="0.35">
      <c r="A41" s="16">
        <v>6</v>
      </c>
      <c r="B41" s="53" t="s">
        <v>10</v>
      </c>
      <c r="C41" s="54"/>
      <c r="D41" s="54"/>
      <c r="E41" s="54"/>
      <c r="F41" s="16">
        <f>SUM(F42:F43)</f>
        <v>0</v>
      </c>
      <c r="G41" s="17"/>
      <c r="H41" s="17"/>
      <c r="I41" s="17"/>
      <c r="J41" s="16">
        <f t="shared" ref="J41:P41" si="50">SUM(J42:J43)</f>
        <v>0</v>
      </c>
      <c r="K41" s="16">
        <f t="shared" si="50"/>
        <v>0</v>
      </c>
      <c r="L41" s="16">
        <f t="shared" si="50"/>
        <v>0</v>
      </c>
      <c r="M41" s="16">
        <f t="shared" si="50"/>
        <v>0</v>
      </c>
      <c r="N41" s="16">
        <f t="shared" si="50"/>
        <v>0</v>
      </c>
      <c r="O41" s="16">
        <f t="shared" si="50"/>
        <v>0</v>
      </c>
      <c r="P41" s="16">
        <f t="shared" si="50"/>
        <v>0</v>
      </c>
    </row>
    <row r="42" spans="1:16" ht="31" x14ac:dyDescent="0.35">
      <c r="A42" s="11"/>
      <c r="B42" s="19" t="s">
        <v>5</v>
      </c>
      <c r="C42" s="11" t="s">
        <v>35</v>
      </c>
      <c r="D42" s="11" t="s">
        <v>34</v>
      </c>
      <c r="E42" s="11" t="s">
        <v>42</v>
      </c>
      <c r="F42" s="11"/>
      <c r="G42" s="11" t="s">
        <v>45</v>
      </c>
      <c r="H42" s="11">
        <f>IF(G42="Khó và phức tạp",200,IF(G42="Cao",150,IF(G42="Trungbình",120,100)))</f>
        <v>200</v>
      </c>
      <c r="I42" s="11">
        <f>H42*0.01</f>
        <v>2</v>
      </c>
      <c r="J42" s="11">
        <f t="shared" ref="J42:J43" si="51">F42*I42</f>
        <v>0</v>
      </c>
      <c r="K42" s="12">
        <f t="shared" ref="K42:K43" si="52">F42*100%</f>
        <v>0</v>
      </c>
      <c r="L42" s="18">
        <f t="shared" ref="L42:L43" si="53">K42*I42</f>
        <v>0</v>
      </c>
      <c r="M42" s="12">
        <f t="shared" ref="M42:M43" si="54">K42*75%</f>
        <v>0</v>
      </c>
      <c r="N42" s="18">
        <f t="shared" ref="N42:N43" si="55">I42*M42</f>
        <v>0</v>
      </c>
      <c r="O42" s="12">
        <f t="shared" ref="O42:O43" si="56">K42*100%</f>
        <v>0</v>
      </c>
      <c r="P42" s="18">
        <f t="shared" ref="P42:P43" si="57">I42*O42</f>
        <v>0</v>
      </c>
    </row>
    <row r="43" spans="1:16" ht="31" x14ac:dyDescent="0.35">
      <c r="A43" s="11"/>
      <c r="B43" s="19" t="s">
        <v>5</v>
      </c>
      <c r="C43" s="11" t="s">
        <v>36</v>
      </c>
      <c r="D43" s="11" t="s">
        <v>34</v>
      </c>
      <c r="E43" s="11" t="s">
        <v>42</v>
      </c>
      <c r="F43" s="11"/>
      <c r="G43" s="11" t="s">
        <v>45</v>
      </c>
      <c r="H43" s="11">
        <f>IF(G43="Khó và phức tạp",200,IF(G43="Cao",150,IF(G43="Trungbình",120,100)))</f>
        <v>200</v>
      </c>
      <c r="I43" s="11">
        <f>H43*0.01</f>
        <v>2</v>
      </c>
      <c r="J43" s="11">
        <f t="shared" si="51"/>
        <v>0</v>
      </c>
      <c r="K43" s="12">
        <f t="shared" si="52"/>
        <v>0</v>
      </c>
      <c r="L43" s="18">
        <f t="shared" si="53"/>
        <v>0</v>
      </c>
      <c r="M43" s="12">
        <f t="shared" si="54"/>
        <v>0</v>
      </c>
      <c r="N43" s="18">
        <f t="shared" si="55"/>
        <v>0</v>
      </c>
      <c r="O43" s="12">
        <f t="shared" si="56"/>
        <v>0</v>
      </c>
      <c r="P43" s="18">
        <f t="shared" si="57"/>
        <v>0</v>
      </c>
    </row>
    <row r="44" spans="1:16" ht="15" x14ac:dyDescent="0.35">
      <c r="A44" s="16" t="s">
        <v>11</v>
      </c>
      <c r="B44" s="55" t="s">
        <v>41</v>
      </c>
      <c r="C44" s="56"/>
      <c r="D44" s="56"/>
      <c r="E44" s="56"/>
      <c r="F44" s="16">
        <f>SUM(F45:F47)</f>
        <v>0</v>
      </c>
      <c r="G44" s="17"/>
      <c r="H44" s="17"/>
      <c r="I44" s="17"/>
      <c r="J44" s="16">
        <f t="shared" ref="J44:P44" si="58">SUM(J45:J47)</f>
        <v>0</v>
      </c>
      <c r="K44" s="16">
        <f t="shared" si="58"/>
        <v>0</v>
      </c>
      <c r="L44" s="16">
        <f t="shared" si="58"/>
        <v>0</v>
      </c>
      <c r="M44" s="16">
        <f t="shared" si="58"/>
        <v>0</v>
      </c>
      <c r="N44" s="16">
        <f t="shared" si="58"/>
        <v>0</v>
      </c>
      <c r="O44" s="16">
        <f t="shared" si="58"/>
        <v>0</v>
      </c>
      <c r="P44" s="16">
        <f t="shared" si="58"/>
        <v>0</v>
      </c>
    </row>
    <row r="45" spans="1:16" ht="31" x14ac:dyDescent="0.35">
      <c r="A45" s="11">
        <v>1</v>
      </c>
      <c r="B45" s="19"/>
      <c r="C45" s="11" t="s">
        <v>30</v>
      </c>
      <c r="D45" s="11" t="s">
        <v>34</v>
      </c>
      <c r="E45" s="11" t="s">
        <v>42</v>
      </c>
      <c r="F45" s="11"/>
      <c r="G45" s="11" t="s">
        <v>45</v>
      </c>
      <c r="H45" s="11">
        <f>IF(G45="Khó và phức tạp",200,IF(G45="Cao",150,IF(G45="Trungbình",120,100)))</f>
        <v>200</v>
      </c>
      <c r="I45" s="11">
        <f>H45*0.01</f>
        <v>2</v>
      </c>
      <c r="J45" s="11">
        <f t="shared" ref="J45:J47" si="59">F45*I45</f>
        <v>0</v>
      </c>
      <c r="K45" s="12">
        <f t="shared" ref="K45:K47" si="60">F45*100%</f>
        <v>0</v>
      </c>
      <c r="L45" s="18">
        <f t="shared" ref="L45:L47" si="61">K45*I45</f>
        <v>0</v>
      </c>
      <c r="M45" s="12">
        <f t="shared" ref="M45:M47" si="62">K45*75%</f>
        <v>0</v>
      </c>
      <c r="N45" s="18">
        <f t="shared" ref="N45:N47" si="63">I45*M45</f>
        <v>0</v>
      </c>
      <c r="O45" s="12">
        <f t="shared" ref="O45:O47" si="64">K45*100%</f>
        <v>0</v>
      </c>
      <c r="P45" s="18">
        <f t="shared" ref="P45:P47" si="65">I45*O45</f>
        <v>0</v>
      </c>
    </row>
    <row r="46" spans="1:16" ht="31" x14ac:dyDescent="0.35">
      <c r="A46" s="11">
        <v>2</v>
      </c>
      <c r="B46" s="19"/>
      <c r="C46" s="11" t="s">
        <v>35</v>
      </c>
      <c r="D46" s="11" t="s">
        <v>34</v>
      </c>
      <c r="E46" s="11" t="s">
        <v>42</v>
      </c>
      <c r="F46" s="11"/>
      <c r="G46" s="11" t="s">
        <v>45</v>
      </c>
      <c r="H46" s="11">
        <f>IF(G46="Khó và phức tạp",200,IF(G46="Cao",150,IF(G46="Trungbình",120,100)))</f>
        <v>200</v>
      </c>
      <c r="I46" s="11">
        <f>H46*0.01</f>
        <v>2</v>
      </c>
      <c r="J46" s="11">
        <f t="shared" si="59"/>
        <v>0</v>
      </c>
      <c r="K46" s="12">
        <f t="shared" si="60"/>
        <v>0</v>
      </c>
      <c r="L46" s="18">
        <f t="shared" si="61"/>
        <v>0</v>
      </c>
      <c r="M46" s="12">
        <f t="shared" si="62"/>
        <v>0</v>
      </c>
      <c r="N46" s="18">
        <f t="shared" si="63"/>
        <v>0</v>
      </c>
      <c r="O46" s="12">
        <f t="shared" si="64"/>
        <v>0</v>
      </c>
      <c r="P46" s="18">
        <f t="shared" si="65"/>
        <v>0</v>
      </c>
    </row>
    <row r="47" spans="1:16" ht="31" x14ac:dyDescent="0.35">
      <c r="A47" s="11" t="s">
        <v>5</v>
      </c>
      <c r="B47" s="19"/>
      <c r="C47" s="11" t="s">
        <v>36</v>
      </c>
      <c r="D47" s="11" t="s">
        <v>34</v>
      </c>
      <c r="E47" s="11" t="s">
        <v>42</v>
      </c>
      <c r="F47" s="11"/>
      <c r="G47" s="11" t="s">
        <v>45</v>
      </c>
      <c r="H47" s="11">
        <f>IF(G47="Khó và phức tạp",200,IF(G47="Cao",150,IF(G47="Trungbình",120,100)))</f>
        <v>200</v>
      </c>
      <c r="I47" s="11">
        <f>H47*0.01</f>
        <v>2</v>
      </c>
      <c r="J47" s="11">
        <f t="shared" si="59"/>
        <v>0</v>
      </c>
      <c r="K47" s="12">
        <f t="shared" si="60"/>
        <v>0</v>
      </c>
      <c r="L47" s="18">
        <f t="shared" si="61"/>
        <v>0</v>
      </c>
      <c r="M47" s="12">
        <f t="shared" si="62"/>
        <v>0</v>
      </c>
      <c r="N47" s="18">
        <f t="shared" si="63"/>
        <v>0</v>
      </c>
      <c r="O47" s="12">
        <f t="shared" si="64"/>
        <v>0</v>
      </c>
      <c r="P47" s="18">
        <f t="shared" si="65"/>
        <v>0</v>
      </c>
    </row>
    <row r="48" spans="1:16" s="3" customFormat="1" ht="15.5" x14ac:dyDescent="0.35">
      <c r="B48" s="40"/>
      <c r="C48" s="40"/>
      <c r="D48" s="40"/>
      <c r="E48" s="40"/>
      <c r="F48" s="40"/>
      <c r="G48" s="40"/>
      <c r="H48" s="40"/>
      <c r="I48" s="40"/>
      <c r="J48" s="40"/>
      <c r="K48" s="40"/>
      <c r="L48" s="40"/>
      <c r="M48" s="40"/>
      <c r="N48" s="40"/>
      <c r="O48" s="40"/>
      <c r="P48" s="40"/>
    </row>
    <row r="49" spans="1:16" s="4" customFormat="1" ht="131.25" customHeight="1" x14ac:dyDescent="0.35">
      <c r="A49" s="32" t="s">
        <v>28</v>
      </c>
      <c r="B49" s="32"/>
      <c r="C49" s="32"/>
      <c r="D49" s="13"/>
      <c r="G49" s="30" t="s">
        <v>27</v>
      </c>
      <c r="H49" s="30"/>
      <c r="I49" s="30"/>
      <c r="J49" s="30"/>
      <c r="K49" s="30"/>
      <c r="L49" s="31"/>
      <c r="M49" s="31"/>
      <c r="N49" s="31"/>
      <c r="O49" s="31"/>
      <c r="P49" s="31"/>
    </row>
  </sheetData>
  <mergeCells count="31">
    <mergeCell ref="B41:E41"/>
    <mergeCell ref="B44:E44"/>
    <mergeCell ref="B10:E10"/>
    <mergeCell ref="B21:E21"/>
    <mergeCell ref="B27:E27"/>
    <mergeCell ref="B24:E24"/>
    <mergeCell ref="B34:E34"/>
    <mergeCell ref="G2:P2"/>
    <mergeCell ref="G3:P3"/>
    <mergeCell ref="K6:L6"/>
    <mergeCell ref="M6:N6"/>
    <mergeCell ref="O6:P6"/>
    <mergeCell ref="A5:P5"/>
    <mergeCell ref="I6:I7"/>
    <mergeCell ref="J6:J7"/>
    <mergeCell ref="G49:P49"/>
    <mergeCell ref="A49:C49"/>
    <mergeCell ref="A1:P1"/>
    <mergeCell ref="F6:F7"/>
    <mergeCell ref="G6:G7"/>
    <mergeCell ref="A6:A7"/>
    <mergeCell ref="B6:B7"/>
    <mergeCell ref="C6:C7"/>
    <mergeCell ref="D6:D7"/>
    <mergeCell ref="E6:E7"/>
    <mergeCell ref="B9:P9"/>
    <mergeCell ref="B48:P48"/>
    <mergeCell ref="A2:B2"/>
    <mergeCell ref="A3:B3"/>
    <mergeCell ref="A4:P4"/>
    <mergeCell ref="H6:H7"/>
  </mergeCells>
  <phoneticPr fontId="28" type="noConversion"/>
  <conditionalFormatting sqref="C22:C23">
    <cfRule type="dataBar" priority="16">
      <dataBar>
        <cfvo type="min"/>
        <cfvo type="max"/>
        <color rgb="FF638EC6"/>
      </dataBar>
      <extLst>
        <ext xmlns:x14="http://schemas.microsoft.com/office/spreadsheetml/2009/9/main" uri="{B025F937-C7B1-47D3-B67F-A62EFF666E3E}">
          <x14:id>{6DD61475-5CC3-4BA6-A339-74AE97984AC0}</x14:id>
        </ext>
      </extLst>
    </cfRule>
  </conditionalFormatting>
  <conditionalFormatting sqref="C25">
    <cfRule type="dataBar" priority="9">
      <dataBar>
        <cfvo type="min"/>
        <cfvo type="max"/>
        <color rgb="FF638EC6"/>
      </dataBar>
      <extLst>
        <ext xmlns:x14="http://schemas.microsoft.com/office/spreadsheetml/2009/9/main" uri="{B025F937-C7B1-47D3-B67F-A62EFF666E3E}">
          <x14:id>{053ED826-4A3B-4E29-9CF6-C5C888A31A9A}</x14:id>
        </ext>
      </extLst>
    </cfRule>
  </conditionalFormatting>
  <conditionalFormatting sqref="C26">
    <cfRule type="dataBar" priority="8">
      <dataBar>
        <cfvo type="min"/>
        <cfvo type="max"/>
        <color rgb="FF638EC6"/>
      </dataBar>
      <extLst>
        <ext xmlns:x14="http://schemas.microsoft.com/office/spreadsheetml/2009/9/main" uri="{B025F937-C7B1-47D3-B67F-A62EFF666E3E}">
          <x14:id>{C43A89B3-42DD-4279-AA99-7BDD08DBEF47}</x14:id>
        </ext>
      </extLst>
    </cfRule>
  </conditionalFormatting>
  <conditionalFormatting sqref="C28:C33">
    <cfRule type="dataBar" priority="7">
      <dataBar>
        <cfvo type="min"/>
        <cfvo type="max"/>
        <color rgb="FF638EC6"/>
      </dataBar>
      <extLst>
        <ext xmlns:x14="http://schemas.microsoft.com/office/spreadsheetml/2009/9/main" uri="{B025F937-C7B1-47D3-B67F-A62EFF666E3E}">
          <x14:id>{43AE063F-6FBA-4145-8E96-3B15FC0C4DF2}</x14:id>
        </ext>
      </extLst>
    </cfRule>
  </conditionalFormatting>
  <conditionalFormatting sqref="C35">
    <cfRule type="dataBar" priority="2">
      <dataBar>
        <cfvo type="min"/>
        <cfvo type="max"/>
        <color rgb="FF638EC6"/>
      </dataBar>
      <extLst>
        <ext xmlns:x14="http://schemas.microsoft.com/office/spreadsheetml/2009/9/main" uri="{B025F937-C7B1-47D3-B67F-A62EFF666E3E}">
          <x14:id>{B2DABE0F-7BA8-442A-B48E-1ECE74F6B597}</x14:id>
        </ext>
      </extLst>
    </cfRule>
  </conditionalFormatting>
  <conditionalFormatting sqref="C36:C40">
    <cfRule type="dataBar" priority="6">
      <dataBar>
        <cfvo type="min"/>
        <cfvo type="max"/>
        <color rgb="FF638EC6"/>
      </dataBar>
      <extLst>
        <ext xmlns:x14="http://schemas.microsoft.com/office/spreadsheetml/2009/9/main" uri="{B025F937-C7B1-47D3-B67F-A62EFF666E3E}">
          <x14:id>{03A9939A-9B3D-4529-BE0E-4E6837550A17}</x14:id>
        </ext>
      </extLst>
    </cfRule>
  </conditionalFormatting>
  <conditionalFormatting sqref="C42:C43">
    <cfRule type="dataBar" priority="5">
      <dataBar>
        <cfvo type="min"/>
        <cfvo type="max"/>
        <color rgb="FF638EC6"/>
      </dataBar>
      <extLst>
        <ext xmlns:x14="http://schemas.microsoft.com/office/spreadsheetml/2009/9/main" uri="{B025F937-C7B1-47D3-B67F-A62EFF666E3E}">
          <x14:id>{7E1987A0-3211-4AC2-801D-3D223C64AEAA}</x14:id>
        </ext>
      </extLst>
    </cfRule>
  </conditionalFormatting>
  <conditionalFormatting sqref="C45:C47">
    <cfRule type="dataBar" priority="4">
      <dataBar>
        <cfvo type="min"/>
        <cfvo type="max"/>
        <color rgb="FF638EC6"/>
      </dataBar>
      <extLst>
        <ext xmlns:x14="http://schemas.microsoft.com/office/spreadsheetml/2009/9/main" uri="{B025F937-C7B1-47D3-B67F-A62EFF666E3E}">
          <x14:id>{2EA7D65E-B8CA-499C-8421-2AC504B81EAC}</x14:id>
        </ext>
      </extLst>
    </cfRule>
  </conditionalFormatting>
  <conditionalFormatting sqref="C11:C20">
    <cfRule type="dataBar" priority="17">
      <dataBar>
        <cfvo type="min"/>
        <cfvo type="max"/>
        <color rgb="FF638EC6"/>
      </dataBar>
      <extLst>
        <ext xmlns:x14="http://schemas.microsoft.com/office/spreadsheetml/2009/9/main" uri="{B025F937-C7B1-47D3-B67F-A62EFF666E3E}">
          <x14:id>{503E23DC-A883-4E4A-9CEB-0585580125FE}</x14:id>
        </ext>
      </extLst>
    </cfRule>
  </conditionalFormatting>
  <dataValidations count="4">
    <dataValidation type="list" allowBlank="1" showInputMessage="1" sqref="D35:D40 D25:D26 D42:D43 D28:D33 D45:D47 D22:D23 D11:D20" xr:uid="{723BBEA1-CDA5-4E90-B789-0CB64C257373}">
      <formula1>"Phòng QLĐT&amp;BĐCL, Phòng TH-HC&amp;QT, Phòng QLKHCN&amp;HTPT, Phòng TC-KT, Phòng  TCCB&amp;CTHSSV, Khoa Sư phạm, Khoa CKHCB, Khoa KT&amp;NL, Khoa Y – Dược, Khoa ĐT&amp;SHLX, Khoa KT&amp;CN"</formula1>
    </dataValidation>
    <dataValidation type="list" allowBlank="1" showInputMessage="1" sqref="C35:C40 C25:C26 C28:C33 C45:C47 C42:C43 C22:C23 C11:C20" xr:uid="{9D67AEC4-2B59-40A3-9470-A85A768A8BE7}">
      <formula1>"Hiệu trưởng, PHT Nguyễn Trung Hiếu, PHT Huỳnh Văn Chung, PHT Dương Văn Anh Dũng, Bí thư Đảng uỷ, Phó Bí thư Đảng uỷ, Uỷ viên BTV, Chủ tịch Công đoàn, Bí thư ĐTN, Chủ tịch HSV"</formula1>
    </dataValidation>
    <dataValidation type="list" allowBlank="1" showInputMessage="1" sqref="G25:G26 G35:G40 G28:G33 G45:G47 G42:G43 G22:G23 G11:G20" xr:uid="{242DABCC-F988-4BD7-A39A-B18DD09F67B5}">
      <formula1>"Thấp,Trung bình,Cao,Khó và phức tạp"</formula1>
    </dataValidation>
    <dataValidation allowBlank="1" showInputMessage="1" sqref="H42:K43 E25:E26 E22:E23 H45:K47 H35:K40 H25:K26 E28:E33 E35:E40 E42:E43 E45:E47 H22:K23 H28:K33 E11:E20 H11:K20" xr:uid="{10642937-B860-4152-A8CB-DF82470CE8F3}"/>
  </dataValidations>
  <printOptions horizontalCentered="1"/>
  <pageMargins left="0.31496062992126" right="0.31496062992126" top="0.39370078740157499" bottom="0.39370078740157499" header="0.31496062992126" footer="0.31496062992126"/>
  <pageSetup paperSize="9" scale="70" orientation="landscape" r:id="rId1"/>
  <drawing r:id="rId2"/>
  <extLst>
    <ext xmlns:x14="http://schemas.microsoft.com/office/spreadsheetml/2009/9/main" uri="{78C0D931-6437-407d-A8EE-F0AAD7539E65}">
      <x14:conditionalFormattings>
        <x14:conditionalFormatting xmlns:xm="http://schemas.microsoft.com/office/excel/2006/main">
          <x14:cfRule type="dataBar" id="{6DD61475-5CC3-4BA6-A339-74AE97984AC0}">
            <x14:dataBar minLength="0" maxLength="100" gradient="0">
              <x14:cfvo type="autoMin"/>
              <x14:cfvo type="autoMax"/>
              <x14:negativeFillColor rgb="FFFF0000"/>
              <x14:axisColor rgb="FF000000"/>
            </x14:dataBar>
          </x14:cfRule>
          <xm:sqref>C22:C23</xm:sqref>
        </x14:conditionalFormatting>
        <x14:conditionalFormatting xmlns:xm="http://schemas.microsoft.com/office/excel/2006/main">
          <x14:cfRule type="dataBar" id="{053ED826-4A3B-4E29-9CF6-C5C888A31A9A}">
            <x14:dataBar minLength="0" maxLength="100" gradient="0">
              <x14:cfvo type="autoMin"/>
              <x14:cfvo type="autoMax"/>
              <x14:negativeFillColor rgb="FFFF0000"/>
              <x14:axisColor rgb="FF000000"/>
            </x14:dataBar>
          </x14:cfRule>
          <xm:sqref>C25</xm:sqref>
        </x14:conditionalFormatting>
        <x14:conditionalFormatting xmlns:xm="http://schemas.microsoft.com/office/excel/2006/main">
          <x14:cfRule type="dataBar" id="{C43A89B3-42DD-4279-AA99-7BDD08DBEF47}">
            <x14:dataBar minLength="0" maxLength="100" gradient="0">
              <x14:cfvo type="autoMin"/>
              <x14:cfvo type="autoMax"/>
              <x14:negativeFillColor rgb="FFFF0000"/>
              <x14:axisColor rgb="FF000000"/>
            </x14:dataBar>
          </x14:cfRule>
          <xm:sqref>C26</xm:sqref>
        </x14:conditionalFormatting>
        <x14:conditionalFormatting xmlns:xm="http://schemas.microsoft.com/office/excel/2006/main">
          <x14:cfRule type="dataBar" id="{43AE063F-6FBA-4145-8E96-3B15FC0C4DF2}">
            <x14:dataBar minLength="0" maxLength="100" gradient="0">
              <x14:cfvo type="autoMin"/>
              <x14:cfvo type="autoMax"/>
              <x14:negativeFillColor rgb="FFFF0000"/>
              <x14:axisColor rgb="FF000000"/>
            </x14:dataBar>
          </x14:cfRule>
          <xm:sqref>C28:C33</xm:sqref>
        </x14:conditionalFormatting>
        <x14:conditionalFormatting xmlns:xm="http://schemas.microsoft.com/office/excel/2006/main">
          <x14:cfRule type="dataBar" id="{B2DABE0F-7BA8-442A-B48E-1ECE74F6B597}">
            <x14:dataBar minLength="0" maxLength="100" gradient="0">
              <x14:cfvo type="autoMin"/>
              <x14:cfvo type="autoMax"/>
              <x14:negativeFillColor rgb="FFFF0000"/>
              <x14:axisColor rgb="FF000000"/>
            </x14:dataBar>
          </x14:cfRule>
          <xm:sqref>C35</xm:sqref>
        </x14:conditionalFormatting>
        <x14:conditionalFormatting xmlns:xm="http://schemas.microsoft.com/office/excel/2006/main">
          <x14:cfRule type="dataBar" id="{03A9939A-9B3D-4529-BE0E-4E6837550A17}">
            <x14:dataBar minLength="0" maxLength="100" gradient="0">
              <x14:cfvo type="autoMin"/>
              <x14:cfvo type="autoMax"/>
              <x14:negativeFillColor rgb="FFFF0000"/>
              <x14:axisColor rgb="FF000000"/>
            </x14:dataBar>
          </x14:cfRule>
          <xm:sqref>C36:C40</xm:sqref>
        </x14:conditionalFormatting>
        <x14:conditionalFormatting xmlns:xm="http://schemas.microsoft.com/office/excel/2006/main">
          <x14:cfRule type="dataBar" id="{7E1987A0-3211-4AC2-801D-3D223C64AEAA}">
            <x14:dataBar minLength="0" maxLength="100" gradient="0">
              <x14:cfvo type="autoMin"/>
              <x14:cfvo type="autoMax"/>
              <x14:negativeFillColor rgb="FFFF0000"/>
              <x14:axisColor rgb="FF000000"/>
            </x14:dataBar>
          </x14:cfRule>
          <xm:sqref>C42:C43</xm:sqref>
        </x14:conditionalFormatting>
        <x14:conditionalFormatting xmlns:xm="http://schemas.microsoft.com/office/excel/2006/main">
          <x14:cfRule type="dataBar" id="{2EA7D65E-B8CA-499C-8421-2AC504B81EAC}">
            <x14:dataBar minLength="0" maxLength="100" gradient="0">
              <x14:cfvo type="autoMin"/>
              <x14:cfvo type="autoMax"/>
              <x14:negativeFillColor rgb="FFFF0000"/>
              <x14:axisColor rgb="FF000000"/>
            </x14:dataBar>
          </x14:cfRule>
          <xm:sqref>C45:C47</xm:sqref>
        </x14:conditionalFormatting>
        <x14:conditionalFormatting xmlns:xm="http://schemas.microsoft.com/office/excel/2006/main">
          <x14:cfRule type="dataBar" id="{503E23DC-A883-4E4A-9CEB-0585580125FE}">
            <x14:dataBar minLength="0" maxLength="100" gradient="0">
              <x14:cfvo type="autoMin"/>
              <x14:cfvo type="autoMax"/>
              <x14:negativeFillColor rgb="FFFF0000"/>
              <x14:axisColor rgb="FF000000"/>
            </x14:dataBar>
          </x14:cfRule>
          <xm:sqref>C11:C20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DA3B8-D333-4662-B058-CA3DE7CA1780}">
  <dimension ref="A1:Q43"/>
  <sheetViews>
    <sheetView view="pageBreakPreview" zoomScale="70" zoomScaleNormal="80" zoomScaleSheetLayoutView="70" workbookViewId="0">
      <selection activeCell="C8" sqref="C8"/>
    </sheetView>
  </sheetViews>
  <sheetFormatPr defaultColWidth="9" defaultRowHeight="32.5" customHeight="1" x14ac:dyDescent="0.35"/>
  <cols>
    <col min="1" max="1" width="6" style="3" customWidth="1"/>
    <col min="2" max="2" width="34.453125" style="3" customWidth="1"/>
    <col min="3" max="3" width="16.453125" style="3" customWidth="1"/>
    <col min="4" max="4" width="16.26953125" style="3" customWidth="1"/>
    <col min="5" max="5" width="12.90625" style="3" customWidth="1"/>
    <col min="6" max="6" width="6.90625" style="3" customWidth="1"/>
    <col min="7" max="7" width="10.6328125" style="3" customWidth="1"/>
    <col min="8" max="8" width="8.36328125" style="3" customWidth="1"/>
    <col min="9" max="9" width="7.453125" style="3" customWidth="1"/>
    <col min="10" max="10" width="6.26953125" style="3" customWidth="1"/>
    <col min="11" max="11" width="9.7265625" style="3" customWidth="1"/>
    <col min="12" max="12" width="7.453125" style="3" customWidth="1"/>
    <col min="13" max="13" width="10.453125" style="3" customWidth="1"/>
    <col min="14" max="14" width="6.36328125" style="3" customWidth="1"/>
    <col min="15" max="15" width="10.453125" style="3" customWidth="1"/>
    <col min="16" max="16" width="6.36328125" style="3" customWidth="1"/>
    <col min="17" max="16384" width="9" style="3"/>
  </cols>
  <sheetData>
    <row r="1" spans="1:17" ht="42.75" customHeight="1" x14ac:dyDescent="0.35">
      <c r="A1" s="60" t="s">
        <v>79</v>
      </c>
      <c r="B1" s="62"/>
      <c r="C1" s="62"/>
      <c r="D1" s="62"/>
      <c r="E1" s="62"/>
      <c r="F1" s="62"/>
      <c r="G1" s="62"/>
      <c r="H1" s="62"/>
      <c r="I1" s="62"/>
      <c r="J1" s="62"/>
      <c r="K1" s="62"/>
      <c r="L1" s="62"/>
      <c r="M1" s="62"/>
      <c r="N1" s="62"/>
      <c r="O1" s="62"/>
      <c r="P1" s="62"/>
    </row>
    <row r="2" spans="1:17" s="4" customFormat="1" ht="28.5" customHeight="1" x14ac:dyDescent="0.4">
      <c r="A2" s="63" t="s">
        <v>24</v>
      </c>
      <c r="B2" s="64"/>
      <c r="E2" s="21"/>
      <c r="F2" s="21"/>
      <c r="G2" s="65" t="s">
        <v>20</v>
      </c>
      <c r="H2" s="65"/>
      <c r="I2" s="65"/>
      <c r="J2" s="65"/>
      <c r="K2" s="65"/>
      <c r="L2" s="65"/>
      <c r="M2" s="65"/>
      <c r="N2" s="65"/>
      <c r="O2" s="65"/>
      <c r="P2" s="65"/>
    </row>
    <row r="3" spans="1:17" s="4" customFormat="1" ht="18.75" customHeight="1" x14ac:dyDescent="0.35">
      <c r="A3" s="66" t="s">
        <v>25</v>
      </c>
      <c r="B3" s="66"/>
      <c r="C3" s="22"/>
      <c r="E3" s="23"/>
      <c r="F3" s="23"/>
      <c r="G3" s="60" t="s">
        <v>21</v>
      </c>
      <c r="H3" s="60"/>
      <c r="I3" s="60"/>
      <c r="J3" s="60"/>
      <c r="K3" s="60"/>
      <c r="L3" s="60"/>
      <c r="M3" s="60"/>
      <c r="N3" s="60"/>
      <c r="O3" s="60"/>
      <c r="P3" s="60"/>
    </row>
    <row r="4" spans="1:17" ht="44.25" customHeight="1" x14ac:dyDescent="0.35">
      <c r="A4" s="60" t="s">
        <v>60</v>
      </c>
      <c r="B4" s="61"/>
      <c r="C4" s="61"/>
      <c r="D4" s="61"/>
      <c r="E4" s="61"/>
      <c r="F4" s="61"/>
      <c r="G4" s="61"/>
      <c r="H4" s="61"/>
      <c r="I4" s="61"/>
      <c r="J4" s="61"/>
      <c r="K4" s="61"/>
      <c r="L4" s="61"/>
      <c r="M4" s="61"/>
      <c r="N4" s="61"/>
      <c r="O4" s="61"/>
      <c r="P4" s="61"/>
    </row>
    <row r="5" spans="1:17" ht="9" customHeight="1" x14ac:dyDescent="0.35">
      <c r="A5" s="59"/>
      <c r="B5" s="59"/>
      <c r="C5" s="59"/>
      <c r="D5" s="59"/>
      <c r="E5" s="59"/>
      <c r="F5" s="59"/>
      <c r="G5" s="59"/>
      <c r="H5" s="59"/>
      <c r="I5" s="59"/>
      <c r="J5" s="59"/>
      <c r="K5" s="59"/>
      <c r="L5" s="59"/>
      <c r="M5" s="59"/>
      <c r="N5" s="59"/>
      <c r="O5" s="59"/>
      <c r="P5" s="59"/>
    </row>
    <row r="6" spans="1:17" ht="28.5" customHeight="1" x14ac:dyDescent="0.35">
      <c r="A6" s="35" t="s">
        <v>0</v>
      </c>
      <c r="B6" s="35" t="s">
        <v>1</v>
      </c>
      <c r="C6" s="35" t="s">
        <v>2</v>
      </c>
      <c r="D6" s="35" t="s">
        <v>26</v>
      </c>
      <c r="E6" s="35" t="s">
        <v>66</v>
      </c>
      <c r="F6" s="35" t="s">
        <v>12</v>
      </c>
      <c r="G6" s="37" t="s">
        <v>72</v>
      </c>
      <c r="H6" s="45" t="s">
        <v>50</v>
      </c>
      <c r="I6" s="45" t="s">
        <v>51</v>
      </c>
      <c r="J6" s="51" t="s">
        <v>57</v>
      </c>
      <c r="K6" s="48" t="s">
        <v>52</v>
      </c>
      <c r="L6" s="49"/>
      <c r="M6" s="48" t="s">
        <v>53</v>
      </c>
      <c r="N6" s="49"/>
      <c r="O6" s="48" t="s">
        <v>54</v>
      </c>
      <c r="P6" s="49"/>
      <c r="Q6" s="4"/>
    </row>
    <row r="7" spans="1:17" ht="57.75" customHeight="1" x14ac:dyDescent="0.35">
      <c r="A7" s="36"/>
      <c r="B7" s="36"/>
      <c r="C7" s="36"/>
      <c r="D7" s="36"/>
      <c r="E7" s="36"/>
      <c r="F7" s="36"/>
      <c r="G7" s="38"/>
      <c r="H7" s="46"/>
      <c r="I7" s="46"/>
      <c r="J7" s="52"/>
      <c r="K7" s="14" t="s">
        <v>55</v>
      </c>
      <c r="L7" s="14" t="s">
        <v>56</v>
      </c>
      <c r="M7" s="14" t="s">
        <v>55</v>
      </c>
      <c r="N7" s="14" t="s">
        <v>56</v>
      </c>
      <c r="O7" s="14" t="s">
        <v>55</v>
      </c>
      <c r="P7" s="14" t="s">
        <v>56</v>
      </c>
      <c r="Q7" s="4"/>
    </row>
    <row r="8" spans="1:17" ht="112" x14ac:dyDescent="0.35">
      <c r="A8" s="28" t="s">
        <v>13</v>
      </c>
      <c r="B8" s="28" t="s">
        <v>14</v>
      </c>
      <c r="C8" s="28" t="s">
        <v>15</v>
      </c>
      <c r="D8" s="28" t="s">
        <v>16</v>
      </c>
      <c r="E8" s="28" t="s">
        <v>17</v>
      </c>
      <c r="F8" s="28" t="s">
        <v>18</v>
      </c>
      <c r="G8" s="28" t="s">
        <v>19</v>
      </c>
      <c r="H8" s="28" t="s">
        <v>67</v>
      </c>
      <c r="I8" s="28" t="s">
        <v>68</v>
      </c>
      <c r="J8" s="28" t="s">
        <v>76</v>
      </c>
      <c r="K8" s="28" t="s">
        <v>70</v>
      </c>
      <c r="L8" s="28" t="s">
        <v>75</v>
      </c>
      <c r="M8" s="28" t="s">
        <v>69</v>
      </c>
      <c r="N8" s="28" t="s">
        <v>73</v>
      </c>
      <c r="O8" s="28" t="s">
        <v>71</v>
      </c>
      <c r="P8" s="28" t="s">
        <v>74</v>
      </c>
    </row>
    <row r="9" spans="1:17" ht="15" x14ac:dyDescent="0.35">
      <c r="A9" s="15" t="s">
        <v>3</v>
      </c>
      <c r="B9" s="39" t="s">
        <v>62</v>
      </c>
      <c r="C9" s="39"/>
      <c r="D9" s="39"/>
      <c r="E9" s="39"/>
      <c r="F9" s="39"/>
      <c r="G9" s="39"/>
      <c r="H9" s="39"/>
      <c r="I9" s="39"/>
      <c r="J9" s="39"/>
      <c r="K9" s="39"/>
      <c r="L9" s="39"/>
      <c r="M9" s="39"/>
      <c r="N9" s="39"/>
      <c r="O9" s="39"/>
      <c r="P9" s="39"/>
    </row>
    <row r="10" spans="1:17" ht="15" x14ac:dyDescent="0.35">
      <c r="A10" s="16">
        <v>1</v>
      </c>
      <c r="B10" s="57" t="s">
        <v>4</v>
      </c>
      <c r="C10" s="57"/>
      <c r="D10" s="57"/>
      <c r="E10" s="57"/>
      <c r="F10" s="16">
        <f>SUM(F11:F14)</f>
        <v>23</v>
      </c>
      <c r="G10" s="17"/>
      <c r="H10" s="17"/>
      <c r="I10" s="17"/>
      <c r="J10" s="16">
        <f t="shared" ref="J10:P10" si="0">SUM(J11:J14)</f>
        <v>26</v>
      </c>
      <c r="K10" s="16">
        <f t="shared" si="0"/>
        <v>23</v>
      </c>
      <c r="L10" s="16">
        <f t="shared" si="0"/>
        <v>26</v>
      </c>
      <c r="M10" s="16">
        <f t="shared" si="0"/>
        <v>23</v>
      </c>
      <c r="N10" s="16">
        <f t="shared" si="0"/>
        <v>26</v>
      </c>
      <c r="O10" s="16">
        <f t="shared" si="0"/>
        <v>17.25</v>
      </c>
      <c r="P10" s="16">
        <f t="shared" si="0"/>
        <v>19.5</v>
      </c>
    </row>
    <row r="11" spans="1:17" ht="36" x14ac:dyDescent="0.35">
      <c r="A11" s="15" t="s">
        <v>22</v>
      </c>
      <c r="B11" s="24" t="s">
        <v>58</v>
      </c>
      <c r="C11" s="25" t="s">
        <v>30</v>
      </c>
      <c r="D11" s="25" t="s">
        <v>34</v>
      </c>
      <c r="E11" s="11" t="s">
        <v>42</v>
      </c>
      <c r="F11" s="15">
        <v>1</v>
      </c>
      <c r="G11" s="25" t="s">
        <v>45</v>
      </c>
      <c r="H11" s="15">
        <f>IF(G11="Khó và phức tạp",200,IF(G11="Cao",150,IF(G11="Trungbình",120,100)))</f>
        <v>200</v>
      </c>
      <c r="I11" s="15">
        <f>H11*0.01</f>
        <v>2</v>
      </c>
      <c r="J11" s="15">
        <f>F11*I11</f>
        <v>2</v>
      </c>
      <c r="K11" s="26">
        <f>F11*100%</f>
        <v>1</v>
      </c>
      <c r="L11" s="18">
        <f>K11*I11</f>
        <v>2</v>
      </c>
      <c r="M11" s="26">
        <f t="shared" ref="M11:M13" si="1">K11*100%</f>
        <v>1</v>
      </c>
      <c r="N11" s="18">
        <f>I11*M11</f>
        <v>2</v>
      </c>
      <c r="O11" s="26">
        <f>K11*75%</f>
        <v>0.75</v>
      </c>
      <c r="P11" s="18">
        <f>I11*O11</f>
        <v>1.5</v>
      </c>
    </row>
    <row r="12" spans="1:17" ht="31" x14ac:dyDescent="0.35">
      <c r="A12" s="15" t="s">
        <v>23</v>
      </c>
      <c r="B12" s="27" t="s">
        <v>5</v>
      </c>
      <c r="C12" s="25" t="s">
        <v>32</v>
      </c>
      <c r="D12" s="25" t="s">
        <v>46</v>
      </c>
      <c r="E12" s="11" t="s">
        <v>42</v>
      </c>
      <c r="F12" s="15">
        <v>2</v>
      </c>
      <c r="G12" s="25" t="s">
        <v>43</v>
      </c>
      <c r="H12" s="15">
        <f t="shared" ref="H12:H14" si="2">IF(G12="Khó và phức tạp",200,IF(G12="Cao",150,IF(G12="Trungbình",120,100)))</f>
        <v>100</v>
      </c>
      <c r="I12" s="15">
        <f t="shared" ref="I12:I14" si="3">H12*0.01</f>
        <v>1</v>
      </c>
      <c r="J12" s="15">
        <f t="shared" ref="J12:J14" si="4">F12*I12</f>
        <v>2</v>
      </c>
      <c r="K12" s="26">
        <f t="shared" ref="K12:K14" si="5">F12*100%</f>
        <v>2</v>
      </c>
      <c r="L12" s="18">
        <f t="shared" ref="L12:L14" si="6">K12*I12</f>
        <v>2</v>
      </c>
      <c r="M12" s="26">
        <f t="shared" si="1"/>
        <v>2</v>
      </c>
      <c r="N12" s="18">
        <f t="shared" ref="N12:N14" si="7">I12*M12</f>
        <v>2</v>
      </c>
      <c r="O12" s="26">
        <f t="shared" ref="O12:O13" si="8">K12*75%</f>
        <v>1.5</v>
      </c>
      <c r="P12" s="18">
        <f t="shared" ref="P12:P14" si="9">I12*O12</f>
        <v>1.5</v>
      </c>
    </row>
    <row r="13" spans="1:17" ht="46.5" x14ac:dyDescent="0.35">
      <c r="A13" s="15" t="s">
        <v>33</v>
      </c>
      <c r="B13" s="27" t="s">
        <v>5</v>
      </c>
      <c r="C13" s="25" t="s">
        <v>31</v>
      </c>
      <c r="D13" s="25" t="s">
        <v>47</v>
      </c>
      <c r="E13" s="11" t="s">
        <v>42</v>
      </c>
      <c r="F13" s="15">
        <v>4</v>
      </c>
      <c r="G13" s="25" t="s">
        <v>44</v>
      </c>
      <c r="H13" s="15">
        <f t="shared" si="2"/>
        <v>150</v>
      </c>
      <c r="I13" s="15">
        <f t="shared" si="3"/>
        <v>1.5</v>
      </c>
      <c r="J13" s="15">
        <f t="shared" si="4"/>
        <v>6</v>
      </c>
      <c r="K13" s="26">
        <f t="shared" si="5"/>
        <v>4</v>
      </c>
      <c r="L13" s="18">
        <f t="shared" si="6"/>
        <v>6</v>
      </c>
      <c r="M13" s="26">
        <f t="shared" si="1"/>
        <v>4</v>
      </c>
      <c r="N13" s="18">
        <f t="shared" si="7"/>
        <v>6</v>
      </c>
      <c r="O13" s="26">
        <f t="shared" si="8"/>
        <v>3</v>
      </c>
      <c r="P13" s="18">
        <f t="shared" si="9"/>
        <v>4.5</v>
      </c>
    </row>
    <row r="14" spans="1:17" ht="31" x14ac:dyDescent="0.35">
      <c r="A14" s="15" t="s">
        <v>49</v>
      </c>
      <c r="B14" s="27" t="s">
        <v>5</v>
      </c>
      <c r="C14" s="25" t="s">
        <v>29</v>
      </c>
      <c r="D14" s="25" t="s">
        <v>48</v>
      </c>
      <c r="E14" s="11" t="s">
        <v>42</v>
      </c>
      <c r="F14" s="15">
        <v>16</v>
      </c>
      <c r="G14" s="25" t="s">
        <v>59</v>
      </c>
      <c r="H14" s="15">
        <f t="shared" si="2"/>
        <v>100</v>
      </c>
      <c r="I14" s="15">
        <f t="shared" si="3"/>
        <v>1</v>
      </c>
      <c r="J14" s="15">
        <f t="shared" si="4"/>
        <v>16</v>
      </c>
      <c r="K14" s="26">
        <f t="shared" si="5"/>
        <v>16</v>
      </c>
      <c r="L14" s="18">
        <f t="shared" si="6"/>
        <v>16</v>
      </c>
      <c r="M14" s="26">
        <f>K14*100%</f>
        <v>16</v>
      </c>
      <c r="N14" s="18">
        <f t="shared" si="7"/>
        <v>16</v>
      </c>
      <c r="O14" s="26">
        <f>K14*75%</f>
        <v>12</v>
      </c>
      <c r="P14" s="18">
        <f t="shared" si="9"/>
        <v>12</v>
      </c>
    </row>
    <row r="15" spans="1:17" ht="15" x14ac:dyDescent="0.35">
      <c r="A15" s="16">
        <v>2</v>
      </c>
      <c r="B15" s="57" t="s">
        <v>6</v>
      </c>
      <c r="C15" s="57"/>
      <c r="D15" s="57"/>
      <c r="E15" s="57"/>
      <c r="F15" s="16">
        <f>SUM(F16:F17)</f>
        <v>0</v>
      </c>
      <c r="G15" s="17"/>
      <c r="H15" s="17"/>
      <c r="I15" s="17"/>
      <c r="J15" s="16">
        <f t="shared" ref="J15:P15" si="10">SUM(J16:J17)</f>
        <v>0</v>
      </c>
      <c r="K15" s="16">
        <f t="shared" si="10"/>
        <v>0</v>
      </c>
      <c r="L15" s="16">
        <f t="shared" si="10"/>
        <v>0</v>
      </c>
      <c r="M15" s="16">
        <f t="shared" si="10"/>
        <v>0</v>
      </c>
      <c r="N15" s="16">
        <f t="shared" si="10"/>
        <v>0</v>
      </c>
      <c r="O15" s="16">
        <f t="shared" si="10"/>
        <v>0</v>
      </c>
      <c r="P15" s="16">
        <f t="shared" si="10"/>
        <v>0</v>
      </c>
    </row>
    <row r="16" spans="1:17" ht="31" x14ac:dyDescent="0.35">
      <c r="A16" s="15"/>
      <c r="B16" s="27" t="s">
        <v>5</v>
      </c>
      <c r="C16" s="25" t="s">
        <v>30</v>
      </c>
      <c r="D16" s="25" t="s">
        <v>34</v>
      </c>
      <c r="E16" s="11" t="s">
        <v>42</v>
      </c>
      <c r="F16" s="15"/>
      <c r="G16" s="25" t="s">
        <v>45</v>
      </c>
      <c r="H16" s="15">
        <f>IF(G16="Khó và phức tạp",200,IF(G16="Cao",150,IF(G16="Trungbình",120,100)))</f>
        <v>200</v>
      </c>
      <c r="I16" s="15">
        <f>H16*0.01</f>
        <v>2</v>
      </c>
      <c r="J16" s="15">
        <f>F16*I16</f>
        <v>0</v>
      </c>
      <c r="K16" s="26">
        <f>F16*100%</f>
        <v>0</v>
      </c>
      <c r="L16" s="18">
        <f t="shared" ref="L16:L17" si="11">K16*I16</f>
        <v>0</v>
      </c>
      <c r="M16" s="12">
        <f>K16*75%</f>
        <v>0</v>
      </c>
      <c r="N16" s="18">
        <f>I16*M16</f>
        <v>0</v>
      </c>
      <c r="O16" s="26">
        <f>K16*100%</f>
        <v>0</v>
      </c>
      <c r="P16" s="18">
        <f>I16*O16</f>
        <v>0</v>
      </c>
    </row>
    <row r="17" spans="1:16" ht="31" x14ac:dyDescent="0.35">
      <c r="A17" s="15"/>
      <c r="B17" s="27" t="s">
        <v>5</v>
      </c>
      <c r="C17" s="25" t="s">
        <v>32</v>
      </c>
      <c r="D17" s="25" t="s">
        <v>61</v>
      </c>
      <c r="E17" s="11" t="s">
        <v>42</v>
      </c>
      <c r="F17" s="15"/>
      <c r="G17" s="25" t="s">
        <v>44</v>
      </c>
      <c r="H17" s="15">
        <f>IF(G17="Khó và phức tạp",200,IF(G17="Cao",150,IF(G17="Trungbình",120,100)))</f>
        <v>150</v>
      </c>
      <c r="I17" s="15">
        <f>H17*0.01</f>
        <v>1.5</v>
      </c>
      <c r="J17" s="15">
        <f>F17*I17</f>
        <v>0</v>
      </c>
      <c r="K17" s="26">
        <f>F17*100%</f>
        <v>0</v>
      </c>
      <c r="L17" s="18">
        <f t="shared" si="11"/>
        <v>0</v>
      </c>
      <c r="M17" s="12">
        <f>K17*75%</f>
        <v>0</v>
      </c>
      <c r="N17" s="18">
        <f>I17*M17</f>
        <v>0</v>
      </c>
      <c r="O17" s="26">
        <f>K17*100%</f>
        <v>0</v>
      </c>
      <c r="P17" s="18">
        <f>I17*O17</f>
        <v>0</v>
      </c>
    </row>
    <row r="18" spans="1:16" ht="15" x14ac:dyDescent="0.35">
      <c r="A18" s="16">
        <v>3</v>
      </c>
      <c r="B18" s="57" t="s">
        <v>7</v>
      </c>
      <c r="C18" s="57"/>
      <c r="D18" s="57"/>
      <c r="E18" s="57"/>
      <c r="F18" s="16">
        <f>SUM(F19:F20)</f>
        <v>0</v>
      </c>
      <c r="G18" s="17"/>
      <c r="H18" s="17"/>
      <c r="I18" s="17"/>
      <c r="J18" s="16">
        <f t="shared" ref="J18:P18" si="12">SUM(J19:J20)</f>
        <v>0</v>
      </c>
      <c r="K18" s="16">
        <f t="shared" si="12"/>
        <v>0</v>
      </c>
      <c r="L18" s="16">
        <f t="shared" si="12"/>
        <v>0</v>
      </c>
      <c r="M18" s="16">
        <f t="shared" si="12"/>
        <v>0</v>
      </c>
      <c r="N18" s="16">
        <f t="shared" si="12"/>
        <v>0</v>
      </c>
      <c r="O18" s="16">
        <f t="shared" si="12"/>
        <v>0</v>
      </c>
      <c r="P18" s="16">
        <f t="shared" si="12"/>
        <v>0</v>
      </c>
    </row>
    <row r="19" spans="1:16" ht="46.5" x14ac:dyDescent="0.35">
      <c r="A19" s="15"/>
      <c r="B19" s="27" t="s">
        <v>5</v>
      </c>
      <c r="C19" s="25" t="s">
        <v>31</v>
      </c>
      <c r="D19" s="25" t="s">
        <v>47</v>
      </c>
      <c r="E19" s="11" t="s">
        <v>42</v>
      </c>
      <c r="F19" s="15"/>
      <c r="G19" s="25" t="s">
        <v>44</v>
      </c>
      <c r="H19" s="15">
        <f>IF(G19="Khó và phức tạp",200,IF(G19="Cao",150,IF(G19="Trungbình",120,100)))</f>
        <v>150</v>
      </c>
      <c r="I19" s="15">
        <f>H19*0.01</f>
        <v>1.5</v>
      </c>
      <c r="J19" s="15">
        <f>F19*I19</f>
        <v>0</v>
      </c>
      <c r="K19" s="26">
        <f>F19*100%</f>
        <v>0</v>
      </c>
      <c r="L19" s="18">
        <f t="shared" ref="L19:L20" si="13">K19*I19</f>
        <v>0</v>
      </c>
      <c r="M19" s="12">
        <f>K19*75%</f>
        <v>0</v>
      </c>
      <c r="N19" s="18">
        <f>I19*M19</f>
        <v>0</v>
      </c>
      <c r="O19" s="26">
        <f>K19*100%</f>
        <v>0</v>
      </c>
      <c r="P19" s="18">
        <f>I19*O19</f>
        <v>0</v>
      </c>
    </row>
    <row r="20" spans="1:16" ht="46.5" x14ac:dyDescent="0.35">
      <c r="A20" s="15"/>
      <c r="B20" s="27" t="s">
        <v>5</v>
      </c>
      <c r="C20" s="25" t="s">
        <v>29</v>
      </c>
      <c r="D20" s="25" t="s">
        <v>47</v>
      </c>
      <c r="E20" s="11" t="s">
        <v>42</v>
      </c>
      <c r="F20" s="15"/>
      <c r="G20" s="25" t="s">
        <v>44</v>
      </c>
      <c r="H20" s="15">
        <f>IF(G20="Khó và phức tạp",200,IF(G20="Cao",150,IF(G20="Trungbình",120,100)))</f>
        <v>150</v>
      </c>
      <c r="I20" s="15">
        <f>H20*0.01</f>
        <v>1.5</v>
      </c>
      <c r="J20" s="15">
        <f>F20*I20</f>
        <v>0</v>
      </c>
      <c r="K20" s="26">
        <f>F20*100%</f>
        <v>0</v>
      </c>
      <c r="L20" s="18">
        <f t="shared" si="13"/>
        <v>0</v>
      </c>
      <c r="M20" s="12">
        <f>K20*75%</f>
        <v>0</v>
      </c>
      <c r="N20" s="18">
        <f>I20*M20</f>
        <v>0</v>
      </c>
      <c r="O20" s="26">
        <f>K20*100%</f>
        <v>0</v>
      </c>
      <c r="P20" s="18">
        <f>I20*O20</f>
        <v>0</v>
      </c>
    </row>
    <row r="21" spans="1:16" ht="15" x14ac:dyDescent="0.35">
      <c r="A21" s="16">
        <v>4</v>
      </c>
      <c r="B21" s="58" t="s">
        <v>8</v>
      </c>
      <c r="C21" s="58"/>
      <c r="D21" s="58"/>
      <c r="E21" s="58"/>
      <c r="F21" s="16">
        <f>SUM(F22:F27)</f>
        <v>0</v>
      </c>
      <c r="G21" s="17"/>
      <c r="H21" s="17"/>
      <c r="I21" s="17"/>
      <c r="J21" s="16">
        <f t="shared" ref="J21:P21" si="14">SUM(J22:J27)</f>
        <v>0</v>
      </c>
      <c r="K21" s="16">
        <f t="shared" si="14"/>
        <v>0</v>
      </c>
      <c r="L21" s="16">
        <f t="shared" si="14"/>
        <v>0</v>
      </c>
      <c r="M21" s="16">
        <f t="shared" si="14"/>
        <v>0</v>
      </c>
      <c r="N21" s="16">
        <f t="shared" si="14"/>
        <v>0</v>
      </c>
      <c r="O21" s="16">
        <f t="shared" si="14"/>
        <v>0</v>
      </c>
      <c r="P21" s="16">
        <f t="shared" si="14"/>
        <v>0</v>
      </c>
    </row>
    <row r="22" spans="1:16" ht="31" x14ac:dyDescent="0.35">
      <c r="A22" s="15"/>
      <c r="B22" s="27" t="s">
        <v>5</v>
      </c>
      <c r="C22" s="25" t="s">
        <v>35</v>
      </c>
      <c r="D22" s="25" t="s">
        <v>34</v>
      </c>
      <c r="E22" s="11" t="s">
        <v>42</v>
      </c>
      <c r="F22" s="15"/>
      <c r="G22" s="25" t="s">
        <v>45</v>
      </c>
      <c r="H22" s="15">
        <f t="shared" ref="H22:H27" si="15">IF(G22="Khó và phức tạp",200,IF(G22="Cao",150,IF(G22="Trungbình",120,100)))</f>
        <v>200</v>
      </c>
      <c r="I22" s="15">
        <f t="shared" ref="I22:I27" si="16">H22*0.01</f>
        <v>2</v>
      </c>
      <c r="J22" s="15">
        <f>F22*I22</f>
        <v>0</v>
      </c>
      <c r="K22" s="26">
        <f>F22*100%</f>
        <v>0</v>
      </c>
      <c r="L22" s="18">
        <f t="shared" ref="L22:L27" si="17">K22*I22</f>
        <v>0</v>
      </c>
      <c r="M22" s="12">
        <f>K22*75%</f>
        <v>0</v>
      </c>
      <c r="N22" s="18">
        <f>I22*M22</f>
        <v>0</v>
      </c>
      <c r="O22" s="26">
        <f>K22*100%</f>
        <v>0</v>
      </c>
      <c r="P22" s="18">
        <f>I22*O22</f>
        <v>0</v>
      </c>
    </row>
    <row r="23" spans="1:16" ht="31" x14ac:dyDescent="0.35">
      <c r="A23" s="25"/>
      <c r="B23" s="27" t="s">
        <v>5</v>
      </c>
      <c r="C23" s="25" t="s">
        <v>36</v>
      </c>
      <c r="D23" s="25" t="s">
        <v>34</v>
      </c>
      <c r="E23" s="11" t="s">
        <v>42</v>
      </c>
      <c r="F23" s="15"/>
      <c r="G23" s="25" t="s">
        <v>45</v>
      </c>
      <c r="H23" s="15">
        <f t="shared" si="15"/>
        <v>200</v>
      </c>
      <c r="I23" s="15">
        <f t="shared" si="16"/>
        <v>2</v>
      </c>
      <c r="J23" s="15">
        <f>F23*I23</f>
        <v>0</v>
      </c>
      <c r="K23" s="26">
        <f>F23*100%</f>
        <v>0</v>
      </c>
      <c r="L23" s="18">
        <f t="shared" si="17"/>
        <v>0</v>
      </c>
      <c r="M23" s="12">
        <f>K23*75%</f>
        <v>0</v>
      </c>
      <c r="N23" s="18">
        <f>I23*M23</f>
        <v>0</v>
      </c>
      <c r="O23" s="26">
        <f>K23*100%</f>
        <v>0</v>
      </c>
      <c r="P23" s="18">
        <f>I23*O23</f>
        <v>0</v>
      </c>
    </row>
    <row r="24" spans="1:16" ht="31" x14ac:dyDescent="0.35">
      <c r="A24" s="25"/>
      <c r="B24" s="27" t="s">
        <v>5</v>
      </c>
      <c r="C24" s="25" t="s">
        <v>37</v>
      </c>
      <c r="D24" s="25" t="s">
        <v>34</v>
      </c>
      <c r="E24" s="11" t="s">
        <v>42</v>
      </c>
      <c r="F24" s="15"/>
      <c r="G24" s="25" t="s">
        <v>45</v>
      </c>
      <c r="H24" s="15">
        <f t="shared" si="15"/>
        <v>200</v>
      </c>
      <c r="I24" s="15">
        <f t="shared" si="16"/>
        <v>2</v>
      </c>
      <c r="J24" s="15">
        <f>F24*I24</f>
        <v>0</v>
      </c>
      <c r="K24" s="26">
        <f>F24*100%</f>
        <v>0</v>
      </c>
      <c r="L24" s="18">
        <f t="shared" si="17"/>
        <v>0</v>
      </c>
      <c r="M24" s="12">
        <f>K24*75%</f>
        <v>0</v>
      </c>
      <c r="N24" s="18">
        <f>I24*M24</f>
        <v>0</v>
      </c>
      <c r="O24" s="26">
        <f>K24*100%</f>
        <v>0</v>
      </c>
      <c r="P24" s="18">
        <f>I24*O24</f>
        <v>0</v>
      </c>
    </row>
    <row r="25" spans="1:16" ht="31" x14ac:dyDescent="0.35">
      <c r="A25" s="25"/>
      <c r="B25" s="27" t="s">
        <v>5</v>
      </c>
      <c r="C25" s="25" t="s">
        <v>38</v>
      </c>
      <c r="D25" s="25" t="s">
        <v>34</v>
      </c>
      <c r="E25" s="11" t="s">
        <v>42</v>
      </c>
      <c r="F25" s="15"/>
      <c r="G25" s="25" t="s">
        <v>45</v>
      </c>
      <c r="H25" s="15">
        <f t="shared" si="15"/>
        <v>200</v>
      </c>
      <c r="I25" s="15">
        <f t="shared" si="16"/>
        <v>2</v>
      </c>
      <c r="J25" s="15">
        <f>F25*I25</f>
        <v>0</v>
      </c>
      <c r="K25" s="26">
        <f>F25*100%</f>
        <v>0</v>
      </c>
      <c r="L25" s="18">
        <f t="shared" si="17"/>
        <v>0</v>
      </c>
      <c r="M25" s="12">
        <f>K25*75%</f>
        <v>0</v>
      </c>
      <c r="N25" s="18">
        <f>I25*M25</f>
        <v>0</v>
      </c>
      <c r="O25" s="26">
        <f>K25*100%</f>
        <v>0</v>
      </c>
      <c r="P25" s="18">
        <f>I25*O25</f>
        <v>0</v>
      </c>
    </row>
    <row r="26" spans="1:16" ht="31" x14ac:dyDescent="0.35">
      <c r="A26" s="25"/>
      <c r="B26" s="27" t="s">
        <v>5</v>
      </c>
      <c r="C26" s="25" t="s">
        <v>39</v>
      </c>
      <c r="D26" s="25" t="s">
        <v>34</v>
      </c>
      <c r="E26" s="11" t="s">
        <v>42</v>
      </c>
      <c r="F26" s="15"/>
      <c r="G26" s="25" t="s">
        <v>45</v>
      </c>
      <c r="H26" s="15">
        <f t="shared" si="15"/>
        <v>200</v>
      </c>
      <c r="I26" s="15">
        <f t="shared" si="16"/>
        <v>2</v>
      </c>
      <c r="J26" s="15">
        <f t="shared" ref="J26:J27" si="18">F26*I26</f>
        <v>0</v>
      </c>
      <c r="K26" s="26">
        <f t="shared" ref="K26:K27" si="19">F26*100%</f>
        <v>0</v>
      </c>
      <c r="L26" s="18">
        <f t="shared" si="17"/>
        <v>0</v>
      </c>
      <c r="M26" s="12">
        <f t="shared" ref="M26:M27" si="20">K26*75%</f>
        <v>0</v>
      </c>
      <c r="N26" s="18">
        <f t="shared" ref="N26:N27" si="21">I26*M26</f>
        <v>0</v>
      </c>
      <c r="O26" s="26">
        <f t="shared" ref="O26:O27" si="22">K26*100%</f>
        <v>0</v>
      </c>
      <c r="P26" s="18">
        <f t="shared" ref="P26:P27" si="23">I26*O26</f>
        <v>0</v>
      </c>
    </row>
    <row r="27" spans="1:16" ht="31" x14ac:dyDescent="0.35">
      <c r="A27" s="25"/>
      <c r="B27" s="27" t="s">
        <v>5</v>
      </c>
      <c r="C27" s="25" t="s">
        <v>40</v>
      </c>
      <c r="D27" s="25" t="s">
        <v>34</v>
      </c>
      <c r="E27" s="11" t="s">
        <v>42</v>
      </c>
      <c r="F27" s="15"/>
      <c r="G27" s="25" t="s">
        <v>45</v>
      </c>
      <c r="H27" s="15">
        <f t="shared" si="15"/>
        <v>200</v>
      </c>
      <c r="I27" s="15">
        <f t="shared" si="16"/>
        <v>2</v>
      </c>
      <c r="J27" s="15">
        <f t="shared" si="18"/>
        <v>0</v>
      </c>
      <c r="K27" s="26">
        <f t="shared" si="19"/>
        <v>0</v>
      </c>
      <c r="L27" s="18">
        <f t="shared" si="17"/>
        <v>0</v>
      </c>
      <c r="M27" s="12">
        <f t="shared" si="20"/>
        <v>0</v>
      </c>
      <c r="N27" s="18">
        <f t="shared" si="21"/>
        <v>0</v>
      </c>
      <c r="O27" s="26">
        <f t="shared" si="22"/>
        <v>0</v>
      </c>
      <c r="P27" s="18">
        <f t="shared" si="23"/>
        <v>0</v>
      </c>
    </row>
    <row r="28" spans="1:16" ht="15" x14ac:dyDescent="0.35">
      <c r="A28" s="16">
        <v>5</v>
      </c>
      <c r="B28" s="57" t="s">
        <v>9</v>
      </c>
      <c r="C28" s="57"/>
      <c r="D28" s="57"/>
      <c r="E28" s="57"/>
      <c r="F28" s="16">
        <f>SUM(F29:F34)</f>
        <v>0</v>
      </c>
      <c r="G28" s="17"/>
      <c r="H28" s="17"/>
      <c r="I28" s="17"/>
      <c r="J28" s="16">
        <f t="shared" ref="J28:P28" si="24">SUM(J29:J34)</f>
        <v>0</v>
      </c>
      <c r="K28" s="16">
        <f t="shared" si="24"/>
        <v>0</v>
      </c>
      <c r="L28" s="16">
        <f t="shared" si="24"/>
        <v>0</v>
      </c>
      <c r="M28" s="16">
        <f t="shared" si="24"/>
        <v>0</v>
      </c>
      <c r="N28" s="16">
        <f t="shared" si="24"/>
        <v>0</v>
      </c>
      <c r="O28" s="16">
        <f t="shared" si="24"/>
        <v>0</v>
      </c>
      <c r="P28" s="16">
        <f t="shared" si="24"/>
        <v>0</v>
      </c>
    </row>
    <row r="29" spans="1:16" ht="31" x14ac:dyDescent="0.35">
      <c r="A29" s="15"/>
      <c r="B29" s="27" t="s">
        <v>5</v>
      </c>
      <c r="C29" s="25" t="s">
        <v>35</v>
      </c>
      <c r="D29" s="25" t="s">
        <v>34</v>
      </c>
      <c r="E29" s="11" t="s">
        <v>42</v>
      </c>
      <c r="F29" s="15"/>
      <c r="G29" s="25" t="s">
        <v>45</v>
      </c>
      <c r="H29" s="15">
        <f t="shared" ref="H29:H34" si="25">IF(G29="Khó và phức tạp",200,IF(G29="Cao",150,IF(G29="Trungbình",120,100)))</f>
        <v>200</v>
      </c>
      <c r="I29" s="15">
        <f t="shared" ref="I29:I34" si="26">H29*0.01</f>
        <v>2</v>
      </c>
      <c r="J29" s="15">
        <f t="shared" ref="J29:J34" si="27">F29*I29</f>
        <v>0</v>
      </c>
      <c r="K29" s="26">
        <f t="shared" ref="K29:K34" si="28">F29*100%</f>
        <v>0</v>
      </c>
      <c r="L29" s="18">
        <f t="shared" ref="L29:L34" si="29">K29*I29</f>
        <v>0</v>
      </c>
      <c r="M29" s="12">
        <f t="shared" ref="M29:M34" si="30">K29*75%</f>
        <v>0</v>
      </c>
      <c r="N29" s="18">
        <f t="shared" ref="N29:N34" si="31">I29*M29</f>
        <v>0</v>
      </c>
      <c r="O29" s="26">
        <f t="shared" ref="O29:O34" si="32">K29*100%</f>
        <v>0</v>
      </c>
      <c r="P29" s="18">
        <f t="shared" ref="P29:P34" si="33">I29*O29</f>
        <v>0</v>
      </c>
    </row>
    <row r="30" spans="1:16" ht="31" x14ac:dyDescent="0.35">
      <c r="A30" s="25"/>
      <c r="B30" s="27" t="s">
        <v>5</v>
      </c>
      <c r="C30" s="25" t="s">
        <v>36</v>
      </c>
      <c r="D30" s="25" t="s">
        <v>34</v>
      </c>
      <c r="E30" s="11" t="s">
        <v>42</v>
      </c>
      <c r="F30" s="15"/>
      <c r="G30" s="25" t="s">
        <v>45</v>
      </c>
      <c r="H30" s="15">
        <f t="shared" si="25"/>
        <v>200</v>
      </c>
      <c r="I30" s="15">
        <f t="shared" si="26"/>
        <v>2</v>
      </c>
      <c r="J30" s="15">
        <f t="shared" si="27"/>
        <v>0</v>
      </c>
      <c r="K30" s="26">
        <f t="shared" si="28"/>
        <v>0</v>
      </c>
      <c r="L30" s="18">
        <f t="shared" si="29"/>
        <v>0</v>
      </c>
      <c r="M30" s="12">
        <f t="shared" si="30"/>
        <v>0</v>
      </c>
      <c r="N30" s="18">
        <f t="shared" si="31"/>
        <v>0</v>
      </c>
      <c r="O30" s="26">
        <f t="shared" si="32"/>
        <v>0</v>
      </c>
      <c r="P30" s="18">
        <f t="shared" si="33"/>
        <v>0</v>
      </c>
    </row>
    <row r="31" spans="1:16" ht="31" x14ac:dyDescent="0.35">
      <c r="A31" s="25"/>
      <c r="B31" s="27" t="s">
        <v>5</v>
      </c>
      <c r="C31" s="25" t="s">
        <v>37</v>
      </c>
      <c r="D31" s="25" t="s">
        <v>34</v>
      </c>
      <c r="E31" s="11" t="s">
        <v>42</v>
      </c>
      <c r="F31" s="15"/>
      <c r="G31" s="25" t="s">
        <v>45</v>
      </c>
      <c r="H31" s="15">
        <f t="shared" si="25"/>
        <v>200</v>
      </c>
      <c r="I31" s="15">
        <f t="shared" si="26"/>
        <v>2</v>
      </c>
      <c r="J31" s="15">
        <f t="shared" si="27"/>
        <v>0</v>
      </c>
      <c r="K31" s="26">
        <f t="shared" si="28"/>
        <v>0</v>
      </c>
      <c r="L31" s="18">
        <f t="shared" si="29"/>
        <v>0</v>
      </c>
      <c r="M31" s="12">
        <f t="shared" si="30"/>
        <v>0</v>
      </c>
      <c r="N31" s="18">
        <f t="shared" si="31"/>
        <v>0</v>
      </c>
      <c r="O31" s="26">
        <f t="shared" si="32"/>
        <v>0</v>
      </c>
      <c r="P31" s="18">
        <f t="shared" si="33"/>
        <v>0</v>
      </c>
    </row>
    <row r="32" spans="1:16" ht="31" x14ac:dyDescent="0.35">
      <c r="A32" s="25"/>
      <c r="B32" s="27" t="s">
        <v>5</v>
      </c>
      <c r="C32" s="25" t="s">
        <v>38</v>
      </c>
      <c r="D32" s="25" t="s">
        <v>34</v>
      </c>
      <c r="E32" s="11" t="s">
        <v>42</v>
      </c>
      <c r="F32" s="15"/>
      <c r="G32" s="25" t="s">
        <v>45</v>
      </c>
      <c r="H32" s="15">
        <f t="shared" si="25"/>
        <v>200</v>
      </c>
      <c r="I32" s="15">
        <f t="shared" si="26"/>
        <v>2</v>
      </c>
      <c r="J32" s="15">
        <f t="shared" si="27"/>
        <v>0</v>
      </c>
      <c r="K32" s="26">
        <f t="shared" si="28"/>
        <v>0</v>
      </c>
      <c r="L32" s="18">
        <f t="shared" si="29"/>
        <v>0</v>
      </c>
      <c r="M32" s="12">
        <f t="shared" si="30"/>
        <v>0</v>
      </c>
      <c r="N32" s="18">
        <f t="shared" si="31"/>
        <v>0</v>
      </c>
      <c r="O32" s="26">
        <f t="shared" si="32"/>
        <v>0</v>
      </c>
      <c r="P32" s="18">
        <f t="shared" si="33"/>
        <v>0</v>
      </c>
    </row>
    <row r="33" spans="1:16" ht="31" x14ac:dyDescent="0.35">
      <c r="A33" s="25"/>
      <c r="B33" s="27" t="s">
        <v>5</v>
      </c>
      <c r="C33" s="25" t="s">
        <v>39</v>
      </c>
      <c r="D33" s="25" t="s">
        <v>34</v>
      </c>
      <c r="E33" s="11" t="s">
        <v>42</v>
      </c>
      <c r="F33" s="15"/>
      <c r="G33" s="25" t="s">
        <v>45</v>
      </c>
      <c r="H33" s="15">
        <f t="shared" si="25"/>
        <v>200</v>
      </c>
      <c r="I33" s="15">
        <f t="shared" si="26"/>
        <v>2</v>
      </c>
      <c r="J33" s="15">
        <f t="shared" si="27"/>
        <v>0</v>
      </c>
      <c r="K33" s="26">
        <f t="shared" si="28"/>
        <v>0</v>
      </c>
      <c r="L33" s="18">
        <f t="shared" si="29"/>
        <v>0</v>
      </c>
      <c r="M33" s="12">
        <f t="shared" si="30"/>
        <v>0</v>
      </c>
      <c r="N33" s="18">
        <f t="shared" si="31"/>
        <v>0</v>
      </c>
      <c r="O33" s="26">
        <f t="shared" si="32"/>
        <v>0</v>
      </c>
      <c r="P33" s="18">
        <f t="shared" si="33"/>
        <v>0</v>
      </c>
    </row>
    <row r="34" spans="1:16" ht="31" x14ac:dyDescent="0.35">
      <c r="A34" s="25"/>
      <c r="B34" s="27" t="s">
        <v>5</v>
      </c>
      <c r="C34" s="25" t="s">
        <v>40</v>
      </c>
      <c r="D34" s="25" t="s">
        <v>34</v>
      </c>
      <c r="E34" s="11" t="s">
        <v>42</v>
      </c>
      <c r="F34" s="15"/>
      <c r="G34" s="25" t="s">
        <v>45</v>
      </c>
      <c r="H34" s="15">
        <f t="shared" si="25"/>
        <v>200</v>
      </c>
      <c r="I34" s="15">
        <f t="shared" si="26"/>
        <v>2</v>
      </c>
      <c r="J34" s="15">
        <f t="shared" si="27"/>
        <v>0</v>
      </c>
      <c r="K34" s="26">
        <f t="shared" si="28"/>
        <v>0</v>
      </c>
      <c r="L34" s="18">
        <f t="shared" si="29"/>
        <v>0</v>
      </c>
      <c r="M34" s="12">
        <f t="shared" si="30"/>
        <v>0</v>
      </c>
      <c r="N34" s="18">
        <f t="shared" si="31"/>
        <v>0</v>
      </c>
      <c r="O34" s="26">
        <f t="shared" si="32"/>
        <v>0</v>
      </c>
      <c r="P34" s="18">
        <f t="shared" si="33"/>
        <v>0</v>
      </c>
    </row>
    <row r="35" spans="1:16" ht="15" x14ac:dyDescent="0.35">
      <c r="A35" s="16">
        <v>6</v>
      </c>
      <c r="B35" s="53" t="s">
        <v>10</v>
      </c>
      <c r="C35" s="54"/>
      <c r="D35" s="54"/>
      <c r="E35" s="54"/>
      <c r="F35" s="16">
        <f>SUM(F36:F37)</f>
        <v>0</v>
      </c>
      <c r="G35" s="17"/>
      <c r="H35" s="17"/>
      <c r="I35" s="17"/>
      <c r="J35" s="16">
        <f t="shared" ref="J35:P35" si="34">SUM(J36:J37)</f>
        <v>0</v>
      </c>
      <c r="K35" s="16">
        <f t="shared" si="34"/>
        <v>0</v>
      </c>
      <c r="L35" s="16">
        <f t="shared" si="34"/>
        <v>0</v>
      </c>
      <c r="M35" s="16">
        <f t="shared" si="34"/>
        <v>0</v>
      </c>
      <c r="N35" s="16">
        <f t="shared" si="34"/>
        <v>0</v>
      </c>
      <c r="O35" s="16">
        <f t="shared" si="34"/>
        <v>0</v>
      </c>
      <c r="P35" s="16">
        <f t="shared" si="34"/>
        <v>0</v>
      </c>
    </row>
    <row r="36" spans="1:16" ht="31" x14ac:dyDescent="0.35">
      <c r="A36" s="15"/>
      <c r="B36" s="27" t="s">
        <v>5</v>
      </c>
      <c r="C36" s="25" t="s">
        <v>35</v>
      </c>
      <c r="D36" s="25" t="s">
        <v>34</v>
      </c>
      <c r="E36" s="11" t="s">
        <v>42</v>
      </c>
      <c r="F36" s="15"/>
      <c r="G36" s="25" t="s">
        <v>45</v>
      </c>
      <c r="H36" s="15">
        <f>IF(G36="Khó và phức tạp",200,IF(G36="Cao",150,IF(G36="Trungbình",120,100)))</f>
        <v>200</v>
      </c>
      <c r="I36" s="15">
        <f>H36*0.01</f>
        <v>2</v>
      </c>
      <c r="J36" s="15">
        <f t="shared" ref="J36:J37" si="35">F36*I36</f>
        <v>0</v>
      </c>
      <c r="K36" s="26">
        <f t="shared" ref="K36:K37" si="36">F36*100%</f>
        <v>0</v>
      </c>
      <c r="L36" s="18">
        <f t="shared" ref="L36:L37" si="37">K36*I36</f>
        <v>0</v>
      </c>
      <c r="M36" s="12">
        <f t="shared" ref="M36:M37" si="38">K36*75%</f>
        <v>0</v>
      </c>
      <c r="N36" s="18">
        <f t="shared" ref="N36:N37" si="39">I36*M36</f>
        <v>0</v>
      </c>
      <c r="O36" s="26">
        <f t="shared" ref="O36:O37" si="40">K36*100%</f>
        <v>0</v>
      </c>
      <c r="P36" s="18">
        <f t="shared" ref="P36:P37" si="41">I36*O36</f>
        <v>0</v>
      </c>
    </row>
    <row r="37" spans="1:16" ht="31" x14ac:dyDescent="0.35">
      <c r="A37" s="25"/>
      <c r="B37" s="27" t="s">
        <v>5</v>
      </c>
      <c r="C37" s="25" t="s">
        <v>36</v>
      </c>
      <c r="D37" s="25" t="s">
        <v>34</v>
      </c>
      <c r="E37" s="11" t="s">
        <v>42</v>
      </c>
      <c r="F37" s="15"/>
      <c r="G37" s="25" t="s">
        <v>45</v>
      </c>
      <c r="H37" s="15">
        <f>IF(G37="Khó và phức tạp",200,IF(G37="Cao",150,IF(G37="Trungbình",120,100)))</f>
        <v>200</v>
      </c>
      <c r="I37" s="15">
        <f>H37*0.01</f>
        <v>2</v>
      </c>
      <c r="J37" s="15">
        <f t="shared" si="35"/>
        <v>0</v>
      </c>
      <c r="K37" s="26">
        <f t="shared" si="36"/>
        <v>0</v>
      </c>
      <c r="L37" s="18">
        <f t="shared" si="37"/>
        <v>0</v>
      </c>
      <c r="M37" s="12">
        <f t="shared" si="38"/>
        <v>0</v>
      </c>
      <c r="N37" s="18">
        <f t="shared" si="39"/>
        <v>0</v>
      </c>
      <c r="O37" s="26">
        <f t="shared" si="40"/>
        <v>0</v>
      </c>
      <c r="P37" s="18">
        <f t="shared" si="41"/>
        <v>0</v>
      </c>
    </row>
    <row r="38" spans="1:16" ht="15" x14ac:dyDescent="0.35">
      <c r="A38" s="16" t="s">
        <v>11</v>
      </c>
      <c r="B38" s="55" t="s">
        <v>41</v>
      </c>
      <c r="C38" s="56"/>
      <c r="D38" s="56"/>
      <c r="E38" s="56"/>
      <c r="F38" s="16">
        <f>SUM(F39:F41)</f>
        <v>0</v>
      </c>
      <c r="G38" s="17"/>
      <c r="H38" s="17"/>
      <c r="I38" s="17"/>
      <c r="J38" s="16">
        <f t="shared" ref="J38:P38" si="42">SUM(J39:J41)</f>
        <v>0</v>
      </c>
      <c r="K38" s="16">
        <f t="shared" si="42"/>
        <v>0</v>
      </c>
      <c r="L38" s="16">
        <f t="shared" si="42"/>
        <v>0</v>
      </c>
      <c r="M38" s="16">
        <f t="shared" si="42"/>
        <v>0</v>
      </c>
      <c r="N38" s="16">
        <f t="shared" si="42"/>
        <v>0</v>
      </c>
      <c r="O38" s="16">
        <f t="shared" si="42"/>
        <v>0</v>
      </c>
      <c r="P38" s="16">
        <f t="shared" si="42"/>
        <v>0</v>
      </c>
    </row>
    <row r="39" spans="1:16" ht="31" x14ac:dyDescent="0.35">
      <c r="A39" s="25">
        <v>1</v>
      </c>
      <c r="B39" s="27"/>
      <c r="C39" s="25" t="s">
        <v>30</v>
      </c>
      <c r="D39" s="25" t="s">
        <v>34</v>
      </c>
      <c r="E39" s="11" t="s">
        <v>42</v>
      </c>
      <c r="F39" s="15"/>
      <c r="G39" s="25" t="s">
        <v>45</v>
      </c>
      <c r="H39" s="15">
        <f>IF(G39="Khó và phức tạp",200,IF(G39="Cao",150,IF(G39="Trungbình",120,100)))</f>
        <v>200</v>
      </c>
      <c r="I39" s="15">
        <f>H39*0.01</f>
        <v>2</v>
      </c>
      <c r="J39" s="15">
        <f t="shared" ref="J39:J41" si="43">F39*I39</f>
        <v>0</v>
      </c>
      <c r="K39" s="26">
        <f t="shared" ref="K39:K41" si="44">F39*100%</f>
        <v>0</v>
      </c>
      <c r="L39" s="18">
        <f t="shared" ref="L39:L41" si="45">K39*I39</f>
        <v>0</v>
      </c>
      <c r="M39" s="12">
        <f t="shared" ref="M39:M41" si="46">K39*75%</f>
        <v>0</v>
      </c>
      <c r="N39" s="18">
        <f t="shared" ref="N39:N41" si="47">I39*M39</f>
        <v>0</v>
      </c>
      <c r="O39" s="26">
        <f t="shared" ref="O39:O41" si="48">K39*100%</f>
        <v>0</v>
      </c>
      <c r="P39" s="18">
        <f t="shared" ref="P39:P41" si="49">I39*O39</f>
        <v>0</v>
      </c>
    </row>
    <row r="40" spans="1:16" ht="31" x14ac:dyDescent="0.35">
      <c r="A40" s="25">
        <v>2</v>
      </c>
      <c r="B40" s="27"/>
      <c r="C40" s="25" t="s">
        <v>35</v>
      </c>
      <c r="D40" s="25" t="s">
        <v>34</v>
      </c>
      <c r="E40" s="11" t="s">
        <v>42</v>
      </c>
      <c r="F40" s="15"/>
      <c r="G40" s="25" t="s">
        <v>45</v>
      </c>
      <c r="H40" s="15">
        <f>IF(G40="Khó và phức tạp",200,IF(G40="Cao",150,IF(G40="Trungbình",120,100)))</f>
        <v>200</v>
      </c>
      <c r="I40" s="15">
        <f>H40*0.01</f>
        <v>2</v>
      </c>
      <c r="J40" s="15">
        <f t="shared" si="43"/>
        <v>0</v>
      </c>
      <c r="K40" s="26">
        <f t="shared" si="44"/>
        <v>0</v>
      </c>
      <c r="L40" s="18">
        <f t="shared" si="45"/>
        <v>0</v>
      </c>
      <c r="M40" s="12">
        <f t="shared" si="46"/>
        <v>0</v>
      </c>
      <c r="N40" s="18">
        <f t="shared" si="47"/>
        <v>0</v>
      </c>
      <c r="O40" s="26">
        <f t="shared" si="48"/>
        <v>0</v>
      </c>
      <c r="P40" s="18">
        <f t="shared" si="49"/>
        <v>0</v>
      </c>
    </row>
    <row r="41" spans="1:16" ht="31" x14ac:dyDescent="0.35">
      <c r="A41" s="25" t="s">
        <v>5</v>
      </c>
      <c r="B41" s="27"/>
      <c r="C41" s="25" t="s">
        <v>36</v>
      </c>
      <c r="D41" s="25" t="s">
        <v>34</v>
      </c>
      <c r="E41" s="11" t="s">
        <v>42</v>
      </c>
      <c r="F41" s="15"/>
      <c r="G41" s="25" t="s">
        <v>45</v>
      </c>
      <c r="H41" s="15">
        <f>IF(G41="Khó và phức tạp",200,IF(G41="Cao",150,IF(G41="Trungbình",120,100)))</f>
        <v>200</v>
      </c>
      <c r="I41" s="15">
        <f>H41*0.01</f>
        <v>2</v>
      </c>
      <c r="J41" s="15">
        <f t="shared" si="43"/>
        <v>0</v>
      </c>
      <c r="K41" s="26">
        <f t="shared" si="44"/>
        <v>0</v>
      </c>
      <c r="L41" s="18">
        <f t="shared" si="45"/>
        <v>0</v>
      </c>
      <c r="M41" s="12">
        <f t="shared" si="46"/>
        <v>0</v>
      </c>
      <c r="N41" s="18">
        <f t="shared" si="47"/>
        <v>0</v>
      </c>
      <c r="O41" s="26">
        <f t="shared" si="48"/>
        <v>0</v>
      </c>
      <c r="P41" s="18">
        <f t="shared" si="49"/>
        <v>0</v>
      </c>
    </row>
    <row r="42" spans="1:16" ht="15.5" x14ac:dyDescent="0.35">
      <c r="B42" s="40"/>
      <c r="C42" s="40"/>
      <c r="D42" s="40"/>
      <c r="E42" s="40"/>
      <c r="F42" s="40"/>
      <c r="G42" s="40"/>
      <c r="H42" s="40"/>
      <c r="I42" s="40"/>
      <c r="J42" s="40"/>
      <c r="K42" s="40"/>
      <c r="L42" s="40"/>
      <c r="M42" s="40"/>
      <c r="N42" s="40"/>
      <c r="O42" s="40"/>
      <c r="P42" s="40"/>
    </row>
    <row r="43" spans="1:16" s="4" customFormat="1" ht="131.25" customHeight="1" x14ac:dyDescent="0.35">
      <c r="A43" s="32" t="s">
        <v>28</v>
      </c>
      <c r="B43" s="32"/>
      <c r="C43" s="32"/>
      <c r="D43" s="13"/>
      <c r="G43" s="30" t="s">
        <v>27</v>
      </c>
      <c r="H43" s="30"/>
      <c r="I43" s="30"/>
      <c r="J43" s="30"/>
      <c r="K43" s="30"/>
      <c r="L43" s="31"/>
      <c r="M43" s="31"/>
      <c r="N43" s="31"/>
      <c r="O43" s="31"/>
      <c r="P43" s="31"/>
    </row>
  </sheetData>
  <mergeCells count="31">
    <mergeCell ref="A4:P4"/>
    <mergeCell ref="A1:P1"/>
    <mergeCell ref="A2:B2"/>
    <mergeCell ref="G2:P2"/>
    <mergeCell ref="A3:B3"/>
    <mergeCell ref="G3:P3"/>
    <mergeCell ref="B9:P9"/>
    <mergeCell ref="A5:P5"/>
    <mergeCell ref="A6:A7"/>
    <mergeCell ref="B6:B7"/>
    <mergeCell ref="C6:C7"/>
    <mergeCell ref="D6:D7"/>
    <mergeCell ref="E6:E7"/>
    <mergeCell ref="F6:F7"/>
    <mergeCell ref="G6:G7"/>
    <mergeCell ref="H6:H7"/>
    <mergeCell ref="I6:I7"/>
    <mergeCell ref="J6:J7"/>
    <mergeCell ref="K6:L6"/>
    <mergeCell ref="M6:N6"/>
    <mergeCell ref="O6:P6"/>
    <mergeCell ref="B38:E38"/>
    <mergeCell ref="B42:P42"/>
    <mergeCell ref="A43:C43"/>
    <mergeCell ref="G43:P43"/>
    <mergeCell ref="B10:E10"/>
    <mergeCell ref="B15:E15"/>
    <mergeCell ref="B18:E18"/>
    <mergeCell ref="B21:E21"/>
    <mergeCell ref="B28:E28"/>
    <mergeCell ref="B35:E35"/>
  </mergeCells>
  <conditionalFormatting sqref="C11:C14">
    <cfRule type="dataBar" priority="9">
      <dataBar>
        <cfvo type="min"/>
        <cfvo type="max"/>
        <color rgb="FF638EC6"/>
      </dataBar>
      <extLst>
        <ext xmlns:x14="http://schemas.microsoft.com/office/spreadsheetml/2009/9/main" uri="{B025F937-C7B1-47D3-B67F-A62EFF666E3E}">
          <x14:id>{B02C0568-0B95-438E-8F0F-8304F73B5A78}</x14:id>
        </ext>
      </extLst>
    </cfRule>
  </conditionalFormatting>
  <conditionalFormatting sqref="C16:C17">
    <cfRule type="dataBar" priority="8">
      <dataBar>
        <cfvo type="min"/>
        <cfvo type="max"/>
        <color rgb="FF638EC6"/>
      </dataBar>
      <extLst>
        <ext xmlns:x14="http://schemas.microsoft.com/office/spreadsheetml/2009/9/main" uri="{B025F937-C7B1-47D3-B67F-A62EFF666E3E}">
          <x14:id>{91E4274D-B171-4686-8314-4D3DBA220CD2}</x14:id>
        </ext>
      </extLst>
    </cfRule>
  </conditionalFormatting>
  <conditionalFormatting sqref="C19">
    <cfRule type="dataBar" priority="7">
      <dataBar>
        <cfvo type="min"/>
        <cfvo type="max"/>
        <color rgb="FF638EC6"/>
      </dataBar>
      <extLst>
        <ext xmlns:x14="http://schemas.microsoft.com/office/spreadsheetml/2009/9/main" uri="{B025F937-C7B1-47D3-B67F-A62EFF666E3E}">
          <x14:id>{78693158-1AD8-4B30-86DE-FC75A7DA4A16}</x14:id>
        </ext>
      </extLst>
    </cfRule>
  </conditionalFormatting>
  <conditionalFormatting sqref="C20">
    <cfRule type="dataBar" priority="6">
      <dataBar>
        <cfvo type="min"/>
        <cfvo type="max"/>
        <color rgb="FF638EC6"/>
      </dataBar>
      <extLst>
        <ext xmlns:x14="http://schemas.microsoft.com/office/spreadsheetml/2009/9/main" uri="{B025F937-C7B1-47D3-B67F-A62EFF666E3E}">
          <x14:id>{E019BEA0-41FC-416C-9347-F081B9321A3C}</x14:id>
        </ext>
      </extLst>
    </cfRule>
  </conditionalFormatting>
  <conditionalFormatting sqref="C22:C27">
    <cfRule type="dataBar" priority="5">
      <dataBar>
        <cfvo type="min"/>
        <cfvo type="max"/>
        <color rgb="FF638EC6"/>
      </dataBar>
      <extLst>
        <ext xmlns:x14="http://schemas.microsoft.com/office/spreadsheetml/2009/9/main" uri="{B025F937-C7B1-47D3-B67F-A62EFF666E3E}">
          <x14:id>{C4793C31-134B-490B-8E16-175CCE067DA7}</x14:id>
        </ext>
      </extLst>
    </cfRule>
  </conditionalFormatting>
  <conditionalFormatting sqref="C29">
    <cfRule type="dataBar" priority="1">
      <dataBar>
        <cfvo type="min"/>
        <cfvo type="max"/>
        <color rgb="FF638EC6"/>
      </dataBar>
      <extLst>
        <ext xmlns:x14="http://schemas.microsoft.com/office/spreadsheetml/2009/9/main" uri="{B025F937-C7B1-47D3-B67F-A62EFF666E3E}">
          <x14:id>{E6E9F118-07EF-44E3-9D59-FE1CEB23B81F}</x14:id>
        </ext>
      </extLst>
    </cfRule>
  </conditionalFormatting>
  <conditionalFormatting sqref="C30:C34">
    <cfRule type="dataBar" priority="4">
      <dataBar>
        <cfvo type="min"/>
        <cfvo type="max"/>
        <color rgb="FF638EC6"/>
      </dataBar>
      <extLst>
        <ext xmlns:x14="http://schemas.microsoft.com/office/spreadsheetml/2009/9/main" uri="{B025F937-C7B1-47D3-B67F-A62EFF666E3E}">
          <x14:id>{1A03D98B-8EDB-483B-BE79-CB688593C248}</x14:id>
        </ext>
      </extLst>
    </cfRule>
  </conditionalFormatting>
  <conditionalFormatting sqref="C36:C37">
    <cfRule type="dataBar" priority="3">
      <dataBar>
        <cfvo type="min"/>
        <cfvo type="max"/>
        <color rgb="FF638EC6"/>
      </dataBar>
      <extLst>
        <ext xmlns:x14="http://schemas.microsoft.com/office/spreadsheetml/2009/9/main" uri="{B025F937-C7B1-47D3-B67F-A62EFF666E3E}">
          <x14:id>{A6C4A495-21F2-422A-8C0D-A3824C3E9184}</x14:id>
        </ext>
      </extLst>
    </cfRule>
  </conditionalFormatting>
  <conditionalFormatting sqref="C39:C41">
    <cfRule type="dataBar" priority="2">
      <dataBar>
        <cfvo type="min"/>
        <cfvo type="max"/>
        <color rgb="FF638EC6"/>
      </dataBar>
      <extLst>
        <ext xmlns:x14="http://schemas.microsoft.com/office/spreadsheetml/2009/9/main" uri="{B025F937-C7B1-47D3-B67F-A62EFF666E3E}">
          <x14:id>{55FAEA13-AE3D-47D8-B30A-29B9C86A4DFF}</x14:id>
        </ext>
      </extLst>
    </cfRule>
  </conditionalFormatting>
  <dataValidations count="4">
    <dataValidation allowBlank="1" showInputMessage="1" sqref="E16:E17 H36:K37 E19:E20 H22:K27 E11:E14 H39:K41 H29:K34 H19:K20 E22:E27 E29:E34 E36:E37 E39:E41 H16:K17 H11:K14" xr:uid="{BC27F856-D8B1-4803-8274-4FB2918EDDC4}"/>
    <dataValidation type="list" allowBlank="1" showInputMessage="1" sqref="G19:G20 G11:G14 G16:G17 G22:G27 G39:G41 G36:G37 G29:G34" xr:uid="{14E2AD2E-2600-4AEA-BB04-4814E75F2118}">
      <formula1>"Thấp,Trung bình,Cao,Khó và phức tạp"</formula1>
    </dataValidation>
    <dataValidation type="list" allowBlank="1" showInputMessage="1" sqref="C11:C14 C16:C17 C19:C20 C22:C27 C39:C41 C36:C37 C29:C34" xr:uid="{621215BA-2E03-47A2-AF0A-1A2C0E93A9C3}">
      <formula1>"Hiệu trưởng, PHT Nguyễn Trung Hiếu, PHT Huỳnh Văn Chung, PHT Dương Văn Anh Dũng, Bí thư Đảng uỷ, Phó Bí thư Đảng uỷ, Uỷ viên BTV, Chủ tịch Công đoàn, Bí thư ĐTN, Chủ tịch HSV"</formula1>
    </dataValidation>
    <dataValidation type="list" allowBlank="1" showInputMessage="1" sqref="D11:D14 D16:D17 D19:D20 D36:D37 D22:D27 D39:D41 D29:D34" xr:uid="{E846FC65-C4E2-4E15-9896-AF322BFA73E9}">
      <formula1>"Phòng QLĐT&amp;BĐCL, Phòng TH-HC&amp;QT, Phòng QLKHCN&amp;HTPT, Phòng TC-KT, Phòng  TCCB&amp;CTHSSV, Khoa Sư phạm, Khoa CKHCB, Khoa KT&amp;NL, Khoa Y – Dược, Khoa ĐT&amp;SHLX, Khoa KT&amp;CN"</formula1>
    </dataValidation>
  </dataValidations>
  <printOptions horizontalCentered="1"/>
  <pageMargins left="0.31496062992126" right="0.31496062992126" top="0.39370078740157499" bottom="0.39370078740157499" header="0.31496062992126" footer="0.31496062992126"/>
  <pageSetup paperSize="9" scale="70" orientation="landscape" r:id="rId1"/>
  <drawing r:id="rId2"/>
  <extLst>
    <ext xmlns:x14="http://schemas.microsoft.com/office/spreadsheetml/2009/9/main" uri="{78C0D931-6437-407d-A8EE-F0AAD7539E65}">
      <x14:conditionalFormattings>
        <x14:conditionalFormatting xmlns:xm="http://schemas.microsoft.com/office/excel/2006/main">
          <x14:cfRule type="dataBar" id="{B02C0568-0B95-438E-8F0F-8304F73B5A78}">
            <x14:dataBar minLength="0" maxLength="100" gradient="0">
              <x14:cfvo type="autoMin"/>
              <x14:cfvo type="autoMax"/>
              <x14:negativeFillColor rgb="FFFF0000"/>
              <x14:axisColor rgb="FF000000"/>
            </x14:dataBar>
          </x14:cfRule>
          <xm:sqref>C11:C14</xm:sqref>
        </x14:conditionalFormatting>
        <x14:conditionalFormatting xmlns:xm="http://schemas.microsoft.com/office/excel/2006/main">
          <x14:cfRule type="dataBar" id="{91E4274D-B171-4686-8314-4D3DBA220CD2}">
            <x14:dataBar minLength="0" maxLength="100" gradient="0">
              <x14:cfvo type="autoMin"/>
              <x14:cfvo type="autoMax"/>
              <x14:negativeFillColor rgb="FFFF0000"/>
              <x14:axisColor rgb="FF000000"/>
            </x14:dataBar>
          </x14:cfRule>
          <xm:sqref>C16:C17</xm:sqref>
        </x14:conditionalFormatting>
        <x14:conditionalFormatting xmlns:xm="http://schemas.microsoft.com/office/excel/2006/main">
          <x14:cfRule type="dataBar" id="{78693158-1AD8-4B30-86DE-FC75A7DA4A16}">
            <x14:dataBar minLength="0" maxLength="100" gradient="0">
              <x14:cfvo type="autoMin"/>
              <x14:cfvo type="autoMax"/>
              <x14:negativeFillColor rgb="FFFF0000"/>
              <x14:axisColor rgb="FF000000"/>
            </x14:dataBar>
          </x14:cfRule>
          <xm:sqref>C19</xm:sqref>
        </x14:conditionalFormatting>
        <x14:conditionalFormatting xmlns:xm="http://schemas.microsoft.com/office/excel/2006/main">
          <x14:cfRule type="dataBar" id="{E019BEA0-41FC-416C-9347-F081B9321A3C}">
            <x14:dataBar minLength="0" maxLength="100" gradient="0">
              <x14:cfvo type="autoMin"/>
              <x14:cfvo type="autoMax"/>
              <x14:negativeFillColor rgb="FFFF0000"/>
              <x14:axisColor rgb="FF000000"/>
            </x14:dataBar>
          </x14:cfRule>
          <xm:sqref>C20</xm:sqref>
        </x14:conditionalFormatting>
        <x14:conditionalFormatting xmlns:xm="http://schemas.microsoft.com/office/excel/2006/main">
          <x14:cfRule type="dataBar" id="{C4793C31-134B-490B-8E16-175CCE067DA7}">
            <x14:dataBar minLength="0" maxLength="100" gradient="0">
              <x14:cfvo type="autoMin"/>
              <x14:cfvo type="autoMax"/>
              <x14:negativeFillColor rgb="FFFF0000"/>
              <x14:axisColor rgb="FF000000"/>
            </x14:dataBar>
          </x14:cfRule>
          <xm:sqref>C22:C27</xm:sqref>
        </x14:conditionalFormatting>
        <x14:conditionalFormatting xmlns:xm="http://schemas.microsoft.com/office/excel/2006/main">
          <x14:cfRule type="dataBar" id="{E6E9F118-07EF-44E3-9D59-FE1CEB23B81F}">
            <x14:dataBar minLength="0" maxLength="100" gradient="0">
              <x14:cfvo type="autoMin"/>
              <x14:cfvo type="autoMax"/>
              <x14:negativeFillColor rgb="FFFF0000"/>
              <x14:axisColor rgb="FF000000"/>
            </x14:dataBar>
          </x14:cfRule>
          <xm:sqref>C29</xm:sqref>
        </x14:conditionalFormatting>
        <x14:conditionalFormatting xmlns:xm="http://schemas.microsoft.com/office/excel/2006/main">
          <x14:cfRule type="dataBar" id="{1A03D98B-8EDB-483B-BE79-CB688593C248}">
            <x14:dataBar minLength="0" maxLength="100" gradient="0">
              <x14:cfvo type="autoMin"/>
              <x14:cfvo type="autoMax"/>
              <x14:negativeFillColor rgb="FFFF0000"/>
              <x14:axisColor rgb="FF000000"/>
            </x14:dataBar>
          </x14:cfRule>
          <xm:sqref>C30:C34</xm:sqref>
        </x14:conditionalFormatting>
        <x14:conditionalFormatting xmlns:xm="http://schemas.microsoft.com/office/excel/2006/main">
          <x14:cfRule type="dataBar" id="{A6C4A495-21F2-422A-8C0D-A3824C3E9184}">
            <x14:dataBar minLength="0" maxLength="100" gradient="0">
              <x14:cfvo type="autoMin"/>
              <x14:cfvo type="autoMax"/>
              <x14:negativeFillColor rgb="FFFF0000"/>
              <x14:axisColor rgb="FF000000"/>
            </x14:dataBar>
          </x14:cfRule>
          <xm:sqref>C36:C37</xm:sqref>
        </x14:conditionalFormatting>
        <x14:conditionalFormatting xmlns:xm="http://schemas.microsoft.com/office/excel/2006/main">
          <x14:cfRule type="dataBar" id="{55FAEA13-AE3D-47D8-B30A-29B9C86A4DFF}">
            <x14:dataBar minLength="0" maxLength="100" gradient="0">
              <x14:cfvo type="autoMin"/>
              <x14:cfvo type="autoMax"/>
              <x14:negativeFillColor rgb="FFFF0000"/>
              <x14:axisColor rgb="FF000000"/>
            </x14:dataBar>
          </x14:cfRule>
          <xm:sqref>C39:C41</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Mẫu BC tháng</vt:lpstr>
      <vt:lpstr>Mẫu BC QUÝ</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Quang Phuc</dc:creator>
  <cp:lastModifiedBy>Cao Hùng</cp:lastModifiedBy>
  <cp:lastPrinted>2026-06-25T01:59:32Z</cp:lastPrinted>
  <dcterms:created xsi:type="dcterms:W3CDTF">2026-05-27T07:08:41Z</dcterms:created>
  <dcterms:modified xsi:type="dcterms:W3CDTF">2026-08-17T08:21:17Z</dcterms:modified>
</cp:coreProperties>
</file>