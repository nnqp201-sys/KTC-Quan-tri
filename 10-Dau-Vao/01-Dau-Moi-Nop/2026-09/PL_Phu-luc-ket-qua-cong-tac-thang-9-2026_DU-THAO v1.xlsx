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ÔNG VIỆC\BÁO CÁO\BÁO CÁO THÁNG\THÁNG 9.2026\1. BAO CAO PL IIB\"/>
    </mc:Choice>
  </mc:AlternateContent>
  <xr:revisionPtr revIDLastSave="0" documentId="13_ncr:1_{289A7A65-50FF-4618-869B-94A4E86E3797}" xr6:coauthVersionLast="47" xr6:coauthVersionMax="47" xr10:uidLastSave="{00000000-0000-0000-0000-000000000000}"/>
  <bookViews>
    <workbookView xWindow="-110" yWindow="-110" windowWidth="19420" windowHeight="11500" xr2:uid="{00000000-000D-0000-FFFF-FFFF00000000}"/>
  </bookViews>
  <sheets>
    <sheet name="BC Kết quả tháng 9" sheetId="1" r:id="rId1"/>
  </sheets>
  <definedNames>
    <definedName name="_xlnm.Print_Area" localSheetId="0">'BC Kết quả tháng 9'!$A$1:$P$65</definedName>
    <definedName name="_xlnm.Print_Titles" localSheetId="0">'BC Kết quả tháng 9'!$5:$6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5" i="1" l="1"/>
  <c r="M65" i="1" s="1"/>
  <c r="K64" i="1"/>
  <c r="O64" i="1" s="1"/>
  <c r="K59" i="1"/>
  <c r="O59" i="1" s="1"/>
  <c r="K55" i="1"/>
  <c r="M55" i="1" s="1"/>
  <c r="K54" i="1"/>
  <c r="M54" i="1" s="1"/>
  <c r="K47" i="1"/>
  <c r="K38" i="1"/>
  <c r="O38" i="1" s="1"/>
  <c r="K31" i="1"/>
  <c r="K30" i="1"/>
  <c r="O30" i="1" s="1"/>
  <c r="K29" i="1"/>
  <c r="O29" i="1" s="1"/>
  <c r="K25" i="1"/>
  <c r="O25" i="1" s="1"/>
  <c r="K15" i="1"/>
  <c r="O15" i="1" s="1"/>
  <c r="K10" i="1"/>
  <c r="M10" i="1" s="1"/>
  <c r="O54" i="1" l="1"/>
  <c r="O65" i="1"/>
  <c r="M64" i="1"/>
  <c r="O10" i="1"/>
  <c r="M59" i="1"/>
  <c r="O55" i="1"/>
  <c r="M47" i="1"/>
  <c r="O47" i="1"/>
  <c r="M38" i="1"/>
  <c r="M31" i="1"/>
  <c r="O31" i="1"/>
  <c r="M30" i="1"/>
  <c r="M29" i="1"/>
  <c r="M25" i="1"/>
  <c r="M15" i="1"/>
  <c r="K45" i="1"/>
  <c r="K52" i="1"/>
  <c r="M52" i="1" s="1"/>
  <c r="M45" i="1" l="1"/>
  <c r="O45" i="1"/>
  <c r="O52" i="1"/>
  <c r="K19" i="1" l="1"/>
  <c r="O19" i="1" s="1"/>
  <c r="K17" i="1"/>
  <c r="O17" i="1" s="1"/>
  <c r="K14" i="1"/>
  <c r="O14" i="1" s="1"/>
  <c r="K13" i="1"/>
  <c r="K11" i="1"/>
  <c r="O11" i="1" s="1"/>
  <c r="K12" i="1"/>
  <c r="M14" i="1" l="1"/>
  <c r="M19" i="1"/>
  <c r="M17" i="1"/>
  <c r="M13" i="1"/>
  <c r="O13" i="1"/>
  <c r="M11" i="1"/>
  <c r="M12" i="1"/>
  <c r="O12" i="1"/>
  <c r="H65" i="1" l="1"/>
  <c r="I65" i="1" s="1"/>
  <c r="H64" i="1"/>
  <c r="I64" i="1" s="1"/>
  <c r="H63" i="1"/>
  <c r="I63" i="1" s="1"/>
  <c r="J63" i="1" s="1"/>
  <c r="H62" i="1"/>
  <c r="I62" i="1" s="1"/>
  <c r="J62" i="1" s="1"/>
  <c r="H61" i="1"/>
  <c r="I61" i="1" s="1"/>
  <c r="J61" i="1" s="1"/>
  <c r="H59" i="1"/>
  <c r="I59" i="1" s="1"/>
  <c r="O58" i="1"/>
  <c r="M58" i="1"/>
  <c r="K58" i="1"/>
  <c r="F58" i="1"/>
  <c r="H57" i="1"/>
  <c r="I57" i="1" s="1"/>
  <c r="J57" i="1" s="1"/>
  <c r="H56" i="1"/>
  <c r="I56" i="1" s="1"/>
  <c r="J56" i="1" s="1"/>
  <c r="H55" i="1"/>
  <c r="I55" i="1" s="1"/>
  <c r="H54" i="1"/>
  <c r="I54" i="1" s="1"/>
  <c r="H53" i="1"/>
  <c r="I53" i="1" s="1"/>
  <c r="J53" i="1" s="1"/>
  <c r="H52" i="1"/>
  <c r="I52" i="1" s="1"/>
  <c r="H51" i="1"/>
  <c r="I51" i="1" s="1"/>
  <c r="J51" i="1" s="1"/>
  <c r="H50" i="1"/>
  <c r="I50" i="1" s="1"/>
  <c r="J50" i="1" s="1"/>
  <c r="K49" i="1"/>
  <c r="M49" i="1" s="1"/>
  <c r="M46" i="1" s="1"/>
  <c r="H49" i="1"/>
  <c r="I49" i="1" s="1"/>
  <c r="H48" i="1"/>
  <c r="I48" i="1" s="1"/>
  <c r="J48" i="1" s="1"/>
  <c r="H47" i="1"/>
  <c r="I47" i="1" s="1"/>
  <c r="F46" i="1"/>
  <c r="H45" i="1"/>
  <c r="I45" i="1" s="1"/>
  <c r="H44" i="1"/>
  <c r="I44" i="1" s="1"/>
  <c r="J44" i="1" s="1"/>
  <c r="K43" i="1"/>
  <c r="M43" i="1" s="1"/>
  <c r="H43" i="1"/>
  <c r="I43" i="1" s="1"/>
  <c r="K42" i="1"/>
  <c r="M42" i="1" s="1"/>
  <c r="H42" i="1"/>
  <c r="I42" i="1" s="1"/>
  <c r="H41" i="1"/>
  <c r="I41" i="1" s="1"/>
  <c r="J41" i="1" s="1"/>
  <c r="K40" i="1"/>
  <c r="M40" i="1" s="1"/>
  <c r="H40" i="1"/>
  <c r="I40" i="1" s="1"/>
  <c r="H39" i="1"/>
  <c r="I39" i="1" s="1"/>
  <c r="J39" i="1" s="1"/>
  <c r="H38" i="1"/>
  <c r="I38" i="1" s="1"/>
  <c r="H37" i="1"/>
  <c r="I37" i="1" s="1"/>
  <c r="J37" i="1" s="1"/>
  <c r="H36" i="1"/>
  <c r="I36" i="1" s="1"/>
  <c r="J36" i="1" s="1"/>
  <c r="H35" i="1"/>
  <c r="I35" i="1" s="1"/>
  <c r="J35" i="1" s="1"/>
  <c r="K34" i="1"/>
  <c r="M34" i="1" s="1"/>
  <c r="H34" i="1"/>
  <c r="I34" i="1" s="1"/>
  <c r="F33" i="1"/>
  <c r="H32" i="1"/>
  <c r="I32" i="1" s="1"/>
  <c r="J32" i="1" s="1"/>
  <c r="H31" i="1"/>
  <c r="I31" i="1" s="1"/>
  <c r="H30" i="1"/>
  <c r="I30" i="1" s="1"/>
  <c r="H29" i="1"/>
  <c r="I29" i="1" s="1"/>
  <c r="K28" i="1"/>
  <c r="O28" i="1" s="1"/>
  <c r="H28" i="1"/>
  <c r="I28" i="1" s="1"/>
  <c r="K27" i="1"/>
  <c r="O27" i="1" s="1"/>
  <c r="H27" i="1"/>
  <c r="I27" i="1" s="1"/>
  <c r="J27" i="1" s="1"/>
  <c r="F26" i="1"/>
  <c r="H25" i="1"/>
  <c r="I25" i="1" s="1"/>
  <c r="K24" i="1"/>
  <c r="O24" i="1" s="1"/>
  <c r="H24" i="1"/>
  <c r="I24" i="1" s="1"/>
  <c r="H23" i="1"/>
  <c r="I23" i="1" s="1"/>
  <c r="J23" i="1" s="1"/>
  <c r="K22" i="1"/>
  <c r="O22" i="1" s="1"/>
  <c r="H22" i="1"/>
  <c r="I22" i="1" s="1"/>
  <c r="F21" i="1"/>
  <c r="H20" i="1"/>
  <c r="I20" i="1" s="1"/>
  <c r="J20" i="1" s="1"/>
  <c r="H19" i="1"/>
  <c r="I19" i="1" s="1"/>
  <c r="H18" i="1"/>
  <c r="I18" i="1" s="1"/>
  <c r="J18" i="1" s="1"/>
  <c r="H17" i="1"/>
  <c r="I17" i="1" s="1"/>
  <c r="N17" i="1" s="1"/>
  <c r="K16" i="1"/>
  <c r="K9" i="1" s="1"/>
  <c r="H16" i="1"/>
  <c r="I16" i="1" s="1"/>
  <c r="H15" i="1"/>
  <c r="I15" i="1" s="1"/>
  <c r="H14" i="1"/>
  <c r="I14" i="1" s="1"/>
  <c r="H13" i="1"/>
  <c r="I13" i="1" s="1"/>
  <c r="P13" i="1" s="1"/>
  <c r="H12" i="1"/>
  <c r="I12" i="1" s="1"/>
  <c r="H11" i="1"/>
  <c r="I11" i="1" s="1"/>
  <c r="H10" i="1"/>
  <c r="I10" i="1" s="1"/>
  <c r="F9" i="1"/>
  <c r="J65" i="1" l="1"/>
  <c r="N65" i="1"/>
  <c r="L65" i="1"/>
  <c r="P65" i="1"/>
  <c r="J64" i="1"/>
  <c r="P64" i="1"/>
  <c r="L64" i="1"/>
  <c r="N64" i="1"/>
  <c r="J47" i="1"/>
  <c r="L47" i="1"/>
  <c r="N47" i="1"/>
  <c r="P47" i="1"/>
  <c r="J25" i="1"/>
  <c r="L25" i="1"/>
  <c r="P25" i="1"/>
  <c r="N25" i="1"/>
  <c r="J31" i="1"/>
  <c r="L31" i="1"/>
  <c r="P31" i="1"/>
  <c r="N31" i="1"/>
  <c r="J38" i="1"/>
  <c r="P38" i="1"/>
  <c r="L38" i="1"/>
  <c r="N38" i="1"/>
  <c r="J54" i="1"/>
  <c r="N54" i="1"/>
  <c r="P54" i="1"/>
  <c r="L54" i="1"/>
  <c r="J30" i="1"/>
  <c r="P30" i="1"/>
  <c r="L30" i="1"/>
  <c r="N30" i="1"/>
  <c r="J45" i="1"/>
  <c r="L45" i="1"/>
  <c r="N45" i="1"/>
  <c r="P45" i="1"/>
  <c r="J55" i="1"/>
  <c r="N55" i="1"/>
  <c r="L55" i="1"/>
  <c r="P55" i="1"/>
  <c r="J10" i="1"/>
  <c r="N10" i="1"/>
  <c r="L10" i="1"/>
  <c r="P10" i="1"/>
  <c r="J29" i="1"/>
  <c r="L29" i="1"/>
  <c r="P29" i="1"/>
  <c r="N29" i="1"/>
  <c r="J59" i="1"/>
  <c r="P59" i="1"/>
  <c r="P58" i="1" s="1"/>
  <c r="L59" i="1"/>
  <c r="L58" i="1" s="1"/>
  <c r="N59" i="1"/>
  <c r="N58" i="1" s="1"/>
  <c r="J15" i="1"/>
  <c r="L15" i="1"/>
  <c r="P15" i="1"/>
  <c r="N15" i="1"/>
  <c r="J52" i="1"/>
  <c r="L52" i="1"/>
  <c r="N52" i="1"/>
  <c r="P52" i="1"/>
  <c r="N13" i="1"/>
  <c r="M33" i="1"/>
  <c r="O42" i="1"/>
  <c r="P42" i="1" s="1"/>
  <c r="J12" i="1"/>
  <c r="L12" i="1"/>
  <c r="P12" i="1"/>
  <c r="N12" i="1"/>
  <c r="M22" i="1"/>
  <c r="J19" i="1"/>
  <c r="L19" i="1"/>
  <c r="P19" i="1"/>
  <c r="K26" i="1"/>
  <c r="K60" i="1"/>
  <c r="M16" i="1"/>
  <c r="M9" i="1" s="1"/>
  <c r="K21" i="1"/>
  <c r="N19" i="1"/>
  <c r="O16" i="1"/>
  <c r="O9" i="1" s="1"/>
  <c r="M24" i="1"/>
  <c r="N24" i="1" s="1"/>
  <c r="L27" i="1"/>
  <c r="O49" i="1"/>
  <c r="O46" i="1" s="1"/>
  <c r="J14" i="1"/>
  <c r="N14" i="1"/>
  <c r="L14" i="1"/>
  <c r="P14" i="1"/>
  <c r="O21" i="1"/>
  <c r="J11" i="1"/>
  <c r="P11" i="1"/>
  <c r="L11" i="1"/>
  <c r="O26" i="1"/>
  <c r="J13" i="1"/>
  <c r="L13" i="1"/>
  <c r="J17" i="1"/>
  <c r="P17" i="1"/>
  <c r="L17" i="1"/>
  <c r="M27" i="1"/>
  <c r="N27" i="1" s="1"/>
  <c r="N11" i="1"/>
  <c r="L24" i="1"/>
  <c r="P24" i="1"/>
  <c r="J24" i="1"/>
  <c r="O60" i="1"/>
  <c r="J22" i="1"/>
  <c r="P22" i="1"/>
  <c r="L22" i="1"/>
  <c r="J40" i="1"/>
  <c r="N40" i="1"/>
  <c r="N42" i="1"/>
  <c r="J42" i="1"/>
  <c r="J28" i="1"/>
  <c r="J26" i="1" s="1"/>
  <c r="P28" i="1"/>
  <c r="J43" i="1"/>
  <c r="N43" i="1"/>
  <c r="J34" i="1"/>
  <c r="N34" i="1"/>
  <c r="J58" i="1"/>
  <c r="J49" i="1"/>
  <c r="J16" i="1"/>
  <c r="L28" i="1"/>
  <c r="O34" i="1"/>
  <c r="P34" i="1" s="1"/>
  <c r="O40" i="1"/>
  <c r="P40" i="1" s="1"/>
  <c r="O43" i="1"/>
  <c r="P43" i="1" s="1"/>
  <c r="M28" i="1"/>
  <c r="L42" i="1"/>
  <c r="L16" i="1"/>
  <c r="K46" i="1"/>
  <c r="L49" i="1"/>
  <c r="P27" i="1"/>
  <c r="K33" i="1"/>
  <c r="N49" i="1"/>
  <c r="L34" i="1"/>
  <c r="L40" i="1"/>
  <c r="L43" i="1"/>
  <c r="L26" i="1" l="1"/>
  <c r="L46" i="1"/>
  <c r="N46" i="1"/>
  <c r="J46" i="1"/>
  <c r="M21" i="1"/>
  <c r="L33" i="1"/>
  <c r="P60" i="1"/>
  <c r="O33" i="1"/>
  <c r="N22" i="1"/>
  <c r="N21" i="1" s="1"/>
  <c r="N16" i="1"/>
  <c r="N9" i="1" s="1"/>
  <c r="L9" i="1"/>
  <c r="L21" i="1"/>
  <c r="J9" i="1"/>
  <c r="M60" i="1"/>
  <c r="J21" i="1"/>
  <c r="P16" i="1"/>
  <c r="P9" i="1" s="1"/>
  <c r="M26" i="1"/>
  <c r="P49" i="1"/>
  <c r="P46" i="1" s="1"/>
  <c r="L60" i="1"/>
  <c r="P33" i="1"/>
  <c r="N60" i="1"/>
  <c r="N28" i="1"/>
  <c r="N26" i="1"/>
  <c r="P26" i="1"/>
  <c r="N33" i="1"/>
  <c r="J33" i="1"/>
  <c r="P21" i="1"/>
</calcChain>
</file>

<file path=xl/sharedStrings.xml><?xml version="1.0" encoding="utf-8"?>
<sst xmlns="http://schemas.openxmlformats.org/spreadsheetml/2006/main" count="383" uniqueCount="208">
  <si>
    <t>UBND TỈNH QUẢNG NGÃI</t>
  </si>
  <si>
    <t>CỘNG HÒA XÃ HỘI CHỦ NGHĨA VIỆT NAM</t>
  </si>
  <si>
    <t>TRƯỜNG CAO ĐẲNG KON TUM</t>
  </si>
  <si>
    <t>Độc lập - Tự do - Hạnh phúc</t>
  </si>
  <si>
    <t>Phụ lục
KẾT QUẢ THỰC HIỆN CÔNG TÁC THÁNG 9 NĂM 2026 CỦA TRƯỜNG CAO ĐẲNG KON TUM</t>
  </si>
  <si>
    <t>TT</t>
  </si>
  <si>
    <t>NỘI DUNG CÔNG VIỆC</t>
  </si>
  <si>
    <t>Người trực tiếp chỉ đạo</t>
  </si>
  <si>
    <t>Đơn vị chủ trì</t>
  </si>
  <si>
    <t>Sản phẩm/ Công việc</t>
  </si>
  <si>
    <t>Số lượng</t>
  </si>
  <si>
    <t>Độ khó, mới, phức tạp; phạm vi tác
động</t>
  </si>
  <si>
    <t>Điểm chấm công việc</t>
  </si>
  <si>
    <t>Hệ số quy đổi</t>
  </si>
  <si>
    <t>Số lượng quy đổi</t>
  </si>
  <si>
    <t>KPI (số lượng)</t>
  </si>
  <si>
    <t>KPI (chất lượng)</t>
  </si>
  <si>
    <t>KPI (tiến độ)</t>
  </si>
  <si>
    <t>Ghi chú đối soát (xóa trước khi ban hành)</t>
  </si>
  <si>
    <t>Thực tế hoàn thành</t>
  </si>
  <si>
    <t>Quy đổi</t>
  </si>
  <si>
    <t>(1)</t>
  </si>
  <si>
    <t>(2)</t>
  </si>
  <si>
    <t>(3)</t>
  </si>
  <si>
    <t>(4)</t>
  </si>
  <si>
    <t>(5)</t>
  </si>
  <si>
    <t>(6)</t>
  </si>
  <si>
    <t>(7)</t>
  </si>
  <si>
    <t>(8)</t>
  </si>
  <si>
    <t>(9)= (8)* 1%</t>
  </si>
  <si>
    <t>(10)= (6)* (9)</t>
  </si>
  <si>
    <t>(11)=(6)* [Tỷ lệ hoàn thành khối lượng]
Thiếu 1 = 75% (trừ 0,25)</t>
  </si>
  <si>
    <t>(12)= (9)* (11)</t>
  </si>
  <si>
    <t>(13)=(11)*[Tỷ lệ hoàn thành chất lượng]
Sửa đổi 1-2 lần 75% (trừ 0,25)</t>
  </si>
  <si>
    <t>(14)= (9)* (13)</t>
  </si>
  <si>
    <t>(15)=(11)*[Tỷ lệ hoàn thành tiến độ]
Chậm tiến độ 75% (trừ 0,25)</t>
  </si>
  <si>
    <t>(16)= (9)* (15)</t>
  </si>
  <si>
    <t>I</t>
  </si>
  <si>
    <t> Các nhiệm vụ theo kế hoạch (chương trình) công tác đã đề ra từ đầu tháng</t>
  </si>
  <si>
    <t>1</t>
  </si>
  <si>
    <t>Trục (1) - Thực hiện mục tiêu phát triển Kinh tế - xã hội và nhiệm vụ chính trị được giao</t>
  </si>
  <si>
    <t>1.1</t>
  </si>
  <si>
    <t>Xây dựng Chương trình đào tạo ngành, nghề Y sỹ đa khoa, trình độ cao đẳng</t>
  </si>
  <si>
    <t>PHT Nguyễn Trung Hiếu</t>
  </si>
  <si>
    <t>Khoa Y – Dược</t>
  </si>
  <si>
    <t>Quyết định</t>
  </si>
  <si>
    <t>Trung bình</t>
  </si>
  <si>
    <t>Không thấy nhiệm vụ này trong Phụ lục IIb của đơn vị chủ trì — chờ đơn vị xác nhận (không đồng nghĩa chưa làm)</t>
  </si>
  <si>
    <t>1.2</t>
  </si>
  <si>
    <t>Tổ chức Lễ Khai giảng năm học 2026-2027</t>
  </si>
  <si>
    <t>Hiệu trưởng</t>
  </si>
  <si>
    <t>Phòng QLĐT&amp;BĐCL</t>
  </si>
  <si>
    <t>Kế hoạch</t>
  </si>
  <si>
    <t>Thấp</t>
  </si>
  <si>
    <t>Đơn vị chủ trì (Phòng QLĐT&amp;BĐCL) chưa nộp Phụ lục IIb tháng 9 — chưa có kết quả</t>
  </si>
  <si>
    <t>1.3</t>
  </si>
  <si>
    <t>Tổ chức Lễ tốt nghiệp và trao bằng tốt nghiệp năm 2026</t>
  </si>
  <si>
    <t>Chương trình</t>
  </si>
  <si>
    <t>1.4</t>
  </si>
  <si>
    <t>Xây dựng kế hoạch khảo thí năm học 2026-2027 cho các lớp trình độ cao đẳng, trung cấp (tuyển sinh năm 2024, 2025, 2026)</t>
  </si>
  <si>
    <t>PHT Dương Văn Anh Dũng</t>
  </si>
  <si>
    <t>1.5</t>
  </si>
  <si>
    <t>Rà soát, đăng ký loại bỏ các ngành, nghề đào tạo không còn phù hợp, nguồn tuyển sinh hạn chế</t>
  </si>
  <si>
    <t>Kế hoạch; Công văn</t>
  </si>
  <si>
    <t>1.6</t>
  </si>
  <si>
    <t>Tổ chức tiếp sinh, nhập học thí sinh trúng tuyển trình độ cao đẳng, trung cấp, hệ chính quy năm học 2026-2027</t>
  </si>
  <si>
    <t>PHT Huỳnh Văn Chung</t>
  </si>
  <si>
    <t>Đoàn TN; Hội SV</t>
  </si>
  <si>
    <t>Công văn/Thông báo</t>
  </si>
  <si>
    <t>1.7</t>
  </si>
  <si>
    <t>Xây dựng Chiến lược phát triển Khoa các Khoa học cơ bản đến năm 2030 và tầm nhìn đến năm 2045</t>
  </si>
  <si>
    <t>Khoa CKHCB</t>
  </si>
  <si>
    <t>Cao</t>
  </si>
  <si>
    <t>1.8</t>
  </si>
  <si>
    <t>Kế hoạch chuẩn bị sơ kết tình hình triển khai thực hiện mô hình đào tạo kép "Một chương trình – Hai địa điểm" và Đề án Bảo đảm sĩ số học sinh sinh viên từ đầu đến cuối khóa học</t>
  </si>
  <si>
    <t>1.9</t>
  </si>
  <si>
    <t>Triển khai kế hoạch chuẩn bị các điều kiện để triển khai chương trình giáo dục trung học nghề, chương trình giáo dục thường xuyên cấp THPT; giảng dạy, liên kết đào tạo và cấp chứng chỉ giáo dục quốc phòng và an ninh</t>
  </si>
  <si>
    <t>1.10</t>
  </si>
  <si>
    <t>Kế hoạch triển khai thực hiện Kế hoạch số 295/KH-UBND ngày 03/8/2026 của UBND tỉnh triển khai Chương trình phát triển nguồn nhân lực ngành công nghiệp bán dẫn đến năm 2030, định hướng đến năm 2050 trên địa bàn tỉnh Quảng Ngãi</t>
  </si>
  <si>
    <t>1.11</t>
  </si>
  <si>
    <t>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t>
  </si>
  <si>
    <t>Phòng QLKHCN&amp;HTPT</t>
  </si>
  <si>
    <t>2</t>
  </si>
  <si>
    <t>Trục (2) - Hoàn thiện thể chế, đẩy mạnh phân cấp, phân quyền gắn với kiểm tra, giám sát</t>
  </si>
  <si>
    <t>2.1</t>
  </si>
  <si>
    <t>Ban hành Quy chế kiểm toán nội bộ</t>
  </si>
  <si>
    <t>Phòng TC-KT</t>
  </si>
  <si>
    <t>Quy chế</t>
  </si>
  <si>
    <t>Số liệu lấy từ Phụ lục IIb của P-TCKT, dòng 2.1 — đối chiếu GẦN ĐÚNG (chưa có Task_ID); P-THHC xác nhận</t>
  </si>
  <si>
    <t>2.2</t>
  </si>
  <si>
    <t>Ban hành Quy định xây dựng, thẩm định và ban hành chương trình đào tạo; tổ chức biên soạn, lựa chọn, thẩm định, duyệt và sử dụng giáo trình đào tạo trình độ cao đẳng, trung cấp, sơ cấp và đào tạo dưới 3 tháng</t>
  </si>
  <si>
    <t>2.3</t>
  </si>
  <si>
    <t>Ban hành Quyết định thay thế Quyết định số 988/QĐ-CĐKT ngày 12/5/2026 của Hiệu trưởng Trường Cao đẳng Kon Tum ban hành Quy chế tổ chức và hoạt động của Trường Cao đẳng Kon Tum</t>
  </si>
  <si>
    <t>Phòng TCCB&amp;CTHSSV</t>
  </si>
  <si>
    <t>Số liệu lấy từ Phụ lục IIb của P-TCCB, dòng 1.1 — đối chiếu GẦN ĐÚNG (chưa có Task_ID); P-THHC xác nhận</t>
  </si>
  <si>
    <t>2.4</t>
  </si>
  <si>
    <t>Ban hành Quy định vị trí, chức năng, nhiệm vụ, quyền hạn, cơ cấu tổ chức và mối quan hệ công tác của các đơn vị thuộc Trường theo quy định tại Thông tư số 63/2026/TT-BGDĐT và Quy chế tổ chức và hoạt động của Trường Cao đẳng Kon Tum (mới)</t>
  </si>
  <si>
    <t>3</t>
  </si>
  <si>
    <t>Trục (3) - Thúc đẩy phát triển khoa học, công nghệ, đổi mới sáng tạo và chuyển đổi số</t>
  </si>
  <si>
    <t>3.1</t>
  </si>
  <si>
    <t>Ban hành kế hoạch phát triển các công cụ trí tuệ nhân tạo hỗ trợ thực hiện nhiệm vụ của các đơn vị thuộc Trường</t>
  </si>
  <si>
    <t>3.2</t>
  </si>
  <si>
    <t>Truyền thông các hội thảo khoa học công nghệ, đổi mới sáng tạo và chuyển đổi số</t>
  </si>
  <si>
    <t>Ban Truyền thông</t>
  </si>
  <si>
    <t>Tin/bài</t>
  </si>
  <si>
    <t>3.3</t>
  </si>
  <si>
    <t>Đẩy mạnh tuyên truyền chuyển đổi số, bảo đảm an toàn thông tin; tăng cường ứng dụng nền tảng số trong quản lý, điều hành và truyền thông của nhà trường.</t>
  </si>
  <si>
    <t>Chủ tịch Công đoàn</t>
  </si>
  <si>
    <t>CĐCS Trường</t>
  </si>
  <si>
    <t>Tin/bài/nội dung tuyên truyền</t>
  </si>
  <si>
    <t>3.4</t>
  </si>
  <si>
    <t>Triển khai Kế hoạch nhiệm vụ số hóa, tạo lập dữ liệu đảng viên, hồ sơ đảng viên điện tử</t>
  </si>
  <si>
    <t>Bí thư Đảng uỷ</t>
  </si>
  <si>
    <t>3.5</t>
  </si>
  <si>
    <t>Ban hành kế hoạch triển khai công cụ trí tuệ nhân tạo để phát triển kế hoạch bài giảng (lý thuyết, thực hành, tích hợp)</t>
  </si>
  <si>
    <t>3.6</t>
  </si>
  <si>
    <t>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</si>
  <si>
    <t>Văn bản</t>
  </si>
  <si>
    <t>4</t>
  </si>
  <si>
    <t>Trục (4) - Xây dựng Đảng và hệ thống chính trị trong sạch, vững mạnh; giữ gìn đoàn kết, thống nhất nội bộ; phòng, chống tham nhũng, lãng phí, tiêu cực</t>
  </si>
  <si>
    <t>4.1</t>
  </si>
  <si>
    <t>Ban hành kế hoạch triển khai thực hiện Phong trào thi đua Quyết tâm thực hiện thắng lợi mục tiêu tăng trưởng bền vững “2 con số” giai đoạn 2026 - 2030 trên địa bàn tỉnh theo Kế hoạch số 303/KH-UBND ngày 10/8/2026 của UBND tỉnh</t>
  </si>
  <si>
    <t>Số liệu lấy từ Phụ lục IIb của P-TCCB, dòng 1.2 — đối chiếu GẦN ĐÚNG (chưa có Task_ID); P-THHC xác nhận</t>
  </si>
  <si>
    <t>4.2</t>
  </si>
  <si>
    <t>Báo cáo sơ kết công tác quý III và phương hướng, nhiệm vụ công tác quý IV năm 2026 của Đảng ủy Trường.</t>
  </si>
  <si>
    <t>Phó Bí thư Đảng uỷ</t>
  </si>
  <si>
    <t>BPVPĐU</t>
  </si>
  <si>
    <t>Báo cáo</t>
  </si>
  <si>
    <t>4.3</t>
  </si>
  <si>
    <t>Xây dựng Chương trình Công tác Đoàn và phong trào thanh niên năm học 2026-2027</t>
  </si>
  <si>
    <t>4.4</t>
  </si>
  <si>
    <t>Xây dựng Chương trình Công tác Hội và phong trào Sinh viên năm học 2026-2027</t>
  </si>
  <si>
    <t>4.5</t>
  </si>
  <si>
    <t>Báo cáo Phòng chống tham nhũng quý III/2026</t>
  </si>
  <si>
    <t>4.6</t>
  </si>
  <si>
    <t>Tổ chức các hoạt động chào mừng Ngày Phụ nữ Việt Nam 20/10</t>
  </si>
  <si>
    <t>Ban Nữ công; BCH CĐCS</t>
  </si>
  <si>
    <t>4.7</t>
  </si>
  <si>
    <t>Ban hành kế hoạch triển khai phần mềm VNPT KPI – Hệ thống quản lý đánh giá, xếp loại chất lượng CBCCVC</t>
  </si>
  <si>
    <t>4.8</t>
  </si>
  <si>
    <t>Tổ chức Chương trình "Tết Trung thu năm 2026" cho con đoàn viên, viên chức và người lao động.</t>
  </si>
  <si>
    <t>Ban Nữ công; BCH CĐCS; các Tổ Công đoàn</t>
  </si>
  <si>
    <t>Danh sách; Báo cáo; quyết toán kinh phí</t>
  </si>
  <si>
    <t>Khó và phức tạp</t>
  </si>
  <si>
    <t>4.9</t>
  </si>
  <si>
    <t>Ban hành kế hoạch triển khai thực hiện Thông tư số 64/2026/TT-BGDĐT ngày 10/8/2026 của Bộ trưởng Bộ Giáo dục và Đào tạo quy định mã số, chuẩn nghề nghiệp, bổ nhiệm, xếp lương và chế độ làm việc đối với giáo viên trung học nghề</t>
  </si>
  <si>
    <t>4.11</t>
  </si>
  <si>
    <t>Ban hành Kế hoạch triển khai Thông tư số 59/2026/TT-BGDĐT của Bộ trưởng Bộ Giáo dục và Đào tạo quy định về nhà giáo hợp đồng toàn thời gian sau khi nghỉ hưu và nhà giáo thỉnh giảng</t>
  </si>
  <si>
    <t>4.12</t>
  </si>
  <si>
    <t>Kế hoạch triển khai thực hiện Kế hoạch số 101-KH/TU ngày 15/8/2026 của BTV Tỉnh ủy phân công các cơ quan, đơn vị phụ trách, giúp đỡ xây dựng mô hình “Dân vận khéo” về vận động đồng bào dân tộc thiểu số thay đổi nếp nghĩ, cách làm để vươn lên thoát nghèo bền vững trên địa bàn tỉnh</t>
  </si>
  <si>
    <t>4.13</t>
  </si>
  <si>
    <t>Quyết định kết thúc hoạt động của Ban chỉ đạo thực hiện dân chủ ở cơ sở của Đảng uỷ Trường</t>
  </si>
  <si>
    <t>5</t>
  </si>
  <si>
    <t>Trục (5) - Phát triển văn hóa, con người, bảo đảm an sinh xã hội, nâng cao đời sống nhân dân</t>
  </si>
  <si>
    <t>5.1</t>
  </si>
  <si>
    <t>Tổ chức “Ngày hội đầu khóa” năm học 2026-2027 và “Tuần sinh hoạt công dân - Học sinh, Sinh viên” Đợt 1 năm học 2026-2027</t>
  </si>
  <si>
    <t>5.2</t>
  </si>
  <si>
    <t>Triển khai kế hoạch khám sức khỏe cho sinh viên các lớp tuyển sinh năm 2026</t>
  </si>
  <si>
    <t>5.3</t>
  </si>
  <si>
    <t>kế hoạch xây dựng định mức kinh tế - kỹ thuật, giá dịch vụ đào tạo hoặc định mức chi phí đào tạo và mức thu học phí năm học 2026-2027 đối với ngành, nghề Y sỹ đa khoa trình độ cao đẳng và các chương trình đào tạo lái xe;</t>
  </si>
  <si>
    <t>5.4</t>
  </si>
  <si>
    <t>Quyết định ban hành Quy định quản lý tài chính Phòng khám Đa khoa và Nhà thuốc Phòng khám Đa khoa Trường Cao đẳng Kon Tum để thay thế cho các Quyết định đã ban hành trước đây; trong đó đối với ngày thứ Bảy, Chủ nhật và các ngày nghỉ lễ viên chức, người lao động trực tiếp bán hàng được hưởng 100% lợi nhuận gộp sau khi trừ đi chi phí tiền điện, nước, điện thoại, internet, phần mềm bán hàng, thuế,..;</t>
  </si>
  <si>
    <t>5.5</t>
  </si>
  <si>
    <t>Ban hành kế hoạch đầu tư 2 cầu nối che mưa, nắng khi đi lại (1 cầu nối giữa khối nhà C và Hội trường Trung tâm, Trụ sở chính và 1 cầu nối giữa phòng TCCB&amp;CTHSSV Khu hiệu bộ và Nhà để xe ô tô, Trụ sở chính)</t>
  </si>
  <si>
    <t>Phòng TH-HC&amp;QT</t>
  </si>
  <si>
    <t>5.6</t>
  </si>
  <si>
    <t>Ban hành kế hoạch triển khai thực hiện Thông tư số 66/2026/TT- BGDĐT ngày 11/8/2026 của Bộ trưởng Bộ Giáo dục và Đào tạo hướng dẫn tiêu chuẩn, định mức sử dụng máy móc, thiết bị chuyên dùng trong lĩnh vực giáo dục và đào tạo.</t>
  </si>
  <si>
    <t>5.7</t>
  </si>
  <si>
    <t>Phương án sắp xếp, bố trí máy móc, thiết bị phục vụ công tác các chức danh và phục vụ hoạt động chung theo Quyết định số 1763/QĐ-CĐKT ngày 13/8/2026 của Hiệu trưởng nhà trường;</t>
  </si>
  <si>
    <t>Phương án</t>
  </si>
  <si>
    <t>5.8</t>
  </si>
  <si>
    <t>kế hoạch triển khai thực hiện Nghị định số 271/2026/NĐ-CP ngày 03/7/2026 của Chính phủ quy định về miễn phí sách giáo khoa giáo dục phổ thông và miễn học phí, giáo trình môn học Giáo dục quốc phòng và an ninh tại cơ sở giáo dục đại học, giáo dục nghề nghiệp</t>
  </si>
  <si>
    <t>5.9</t>
  </si>
  <si>
    <t>Phương án hoặc Kế hoạch đầu tư nâng cấp sân tập lái xe ô tô</t>
  </si>
  <si>
    <t>Khoa ĐT&amp;SHLX</t>
  </si>
  <si>
    <t>5.10</t>
  </si>
  <si>
    <t>Triển khai sửa chữa sân nền tiếp giáp giữa trục đường chính và lối vào Nhà để xe ô tô phía sau Khu hiệu bộ, Trụ sở chính</t>
  </si>
  <si>
    <t>Hồ sơ triển khai sửa chữa</t>
  </si>
  <si>
    <t>5.11</t>
  </si>
  <si>
    <t>Kế hoạch triển khai thực hiện Nghị quyết số 398/NQUBTVQH16 và Phong trào “Bình dân học vụ số”</t>
  </si>
  <si>
    <t>6</t>
  </si>
  <si>
    <t>Trục (6) - Củng cố quốc phòng, an ninh, giữ vững ổn định chính trị - xã hội, nâng cao hiệu quả đối ngoại và hội nhập quốc tế</t>
  </si>
  <si>
    <t>6.1</t>
  </si>
  <si>
    <t>Duy trì ổn định chính trị nội bộ, đảm bảo an ninh trật tự trường học và thực hiện Đề án xây dựng xã hội trật tự, kỷ cương</t>
  </si>
  <si>
    <t>Theo dõi, Giám sát, Báo cáo</t>
  </si>
  <si>
    <t>II</t>
  </si>
  <si>
    <t>Các nhiệm vụ đột xuất, phát sinh khác ngoài kế hoạch</t>
  </si>
  <si>
    <t>Ban hành Quy định xây dựng ngân hàng đề thi (áp dụng từ năm học 2026-2027)</t>
  </si>
  <si>
    <t>Kế hoạch; Quyết định</t>
  </si>
  <si>
    <t>Nhiệm vụ đột xuất trong KH-834 — chưa có báo cáo kết quả từ đơn vị chủ trì</t>
  </si>
  <si>
    <t>Thông báo hướng dẫn sử dụng trí tuệ nhân tạo để: (i) kiểm tra, rà soát dự thảo chương trình đào tạo và dự thảo giáo trình đào tạo; (ii) ra đề thi kết thúc học phần, môn học, mô đun</t>
  </si>
  <si>
    <t>Thông báo</t>
  </si>
  <si>
    <t>Ban hành Quy định ứng dụng công nghệ thông tin trong tổ chức đào tạo trực tuyến</t>
  </si>
  <si>
    <t>Công nhận mô hình, điển hình "Dân vận khéo" cấp cơ sở</t>
  </si>
  <si>
    <t>Hồ sơ công nhận</t>
  </si>
  <si>
    <t>Hồ sơ đề nghị công nhận mô hình "Dân vận khéo" cấp tỉnh năm 2026</t>
  </si>
  <si>
    <t>Hiệu trưởng, Bí thư Đảng ủy</t>
  </si>
  <si>
    <r>
      <t xml:space="preserve">Không thấy nhiệm vụ này trong Phụ lục IIb của đơn vị chủ trì — chờ đơn vị xác nhận (không đồng nghĩa chưa làm)
</t>
    </r>
    <r>
      <rPr>
        <b/>
        <sz val="11"/>
        <color theme="1"/>
        <rFont val="Calibri"/>
        <family val="2"/>
        <scheme val="minor"/>
      </rPr>
      <t>Chuyển sang tháng 10</t>
    </r>
  </si>
  <si>
    <r>
      <t xml:space="preserve">Đơn vị chủ trì (BPVPĐU) chưa nộp Phụ lục IIb tháng 9 — chưa có kết quả
</t>
    </r>
    <r>
      <rPr>
        <b/>
        <sz val="11"/>
        <color theme="1"/>
        <rFont val="Calibri"/>
        <family val="2"/>
        <scheme val="minor"/>
      </rPr>
      <t>Chuyển tháng 10</t>
    </r>
  </si>
  <si>
    <r>
      <t xml:space="preserve">Đơn vị chủ trì (Ban Nữ công; BCH CĐCS) chưa nộp Phụ lục IIb tháng 9 — chưa có kết quả
</t>
    </r>
    <r>
      <rPr>
        <b/>
        <sz val="11"/>
        <color theme="1"/>
        <rFont val="Calibri"/>
        <family val="2"/>
        <scheme val="minor"/>
      </rPr>
      <t>Chuyển tháng 10</t>
    </r>
  </si>
  <si>
    <r>
      <t xml:space="preserve">Đơn vị chủ trì (Đoàn TN; Hội SV) chưa nộp Phụ lục IIb tháng 9 — chưa có kết quả
</t>
    </r>
    <r>
      <rPr>
        <b/>
        <sz val="11"/>
        <color theme="1"/>
        <rFont val="Calibri"/>
        <family val="2"/>
        <scheme val="minor"/>
      </rPr>
      <t>Chuyển tháng 10</t>
    </r>
  </si>
  <si>
    <r>
      <t xml:space="preserve">Đơn vị chủ trì (Ban Nữ công; BCH CĐCS; các Tổ Công đoàn) chưa nộp Phụ lục IIb tháng 9 — chưa có kết quả
</t>
    </r>
    <r>
      <rPr>
        <b/>
        <sz val="11"/>
        <color theme="1"/>
        <rFont val="Calibri"/>
        <family val="2"/>
        <scheme val="minor"/>
      </rPr>
      <t>Chuyển tháng 10 đánh giá</t>
    </r>
  </si>
  <si>
    <r>
      <t xml:space="preserve">Phụ lục IIb của Phòng TH-HC&amp;QT mới ghi tên nhiệm vụ, chưa điền kết quả — chưa có kết quả
</t>
    </r>
    <r>
      <rPr>
        <b/>
        <sz val="11"/>
        <color theme="1"/>
        <rFont val="Calibri"/>
        <family val="2"/>
        <scheme val="minor"/>
      </rPr>
      <t>Chuyển tháng 10</t>
    </r>
  </si>
  <si>
    <t>842/KH-CĐKT</t>
  </si>
  <si>
    <r>
      <t xml:space="preserve">Không thấy nhiệm vụ này trong Phụ lục IIb của đơn vị chủ trì — chờ đơn vị xác nhận (không đồng nghĩa chưa làm)
</t>
    </r>
    <r>
      <rPr>
        <b/>
        <sz val="11"/>
        <color theme="1"/>
        <rFont val="Calibri"/>
        <family val="2"/>
        <scheme val="minor"/>
      </rPr>
      <t>Chuyển tháng 10</t>
    </r>
  </si>
  <si>
    <t>787/KH-CĐKT</t>
  </si>
  <si>
    <t>12/PA-CĐKT</t>
  </si>
  <si>
    <r>
      <t xml:space="preserve">Nhiệm vụ đột xuất trong KH-834 — chưa có báo cáo kết quả từ đơn vị chủ trì
</t>
    </r>
    <r>
      <rPr>
        <b/>
        <sz val="11"/>
        <color theme="1"/>
        <rFont val="Calibri"/>
        <family val="2"/>
        <scheme val="minor"/>
      </rPr>
      <t>Chuyển tháng 10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</si>
</sst>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22" x14ac:knownFonts="1">
    <font>
      <sz val="11"/>
      <color theme="1"/>
      <name val="Calibri"/>
      <family val="2"/>
      <scheme val="minor"/>
    </font>
    <font>
      <b/>
      <sz val="14"/>
      <color theme="1"/>
      <name val="Times New Roman"/>
      <family val="1"/>
    </font>
    <font>
      <sz val="12"/>
      <color theme="1"/>
      <name val="Times New Roman"/>
      <family val="1"/>
    </font>
    <font>
      <b/>
      <sz val="12"/>
      <color theme="1"/>
      <name val="Times New Roman"/>
      <family val="1"/>
    </font>
    <font>
      <sz val="12"/>
      <color theme="1"/>
      <name val="Calibri"/>
      <family val="2"/>
      <scheme val="minor"/>
    </font>
    <font>
      <b/>
      <sz val="13"/>
      <color theme="1"/>
      <name val="Times New Roman"/>
      <family val="1"/>
    </font>
    <font>
      <sz val="11"/>
      <name val="Calibri"/>
      <family val="2"/>
      <scheme val="minor"/>
    </font>
    <font>
      <sz val="12"/>
      <name val="Times New Roman"/>
      <family val="1"/>
      <charset val="163"/>
    </font>
    <font>
      <sz val="13"/>
      <color theme="1"/>
      <name val="Times New Roman"/>
      <family val="1"/>
    </font>
    <font>
      <sz val="11"/>
      <color theme="1"/>
      <name val="Calibri"/>
      <family val="2"/>
      <scheme val="minor"/>
    </font>
    <font>
      <sz val="13"/>
      <name val="Times New Roman"/>
      <family val="1"/>
    </font>
    <font>
      <b/>
      <sz val="13"/>
      <name val="Times New Roman"/>
      <family val="1"/>
    </font>
    <font>
      <sz val="13"/>
      <name val="Times New Roman"/>
      <family val="1"/>
      <charset val="163"/>
    </font>
    <font>
      <b/>
      <sz val="13"/>
      <color theme="0"/>
      <name val="Times New Roman"/>
      <family val="1"/>
    </font>
    <font>
      <b/>
      <sz val="12"/>
      <name val="Times New Roman"/>
      <family val="1"/>
    </font>
    <font>
      <b/>
      <sz val="12"/>
      <name val="Times New Roman"/>
      <family val="1"/>
      <charset val="163"/>
    </font>
    <font>
      <sz val="10"/>
      <name val="Times New Roman"/>
      <family val="1"/>
      <charset val="163"/>
    </font>
    <font>
      <sz val="10"/>
      <color theme="1"/>
      <name val="Calibri"/>
      <family val="2"/>
      <scheme val="minor"/>
    </font>
    <font>
      <sz val="11"/>
      <color theme="1"/>
      <name val="Calibri"/>
      <family val="2"/>
      <scheme val="minor"/>
    </font>
    <font>
      <b/>
      <sz val="11"/>
      <color theme="1"/>
      <name val="Calibri"/>
      <family val="2"/>
      <scheme val="minor"/>
    </font>
    <font>
      <sz val="12"/>
      <name val="Times New Roman"/>
      <family val="1"/>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9" fillId="0" borderId="0"/>
  </cellStyleXfs>
  <cellXfs count="67">
    <xf numFmtId="0" fontId="0" fillId="0" borderId="0" xfId="0"/>
    <xf numFmtId="0" fontId="4" fillId="0" borderId="0" xfId="0" applyFont="1" applyAlignment="1">
      <alignment vertical="center"/>
    </xf>
    <xf numFmtId="0" fontId="5" fillId="0" borderId="0" xfId="0" applyFont="1" applyAlignment="1">
      <alignment vertical="center" wrapText="1"/>
    </xf>
    <xf numFmtId="0" fontId="3"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16" fillId="0" borderId="2" xfId="0" quotePrefix="1" applyFont="1" applyBorder="1" applyAlignment="1">
      <alignment horizontal="center" vertical="center" wrapText="1"/>
    </xf>
    <xf numFmtId="0" fontId="17" fillId="0" borderId="0" xfId="0" applyFont="1" applyAlignment="1">
      <alignment vertical="center"/>
    </xf>
    <xf numFmtId="0" fontId="11" fillId="0" borderId="2" xfId="0" applyFont="1" applyBorder="1" applyAlignment="1">
      <alignment horizontal="center" vertical="center" wrapText="1"/>
    </xf>
    <xf numFmtId="0" fontId="14" fillId="0" borderId="2" xfId="0" applyFont="1" applyBorder="1" applyAlignment="1">
      <alignment vertical="center" wrapText="1"/>
    </xf>
    <xf numFmtId="0" fontId="11" fillId="0" borderId="2" xfId="0" applyFont="1" applyBorder="1" applyAlignment="1">
      <alignment horizontal="center" vertical="center"/>
    </xf>
    <xf numFmtId="0" fontId="13" fillId="0" borderId="2" xfId="0" applyFont="1" applyBorder="1" applyAlignment="1">
      <alignment horizontal="center" vertical="center"/>
    </xf>
    <xf numFmtId="0" fontId="13" fillId="0" borderId="2" xfId="0" applyFont="1" applyBorder="1" applyAlignment="1">
      <alignment vertical="center"/>
    </xf>
    <xf numFmtId="164" fontId="14" fillId="0" borderId="2" xfId="1" applyNumberFormat="1" applyFont="1" applyBorder="1" applyAlignment="1">
      <alignment horizontal="center" vertical="center"/>
    </xf>
    <xf numFmtId="0" fontId="12" fillId="0" borderId="2" xfId="0" applyFont="1" applyBorder="1" applyAlignment="1">
      <alignment horizontal="center" vertical="center" wrapText="1"/>
    </xf>
    <xf numFmtId="0" fontId="10" fillId="0" borderId="2" xfId="0" applyFont="1" applyBorder="1" applyAlignment="1">
      <alignment horizontal="justify" vertical="center" wrapText="1"/>
    </xf>
    <xf numFmtId="0" fontId="10" fillId="0" borderId="2" xfId="0" applyFont="1" applyBorder="1" applyAlignment="1">
      <alignment horizontal="center" vertical="center" wrapText="1"/>
    </xf>
    <xf numFmtId="0" fontId="7" fillId="0" borderId="2" xfId="0" applyFont="1" applyBorder="1" applyAlignment="1">
      <alignment horizontal="center" vertical="center" wrapText="1"/>
    </xf>
    <xf numFmtId="43" fontId="7" fillId="0" borderId="2" xfId="1" applyFont="1" applyBorder="1" applyAlignment="1">
      <alignment horizontal="center" vertical="center" wrapText="1"/>
    </xf>
    <xf numFmtId="165" fontId="7" fillId="0" borderId="2" xfId="1" applyNumberFormat="1" applyFont="1" applyBorder="1" applyAlignment="1">
      <alignment horizontal="center" vertical="center" wrapText="1"/>
    </xf>
    <xf numFmtId="0" fontId="6" fillId="0" borderId="0" xfId="0" applyFont="1" applyAlignment="1">
      <alignment vertical="center"/>
    </xf>
    <xf numFmtId="2" fontId="14" fillId="0" borderId="2" xfId="0" applyNumberFormat="1" applyFont="1" applyBorder="1" applyAlignment="1">
      <alignment horizontal="center" vertical="center" wrapText="1"/>
    </xf>
    <xf numFmtId="0" fontId="11" fillId="0" borderId="2" xfId="0" applyFont="1" applyBorder="1" applyAlignment="1">
      <alignment vertical="center" wrapText="1"/>
    </xf>
    <xf numFmtId="0" fontId="18" fillId="0" borderId="0" xfId="0" applyFont="1"/>
    <xf numFmtId="0" fontId="18" fillId="0" borderId="4" xfId="0" applyFont="1" applyBorder="1"/>
    <xf numFmtId="0" fontId="18" fillId="0" borderId="0" xfId="0" applyFont="1" applyAlignment="1">
      <alignment vertical="center" wrapText="1"/>
    </xf>
    <xf numFmtId="0" fontId="18" fillId="0" borderId="3" xfId="0" applyFont="1" applyBorder="1"/>
    <xf numFmtId="0" fontId="10" fillId="2" borderId="2" xfId="0" applyFont="1" applyFill="1" applyBorder="1" applyAlignment="1">
      <alignment horizontal="center" vertical="center" wrapText="1"/>
    </xf>
    <xf numFmtId="0" fontId="11" fillId="0" borderId="2" xfId="0" applyFont="1" applyBorder="1" applyAlignment="1">
      <alignment vertical="center"/>
    </xf>
    <xf numFmtId="0" fontId="18" fillId="0" borderId="3" xfId="0" applyFont="1" applyBorder="1"/>
    <xf numFmtId="0" fontId="18" fillId="0" borderId="4" xfId="0" applyFont="1" applyBorder="1"/>
    <xf numFmtId="0" fontId="1" fillId="0" borderId="0" xfId="0" applyFont="1" applyAlignment="1">
      <alignment horizontal="center" vertical="center" wrapText="1"/>
    </xf>
    <xf numFmtId="0" fontId="18" fillId="0" borderId="0" xfId="0" applyFont="1"/>
    <xf numFmtId="0" fontId="14" fillId="0" borderId="2" xfId="0" applyFont="1" applyBorder="1" applyAlignment="1">
      <alignment horizontal="center" vertical="center" wrapText="1"/>
    </xf>
    <xf numFmtId="0" fontId="18" fillId="0" borderId="5" xfId="0" applyFont="1" applyBorder="1"/>
    <xf numFmtId="0" fontId="15" fillId="0" borderId="2" xfId="0" applyFont="1" applyBorder="1" applyAlignment="1">
      <alignment horizontal="center" vertical="center" wrapText="1"/>
    </xf>
    <xf numFmtId="0" fontId="5" fillId="0" borderId="0" xfId="0" applyFont="1" applyAlignment="1">
      <alignment horizontal="center" vertical="center"/>
    </xf>
    <xf numFmtId="2" fontId="14" fillId="0" borderId="2" xfId="0" applyNumberFormat="1" applyFont="1" applyBorder="1" applyAlignment="1">
      <alignment horizontal="center" vertical="center" wrapText="1"/>
    </xf>
    <xf numFmtId="0" fontId="2" fillId="0" borderId="1" xfId="0" applyFont="1" applyBorder="1" applyAlignment="1">
      <alignment horizontal="left" vertical="center"/>
    </xf>
    <xf numFmtId="0" fontId="18" fillId="0" borderId="1" xfId="0" applyFont="1" applyBorder="1"/>
    <xf numFmtId="0" fontId="5" fillId="0" borderId="0" xfId="0" applyFont="1" applyAlignment="1">
      <alignment horizontal="center" vertical="center" wrapText="1"/>
    </xf>
    <xf numFmtId="0" fontId="8" fillId="0" borderId="0" xfId="0" applyFont="1" applyAlignment="1">
      <alignment horizontal="center" vertical="center"/>
    </xf>
    <xf numFmtId="0" fontId="11" fillId="0" borderId="2" xfId="0" applyFont="1" applyBorder="1" applyAlignment="1">
      <alignment vertical="center" wrapText="1"/>
    </xf>
    <xf numFmtId="0" fontId="0" fillId="0" borderId="0" xfId="0" applyFont="1" applyAlignment="1">
      <alignment vertical="center" wrapText="1"/>
    </xf>
    <xf numFmtId="0" fontId="12" fillId="2" borderId="2" xfId="0" applyFont="1" applyFill="1" applyBorder="1" applyAlignment="1">
      <alignment horizontal="center" vertical="center" wrapText="1"/>
    </xf>
    <xf numFmtId="0" fontId="10" fillId="2" borderId="2" xfId="0" applyFont="1" applyFill="1" applyBorder="1" applyAlignment="1">
      <alignment horizontal="justify" vertical="center" wrapText="1"/>
    </xf>
    <xf numFmtId="0" fontId="7" fillId="2" borderId="2" xfId="0" applyFont="1" applyFill="1" applyBorder="1" applyAlignment="1">
      <alignment horizontal="center" vertical="center" wrapText="1"/>
    </xf>
    <xf numFmtId="43" fontId="7" fillId="2" borderId="2" xfId="1" applyFont="1" applyFill="1" applyBorder="1" applyAlignment="1">
      <alignment horizontal="center" vertical="center" wrapText="1"/>
    </xf>
    <xf numFmtId="165" fontId="7" fillId="2" borderId="2" xfId="1" applyNumberFormat="1" applyFont="1" applyFill="1" applyBorder="1" applyAlignment="1">
      <alignment horizontal="center" vertical="center" wrapText="1"/>
    </xf>
    <xf numFmtId="0" fontId="0" fillId="2" borderId="0" xfId="0" applyFont="1" applyFill="1" applyAlignment="1">
      <alignment vertical="center" wrapText="1"/>
    </xf>
    <xf numFmtId="0" fontId="0" fillId="2" borderId="0" xfId="0" applyFill="1" applyAlignment="1">
      <alignment vertical="center"/>
    </xf>
    <xf numFmtId="0" fontId="10" fillId="0" borderId="2" xfId="0" applyFont="1" applyFill="1" applyBorder="1" applyAlignment="1">
      <alignment horizontal="center" vertical="center" wrapText="1"/>
    </xf>
    <xf numFmtId="43" fontId="20" fillId="0" borderId="2" xfId="1" applyFont="1" applyFill="1" applyBorder="1" applyAlignment="1">
      <alignment horizontal="center" vertical="center" wrapText="1"/>
    </xf>
    <xf numFmtId="165" fontId="20" fillId="0" borderId="2" xfId="1" applyNumberFormat="1" applyFont="1" applyFill="1" applyBorder="1" applyAlignment="1">
      <alignment horizontal="center" vertical="center" wrapText="1"/>
    </xf>
    <xf numFmtId="0" fontId="12" fillId="3" borderId="2" xfId="0" applyFont="1" applyFill="1" applyBorder="1" applyAlignment="1">
      <alignment horizontal="center" vertical="center" wrapText="1"/>
    </xf>
    <xf numFmtId="0" fontId="10" fillId="3" borderId="2" xfId="0" applyFont="1" applyFill="1" applyBorder="1" applyAlignment="1">
      <alignment horizontal="justify" vertical="center" wrapText="1"/>
    </xf>
    <xf numFmtId="0" fontId="10"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43" fontId="7" fillId="3" borderId="2" xfId="1" applyFont="1" applyFill="1" applyBorder="1" applyAlignment="1">
      <alignment horizontal="center" vertical="center" wrapText="1"/>
    </xf>
    <xf numFmtId="165" fontId="7" fillId="3" borderId="2" xfId="1" applyNumberFormat="1" applyFont="1" applyFill="1" applyBorder="1" applyAlignment="1">
      <alignment horizontal="center" vertical="center" wrapText="1"/>
    </xf>
    <xf numFmtId="0" fontId="18" fillId="3" borderId="0" xfId="0" applyFont="1" applyFill="1" applyAlignment="1">
      <alignment vertical="center" wrapText="1"/>
    </xf>
    <xf numFmtId="0" fontId="0" fillId="3" borderId="0" xfId="0" applyFill="1" applyAlignment="1">
      <alignment vertical="center"/>
    </xf>
    <xf numFmtId="0" fontId="12" fillId="0" borderId="2" xfId="0" applyFont="1" applyFill="1" applyBorder="1" applyAlignment="1">
      <alignment horizontal="center" vertical="center" wrapText="1"/>
    </xf>
    <xf numFmtId="0" fontId="10" fillId="0" borderId="2" xfId="0" applyFont="1" applyFill="1" applyBorder="1" applyAlignment="1">
      <alignment horizontal="justify" vertical="center" wrapText="1"/>
    </xf>
    <xf numFmtId="0" fontId="7" fillId="0" borderId="2" xfId="0" applyFont="1" applyFill="1" applyBorder="1" applyAlignment="1">
      <alignment horizontal="center" vertical="center" wrapText="1"/>
    </xf>
    <xf numFmtId="0" fontId="18" fillId="0" borderId="0" xfId="0" applyFont="1" applyFill="1" applyAlignment="1">
      <alignment vertical="center" wrapText="1"/>
    </xf>
    <xf numFmtId="0" fontId="0" fillId="0" borderId="0" xfId="0" applyFill="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5"/>
  <sheetViews>
    <sheetView tabSelected="1" topLeftCell="A56" zoomScale="85" zoomScaleNormal="85" zoomScaleSheetLayoutView="70" workbookViewId="0">
      <selection activeCell="A10" sqref="A10:A20"/>
    </sheetView>
  </sheetViews>
  <sheetFormatPr defaultColWidth="46" defaultRowHeight="14.5" x14ac:dyDescent="0.35"/>
  <cols>
    <col min="1" max="1" width="5.453125" style="5" customWidth="1"/>
    <col min="2" max="2" width="34.90625" style="5" customWidth="1"/>
    <col min="3" max="3" width="12.7265625" style="5" customWidth="1"/>
    <col min="4" max="4" width="13.08984375" style="5" customWidth="1"/>
    <col min="5" max="5" width="13" style="5" customWidth="1"/>
    <col min="6" max="6" width="6.90625" style="5" customWidth="1"/>
    <col min="7" max="7" width="8.7265625" style="5" customWidth="1"/>
    <col min="8" max="8" width="7" style="5" customWidth="1"/>
    <col min="9" max="9" width="6.08984375" style="5" customWidth="1"/>
    <col min="10" max="10" width="5.6328125" style="5" customWidth="1"/>
    <col min="11" max="12" width="6.08984375" style="20" customWidth="1"/>
    <col min="13" max="14" width="6.453125" style="20" customWidth="1"/>
    <col min="15" max="15" width="6.90625" style="20" customWidth="1"/>
    <col min="16" max="16" width="6.08984375" style="20" customWidth="1"/>
    <col min="17" max="17" width="46" style="5" customWidth="1"/>
    <col min="18" max="16384" width="46" style="5"/>
  </cols>
  <sheetData>
    <row r="1" spans="1:17" s="1" customFormat="1" ht="16.5" x14ac:dyDescent="0.35">
      <c r="A1" s="41" t="s">
        <v>0</v>
      </c>
      <c r="B1" s="32"/>
      <c r="C1" s="23"/>
      <c r="D1" s="23"/>
      <c r="E1" s="2"/>
      <c r="F1" s="2"/>
      <c r="G1" s="40" t="s">
        <v>1</v>
      </c>
      <c r="H1" s="32"/>
      <c r="I1" s="32"/>
      <c r="J1" s="32"/>
      <c r="K1" s="32"/>
      <c r="L1" s="32"/>
      <c r="M1" s="32"/>
      <c r="N1" s="32"/>
      <c r="O1" s="32"/>
      <c r="P1" s="32"/>
      <c r="Q1" s="23"/>
    </row>
    <row r="2" spans="1:17" s="1" customFormat="1" ht="17.5" x14ac:dyDescent="0.35">
      <c r="A2" s="36" t="s">
        <v>2</v>
      </c>
      <c r="B2" s="32"/>
      <c r="C2" s="3"/>
      <c r="D2" s="23"/>
      <c r="E2" s="4"/>
      <c r="F2" s="4"/>
      <c r="G2" s="31" t="s">
        <v>3</v>
      </c>
      <c r="H2" s="32"/>
      <c r="I2" s="32"/>
      <c r="J2" s="32"/>
      <c r="K2" s="32"/>
      <c r="L2" s="32"/>
      <c r="M2" s="32"/>
      <c r="N2" s="32"/>
      <c r="O2" s="32"/>
      <c r="P2" s="32"/>
      <c r="Q2" s="23"/>
    </row>
    <row r="3" spans="1:17" ht="51.5" customHeight="1" x14ac:dyDescent="0.35">
      <c r="A3" s="31" t="s">
        <v>4</v>
      </c>
      <c r="B3" s="32"/>
      <c r="C3" s="32"/>
      <c r="D3" s="32"/>
      <c r="E3" s="32"/>
      <c r="F3" s="32"/>
      <c r="G3" s="32"/>
      <c r="H3" s="32"/>
      <c r="I3" s="32"/>
      <c r="J3" s="32"/>
      <c r="K3" s="32"/>
      <c r="L3" s="32"/>
      <c r="M3" s="32"/>
      <c r="N3" s="32"/>
      <c r="O3" s="32"/>
      <c r="P3" s="32"/>
      <c r="Q3" s="23"/>
    </row>
    <row r="4" spans="1:17" ht="15.5" x14ac:dyDescent="0.35">
      <c r="A4" s="38"/>
      <c r="B4" s="39"/>
      <c r="C4" s="39"/>
      <c r="D4" s="39"/>
      <c r="E4" s="39"/>
      <c r="F4" s="39"/>
      <c r="G4" s="39"/>
      <c r="H4" s="39"/>
      <c r="I4" s="39"/>
      <c r="J4" s="39"/>
      <c r="K4" s="39"/>
      <c r="L4" s="39"/>
      <c r="M4" s="39"/>
      <c r="N4" s="39"/>
      <c r="O4" s="39"/>
      <c r="P4" s="39"/>
      <c r="Q4" s="23"/>
    </row>
    <row r="5" spans="1:17" x14ac:dyDescent="0.35">
      <c r="A5" s="33" t="s">
        <v>5</v>
      </c>
      <c r="B5" s="33" t="s">
        <v>6</v>
      </c>
      <c r="C5" s="33" t="s">
        <v>7</v>
      </c>
      <c r="D5" s="33" t="s">
        <v>8</v>
      </c>
      <c r="E5" s="33" t="s">
        <v>9</v>
      </c>
      <c r="F5" s="33" t="s">
        <v>10</v>
      </c>
      <c r="G5" s="35" t="s">
        <v>11</v>
      </c>
      <c r="H5" s="33" t="s">
        <v>12</v>
      </c>
      <c r="I5" s="33" t="s">
        <v>13</v>
      </c>
      <c r="J5" s="33" t="s">
        <v>14</v>
      </c>
      <c r="K5" s="37" t="s">
        <v>15</v>
      </c>
      <c r="L5" s="30"/>
      <c r="M5" s="37" t="s">
        <v>16</v>
      </c>
      <c r="N5" s="30"/>
      <c r="O5" s="37" t="s">
        <v>17</v>
      </c>
      <c r="P5" s="30"/>
      <c r="Q5" s="24" t="s">
        <v>18</v>
      </c>
    </row>
    <row r="6" spans="1:17" ht="75" x14ac:dyDescent="0.35">
      <c r="A6" s="34"/>
      <c r="B6" s="34"/>
      <c r="C6" s="34"/>
      <c r="D6" s="34"/>
      <c r="E6" s="34"/>
      <c r="F6" s="34"/>
      <c r="G6" s="34"/>
      <c r="H6" s="34"/>
      <c r="I6" s="34"/>
      <c r="J6" s="34"/>
      <c r="K6" s="21" t="s">
        <v>19</v>
      </c>
      <c r="L6" s="21" t="s">
        <v>20</v>
      </c>
      <c r="M6" s="21" t="s">
        <v>19</v>
      </c>
      <c r="N6" s="21" t="s">
        <v>20</v>
      </c>
      <c r="O6" s="21" t="s">
        <v>19</v>
      </c>
      <c r="P6" s="21" t="s">
        <v>20</v>
      </c>
      <c r="Q6" s="25"/>
    </row>
    <row r="7" spans="1:17" s="7" customFormat="1" ht="156" x14ac:dyDescent="0.35">
      <c r="A7" s="6" t="s">
        <v>21</v>
      </c>
      <c r="B7" s="6" t="s">
        <v>22</v>
      </c>
      <c r="C7" s="6" t="s">
        <v>23</v>
      </c>
      <c r="D7" s="6" t="s">
        <v>24</v>
      </c>
      <c r="E7" s="6" t="s">
        <v>25</v>
      </c>
      <c r="F7" s="6" t="s">
        <v>26</v>
      </c>
      <c r="G7" s="6" t="s">
        <v>27</v>
      </c>
      <c r="H7" s="6" t="s">
        <v>28</v>
      </c>
      <c r="I7" s="6" t="s">
        <v>29</v>
      </c>
      <c r="J7" s="6" t="s">
        <v>30</v>
      </c>
      <c r="K7" s="6" t="s">
        <v>31</v>
      </c>
      <c r="L7" s="6" t="s">
        <v>32</v>
      </c>
      <c r="M7" s="6" t="s">
        <v>33</v>
      </c>
      <c r="N7" s="6" t="s">
        <v>34</v>
      </c>
      <c r="O7" s="6" t="s">
        <v>35</v>
      </c>
      <c r="P7" s="6" t="s">
        <v>36</v>
      </c>
      <c r="Q7" s="25"/>
    </row>
    <row r="8" spans="1:17" ht="16.5" x14ac:dyDescent="0.35">
      <c r="A8" s="8" t="s">
        <v>37</v>
      </c>
      <c r="B8" s="42" t="s">
        <v>38</v>
      </c>
      <c r="C8" s="29"/>
      <c r="D8" s="29"/>
      <c r="E8" s="29"/>
      <c r="F8" s="29"/>
      <c r="G8" s="29"/>
      <c r="H8" s="29"/>
      <c r="I8" s="29"/>
      <c r="J8" s="30"/>
      <c r="K8" s="9"/>
      <c r="L8" s="9"/>
      <c r="M8" s="9"/>
      <c r="N8" s="9"/>
      <c r="O8" s="9"/>
      <c r="P8" s="9"/>
      <c r="Q8" s="25"/>
    </row>
    <row r="9" spans="1:17" ht="16.5" x14ac:dyDescent="0.35">
      <c r="A9" s="10" t="s">
        <v>39</v>
      </c>
      <c r="B9" s="28" t="s">
        <v>40</v>
      </c>
      <c r="C9" s="29"/>
      <c r="D9" s="29"/>
      <c r="E9" s="30"/>
      <c r="F9" s="11">
        <f>SUM(F10:F20)</f>
        <v>11</v>
      </c>
      <c r="G9" s="12"/>
      <c r="H9" s="12"/>
      <c r="I9" s="12"/>
      <c r="J9" s="11">
        <f t="shared" ref="J9:P9" si="0">SUM(J10:J20)</f>
        <v>13.599999999999998</v>
      </c>
      <c r="K9" s="13">
        <f t="shared" si="0"/>
        <v>9</v>
      </c>
      <c r="L9" s="13">
        <f t="shared" si="0"/>
        <v>10.899999999999999</v>
      </c>
      <c r="M9" s="13">
        <f t="shared" si="0"/>
        <v>8.75</v>
      </c>
      <c r="N9" s="13">
        <f t="shared" si="0"/>
        <v>10.524999999999999</v>
      </c>
      <c r="O9" s="13">
        <f t="shared" si="0"/>
        <v>9</v>
      </c>
      <c r="P9" s="13">
        <f t="shared" si="0"/>
        <v>10.899999999999999</v>
      </c>
      <c r="Q9" s="25"/>
    </row>
    <row r="10" spans="1:17" ht="49.5" x14ac:dyDescent="0.35">
      <c r="A10" s="14" t="s">
        <v>41</v>
      </c>
      <c r="B10" s="15" t="s">
        <v>42</v>
      </c>
      <c r="C10" s="16" t="s">
        <v>43</v>
      </c>
      <c r="D10" s="16" t="s">
        <v>44</v>
      </c>
      <c r="E10" s="16" t="s">
        <v>45</v>
      </c>
      <c r="F10" s="16">
        <v>1</v>
      </c>
      <c r="G10" s="16" t="s">
        <v>46</v>
      </c>
      <c r="H10" s="17">
        <f t="shared" ref="H10:H20" si="1">IF(G10="Khó và phức tạp",200,IF(G10="Cao",150,IF(G10="Trung bình",120,IF(G10="Thấp",100))))</f>
        <v>120</v>
      </c>
      <c r="I10" s="17">
        <f t="shared" ref="I10:I20" si="2">H10*0.01</f>
        <v>1.2</v>
      </c>
      <c r="J10" s="17">
        <f t="shared" ref="J10:J20" si="3">F10*I10</f>
        <v>1.2</v>
      </c>
      <c r="K10" s="51">
        <f t="shared" ref="K10" si="4">F10*100%</f>
        <v>1</v>
      </c>
      <c r="L10" s="51">
        <f t="shared" ref="L10" si="5">I10*K10</f>
        <v>1.2</v>
      </c>
      <c r="M10" s="51">
        <f t="shared" ref="M10" si="6">K10*100%</f>
        <v>1</v>
      </c>
      <c r="N10" s="51">
        <f t="shared" ref="N10" si="7">I10*M10</f>
        <v>1.2</v>
      </c>
      <c r="O10" s="51">
        <f t="shared" ref="O10" si="8">K10*100%</f>
        <v>1</v>
      </c>
      <c r="P10" s="51">
        <f t="shared" ref="P10" si="9">I10*O10</f>
        <v>1.2</v>
      </c>
      <c r="Q10" s="43" t="s">
        <v>203</v>
      </c>
    </row>
    <row r="11" spans="1:17" ht="49.5" x14ac:dyDescent="0.35">
      <c r="A11" s="14" t="s">
        <v>48</v>
      </c>
      <c r="B11" s="15" t="s">
        <v>49</v>
      </c>
      <c r="C11" s="16" t="s">
        <v>50</v>
      </c>
      <c r="D11" s="16" t="s">
        <v>51</v>
      </c>
      <c r="E11" s="16" t="s">
        <v>52</v>
      </c>
      <c r="F11" s="16">
        <v>1</v>
      </c>
      <c r="G11" s="16" t="s">
        <v>53</v>
      </c>
      <c r="H11" s="17">
        <f t="shared" si="1"/>
        <v>100</v>
      </c>
      <c r="I11" s="17">
        <f t="shared" si="2"/>
        <v>1</v>
      </c>
      <c r="J11" s="17">
        <f t="shared" si="3"/>
        <v>1</v>
      </c>
      <c r="K11" s="51">
        <f t="shared" ref="K11" si="10">F11*100%</f>
        <v>1</v>
      </c>
      <c r="L11" s="51">
        <f t="shared" ref="L11" si="11">I11*K11</f>
        <v>1</v>
      </c>
      <c r="M11" s="51">
        <f t="shared" ref="M11" si="12">K11*100%</f>
        <v>1</v>
      </c>
      <c r="N11" s="51">
        <f t="shared" ref="N11" si="13">I11*M11</f>
        <v>1</v>
      </c>
      <c r="O11" s="51">
        <f t="shared" ref="O11" si="14">K11*100%</f>
        <v>1</v>
      </c>
      <c r="P11" s="51">
        <f t="shared" ref="P11" si="15">I11*O11</f>
        <v>1</v>
      </c>
      <c r="Q11" s="25"/>
    </row>
    <row r="12" spans="1:17" ht="49.5" x14ac:dyDescent="0.35">
      <c r="A12" s="14" t="s">
        <v>55</v>
      </c>
      <c r="B12" s="15" t="s">
        <v>56</v>
      </c>
      <c r="C12" s="16" t="s">
        <v>50</v>
      </c>
      <c r="D12" s="16" t="s">
        <v>51</v>
      </c>
      <c r="E12" s="16" t="s">
        <v>57</v>
      </c>
      <c r="F12" s="16">
        <v>1</v>
      </c>
      <c r="G12" s="16" t="s">
        <v>46</v>
      </c>
      <c r="H12" s="17">
        <f t="shared" si="1"/>
        <v>120</v>
      </c>
      <c r="I12" s="17">
        <f t="shared" si="2"/>
        <v>1.2</v>
      </c>
      <c r="J12" s="17">
        <f t="shared" si="3"/>
        <v>1.2</v>
      </c>
      <c r="K12" s="51">
        <f t="shared" ref="K12:K14" si="16">F12*100%</f>
        <v>1</v>
      </c>
      <c r="L12" s="51">
        <f t="shared" ref="L12:L14" si="17">I12*K12</f>
        <v>1.2</v>
      </c>
      <c r="M12" s="51">
        <f t="shared" ref="M12:M14" si="18">K12*100%</f>
        <v>1</v>
      </c>
      <c r="N12" s="51">
        <f t="shared" ref="N12:N14" si="19">I12*M12</f>
        <v>1.2</v>
      </c>
      <c r="O12" s="51">
        <f t="shared" ref="O12:O14" si="20">K12*100%</f>
        <v>1</v>
      </c>
      <c r="P12" s="51">
        <f t="shared" ref="P12:P14" si="21">I12*O12</f>
        <v>1.2</v>
      </c>
      <c r="Q12" s="25"/>
    </row>
    <row r="13" spans="1:17" ht="66" x14ac:dyDescent="0.35">
      <c r="A13" s="14" t="s">
        <v>58</v>
      </c>
      <c r="B13" s="15" t="s">
        <v>59</v>
      </c>
      <c r="C13" s="16" t="s">
        <v>60</v>
      </c>
      <c r="D13" s="16" t="s">
        <v>51</v>
      </c>
      <c r="E13" s="16" t="s">
        <v>52</v>
      </c>
      <c r="F13" s="16">
        <v>1</v>
      </c>
      <c r="G13" s="16" t="s">
        <v>46</v>
      </c>
      <c r="H13" s="17">
        <f t="shared" si="1"/>
        <v>120</v>
      </c>
      <c r="I13" s="17">
        <f t="shared" si="2"/>
        <v>1.2</v>
      </c>
      <c r="J13" s="17">
        <f t="shared" si="3"/>
        <v>1.2</v>
      </c>
      <c r="K13" s="51">
        <f t="shared" si="16"/>
        <v>1</v>
      </c>
      <c r="L13" s="51">
        <f t="shared" si="17"/>
        <v>1.2</v>
      </c>
      <c r="M13" s="51">
        <f t="shared" si="18"/>
        <v>1</v>
      </c>
      <c r="N13" s="51">
        <f t="shared" si="19"/>
        <v>1.2</v>
      </c>
      <c r="O13" s="51">
        <f t="shared" si="20"/>
        <v>1</v>
      </c>
      <c r="P13" s="51">
        <f t="shared" si="21"/>
        <v>1.2</v>
      </c>
      <c r="Q13" s="25"/>
    </row>
    <row r="14" spans="1:17" ht="66" x14ac:dyDescent="0.35">
      <c r="A14" s="14" t="s">
        <v>61</v>
      </c>
      <c r="B14" s="15" t="s">
        <v>62</v>
      </c>
      <c r="C14" s="16" t="s">
        <v>50</v>
      </c>
      <c r="D14" s="16" t="s">
        <v>51</v>
      </c>
      <c r="E14" s="16" t="s">
        <v>63</v>
      </c>
      <c r="F14" s="16">
        <v>1</v>
      </c>
      <c r="G14" s="16" t="s">
        <v>46</v>
      </c>
      <c r="H14" s="17">
        <f t="shared" si="1"/>
        <v>120</v>
      </c>
      <c r="I14" s="17">
        <f t="shared" si="2"/>
        <v>1.2</v>
      </c>
      <c r="J14" s="17">
        <f t="shared" si="3"/>
        <v>1.2</v>
      </c>
      <c r="K14" s="51">
        <f t="shared" si="16"/>
        <v>1</v>
      </c>
      <c r="L14" s="51">
        <f t="shared" si="17"/>
        <v>1.2</v>
      </c>
      <c r="M14" s="51">
        <f t="shared" si="18"/>
        <v>1</v>
      </c>
      <c r="N14" s="51">
        <f t="shared" si="19"/>
        <v>1.2</v>
      </c>
      <c r="O14" s="51">
        <f t="shared" si="20"/>
        <v>1</v>
      </c>
      <c r="P14" s="51">
        <f t="shared" si="21"/>
        <v>1.2</v>
      </c>
      <c r="Q14" s="25"/>
    </row>
    <row r="15" spans="1:17" ht="66" x14ac:dyDescent="0.35">
      <c r="A15" s="14" t="s">
        <v>64</v>
      </c>
      <c r="B15" s="15" t="s">
        <v>65</v>
      </c>
      <c r="C15" s="16" t="s">
        <v>66</v>
      </c>
      <c r="D15" s="16" t="s">
        <v>67</v>
      </c>
      <c r="E15" s="16" t="s">
        <v>68</v>
      </c>
      <c r="F15" s="16">
        <v>1</v>
      </c>
      <c r="G15" s="16" t="s">
        <v>46</v>
      </c>
      <c r="H15" s="17">
        <f t="shared" si="1"/>
        <v>120</v>
      </c>
      <c r="I15" s="17">
        <f t="shared" si="2"/>
        <v>1.2</v>
      </c>
      <c r="J15" s="17">
        <f t="shared" si="3"/>
        <v>1.2</v>
      </c>
      <c r="K15" s="51">
        <f t="shared" ref="K15" si="22">F15*100%</f>
        <v>1</v>
      </c>
      <c r="L15" s="51">
        <f t="shared" ref="L15" si="23">I15*K15</f>
        <v>1.2</v>
      </c>
      <c r="M15" s="51">
        <f t="shared" ref="M15" si="24">K15*100%</f>
        <v>1</v>
      </c>
      <c r="N15" s="51">
        <f t="shared" ref="N15" si="25">I15*M15</f>
        <v>1.2</v>
      </c>
      <c r="O15" s="51">
        <f t="shared" ref="O15" si="26">K15*100%</f>
        <v>1</v>
      </c>
      <c r="P15" s="51">
        <f t="shared" ref="P15" si="27">I15*O15</f>
        <v>1.2</v>
      </c>
      <c r="Q15" s="25"/>
    </row>
    <row r="16" spans="1:17" ht="66" x14ac:dyDescent="0.35">
      <c r="A16" s="14" t="s">
        <v>69</v>
      </c>
      <c r="B16" s="15" t="s">
        <v>70</v>
      </c>
      <c r="C16" s="16" t="s">
        <v>50</v>
      </c>
      <c r="D16" s="16" t="s">
        <v>71</v>
      </c>
      <c r="E16" s="16" t="s">
        <v>52</v>
      </c>
      <c r="F16" s="16">
        <v>1</v>
      </c>
      <c r="G16" s="16" t="s">
        <v>72</v>
      </c>
      <c r="H16" s="17">
        <f t="shared" si="1"/>
        <v>150</v>
      </c>
      <c r="I16" s="17">
        <f t="shared" si="2"/>
        <v>1.5</v>
      </c>
      <c r="J16" s="17">
        <f t="shared" si="3"/>
        <v>1.5</v>
      </c>
      <c r="K16" s="52">
        <f>F16*1</f>
        <v>1</v>
      </c>
      <c r="L16" s="53">
        <f>K16*I16</f>
        <v>1.5</v>
      </c>
      <c r="M16" s="52">
        <f>K16*0.75</f>
        <v>0.75</v>
      </c>
      <c r="N16" s="53">
        <f>I16*M16</f>
        <v>1.125</v>
      </c>
      <c r="O16" s="52">
        <f>K16*1</f>
        <v>1</v>
      </c>
      <c r="P16" s="53">
        <f>I16*O16</f>
        <v>1.5</v>
      </c>
      <c r="Q16" s="25"/>
    </row>
    <row r="17" spans="1:17" ht="99" x14ac:dyDescent="0.35">
      <c r="A17" s="14" t="s">
        <v>73</v>
      </c>
      <c r="B17" s="15" t="s">
        <v>74</v>
      </c>
      <c r="C17" s="16" t="s">
        <v>50</v>
      </c>
      <c r="D17" s="16" t="s">
        <v>51</v>
      </c>
      <c r="E17" s="16" t="s">
        <v>52</v>
      </c>
      <c r="F17" s="16">
        <v>1</v>
      </c>
      <c r="G17" s="16" t="s">
        <v>46</v>
      </c>
      <c r="H17" s="17">
        <f t="shared" si="1"/>
        <v>120</v>
      </c>
      <c r="I17" s="17">
        <f t="shared" si="2"/>
        <v>1.2</v>
      </c>
      <c r="J17" s="17">
        <f t="shared" si="3"/>
        <v>1.2</v>
      </c>
      <c r="K17" s="51">
        <f t="shared" ref="K17" si="28">F17*100%</f>
        <v>1</v>
      </c>
      <c r="L17" s="51">
        <f t="shared" ref="L17" si="29">I17*K17</f>
        <v>1.2</v>
      </c>
      <c r="M17" s="51">
        <f t="shared" ref="M17" si="30">K17*100%</f>
        <v>1</v>
      </c>
      <c r="N17" s="51">
        <f t="shared" ref="N17" si="31">I17*M17</f>
        <v>1.2</v>
      </c>
      <c r="O17" s="51">
        <f t="shared" ref="O17" si="32">K17*100%</f>
        <v>1</v>
      </c>
      <c r="P17" s="51">
        <f t="shared" ref="P17" si="33">I17*O17</f>
        <v>1.2</v>
      </c>
      <c r="Q17" s="25"/>
    </row>
    <row r="18" spans="1:17" s="50" customFormat="1" ht="115.5" x14ac:dyDescent="0.35">
      <c r="A18" s="14" t="s">
        <v>75</v>
      </c>
      <c r="B18" s="45" t="s">
        <v>76</v>
      </c>
      <c r="C18" s="27" t="s">
        <v>50</v>
      </c>
      <c r="D18" s="27" t="s">
        <v>71</v>
      </c>
      <c r="E18" s="27" t="s">
        <v>52</v>
      </c>
      <c r="F18" s="27">
        <v>1</v>
      </c>
      <c r="G18" s="27" t="s">
        <v>72</v>
      </c>
      <c r="H18" s="46">
        <f t="shared" si="1"/>
        <v>150</v>
      </c>
      <c r="I18" s="46">
        <f t="shared" si="2"/>
        <v>1.5</v>
      </c>
      <c r="J18" s="46">
        <f t="shared" si="3"/>
        <v>1.5</v>
      </c>
      <c r="K18" s="47"/>
      <c r="L18" s="48"/>
      <c r="M18" s="47"/>
      <c r="N18" s="48"/>
      <c r="O18" s="47"/>
      <c r="P18" s="48"/>
      <c r="Q18" s="49" t="s">
        <v>197</v>
      </c>
    </row>
    <row r="19" spans="1:17" ht="132" x14ac:dyDescent="0.35">
      <c r="A19" s="14" t="s">
        <v>77</v>
      </c>
      <c r="B19" s="15" t="s">
        <v>78</v>
      </c>
      <c r="C19" s="16" t="s">
        <v>50</v>
      </c>
      <c r="D19" s="16" t="s">
        <v>51</v>
      </c>
      <c r="E19" s="16" t="s">
        <v>52</v>
      </c>
      <c r="F19" s="16">
        <v>1</v>
      </c>
      <c r="G19" s="16" t="s">
        <v>46</v>
      </c>
      <c r="H19" s="17">
        <f t="shared" si="1"/>
        <v>120</v>
      </c>
      <c r="I19" s="17">
        <f t="shared" si="2"/>
        <v>1.2</v>
      </c>
      <c r="J19" s="17">
        <f t="shared" si="3"/>
        <v>1.2</v>
      </c>
      <c r="K19" s="51">
        <f t="shared" ref="K19" si="34">F19*100%</f>
        <v>1</v>
      </c>
      <c r="L19" s="16">
        <f t="shared" ref="L19" si="35">I19*K19</f>
        <v>1.2</v>
      </c>
      <c r="M19" s="16">
        <f t="shared" ref="M19" si="36">K19*100%</f>
        <v>1</v>
      </c>
      <c r="N19" s="16">
        <f t="shared" ref="N19" si="37">I19*M19</f>
        <v>1.2</v>
      </c>
      <c r="O19" s="16">
        <f t="shared" ref="O19" si="38">K19*100%</f>
        <v>1</v>
      </c>
      <c r="P19" s="16">
        <f t="shared" ref="P19" si="39">I19*O19</f>
        <v>1.2</v>
      </c>
      <c r="Q19" s="25"/>
    </row>
    <row r="20" spans="1:17" s="50" customFormat="1" ht="132" x14ac:dyDescent="0.35">
      <c r="A20" s="14" t="s">
        <v>79</v>
      </c>
      <c r="B20" s="45" t="s">
        <v>80</v>
      </c>
      <c r="C20" s="27" t="s">
        <v>50</v>
      </c>
      <c r="D20" s="27" t="s">
        <v>81</v>
      </c>
      <c r="E20" s="27" t="s">
        <v>45</v>
      </c>
      <c r="F20" s="27">
        <v>1</v>
      </c>
      <c r="G20" s="27" t="s">
        <v>46</v>
      </c>
      <c r="H20" s="46">
        <f t="shared" si="1"/>
        <v>120</v>
      </c>
      <c r="I20" s="46">
        <f t="shared" si="2"/>
        <v>1.2</v>
      </c>
      <c r="J20" s="46">
        <f t="shared" si="3"/>
        <v>1.2</v>
      </c>
      <c r="K20" s="47"/>
      <c r="L20" s="48"/>
      <c r="M20" s="47"/>
      <c r="N20" s="48"/>
      <c r="O20" s="47"/>
      <c r="P20" s="48"/>
      <c r="Q20" s="49" t="s">
        <v>197</v>
      </c>
    </row>
    <row r="21" spans="1:17" ht="16.5" x14ac:dyDescent="0.35">
      <c r="A21" s="10" t="s">
        <v>82</v>
      </c>
      <c r="B21" s="28" t="s">
        <v>83</v>
      </c>
      <c r="C21" s="29"/>
      <c r="D21" s="29"/>
      <c r="E21" s="30"/>
      <c r="F21" s="11">
        <f>SUM(F22:F25)</f>
        <v>4</v>
      </c>
      <c r="G21" s="12"/>
      <c r="H21" s="12"/>
      <c r="I21" s="12"/>
      <c r="J21" s="11">
        <f t="shared" ref="J21:P21" si="40">SUM(J22:J25)</f>
        <v>5.7</v>
      </c>
      <c r="K21" s="13">
        <f t="shared" si="40"/>
        <v>3</v>
      </c>
      <c r="L21" s="13">
        <f t="shared" si="40"/>
        <v>4.5</v>
      </c>
      <c r="M21" s="13">
        <f t="shared" si="40"/>
        <v>2.5</v>
      </c>
      <c r="N21" s="13">
        <f t="shared" si="40"/>
        <v>3.75</v>
      </c>
      <c r="O21" s="13">
        <f t="shared" si="40"/>
        <v>2</v>
      </c>
      <c r="P21" s="13">
        <f t="shared" si="40"/>
        <v>3</v>
      </c>
      <c r="Q21" s="25"/>
    </row>
    <row r="22" spans="1:17" ht="43.5" x14ac:dyDescent="0.35">
      <c r="A22" s="14" t="s">
        <v>84</v>
      </c>
      <c r="B22" s="15" t="s">
        <v>85</v>
      </c>
      <c r="C22" s="16" t="s">
        <v>50</v>
      </c>
      <c r="D22" s="16" t="s">
        <v>86</v>
      </c>
      <c r="E22" s="16" t="s">
        <v>87</v>
      </c>
      <c r="F22" s="16">
        <v>1</v>
      </c>
      <c r="G22" s="16" t="s">
        <v>72</v>
      </c>
      <c r="H22" s="17">
        <f>IF(G22="Khó và phức tạp",200,IF(G22="Cao",150,IF(G22="Trung bình",120,IF(G22="Thấp",100))))</f>
        <v>150</v>
      </c>
      <c r="I22" s="17">
        <f>H22*0.01</f>
        <v>1.5</v>
      </c>
      <c r="J22" s="17">
        <f>F22*I22</f>
        <v>1.5</v>
      </c>
      <c r="K22" s="18">
        <f>F22*1</f>
        <v>1</v>
      </c>
      <c r="L22" s="19">
        <f>K22*I22</f>
        <v>1.5</v>
      </c>
      <c r="M22" s="18">
        <f>K22*1</f>
        <v>1</v>
      </c>
      <c r="N22" s="19">
        <f>I22*M22</f>
        <v>1.5</v>
      </c>
      <c r="O22" s="18">
        <f>K22*1</f>
        <v>1</v>
      </c>
      <c r="P22" s="19">
        <f>I22*O22</f>
        <v>1.5</v>
      </c>
      <c r="Q22" s="25" t="s">
        <v>88</v>
      </c>
    </row>
    <row r="23" spans="1:17" s="61" customFormat="1" ht="115.5" x14ac:dyDescent="0.35">
      <c r="A23" s="54" t="s">
        <v>89</v>
      </c>
      <c r="B23" s="55" t="s">
        <v>90</v>
      </c>
      <c r="C23" s="56" t="s">
        <v>50</v>
      </c>
      <c r="D23" s="56" t="s">
        <v>51</v>
      </c>
      <c r="E23" s="56" t="s">
        <v>45</v>
      </c>
      <c r="F23" s="56">
        <v>1</v>
      </c>
      <c r="G23" s="56" t="s">
        <v>46</v>
      </c>
      <c r="H23" s="57">
        <f>IF(G23="Khó và phức tạp",200,IF(G23="Cao",150,IF(G23="Trung bình",120,IF(G23="Thấp",100))))</f>
        <v>120</v>
      </c>
      <c r="I23" s="57">
        <f>H23*0.01</f>
        <v>1.2</v>
      </c>
      <c r="J23" s="57">
        <f>F23*I23</f>
        <v>1.2</v>
      </c>
      <c r="K23" s="58"/>
      <c r="L23" s="59"/>
      <c r="M23" s="58"/>
      <c r="N23" s="59"/>
      <c r="O23" s="58"/>
      <c r="P23" s="59"/>
      <c r="Q23" s="60" t="s">
        <v>54</v>
      </c>
    </row>
    <row r="24" spans="1:17" ht="115.5" x14ac:dyDescent="0.35">
      <c r="A24" s="14" t="s">
        <v>91</v>
      </c>
      <c r="B24" s="15" t="s">
        <v>92</v>
      </c>
      <c r="C24" s="16" t="s">
        <v>50</v>
      </c>
      <c r="D24" s="16" t="s">
        <v>93</v>
      </c>
      <c r="E24" s="16" t="s">
        <v>45</v>
      </c>
      <c r="F24" s="16">
        <v>1</v>
      </c>
      <c r="G24" s="16" t="s">
        <v>72</v>
      </c>
      <c r="H24" s="17">
        <f>IF(G24="Khó và phức tạp",200,IF(G24="Cao",150,IF(G24="Trung bình",120,IF(G24="Thấp",100))))</f>
        <v>150</v>
      </c>
      <c r="I24" s="17">
        <f>H24*0.01</f>
        <v>1.5</v>
      </c>
      <c r="J24" s="17">
        <f>F24*I24</f>
        <v>1.5</v>
      </c>
      <c r="K24" s="18">
        <f>F24*1</f>
        <v>1</v>
      </c>
      <c r="L24" s="19">
        <f>K24*I24</f>
        <v>1.5</v>
      </c>
      <c r="M24" s="18">
        <f>K24*0.75</f>
        <v>0.75</v>
      </c>
      <c r="N24" s="19">
        <f>I24*M24</f>
        <v>1.125</v>
      </c>
      <c r="O24" s="18">
        <f>K24*0.5</f>
        <v>0.5</v>
      </c>
      <c r="P24" s="19">
        <f>I24*O24</f>
        <v>0.75</v>
      </c>
      <c r="Q24" s="25" t="s">
        <v>94</v>
      </c>
    </row>
    <row r="25" spans="1:17" ht="132" x14ac:dyDescent="0.35">
      <c r="A25" s="14" t="s">
        <v>95</v>
      </c>
      <c r="B25" s="15" t="s">
        <v>96</v>
      </c>
      <c r="C25" s="16" t="s">
        <v>50</v>
      </c>
      <c r="D25" s="16" t="s">
        <v>93</v>
      </c>
      <c r="E25" s="16" t="s">
        <v>45</v>
      </c>
      <c r="F25" s="16">
        <v>1</v>
      </c>
      <c r="G25" s="16" t="s">
        <v>72</v>
      </c>
      <c r="H25" s="17">
        <f>IF(G25="Khó và phức tạp",200,IF(G25="Cao",150,IF(G25="Trung bình",120,IF(G25="Thấp",100))))</f>
        <v>150</v>
      </c>
      <c r="I25" s="17">
        <f>H25*0.01</f>
        <v>1.5</v>
      </c>
      <c r="J25" s="17">
        <f>F25*I25</f>
        <v>1.5</v>
      </c>
      <c r="K25" s="18">
        <f>F25*1</f>
        <v>1</v>
      </c>
      <c r="L25" s="19">
        <f>K25*I25</f>
        <v>1.5</v>
      </c>
      <c r="M25" s="18">
        <f>K25*0.75</f>
        <v>0.75</v>
      </c>
      <c r="N25" s="19">
        <f>I25*M25</f>
        <v>1.125</v>
      </c>
      <c r="O25" s="18">
        <f>K25*0.5</f>
        <v>0.5</v>
      </c>
      <c r="P25" s="19">
        <f>I25*O25</f>
        <v>0.75</v>
      </c>
      <c r="Q25" s="25"/>
    </row>
    <row r="26" spans="1:17" ht="16.5" x14ac:dyDescent="0.35">
      <c r="A26" s="10" t="s">
        <v>97</v>
      </c>
      <c r="B26" s="28" t="s">
        <v>98</v>
      </c>
      <c r="C26" s="29"/>
      <c r="D26" s="29"/>
      <c r="E26" s="30"/>
      <c r="F26" s="11">
        <f>SUM(F27:F32)</f>
        <v>9</v>
      </c>
      <c r="G26" s="12"/>
      <c r="H26" s="12"/>
      <c r="I26" s="12"/>
      <c r="J26" s="11">
        <f t="shared" ref="J26:P26" si="41">SUM(J27:J32)</f>
        <v>11.999999999999998</v>
      </c>
      <c r="K26" s="13">
        <f t="shared" si="41"/>
        <v>8</v>
      </c>
      <c r="L26" s="13">
        <f t="shared" si="41"/>
        <v>10.499999999999998</v>
      </c>
      <c r="M26" s="13">
        <f t="shared" si="41"/>
        <v>8</v>
      </c>
      <c r="N26" s="13">
        <f t="shared" si="41"/>
        <v>10.499999999999998</v>
      </c>
      <c r="O26" s="13">
        <f t="shared" si="41"/>
        <v>8</v>
      </c>
      <c r="P26" s="13">
        <f t="shared" si="41"/>
        <v>10.499999999999998</v>
      </c>
      <c r="Q26" s="25"/>
    </row>
    <row r="27" spans="1:17" ht="66" x14ac:dyDescent="0.35">
      <c r="A27" s="14" t="s">
        <v>99</v>
      </c>
      <c r="B27" s="15" t="s">
        <v>100</v>
      </c>
      <c r="C27" s="16" t="s">
        <v>50</v>
      </c>
      <c r="D27" s="16" t="s">
        <v>81</v>
      </c>
      <c r="E27" s="16" t="s">
        <v>52</v>
      </c>
      <c r="F27" s="16">
        <v>1</v>
      </c>
      <c r="G27" s="16" t="s">
        <v>72</v>
      </c>
      <c r="H27" s="17">
        <f t="shared" ref="H27:H32" si="42">IF(G27="Khó và phức tạp",200,IF(G27="Cao",150,IF(G27="Trung bình",120,IF(G27="Thấp",100))))</f>
        <v>150</v>
      </c>
      <c r="I27" s="17">
        <f t="shared" ref="I27:I32" si="43">H27*0.01</f>
        <v>1.5</v>
      </c>
      <c r="J27" s="17">
        <f t="shared" ref="J27:J32" si="44">F27*I27</f>
        <v>1.5</v>
      </c>
      <c r="K27" s="18">
        <f>F27*1</f>
        <v>1</v>
      </c>
      <c r="L27" s="19">
        <f>K27*I27</f>
        <v>1.5</v>
      </c>
      <c r="M27" s="18">
        <f>K27*1</f>
        <v>1</v>
      </c>
      <c r="N27" s="19">
        <f>I27*M27</f>
        <v>1.5</v>
      </c>
      <c r="O27" s="18">
        <f>K27*1</f>
        <v>1</v>
      </c>
      <c r="P27" s="19">
        <f>I27*O27</f>
        <v>1.5</v>
      </c>
      <c r="Q27" s="25"/>
    </row>
    <row r="28" spans="1:17" ht="66" x14ac:dyDescent="0.35">
      <c r="A28" s="14" t="s">
        <v>101</v>
      </c>
      <c r="B28" s="15" t="s">
        <v>102</v>
      </c>
      <c r="C28" s="16" t="s">
        <v>60</v>
      </c>
      <c r="D28" s="16" t="s">
        <v>103</v>
      </c>
      <c r="E28" s="16" t="s">
        <v>104</v>
      </c>
      <c r="F28" s="16">
        <v>3</v>
      </c>
      <c r="G28" s="16" t="s">
        <v>46</v>
      </c>
      <c r="H28" s="17">
        <f t="shared" si="42"/>
        <v>120</v>
      </c>
      <c r="I28" s="17">
        <f t="shared" si="43"/>
        <v>1.2</v>
      </c>
      <c r="J28" s="17">
        <f t="shared" si="44"/>
        <v>3.5999999999999996</v>
      </c>
      <c r="K28" s="18">
        <f>F28*1</f>
        <v>3</v>
      </c>
      <c r="L28" s="19">
        <f>K28*I28</f>
        <v>3.5999999999999996</v>
      </c>
      <c r="M28" s="18">
        <f>K28*1</f>
        <v>3</v>
      </c>
      <c r="N28" s="19">
        <f>I28*M28</f>
        <v>3.5999999999999996</v>
      </c>
      <c r="O28" s="18">
        <f>K28*1</f>
        <v>3</v>
      </c>
      <c r="P28" s="19">
        <f>I28*O28</f>
        <v>3.5999999999999996</v>
      </c>
      <c r="Q28" s="25"/>
    </row>
    <row r="29" spans="1:17" ht="82.5" x14ac:dyDescent="0.35">
      <c r="A29" s="14" t="s">
        <v>105</v>
      </c>
      <c r="B29" s="15" t="s">
        <v>106</v>
      </c>
      <c r="C29" s="16" t="s">
        <v>107</v>
      </c>
      <c r="D29" s="16" t="s">
        <v>108</v>
      </c>
      <c r="E29" s="16" t="s">
        <v>109</v>
      </c>
      <c r="F29" s="16">
        <v>2</v>
      </c>
      <c r="G29" s="16" t="s">
        <v>72</v>
      </c>
      <c r="H29" s="17">
        <f t="shared" si="42"/>
        <v>150</v>
      </c>
      <c r="I29" s="17">
        <f t="shared" si="43"/>
        <v>1.5</v>
      </c>
      <c r="J29" s="17">
        <f t="shared" si="44"/>
        <v>3</v>
      </c>
      <c r="K29" s="18">
        <f>F29*1</f>
        <v>2</v>
      </c>
      <c r="L29" s="19">
        <f>K29*I29</f>
        <v>3</v>
      </c>
      <c r="M29" s="18">
        <f>K29*1</f>
        <v>2</v>
      </c>
      <c r="N29" s="19">
        <f>I29*M29</f>
        <v>3</v>
      </c>
      <c r="O29" s="18">
        <f>K29*1</f>
        <v>2</v>
      </c>
      <c r="P29" s="19">
        <f>I29*O29</f>
        <v>3</v>
      </c>
      <c r="Q29" s="25"/>
    </row>
    <row r="30" spans="1:17" ht="49.5" x14ac:dyDescent="0.35">
      <c r="A30" s="14" t="s">
        <v>110</v>
      </c>
      <c r="B30" s="15" t="s">
        <v>111</v>
      </c>
      <c r="C30" s="16" t="s">
        <v>112</v>
      </c>
      <c r="D30" s="16" t="s">
        <v>93</v>
      </c>
      <c r="E30" s="16" t="s">
        <v>52</v>
      </c>
      <c r="F30" s="16">
        <v>1</v>
      </c>
      <c r="G30" s="16" t="s">
        <v>46</v>
      </c>
      <c r="H30" s="17">
        <f t="shared" si="42"/>
        <v>120</v>
      </c>
      <c r="I30" s="17">
        <f t="shared" si="43"/>
        <v>1.2</v>
      </c>
      <c r="J30" s="17">
        <f t="shared" si="44"/>
        <v>1.2</v>
      </c>
      <c r="K30" s="18">
        <f>F30*1</f>
        <v>1</v>
      </c>
      <c r="L30" s="19">
        <f>K30*I30</f>
        <v>1.2</v>
      </c>
      <c r="M30" s="18">
        <f>K30*1</f>
        <v>1</v>
      </c>
      <c r="N30" s="19">
        <f>I30*M30</f>
        <v>1.2</v>
      </c>
      <c r="O30" s="18">
        <f>K30*1</f>
        <v>1</v>
      </c>
      <c r="P30" s="19">
        <f>I30*O30</f>
        <v>1.2</v>
      </c>
      <c r="Q30" s="25"/>
    </row>
    <row r="31" spans="1:17" ht="66" x14ac:dyDescent="0.35">
      <c r="A31" s="14" t="s">
        <v>113</v>
      </c>
      <c r="B31" s="15" t="s">
        <v>114</v>
      </c>
      <c r="C31" s="16" t="s">
        <v>50</v>
      </c>
      <c r="D31" s="16" t="s">
        <v>51</v>
      </c>
      <c r="E31" s="16" t="s">
        <v>52</v>
      </c>
      <c r="F31" s="16">
        <v>1</v>
      </c>
      <c r="G31" s="16" t="s">
        <v>46</v>
      </c>
      <c r="H31" s="17">
        <f t="shared" si="42"/>
        <v>120</v>
      </c>
      <c r="I31" s="17">
        <f t="shared" si="43"/>
        <v>1.2</v>
      </c>
      <c r="J31" s="17">
        <f t="shared" si="44"/>
        <v>1.2</v>
      </c>
      <c r="K31" s="51">
        <f t="shared" ref="K31" si="45">F31*100%</f>
        <v>1</v>
      </c>
      <c r="L31" s="51">
        <f t="shared" ref="L31" si="46">I31*K31</f>
        <v>1.2</v>
      </c>
      <c r="M31" s="51">
        <f t="shared" ref="M31" si="47">K31*100%</f>
        <v>1</v>
      </c>
      <c r="N31" s="51">
        <f t="shared" ref="N31" si="48">I31*M31</f>
        <v>1.2</v>
      </c>
      <c r="O31" s="51">
        <f t="shared" ref="O31" si="49">K31*100%</f>
        <v>1</v>
      </c>
      <c r="P31" s="51">
        <f t="shared" ref="P31" si="50">I31*O31</f>
        <v>1.2</v>
      </c>
      <c r="Q31" s="25"/>
    </row>
    <row r="32" spans="1:17" s="50" customFormat="1" ht="198" x14ac:dyDescent="0.35">
      <c r="A32" s="44" t="s">
        <v>115</v>
      </c>
      <c r="B32" s="45" t="s">
        <v>116</v>
      </c>
      <c r="C32" s="27" t="s">
        <v>50</v>
      </c>
      <c r="D32" s="27" t="s">
        <v>81</v>
      </c>
      <c r="E32" s="27" t="s">
        <v>117</v>
      </c>
      <c r="F32" s="27">
        <v>1</v>
      </c>
      <c r="G32" s="27" t="s">
        <v>72</v>
      </c>
      <c r="H32" s="46">
        <f t="shared" si="42"/>
        <v>150</v>
      </c>
      <c r="I32" s="46">
        <f t="shared" si="43"/>
        <v>1.5</v>
      </c>
      <c r="J32" s="46">
        <f t="shared" si="44"/>
        <v>1.5</v>
      </c>
      <c r="K32" s="47"/>
      <c r="L32" s="48"/>
      <c r="M32" s="47"/>
      <c r="N32" s="48"/>
      <c r="O32" s="47"/>
      <c r="P32" s="48"/>
      <c r="Q32" s="49" t="s">
        <v>204</v>
      </c>
    </row>
    <row r="33" spans="1:17" ht="16.5" x14ac:dyDescent="0.35">
      <c r="A33" s="10" t="s">
        <v>118</v>
      </c>
      <c r="B33" s="28" t="s">
        <v>119</v>
      </c>
      <c r="C33" s="29"/>
      <c r="D33" s="29"/>
      <c r="E33" s="30"/>
      <c r="F33" s="11">
        <f>SUM(F34:F45)</f>
        <v>12</v>
      </c>
      <c r="G33" s="12"/>
      <c r="H33" s="12"/>
      <c r="I33" s="12"/>
      <c r="J33" s="11">
        <f>SUM(J34:J45)</f>
        <v>15.799999999999997</v>
      </c>
      <c r="K33" s="13">
        <f>SUM(K34:K45)</f>
        <v>5.5</v>
      </c>
      <c r="L33" s="13">
        <f>SUM(L34:L45)</f>
        <v>6.75</v>
      </c>
      <c r="M33" s="13">
        <f>SUM(M34:M45)</f>
        <v>4.75</v>
      </c>
      <c r="N33" s="13">
        <f>SUM(N34:N45)</f>
        <v>5.85</v>
      </c>
      <c r="O33" s="13">
        <f>SUM(O34:O45)</f>
        <v>4.5</v>
      </c>
      <c r="P33" s="13">
        <f>SUM(P34:P45)</f>
        <v>5.55</v>
      </c>
      <c r="Q33" s="25"/>
    </row>
    <row r="34" spans="1:17" ht="132" x14ac:dyDescent="0.35">
      <c r="A34" s="14" t="s">
        <v>120</v>
      </c>
      <c r="B34" s="15" t="s">
        <v>121</v>
      </c>
      <c r="C34" s="16" t="s">
        <v>50</v>
      </c>
      <c r="D34" s="16" t="s">
        <v>93</v>
      </c>
      <c r="E34" s="16" t="s">
        <v>52</v>
      </c>
      <c r="F34" s="16">
        <v>1</v>
      </c>
      <c r="G34" s="16" t="s">
        <v>72</v>
      </c>
      <c r="H34" s="17">
        <f t="shared" ref="H34:H45" si="51">IF(G34="Khó và phức tạp",200,IF(G34="Cao",150,IF(G34="Trung bình",120,IF(G34="Thấp",100))))</f>
        <v>150</v>
      </c>
      <c r="I34" s="17">
        <f t="shared" ref="I34:I45" si="52">H34*0.01</f>
        <v>1.5</v>
      </c>
      <c r="J34" s="17">
        <f t="shared" ref="J34:J45" si="53">F34*I34</f>
        <v>1.5</v>
      </c>
      <c r="K34" s="18">
        <f>F34*0.5</f>
        <v>0.5</v>
      </c>
      <c r="L34" s="19">
        <f>K34*I34</f>
        <v>0.75</v>
      </c>
      <c r="M34" s="18">
        <f>K34*1</f>
        <v>0.5</v>
      </c>
      <c r="N34" s="19">
        <f>I34*M34</f>
        <v>0.75</v>
      </c>
      <c r="O34" s="18">
        <f>K34*1</f>
        <v>0.5</v>
      </c>
      <c r="P34" s="19">
        <f>I34*O34</f>
        <v>0.75</v>
      </c>
      <c r="Q34" s="25" t="s">
        <v>122</v>
      </c>
    </row>
    <row r="35" spans="1:17" s="50" customFormat="1" ht="66" x14ac:dyDescent="0.35">
      <c r="A35" s="44" t="s">
        <v>123</v>
      </c>
      <c r="B35" s="45" t="s">
        <v>124</v>
      </c>
      <c r="C35" s="27" t="s">
        <v>125</v>
      </c>
      <c r="D35" s="27" t="s">
        <v>126</v>
      </c>
      <c r="E35" s="27" t="s">
        <v>127</v>
      </c>
      <c r="F35" s="27">
        <v>1</v>
      </c>
      <c r="G35" s="27" t="s">
        <v>46</v>
      </c>
      <c r="H35" s="46">
        <f t="shared" si="51"/>
        <v>120</v>
      </c>
      <c r="I35" s="46">
        <f t="shared" si="52"/>
        <v>1.2</v>
      </c>
      <c r="J35" s="46">
        <f t="shared" si="53"/>
        <v>1.2</v>
      </c>
      <c r="K35" s="47"/>
      <c r="L35" s="48"/>
      <c r="M35" s="47"/>
      <c r="N35" s="48"/>
      <c r="O35" s="47"/>
      <c r="P35" s="48"/>
      <c r="Q35" s="49" t="s">
        <v>198</v>
      </c>
    </row>
    <row r="36" spans="1:17" s="50" customFormat="1" ht="49.5" x14ac:dyDescent="0.35">
      <c r="A36" s="44" t="s">
        <v>128</v>
      </c>
      <c r="B36" s="45" t="s">
        <v>129</v>
      </c>
      <c r="C36" s="27" t="s">
        <v>112</v>
      </c>
      <c r="D36" s="27" t="s">
        <v>67</v>
      </c>
      <c r="E36" s="27" t="s">
        <v>57</v>
      </c>
      <c r="F36" s="27">
        <v>1</v>
      </c>
      <c r="G36" s="27" t="s">
        <v>46</v>
      </c>
      <c r="H36" s="46">
        <f t="shared" si="51"/>
        <v>120</v>
      </c>
      <c r="I36" s="46">
        <f t="shared" si="52"/>
        <v>1.2</v>
      </c>
      <c r="J36" s="46">
        <f t="shared" si="53"/>
        <v>1.2</v>
      </c>
      <c r="K36" s="47"/>
      <c r="L36" s="48"/>
      <c r="M36" s="47"/>
      <c r="N36" s="48"/>
      <c r="O36" s="47"/>
      <c r="P36" s="48"/>
      <c r="Q36" s="49" t="s">
        <v>200</v>
      </c>
    </row>
    <row r="37" spans="1:17" s="50" customFormat="1" ht="49.5" x14ac:dyDescent="0.35">
      <c r="A37" s="44" t="s">
        <v>130</v>
      </c>
      <c r="B37" s="45" t="s">
        <v>131</v>
      </c>
      <c r="C37" s="27" t="s">
        <v>112</v>
      </c>
      <c r="D37" s="27" t="s">
        <v>67</v>
      </c>
      <c r="E37" s="27" t="s">
        <v>57</v>
      </c>
      <c r="F37" s="27">
        <v>1</v>
      </c>
      <c r="G37" s="27" t="s">
        <v>46</v>
      </c>
      <c r="H37" s="46">
        <f t="shared" si="51"/>
        <v>120</v>
      </c>
      <c r="I37" s="46">
        <f t="shared" si="52"/>
        <v>1.2</v>
      </c>
      <c r="J37" s="46">
        <f t="shared" si="53"/>
        <v>1.2</v>
      </c>
      <c r="K37" s="47"/>
      <c r="L37" s="48"/>
      <c r="M37" s="47"/>
      <c r="N37" s="48"/>
      <c r="O37" s="47"/>
      <c r="P37" s="48"/>
      <c r="Q37" s="49" t="s">
        <v>200</v>
      </c>
    </row>
    <row r="38" spans="1:17" s="66" customFormat="1" ht="49.5" x14ac:dyDescent="0.35">
      <c r="A38" s="62" t="s">
        <v>132</v>
      </c>
      <c r="B38" s="63" t="s">
        <v>133</v>
      </c>
      <c r="C38" s="51" t="s">
        <v>50</v>
      </c>
      <c r="D38" s="51" t="s">
        <v>51</v>
      </c>
      <c r="E38" s="51" t="s">
        <v>127</v>
      </c>
      <c r="F38" s="51">
        <v>1</v>
      </c>
      <c r="G38" s="51" t="s">
        <v>46</v>
      </c>
      <c r="H38" s="64">
        <f t="shared" si="51"/>
        <v>120</v>
      </c>
      <c r="I38" s="64">
        <f t="shared" si="52"/>
        <v>1.2</v>
      </c>
      <c r="J38" s="64">
        <f t="shared" si="53"/>
        <v>1.2</v>
      </c>
      <c r="K38" s="51">
        <f>F38*100%</f>
        <v>1</v>
      </c>
      <c r="L38" s="51">
        <f>I38*K38</f>
        <v>1.2</v>
      </c>
      <c r="M38" s="51">
        <f>K38*100%</f>
        <v>1</v>
      </c>
      <c r="N38" s="51">
        <f>I38*M38</f>
        <v>1.2</v>
      </c>
      <c r="O38" s="51">
        <f>K38*100%</f>
        <v>1</v>
      </c>
      <c r="P38" s="51">
        <f>I38*O38</f>
        <v>1.2</v>
      </c>
      <c r="Q38" s="65"/>
    </row>
    <row r="39" spans="1:17" s="50" customFormat="1" ht="49.5" x14ac:dyDescent="0.35">
      <c r="A39" s="44" t="s">
        <v>134</v>
      </c>
      <c r="B39" s="45" t="s">
        <v>135</v>
      </c>
      <c r="C39" s="27" t="s">
        <v>107</v>
      </c>
      <c r="D39" s="27" t="s">
        <v>136</v>
      </c>
      <c r="E39" s="27" t="s">
        <v>52</v>
      </c>
      <c r="F39" s="27">
        <v>1</v>
      </c>
      <c r="G39" s="27" t="s">
        <v>72</v>
      </c>
      <c r="H39" s="46">
        <f t="shared" si="51"/>
        <v>150</v>
      </c>
      <c r="I39" s="46">
        <f t="shared" si="52"/>
        <v>1.5</v>
      </c>
      <c r="J39" s="46">
        <f t="shared" si="53"/>
        <v>1.5</v>
      </c>
      <c r="K39" s="47"/>
      <c r="L39" s="48"/>
      <c r="M39" s="47"/>
      <c r="N39" s="48"/>
      <c r="O39" s="47"/>
      <c r="P39" s="48"/>
      <c r="Q39" s="49" t="s">
        <v>199</v>
      </c>
    </row>
    <row r="40" spans="1:17" ht="66" x14ac:dyDescent="0.35">
      <c r="A40" s="14" t="s">
        <v>137</v>
      </c>
      <c r="B40" s="15" t="s">
        <v>138</v>
      </c>
      <c r="C40" s="16" t="s">
        <v>50</v>
      </c>
      <c r="D40" s="16" t="s">
        <v>93</v>
      </c>
      <c r="E40" s="16" t="s">
        <v>52</v>
      </c>
      <c r="F40" s="16">
        <v>1</v>
      </c>
      <c r="G40" s="16" t="s">
        <v>46</v>
      </c>
      <c r="H40" s="17">
        <f t="shared" si="51"/>
        <v>120</v>
      </c>
      <c r="I40" s="17">
        <f t="shared" si="52"/>
        <v>1.2</v>
      </c>
      <c r="J40" s="17">
        <f t="shared" si="53"/>
        <v>1.2</v>
      </c>
      <c r="K40" s="18">
        <f>F40*1</f>
        <v>1</v>
      </c>
      <c r="L40" s="19">
        <f>K40*I40</f>
        <v>1.2</v>
      </c>
      <c r="M40" s="18">
        <f>K40*0.75</f>
        <v>0.75</v>
      </c>
      <c r="N40" s="19">
        <f>I40*M40</f>
        <v>0.89999999999999991</v>
      </c>
      <c r="O40" s="18">
        <f>K40*1</f>
        <v>1</v>
      </c>
      <c r="P40" s="19">
        <f>I40*O40</f>
        <v>1.2</v>
      </c>
      <c r="Q40" s="25"/>
    </row>
    <row r="41" spans="1:17" s="50" customFormat="1" ht="82.5" x14ac:dyDescent="0.35">
      <c r="A41" s="44" t="s">
        <v>139</v>
      </c>
      <c r="B41" s="45" t="s">
        <v>140</v>
      </c>
      <c r="C41" s="27" t="s">
        <v>107</v>
      </c>
      <c r="D41" s="27" t="s">
        <v>141</v>
      </c>
      <c r="E41" s="27" t="s">
        <v>142</v>
      </c>
      <c r="F41" s="27">
        <v>1</v>
      </c>
      <c r="G41" s="27" t="s">
        <v>143</v>
      </c>
      <c r="H41" s="46">
        <f t="shared" si="51"/>
        <v>200</v>
      </c>
      <c r="I41" s="46">
        <f t="shared" si="52"/>
        <v>2</v>
      </c>
      <c r="J41" s="46">
        <f t="shared" si="53"/>
        <v>2</v>
      </c>
      <c r="K41" s="47"/>
      <c r="L41" s="48"/>
      <c r="M41" s="47"/>
      <c r="N41" s="48"/>
      <c r="O41" s="47"/>
      <c r="P41" s="48"/>
      <c r="Q41" s="49" t="s">
        <v>201</v>
      </c>
    </row>
    <row r="42" spans="1:17" ht="132" x14ac:dyDescent="0.35">
      <c r="A42" s="14" t="s">
        <v>144</v>
      </c>
      <c r="B42" s="15" t="s">
        <v>145</v>
      </c>
      <c r="C42" s="16" t="s">
        <v>50</v>
      </c>
      <c r="D42" s="16" t="s">
        <v>93</v>
      </c>
      <c r="E42" s="16" t="s">
        <v>52</v>
      </c>
      <c r="F42" s="16">
        <v>1</v>
      </c>
      <c r="G42" s="16" t="s">
        <v>46</v>
      </c>
      <c r="H42" s="17">
        <f t="shared" si="51"/>
        <v>120</v>
      </c>
      <c r="I42" s="17">
        <f t="shared" si="52"/>
        <v>1.2</v>
      </c>
      <c r="J42" s="17">
        <f t="shared" si="53"/>
        <v>1.2</v>
      </c>
      <c r="K42" s="18">
        <f>F42*1</f>
        <v>1</v>
      </c>
      <c r="L42" s="19">
        <f>K42*I42</f>
        <v>1.2</v>
      </c>
      <c r="M42" s="18">
        <f>K42*0.75</f>
        <v>0.75</v>
      </c>
      <c r="N42" s="19">
        <f>I42*M42</f>
        <v>0.89999999999999991</v>
      </c>
      <c r="O42" s="18">
        <f>K42*0.5</f>
        <v>0.5</v>
      </c>
      <c r="P42" s="19">
        <f>I42*O42</f>
        <v>0.6</v>
      </c>
      <c r="Q42" s="25"/>
    </row>
    <row r="43" spans="1:17" ht="99" x14ac:dyDescent="0.35">
      <c r="A43" s="14" t="s">
        <v>146</v>
      </c>
      <c r="B43" s="15" t="s">
        <v>147</v>
      </c>
      <c r="C43" s="16" t="s">
        <v>50</v>
      </c>
      <c r="D43" s="16" t="s">
        <v>93</v>
      </c>
      <c r="E43" s="16" t="s">
        <v>52</v>
      </c>
      <c r="F43" s="16">
        <v>1</v>
      </c>
      <c r="G43" s="16" t="s">
        <v>46</v>
      </c>
      <c r="H43" s="17">
        <f t="shared" si="51"/>
        <v>120</v>
      </c>
      <c r="I43" s="17">
        <f t="shared" si="52"/>
        <v>1.2</v>
      </c>
      <c r="J43" s="17">
        <f t="shared" si="53"/>
        <v>1.2</v>
      </c>
      <c r="K43" s="18">
        <f>F43*1</f>
        <v>1</v>
      </c>
      <c r="L43" s="19">
        <f>K43*I43</f>
        <v>1.2</v>
      </c>
      <c r="M43" s="18">
        <f>K43*0.75</f>
        <v>0.75</v>
      </c>
      <c r="N43" s="19">
        <f>I43*M43</f>
        <v>0.89999999999999991</v>
      </c>
      <c r="O43" s="18">
        <f>K43*0.5</f>
        <v>0.5</v>
      </c>
      <c r="P43" s="19">
        <f>I43*O43</f>
        <v>0.6</v>
      </c>
      <c r="Q43" s="25"/>
    </row>
    <row r="44" spans="1:17" s="50" customFormat="1" ht="148.5" x14ac:dyDescent="0.35">
      <c r="A44" s="44" t="s">
        <v>148</v>
      </c>
      <c r="B44" s="45" t="s">
        <v>149</v>
      </c>
      <c r="C44" s="27" t="s">
        <v>112</v>
      </c>
      <c r="D44" s="27" t="s">
        <v>126</v>
      </c>
      <c r="E44" s="27" t="s">
        <v>52</v>
      </c>
      <c r="F44" s="27">
        <v>1</v>
      </c>
      <c r="G44" s="27" t="s">
        <v>46</v>
      </c>
      <c r="H44" s="46">
        <f t="shared" si="51"/>
        <v>120</v>
      </c>
      <c r="I44" s="46">
        <f t="shared" si="52"/>
        <v>1.2</v>
      </c>
      <c r="J44" s="46">
        <f t="shared" si="53"/>
        <v>1.2</v>
      </c>
      <c r="K44" s="47"/>
      <c r="L44" s="48"/>
      <c r="M44" s="47"/>
      <c r="N44" s="48"/>
      <c r="O44" s="47"/>
      <c r="P44" s="48"/>
      <c r="Q44" s="49" t="s">
        <v>198</v>
      </c>
    </row>
    <row r="45" spans="1:17" ht="49.5" x14ac:dyDescent="0.35">
      <c r="A45" s="14" t="s">
        <v>150</v>
      </c>
      <c r="B45" s="15" t="s">
        <v>151</v>
      </c>
      <c r="C45" s="16" t="s">
        <v>112</v>
      </c>
      <c r="D45" s="16" t="s">
        <v>126</v>
      </c>
      <c r="E45" s="16" t="s">
        <v>45</v>
      </c>
      <c r="F45" s="16">
        <v>1</v>
      </c>
      <c r="G45" s="16" t="s">
        <v>46</v>
      </c>
      <c r="H45" s="17">
        <f t="shared" si="51"/>
        <v>120</v>
      </c>
      <c r="I45" s="17">
        <f t="shared" si="52"/>
        <v>1.2</v>
      </c>
      <c r="J45" s="17">
        <f t="shared" si="53"/>
        <v>1.2</v>
      </c>
      <c r="K45" s="18">
        <f>F45*1</f>
        <v>1</v>
      </c>
      <c r="L45" s="19">
        <f>K45*I45</f>
        <v>1.2</v>
      </c>
      <c r="M45" s="18">
        <f>K45*1</f>
        <v>1</v>
      </c>
      <c r="N45" s="19">
        <f>I45*M45</f>
        <v>1.2</v>
      </c>
      <c r="O45" s="18">
        <f>K45*1</f>
        <v>1</v>
      </c>
      <c r="P45" s="19">
        <f>I45*O45</f>
        <v>1.2</v>
      </c>
      <c r="Q45" s="25"/>
    </row>
    <row r="46" spans="1:17" ht="16.5" x14ac:dyDescent="0.35">
      <c r="A46" s="10" t="s">
        <v>152</v>
      </c>
      <c r="B46" s="28" t="s">
        <v>153</v>
      </c>
      <c r="C46" s="29"/>
      <c r="D46" s="29"/>
      <c r="E46" s="30"/>
      <c r="F46" s="11">
        <f>SUM(F47:F57)</f>
        <v>11</v>
      </c>
      <c r="G46" s="12"/>
      <c r="H46" s="12"/>
      <c r="I46" s="12"/>
      <c r="J46" s="11">
        <f t="shared" ref="J46:P46" si="54">SUM(J47:J57)</f>
        <v>14.699999999999996</v>
      </c>
      <c r="K46" s="13">
        <f t="shared" si="54"/>
        <v>5</v>
      </c>
      <c r="L46" s="13">
        <f t="shared" si="54"/>
        <v>6.9</v>
      </c>
      <c r="M46" s="13">
        <f t="shared" si="54"/>
        <v>5</v>
      </c>
      <c r="N46" s="13">
        <f t="shared" si="54"/>
        <v>6.9</v>
      </c>
      <c r="O46" s="13">
        <f t="shared" si="54"/>
        <v>5</v>
      </c>
      <c r="P46" s="13">
        <f t="shared" si="54"/>
        <v>6.9</v>
      </c>
      <c r="Q46" s="25"/>
    </row>
    <row r="47" spans="1:17" ht="82.5" x14ac:dyDescent="0.35">
      <c r="A47" s="14" t="s">
        <v>154</v>
      </c>
      <c r="B47" s="15" t="s">
        <v>155</v>
      </c>
      <c r="C47" s="16" t="s">
        <v>66</v>
      </c>
      <c r="D47" s="16" t="s">
        <v>67</v>
      </c>
      <c r="E47" s="16" t="s">
        <v>52</v>
      </c>
      <c r="F47" s="16">
        <v>1</v>
      </c>
      <c r="G47" s="16" t="s">
        <v>72</v>
      </c>
      <c r="H47" s="17">
        <f t="shared" ref="H47:H57" si="55">IF(G47="Khó và phức tạp",200,IF(G47="Cao",150,IF(G47="Trung bình",120,IF(G47="Thấp",100))))</f>
        <v>150</v>
      </c>
      <c r="I47" s="17">
        <f t="shared" ref="I47:I57" si="56">H47*0.01</f>
        <v>1.5</v>
      </c>
      <c r="J47" s="17">
        <f t="shared" ref="J47:J57" si="57">F47*I47</f>
        <v>1.5</v>
      </c>
      <c r="K47" s="18">
        <f>F47*1</f>
        <v>1</v>
      </c>
      <c r="L47" s="19">
        <f>K47*I47</f>
        <v>1.5</v>
      </c>
      <c r="M47" s="18">
        <f>K47*1</f>
        <v>1</v>
      </c>
      <c r="N47" s="19">
        <f>I47*M47</f>
        <v>1.5</v>
      </c>
      <c r="O47" s="18">
        <f>K47*1</f>
        <v>1</v>
      </c>
      <c r="P47" s="19">
        <f>I47*O47</f>
        <v>1.5</v>
      </c>
      <c r="Q47" s="25"/>
    </row>
    <row r="48" spans="1:17" s="61" customFormat="1" ht="49.5" x14ac:dyDescent="0.35">
      <c r="A48" s="54" t="s">
        <v>156</v>
      </c>
      <c r="B48" s="55" t="s">
        <v>157</v>
      </c>
      <c r="C48" s="56" t="s">
        <v>43</v>
      </c>
      <c r="D48" s="56" t="s">
        <v>44</v>
      </c>
      <c r="E48" s="56" t="s">
        <v>52</v>
      </c>
      <c r="F48" s="56">
        <v>1</v>
      </c>
      <c r="G48" s="56" t="s">
        <v>72</v>
      </c>
      <c r="H48" s="57">
        <f t="shared" si="55"/>
        <v>150</v>
      </c>
      <c r="I48" s="57">
        <f t="shared" si="56"/>
        <v>1.5</v>
      </c>
      <c r="J48" s="57">
        <f t="shared" si="57"/>
        <v>1.5</v>
      </c>
      <c r="K48" s="58"/>
      <c r="L48" s="59"/>
      <c r="M48" s="58"/>
      <c r="N48" s="59"/>
      <c r="O48" s="58"/>
      <c r="P48" s="59"/>
      <c r="Q48" s="60" t="s">
        <v>47</v>
      </c>
    </row>
    <row r="49" spans="1:17" ht="115.5" x14ac:dyDescent="0.35">
      <c r="A49" s="14" t="s">
        <v>158</v>
      </c>
      <c r="B49" s="15" t="s">
        <v>159</v>
      </c>
      <c r="C49" s="16" t="s">
        <v>50</v>
      </c>
      <c r="D49" s="16" t="s">
        <v>86</v>
      </c>
      <c r="E49" s="16" t="s">
        <v>52</v>
      </c>
      <c r="F49" s="16">
        <v>1</v>
      </c>
      <c r="G49" s="16" t="s">
        <v>72</v>
      </c>
      <c r="H49" s="17">
        <f t="shared" si="55"/>
        <v>150</v>
      </c>
      <c r="I49" s="17">
        <f t="shared" si="56"/>
        <v>1.5</v>
      </c>
      <c r="J49" s="17">
        <f t="shared" si="57"/>
        <v>1.5</v>
      </c>
      <c r="K49" s="18">
        <f>F49*1</f>
        <v>1</v>
      </c>
      <c r="L49" s="19">
        <f>K49*I49</f>
        <v>1.5</v>
      </c>
      <c r="M49" s="18">
        <f>K49*1</f>
        <v>1</v>
      </c>
      <c r="N49" s="19">
        <f>I49*M49</f>
        <v>1.5</v>
      </c>
      <c r="O49" s="18">
        <f>K49*1</f>
        <v>1</v>
      </c>
      <c r="P49" s="19">
        <f>I49*O49</f>
        <v>1.5</v>
      </c>
      <c r="Q49" s="25"/>
    </row>
    <row r="50" spans="1:17" s="61" customFormat="1" ht="214.5" x14ac:dyDescent="0.35">
      <c r="A50" s="54" t="s">
        <v>160</v>
      </c>
      <c r="B50" s="55" t="s">
        <v>161</v>
      </c>
      <c r="C50" s="56" t="s">
        <v>50</v>
      </c>
      <c r="D50" s="56" t="s">
        <v>86</v>
      </c>
      <c r="E50" s="56" t="s">
        <v>45</v>
      </c>
      <c r="F50" s="56">
        <v>1</v>
      </c>
      <c r="G50" s="56" t="s">
        <v>46</v>
      </c>
      <c r="H50" s="57">
        <f t="shared" si="55"/>
        <v>120</v>
      </c>
      <c r="I50" s="57">
        <f t="shared" si="56"/>
        <v>1.2</v>
      </c>
      <c r="J50" s="57">
        <f t="shared" si="57"/>
        <v>1.2</v>
      </c>
      <c r="K50" s="58"/>
      <c r="L50" s="59"/>
      <c r="M50" s="58"/>
      <c r="N50" s="59"/>
      <c r="O50" s="58"/>
      <c r="P50" s="59"/>
      <c r="Q50" s="60" t="s">
        <v>47</v>
      </c>
    </row>
    <row r="51" spans="1:17" s="50" customFormat="1" ht="115.5" x14ac:dyDescent="0.35">
      <c r="A51" s="44" t="s">
        <v>162</v>
      </c>
      <c r="B51" s="45" t="s">
        <v>163</v>
      </c>
      <c r="C51" s="27" t="s">
        <v>50</v>
      </c>
      <c r="D51" s="27" t="s">
        <v>164</v>
      </c>
      <c r="E51" s="27" t="s">
        <v>52</v>
      </c>
      <c r="F51" s="27">
        <v>1</v>
      </c>
      <c r="G51" s="27" t="s">
        <v>72</v>
      </c>
      <c r="H51" s="46">
        <f t="shared" si="55"/>
        <v>150</v>
      </c>
      <c r="I51" s="46">
        <f t="shared" si="56"/>
        <v>1.5</v>
      </c>
      <c r="J51" s="46">
        <f t="shared" si="57"/>
        <v>1.5</v>
      </c>
      <c r="K51" s="47"/>
      <c r="L51" s="48"/>
      <c r="M51" s="47"/>
      <c r="N51" s="48"/>
      <c r="O51" s="47"/>
      <c r="P51" s="48"/>
      <c r="Q51" s="49" t="s">
        <v>202</v>
      </c>
    </row>
    <row r="52" spans="1:17" ht="132" x14ac:dyDescent="0.35">
      <c r="A52" s="14" t="s">
        <v>165</v>
      </c>
      <c r="B52" s="15" t="s">
        <v>166</v>
      </c>
      <c r="C52" s="16" t="s">
        <v>50</v>
      </c>
      <c r="D52" s="16" t="s">
        <v>164</v>
      </c>
      <c r="E52" s="16" t="s">
        <v>52</v>
      </c>
      <c r="F52" s="16">
        <v>1</v>
      </c>
      <c r="G52" s="16" t="s">
        <v>72</v>
      </c>
      <c r="H52" s="17">
        <f t="shared" si="55"/>
        <v>150</v>
      </c>
      <c r="I52" s="17">
        <f t="shared" si="56"/>
        <v>1.5</v>
      </c>
      <c r="J52" s="17">
        <f t="shared" si="57"/>
        <v>1.5</v>
      </c>
      <c r="K52" s="18">
        <f>F52*1</f>
        <v>1</v>
      </c>
      <c r="L52" s="19">
        <f>K52*I52</f>
        <v>1.5</v>
      </c>
      <c r="M52" s="18">
        <f>K52*1</f>
        <v>1</v>
      </c>
      <c r="N52" s="19">
        <f>I52*M52</f>
        <v>1.5</v>
      </c>
      <c r="O52" s="18">
        <f>K52*1</f>
        <v>1</v>
      </c>
      <c r="P52" s="19">
        <f>I52*O52</f>
        <v>1.5</v>
      </c>
      <c r="Q52" s="25"/>
    </row>
    <row r="53" spans="1:17" s="50" customFormat="1" ht="99" x14ac:dyDescent="0.35">
      <c r="A53" s="44" t="s">
        <v>167</v>
      </c>
      <c r="B53" s="45" t="s">
        <v>168</v>
      </c>
      <c r="C53" s="27" t="s">
        <v>50</v>
      </c>
      <c r="D53" s="27" t="s">
        <v>164</v>
      </c>
      <c r="E53" s="27" t="s">
        <v>169</v>
      </c>
      <c r="F53" s="27">
        <v>1</v>
      </c>
      <c r="G53" s="27" t="s">
        <v>46</v>
      </c>
      <c r="H53" s="46">
        <f t="shared" si="55"/>
        <v>120</v>
      </c>
      <c r="I53" s="46">
        <f t="shared" si="56"/>
        <v>1.2</v>
      </c>
      <c r="J53" s="46">
        <f t="shared" si="57"/>
        <v>1.2</v>
      </c>
      <c r="K53" s="47"/>
      <c r="L53" s="48"/>
      <c r="M53" s="47"/>
      <c r="N53" s="48"/>
      <c r="O53" s="47"/>
      <c r="P53" s="48"/>
      <c r="Q53" s="49" t="s">
        <v>202</v>
      </c>
    </row>
    <row r="54" spans="1:17" ht="148.5" x14ac:dyDescent="0.35">
      <c r="A54" s="14" t="s">
        <v>170</v>
      </c>
      <c r="B54" s="15" t="s">
        <v>171</v>
      </c>
      <c r="C54" s="16" t="s">
        <v>50</v>
      </c>
      <c r="D54" s="16" t="s">
        <v>71</v>
      </c>
      <c r="E54" s="16" t="s">
        <v>52</v>
      </c>
      <c r="F54" s="16">
        <v>1</v>
      </c>
      <c r="G54" s="16" t="s">
        <v>46</v>
      </c>
      <c r="H54" s="17">
        <f t="shared" si="55"/>
        <v>120</v>
      </c>
      <c r="I54" s="17">
        <f t="shared" si="56"/>
        <v>1.2</v>
      </c>
      <c r="J54" s="17">
        <f t="shared" si="57"/>
        <v>1.2</v>
      </c>
      <c r="K54" s="18">
        <f>F54*1</f>
        <v>1</v>
      </c>
      <c r="L54" s="19">
        <f>K54*I54</f>
        <v>1.2</v>
      </c>
      <c r="M54" s="18">
        <f>K54*1</f>
        <v>1</v>
      </c>
      <c r="N54" s="19">
        <f>I54*M54</f>
        <v>1.2</v>
      </c>
      <c r="O54" s="18">
        <f>K54*1</f>
        <v>1</v>
      </c>
      <c r="P54" s="19">
        <f>I54*O54</f>
        <v>1.2</v>
      </c>
      <c r="Q54" s="43" t="s">
        <v>205</v>
      </c>
    </row>
    <row r="55" spans="1:17" ht="33" x14ac:dyDescent="0.35">
      <c r="A55" s="14" t="s">
        <v>172</v>
      </c>
      <c r="B55" s="15" t="s">
        <v>173</v>
      </c>
      <c r="C55" s="16" t="s">
        <v>50</v>
      </c>
      <c r="D55" s="16" t="s">
        <v>174</v>
      </c>
      <c r="E55" s="16" t="s">
        <v>52</v>
      </c>
      <c r="F55" s="16">
        <v>1</v>
      </c>
      <c r="G55" s="16" t="s">
        <v>46</v>
      </c>
      <c r="H55" s="17">
        <f t="shared" si="55"/>
        <v>120</v>
      </c>
      <c r="I55" s="17">
        <f t="shared" si="56"/>
        <v>1.2</v>
      </c>
      <c r="J55" s="17">
        <f t="shared" si="57"/>
        <v>1.2</v>
      </c>
      <c r="K55" s="18">
        <f>F55*1</f>
        <v>1</v>
      </c>
      <c r="L55" s="19">
        <f>K55*I55</f>
        <v>1.2</v>
      </c>
      <c r="M55" s="18">
        <f>K55*1</f>
        <v>1</v>
      </c>
      <c r="N55" s="19">
        <f>I55*M55</f>
        <v>1.2</v>
      </c>
      <c r="O55" s="18">
        <f>K55*1</f>
        <v>1</v>
      </c>
      <c r="P55" s="19">
        <f>I55*O55</f>
        <v>1.2</v>
      </c>
      <c r="Q55" s="43" t="s">
        <v>206</v>
      </c>
    </row>
    <row r="56" spans="1:17" s="50" customFormat="1" ht="66" x14ac:dyDescent="0.35">
      <c r="A56" s="44" t="s">
        <v>175</v>
      </c>
      <c r="B56" s="45" t="s">
        <v>176</v>
      </c>
      <c r="C56" s="27" t="s">
        <v>50</v>
      </c>
      <c r="D56" s="27" t="s">
        <v>164</v>
      </c>
      <c r="E56" s="27" t="s">
        <v>177</v>
      </c>
      <c r="F56" s="27">
        <v>1</v>
      </c>
      <c r="G56" s="27" t="s">
        <v>46</v>
      </c>
      <c r="H56" s="46">
        <f t="shared" si="55"/>
        <v>120</v>
      </c>
      <c r="I56" s="46">
        <f t="shared" si="56"/>
        <v>1.2</v>
      </c>
      <c r="J56" s="46">
        <f t="shared" si="57"/>
        <v>1.2</v>
      </c>
      <c r="K56" s="47"/>
      <c r="L56" s="48"/>
      <c r="M56" s="47"/>
      <c r="N56" s="48"/>
      <c r="O56" s="47"/>
      <c r="P56" s="48"/>
      <c r="Q56" s="49" t="s">
        <v>202</v>
      </c>
    </row>
    <row r="57" spans="1:17" s="50" customFormat="1" ht="66" x14ac:dyDescent="0.35">
      <c r="A57" s="44" t="s">
        <v>178</v>
      </c>
      <c r="B57" s="45" t="s">
        <v>179</v>
      </c>
      <c r="C57" s="27" t="s">
        <v>50</v>
      </c>
      <c r="D57" s="27" t="s">
        <v>81</v>
      </c>
      <c r="E57" s="27" t="s">
        <v>52</v>
      </c>
      <c r="F57" s="27">
        <v>1</v>
      </c>
      <c r="G57" s="27" t="s">
        <v>46</v>
      </c>
      <c r="H57" s="46">
        <f t="shared" si="55"/>
        <v>120</v>
      </c>
      <c r="I57" s="46">
        <f t="shared" si="56"/>
        <v>1.2</v>
      </c>
      <c r="J57" s="46">
        <f t="shared" si="57"/>
        <v>1.2</v>
      </c>
      <c r="K57" s="47"/>
      <c r="L57" s="48"/>
      <c r="M57" s="47"/>
      <c r="N57" s="48"/>
      <c r="O57" s="47"/>
      <c r="P57" s="48"/>
      <c r="Q57" s="49" t="s">
        <v>204</v>
      </c>
    </row>
    <row r="58" spans="1:17" ht="16.5" x14ac:dyDescent="0.35">
      <c r="A58" s="10" t="s">
        <v>180</v>
      </c>
      <c r="B58" s="28" t="s">
        <v>181</v>
      </c>
      <c r="C58" s="29"/>
      <c r="D58" s="29"/>
      <c r="E58" s="30"/>
      <c r="F58" s="11">
        <f>SUM(F59:F59)</f>
        <v>1</v>
      </c>
      <c r="G58" s="12"/>
      <c r="H58" s="12"/>
      <c r="I58" s="12"/>
      <c r="J58" s="11">
        <f>SUM(J59:J59)</f>
        <v>1</v>
      </c>
      <c r="K58" s="13">
        <f>SUM(K59:K59)</f>
        <v>1</v>
      </c>
      <c r="L58" s="13">
        <f>SUM(L59:L59)</f>
        <v>1</v>
      </c>
      <c r="M58" s="13">
        <f>SUM(M59:M59)</f>
        <v>1</v>
      </c>
      <c r="N58" s="13">
        <f>SUM(N59:N59)</f>
        <v>1</v>
      </c>
      <c r="O58" s="13">
        <f>SUM(O59:O59)</f>
        <v>1</v>
      </c>
      <c r="P58" s="13">
        <f>SUM(P59:P59)</f>
        <v>1</v>
      </c>
      <c r="Q58" s="25"/>
    </row>
    <row r="59" spans="1:17" ht="66" x14ac:dyDescent="0.35">
      <c r="A59" s="14" t="s">
        <v>182</v>
      </c>
      <c r="B59" s="15" t="s">
        <v>183</v>
      </c>
      <c r="C59" s="16" t="s">
        <v>50</v>
      </c>
      <c r="D59" s="16" t="s">
        <v>93</v>
      </c>
      <c r="E59" s="16" t="s">
        <v>184</v>
      </c>
      <c r="F59" s="16">
        <v>1</v>
      </c>
      <c r="G59" s="16" t="s">
        <v>53</v>
      </c>
      <c r="H59" s="17">
        <f>IF(G59="Khó và phức tạp",200,IF(G59="Cao",150,IF(G59="Trung bình",120,IF(G59="Thấp",100))))</f>
        <v>100</v>
      </c>
      <c r="I59" s="17">
        <f>H59*0.01</f>
        <v>1</v>
      </c>
      <c r="J59" s="17">
        <f>F59*I59</f>
        <v>1</v>
      </c>
      <c r="K59" s="18">
        <f>F59*1</f>
        <v>1</v>
      </c>
      <c r="L59" s="19">
        <f>K59*I59</f>
        <v>1</v>
      </c>
      <c r="M59" s="18">
        <f>K59*1</f>
        <v>1</v>
      </c>
      <c r="N59" s="19">
        <f>I59*M59</f>
        <v>1</v>
      </c>
      <c r="O59" s="18">
        <f>K59*1</f>
        <v>1</v>
      </c>
      <c r="P59" s="19">
        <f>I59*O59</f>
        <v>1</v>
      </c>
      <c r="Q59" s="25" t="s">
        <v>47</v>
      </c>
    </row>
    <row r="60" spans="1:17" ht="33" x14ac:dyDescent="0.35">
      <c r="A60" s="8" t="s">
        <v>185</v>
      </c>
      <c r="B60" s="22" t="s">
        <v>186</v>
      </c>
      <c r="C60" s="26"/>
      <c r="D60" s="26"/>
      <c r="E60" s="26"/>
      <c r="F60" s="26"/>
      <c r="G60" s="26"/>
      <c r="H60" s="26"/>
      <c r="I60" s="26"/>
      <c r="J60" s="24"/>
      <c r="K60" s="9">
        <f>SUM(K61:K65)</f>
        <v>4</v>
      </c>
      <c r="L60" s="9">
        <f>SUM(L61:L65)</f>
        <v>4.8</v>
      </c>
      <c r="M60" s="9">
        <f>SUM(M61:M65)</f>
        <v>4</v>
      </c>
      <c r="N60" s="9">
        <f>SUM(N61:N65)</f>
        <v>4.8</v>
      </c>
      <c r="O60" s="9">
        <f>SUM(O61:O65)</f>
        <v>4</v>
      </c>
      <c r="P60" s="9">
        <f>SUM(P61:P65)</f>
        <v>4.8</v>
      </c>
      <c r="Q60" s="25"/>
    </row>
    <row r="61" spans="1:17" s="61" customFormat="1" ht="49.5" x14ac:dyDescent="0.35">
      <c r="A61" s="54" t="s">
        <v>39</v>
      </c>
      <c r="B61" s="55" t="s">
        <v>187</v>
      </c>
      <c r="C61" s="56" t="s">
        <v>50</v>
      </c>
      <c r="D61" s="56" t="s">
        <v>51</v>
      </c>
      <c r="E61" s="56" t="s">
        <v>188</v>
      </c>
      <c r="F61" s="56">
        <v>2</v>
      </c>
      <c r="G61" s="56" t="s">
        <v>72</v>
      </c>
      <c r="H61" s="57">
        <f t="shared" ref="H61:H65" si="58">IF(G61="Khó và phức tạp",200,IF(G61="Cao",150,IF(G61="Trung bình",120,IF(G61="Thấp",100))))</f>
        <v>150</v>
      </c>
      <c r="I61" s="57">
        <f t="shared" ref="I61:I65" si="59">H61*0.01</f>
        <v>1.5</v>
      </c>
      <c r="J61" s="57">
        <f t="shared" ref="J61:J65" si="60">F61*I61</f>
        <v>3</v>
      </c>
      <c r="K61" s="58"/>
      <c r="L61" s="59"/>
      <c r="M61" s="58"/>
      <c r="N61" s="59"/>
      <c r="O61" s="58"/>
      <c r="P61" s="59"/>
      <c r="Q61" s="60" t="s">
        <v>189</v>
      </c>
    </row>
    <row r="62" spans="1:17" s="50" customFormat="1" ht="99" x14ac:dyDescent="0.35">
      <c r="A62" s="44" t="s">
        <v>82</v>
      </c>
      <c r="B62" s="45" t="s">
        <v>190</v>
      </c>
      <c r="C62" s="27" t="s">
        <v>50</v>
      </c>
      <c r="D62" s="27" t="s">
        <v>51</v>
      </c>
      <c r="E62" s="27" t="s">
        <v>191</v>
      </c>
      <c r="F62" s="27">
        <v>1</v>
      </c>
      <c r="G62" s="27" t="s">
        <v>46</v>
      </c>
      <c r="H62" s="46">
        <f t="shared" si="58"/>
        <v>120</v>
      </c>
      <c r="I62" s="46">
        <f t="shared" si="59"/>
        <v>1.2</v>
      </c>
      <c r="J62" s="46">
        <f t="shared" si="60"/>
        <v>1.2</v>
      </c>
      <c r="K62" s="47"/>
      <c r="L62" s="48"/>
      <c r="M62" s="47"/>
      <c r="N62" s="48"/>
      <c r="O62" s="47"/>
      <c r="P62" s="48"/>
      <c r="Q62" s="49" t="s">
        <v>207</v>
      </c>
    </row>
    <row r="63" spans="1:17" ht="49.5" x14ac:dyDescent="0.35">
      <c r="A63" s="14" t="s">
        <v>97</v>
      </c>
      <c r="B63" s="15" t="s">
        <v>192</v>
      </c>
      <c r="C63" s="16" t="s">
        <v>50</v>
      </c>
      <c r="D63" s="16" t="s">
        <v>51</v>
      </c>
      <c r="E63" s="16" t="s">
        <v>45</v>
      </c>
      <c r="F63" s="16">
        <v>1</v>
      </c>
      <c r="G63" s="16" t="s">
        <v>46</v>
      </c>
      <c r="H63" s="17">
        <f t="shared" si="58"/>
        <v>120</v>
      </c>
      <c r="I63" s="17">
        <f t="shared" si="59"/>
        <v>1.2</v>
      </c>
      <c r="J63" s="17">
        <f t="shared" si="60"/>
        <v>1.2</v>
      </c>
      <c r="K63" s="18"/>
      <c r="L63" s="19"/>
      <c r="M63" s="18"/>
      <c r="N63" s="19"/>
      <c r="O63" s="18"/>
      <c r="P63" s="19"/>
      <c r="Q63" s="25" t="s">
        <v>189</v>
      </c>
    </row>
    <row r="64" spans="1:17" ht="33" x14ac:dyDescent="0.35">
      <c r="A64" s="14" t="s">
        <v>118</v>
      </c>
      <c r="B64" s="15" t="s">
        <v>193</v>
      </c>
      <c r="C64" s="16" t="s">
        <v>112</v>
      </c>
      <c r="D64" s="16" t="s">
        <v>126</v>
      </c>
      <c r="E64" s="16" t="s">
        <v>194</v>
      </c>
      <c r="F64" s="16">
        <v>2</v>
      </c>
      <c r="G64" s="16" t="s">
        <v>46</v>
      </c>
      <c r="H64" s="17">
        <f t="shared" si="58"/>
        <v>120</v>
      </c>
      <c r="I64" s="17">
        <f t="shared" si="59"/>
        <v>1.2</v>
      </c>
      <c r="J64" s="17">
        <f t="shared" si="60"/>
        <v>2.4</v>
      </c>
      <c r="K64" s="18">
        <f>F64*1</f>
        <v>2</v>
      </c>
      <c r="L64" s="19">
        <f>K64*I64</f>
        <v>2.4</v>
      </c>
      <c r="M64" s="18">
        <f>K64*1</f>
        <v>2</v>
      </c>
      <c r="N64" s="19">
        <f>I64*M64</f>
        <v>2.4</v>
      </c>
      <c r="O64" s="18">
        <f>K64*1</f>
        <v>2</v>
      </c>
      <c r="P64" s="19">
        <f>I64*O64</f>
        <v>2.4</v>
      </c>
      <c r="Q64" s="25"/>
    </row>
    <row r="65" spans="1:17" ht="66" x14ac:dyDescent="0.35">
      <c r="A65" s="14" t="s">
        <v>152</v>
      </c>
      <c r="B65" s="15" t="s">
        <v>195</v>
      </c>
      <c r="C65" s="16" t="s">
        <v>196</v>
      </c>
      <c r="D65" s="16" t="s">
        <v>126</v>
      </c>
      <c r="E65" s="16" t="s">
        <v>194</v>
      </c>
      <c r="F65" s="16">
        <v>2</v>
      </c>
      <c r="G65" s="16" t="s">
        <v>46</v>
      </c>
      <c r="H65" s="17">
        <f t="shared" si="58"/>
        <v>120</v>
      </c>
      <c r="I65" s="17">
        <f t="shared" si="59"/>
        <v>1.2</v>
      </c>
      <c r="J65" s="17">
        <f t="shared" si="60"/>
        <v>2.4</v>
      </c>
      <c r="K65" s="18">
        <f>F65*1</f>
        <v>2</v>
      </c>
      <c r="L65" s="19">
        <f>K65*I65</f>
        <v>2.4</v>
      </c>
      <c r="M65" s="18">
        <f>K65*1</f>
        <v>2</v>
      </c>
      <c r="N65" s="19">
        <f>I65*M65</f>
        <v>2.4</v>
      </c>
      <c r="O65" s="18">
        <f>K65*1</f>
        <v>2</v>
      </c>
      <c r="P65" s="19">
        <f>I65*O65</f>
        <v>2.4</v>
      </c>
      <c r="Q65" s="25"/>
    </row>
  </sheetData>
  <mergeCells count="26">
    <mergeCell ref="B9:E9"/>
    <mergeCell ref="K5:L5"/>
    <mergeCell ref="B33:E33"/>
    <mergeCell ref="B8:J8"/>
    <mergeCell ref="B26:E26"/>
    <mergeCell ref="F5:F6"/>
    <mergeCell ref="G1:P1"/>
    <mergeCell ref="A1:B1"/>
    <mergeCell ref="O5:P5"/>
    <mergeCell ref="E5:E6"/>
    <mergeCell ref="B46:E46"/>
    <mergeCell ref="B58:E58"/>
    <mergeCell ref="G2:P2"/>
    <mergeCell ref="I5:I6"/>
    <mergeCell ref="A5:A6"/>
    <mergeCell ref="G5:G6"/>
    <mergeCell ref="A2:B2"/>
    <mergeCell ref="B21:E21"/>
    <mergeCell ref="B5:B6"/>
    <mergeCell ref="D5:D6"/>
    <mergeCell ref="H5:H6"/>
    <mergeCell ref="J5:J6"/>
    <mergeCell ref="A3:P3"/>
    <mergeCell ref="C5:C6"/>
    <mergeCell ref="M5:N5"/>
    <mergeCell ref="A4:P4"/>
  </mergeCells>
  <phoneticPr fontId="21" type="noConversion"/>
  <conditionalFormatting sqref="B26">
    <cfRule type="dataBar" priority="21">
      <dataBar>
        <cfvo type="min"/>
        <cfvo type="max"/>
        <color rgb="FF638EC6"/>
      </dataBar>
    </cfRule>
  </conditionalFormatting>
  <conditionalFormatting sqref="B27">
    <cfRule type="dataBar" priority="19">
      <dataBar>
        <cfvo type="min"/>
        <cfvo type="max"/>
        <color rgb="FF638EC6"/>
      </dataBar>
    </cfRule>
  </conditionalFormatting>
  <conditionalFormatting sqref="B48">
    <cfRule type="dataBar" priority="3">
      <dataBar>
        <cfvo type="min"/>
        <cfvo type="max"/>
        <color rgb="FF638EC6"/>
      </dataBar>
    </cfRule>
  </conditionalFormatting>
  <conditionalFormatting sqref="C10">
    <cfRule type="dataBar" priority="76">
      <dataBar>
        <cfvo type="min"/>
        <cfvo type="max"/>
        <color rgb="FF638EC6"/>
      </dataBar>
    </cfRule>
  </conditionalFormatting>
  <conditionalFormatting sqref="C11">
    <cfRule type="dataBar" priority="33">
      <dataBar>
        <cfvo type="min"/>
        <cfvo type="max"/>
        <color rgb="FF638EC6"/>
      </dataBar>
    </cfRule>
  </conditionalFormatting>
  <conditionalFormatting sqref="C12">
    <cfRule type="dataBar" priority="31">
      <dataBar>
        <cfvo type="min"/>
        <cfvo type="max"/>
        <color rgb="FF638EC6"/>
      </dataBar>
    </cfRule>
  </conditionalFormatting>
  <conditionalFormatting sqref="C13">
    <cfRule type="dataBar" priority="32">
      <dataBar>
        <cfvo type="min"/>
        <cfvo type="max"/>
        <color rgb="FF638EC6"/>
      </dataBar>
    </cfRule>
  </conditionalFormatting>
  <conditionalFormatting sqref="C14">
    <cfRule type="dataBar" priority="34">
      <dataBar>
        <cfvo type="min"/>
        <cfvo type="max"/>
        <color rgb="FF638EC6"/>
      </dataBar>
    </cfRule>
  </conditionalFormatting>
  <conditionalFormatting sqref="C15:C18">
    <cfRule type="dataBar" priority="35">
      <dataBar>
        <cfvo type="min"/>
        <cfvo type="max"/>
        <color rgb="FF638EC6"/>
      </dataBar>
    </cfRule>
  </conditionalFormatting>
  <conditionalFormatting sqref="C21">
    <cfRule type="dataBar" priority="29">
      <dataBar>
        <cfvo type="min"/>
        <cfvo type="max"/>
        <color rgb="FF638EC6"/>
      </dataBar>
    </cfRule>
  </conditionalFormatting>
  <conditionalFormatting sqref="C22">
    <cfRule type="dataBar" priority="25">
      <dataBar>
        <cfvo type="min"/>
        <cfvo type="max"/>
        <color rgb="FF638EC6"/>
      </dataBar>
    </cfRule>
  </conditionalFormatting>
  <conditionalFormatting sqref="C23">
    <cfRule type="dataBar" priority="30">
      <dataBar>
        <cfvo type="min"/>
        <cfvo type="max"/>
        <color rgb="FF638EC6"/>
      </dataBar>
    </cfRule>
  </conditionalFormatting>
  <conditionalFormatting sqref="C24">
    <cfRule type="dataBar" priority="24">
      <dataBar>
        <cfvo type="min"/>
        <cfvo type="max"/>
        <color rgb="FF638EC6"/>
      </dataBar>
    </cfRule>
  </conditionalFormatting>
  <conditionalFormatting sqref="C26">
    <cfRule type="dataBar" priority="22">
      <dataBar>
        <cfvo type="min"/>
        <cfvo type="max"/>
        <color rgb="FF638EC6"/>
      </dataBar>
    </cfRule>
  </conditionalFormatting>
  <conditionalFormatting sqref="C27">
    <cfRule type="dataBar" priority="20">
      <dataBar>
        <cfvo type="min"/>
        <cfvo type="max"/>
        <color rgb="FF638EC6"/>
      </dataBar>
    </cfRule>
  </conditionalFormatting>
  <conditionalFormatting sqref="C28:C29">
    <cfRule type="dataBar" priority="79">
      <dataBar>
        <cfvo type="min"/>
        <cfvo type="max"/>
        <color rgb="FF638EC6"/>
      </dataBar>
    </cfRule>
  </conditionalFormatting>
  <conditionalFormatting sqref="C34">
    <cfRule type="dataBar" priority="15">
      <dataBar>
        <cfvo type="min"/>
        <cfvo type="max"/>
        <color rgb="FF638EC6"/>
      </dataBar>
    </cfRule>
  </conditionalFormatting>
  <conditionalFormatting sqref="C35">
    <cfRule type="dataBar" priority="9">
      <dataBar>
        <cfvo type="min"/>
        <cfvo type="max"/>
        <color rgb="FF638EC6"/>
      </dataBar>
    </cfRule>
    <cfRule type="dataBar" priority="10">
      <dataBar>
        <cfvo type="min"/>
        <cfvo type="max"/>
        <color rgb="FF638EC6"/>
      </dataBar>
    </cfRule>
  </conditionalFormatting>
  <conditionalFormatting sqref="C36">
    <cfRule type="dataBar" priority="11">
      <dataBar>
        <cfvo type="min"/>
        <cfvo type="max"/>
        <color rgb="FF638EC6"/>
      </dataBar>
    </cfRule>
  </conditionalFormatting>
  <conditionalFormatting sqref="C37">
    <cfRule type="dataBar" priority="12">
      <dataBar>
        <cfvo type="min"/>
        <cfvo type="max"/>
        <color rgb="FF638EC6"/>
      </dataBar>
    </cfRule>
  </conditionalFormatting>
  <conditionalFormatting sqref="C38">
    <cfRule type="dataBar" priority="14">
      <dataBar>
        <cfvo type="min"/>
        <cfvo type="max"/>
        <color rgb="FF638EC6"/>
      </dataBar>
    </cfRule>
  </conditionalFormatting>
  <conditionalFormatting sqref="C39">
    <cfRule type="dataBar" priority="13">
      <dataBar>
        <cfvo type="min"/>
        <cfvo type="max"/>
        <color rgb="FF638EC6"/>
      </dataBar>
    </cfRule>
  </conditionalFormatting>
  <conditionalFormatting sqref="C40">
    <cfRule type="dataBar" priority="17">
      <dataBar>
        <cfvo type="min"/>
        <cfvo type="max"/>
        <color rgb="FF638EC6"/>
      </dataBar>
    </cfRule>
  </conditionalFormatting>
  <conditionalFormatting sqref="C45">
    <cfRule type="dataBar" priority="52">
      <dataBar>
        <cfvo type="min"/>
        <cfvo type="max"/>
        <color rgb="FF638EC6"/>
      </dataBar>
    </cfRule>
  </conditionalFormatting>
  <conditionalFormatting sqref="C48">
    <cfRule type="dataBar" priority="77">
      <dataBar>
        <cfvo type="min"/>
        <cfvo type="max"/>
        <color rgb="FF638EC6"/>
      </dataBar>
    </cfRule>
  </conditionalFormatting>
  <conditionalFormatting sqref="C49">
    <cfRule type="dataBar" priority="5">
      <dataBar>
        <cfvo type="min"/>
        <cfvo type="max"/>
        <color rgb="FF638EC6"/>
      </dataBar>
    </cfRule>
  </conditionalFormatting>
  <conditionalFormatting sqref="C50:C52 C47">
    <cfRule type="dataBar" priority="6">
      <dataBar>
        <cfvo type="min"/>
        <cfvo type="max"/>
        <color rgb="FF638EC6"/>
      </dataBar>
    </cfRule>
  </conditionalFormatting>
  <conditionalFormatting sqref="C53">
    <cfRule type="dataBar" priority="78">
      <dataBar>
        <cfvo type="min"/>
        <cfvo type="max"/>
        <color rgb="FF638EC6"/>
      </dataBar>
    </cfRule>
  </conditionalFormatting>
  <conditionalFormatting sqref="C32:D32 C31">
    <cfRule type="dataBar" priority="18">
      <dataBar>
        <cfvo type="min"/>
        <cfvo type="max"/>
        <color rgb="FF638EC6"/>
      </dataBar>
    </cfRule>
  </conditionalFormatting>
  <conditionalFormatting sqref="C20:E20">
    <cfRule type="dataBar" priority="26">
      <dataBar>
        <cfvo type="min"/>
        <cfvo type="max"/>
        <color rgb="FF638EC6"/>
      </dataBar>
    </cfRule>
  </conditionalFormatting>
  <conditionalFormatting sqref="D45">
    <cfRule type="dataBar" priority="51">
      <dataBar>
        <cfvo type="min"/>
        <cfvo type="max"/>
        <color rgb="FF638EC6"/>
      </dataBar>
    </cfRule>
  </conditionalFormatting>
  <conditionalFormatting sqref="D48">
    <cfRule type="dataBar" priority="1">
      <dataBar>
        <cfvo type="min"/>
        <cfvo type="max"/>
        <color rgb="FF638EC6"/>
      </dataBar>
    </cfRule>
  </conditionalFormatting>
  <conditionalFormatting sqref="E48">
    <cfRule type="dataBar" priority="2">
      <dataBar>
        <cfvo type="min"/>
        <cfvo type="max"/>
        <color rgb="FF638EC6"/>
      </dataBar>
    </cfRule>
  </conditionalFormatting>
  <conditionalFormatting sqref="G20">
    <cfRule type="dataBar" priority="27">
      <dataBar>
        <cfvo type="min"/>
        <cfvo type="max"/>
        <color rgb="FF638EC6"/>
      </dataBar>
    </cfRule>
  </conditionalFormatting>
  <conditionalFormatting sqref="C41:C43">
    <cfRule type="dataBar" priority="80">
      <dataBar>
        <cfvo type="min"/>
        <cfvo type="max"/>
        <color rgb="FF638EC6"/>
      </dataBar>
    </cfRule>
  </conditionalFormatting>
  <dataValidations count="8">
    <dataValidation type="list" allowBlank="1" showInputMessage="1" sqref="D10" xr:uid="{00000000-0002-0000-0000-000000000000}">
      <formula1>"Phòng QLĐT&amp;BĐCL, Phòng TH-HC&amp;QT, Phòng QLKHCN&amp;HTPT, Phòng TC-KT, Phòng  TCCB&amp;CTHSSV, Khoa Sư phạm, Khoa CKHCB, Khoa KT&amp;NL, Khoa Y – Dược, Khoa ĐT&amp;SHLX, Khoa KT&amp;CN"</formula1>
    </dataValidation>
    <dataValidation type="list" allowBlank="1" showInputMessage="1" sqref="C10:C18 C20:C24 C26:C29 C31:C32 C34 C45 C47:C53 C36:C43" xr:uid="{00000000-0002-0000-0000-000001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10:G18 G20:G24 G26:G29 G31:G32 G45 G47:G53 G34:G43" xr:uid="{00000000-0002-0000-0000-000002000000}">
      <formula1>"Thấp,Trung bình,Cao,Khó và phức tạp"</formula1>
    </dataValidation>
    <dataValidation allowBlank="1" showInputMessage="1" sqref="H45:K45 H20:K24 K25 H31:K32 H34:K43 K30 H10:K18 H26:K29 H47:K53 K54:K55 K59 K64:K65" xr:uid="{00000000-0002-0000-0000-000003000000}"/>
    <dataValidation type="list" allowBlank="1" showErrorMessage="1" sqref="E15:E18 E23:E24 E28:E29 E48:E49 E53 E41:E43" xr:uid="{00000000-0002-0000-0000-000004000000}">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type="list" allowBlank="1" showInputMessage="1" sqref="E11:E18 E20:E24 E27:E29 E31:E32 E34:E39" xr:uid="{00000000-0002-0000-0000-000005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D11:D18 D20:D24 D26:D29 D31:D32 D47:D53 D34:D43" xr:uid="{00000000-0002-0000-0000-000006000000}">
      <formula1>"Phòng QLĐT &amp;BĐCL, Phòng TH -HC&amp;QT, Phòng QLKHCN &amp;HTPT, Phòng TC-KT, Phòng  TCCB&amp;CTHSSV, Khoa Sư phạm, Khoa CKHCB, Khoa KT&amp;NL, Khoa Y – Dược, Khoa ĐT&amp;SHLX, Khoa KT&amp;CN"</formula1>
    </dataValidation>
    <dataValidation type="list" allowBlank="1" sqref="E26" xr:uid="{00000000-0002-0000-0000-000007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s>
  <printOptions horizontalCentered="1"/>
  <pageMargins left="0.56496062999999996" right="0.56496062999999996" top="0.893700787" bottom="0.39370078740157499" header="0.31496062992126" footer="0.31496062992126"/>
  <pageSetup paperSize="9" scale="85" orientation="landscape"/>
  <headerFooter>
    <oddHeader>&amp;L
&amp;C&amp;"Times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BC Kết quả tháng 9</vt:lpstr>
      <vt:lpstr>'BC Kết quả tháng 9'!Print_Area</vt:lpstr>
      <vt:lpstr>'BC Kết quả tháng 9'!Print_Titles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phuc Nguyen</cp:lastModifiedBy>
  <cp:lastPrinted>2026-08-19T10:57:15Z</cp:lastPrinted>
  <dcterms:created xsi:type="dcterms:W3CDTF">2026-05-27T07:08:41Z</dcterms:created>
  <dcterms:modified xsi:type="dcterms:W3CDTF">2026-09-28T17:04:44Z</dcterms:modified>
</cp:coreProperties>
</file>