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OneDrive - Trường Cao Đẳng Kon Tum\KHOA SƯ PHẠM\KE HOẠCH TUAN, QUY, THANG\MAU BAO CAO THANG, QUY\"/>
    </mc:Choice>
  </mc:AlternateContent>
  <xr:revisionPtr revIDLastSave="0" documentId="13_ncr:1_{FB803059-D998-4D1D-B42E-DEB73717DF85}" xr6:coauthVersionLast="47" xr6:coauthVersionMax="47" xr10:uidLastSave="{00000000-0000-0000-0000-000000000000}"/>
  <bookViews>
    <workbookView xWindow="-110" yWindow="-110" windowWidth="19420" windowHeight="11500" xr2:uid="{CF09AA7D-F157-435F-8730-78D5FF9F5A39}"/>
  </bookViews>
  <sheets>
    <sheet name="BC Kết quả tháng 8" sheetId="1" r:id="rId1"/>
  </sheets>
  <definedNames>
    <definedName name="_xlnm.Print_Area" localSheetId="0">'BC Kết quả tháng 8'!$A$1:$P$23</definedName>
    <definedName name="_xlnm.Print_Titles" localSheetId="0">'BC Kết quả tháng 8'!$5:$6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 r="I12" i="1" s="1"/>
  <c r="K12" i="1"/>
  <c r="M12" i="1"/>
  <c r="O12" i="1"/>
  <c r="J12" i="1" l="1"/>
  <c r="P12" i="1"/>
  <c r="L12" i="1"/>
  <c r="N12" i="1"/>
  <c r="K19" i="1" l="1"/>
  <c r="O19" i="1" s="1"/>
  <c r="H19" i="1"/>
  <c r="I19" i="1" s="1"/>
  <c r="K17" i="1"/>
  <c r="M17" i="1" s="1"/>
  <c r="H17" i="1"/>
  <c r="I17" i="1" s="1"/>
  <c r="H15" i="1"/>
  <c r="I15" i="1" s="1"/>
  <c r="K15" i="1"/>
  <c r="O15" i="1" s="1"/>
  <c r="K14" i="1"/>
  <c r="O14" i="1" s="1"/>
  <c r="H14" i="1"/>
  <c r="I14" i="1" s="1"/>
  <c r="K11" i="1"/>
  <c r="O11" i="1" s="1"/>
  <c r="H11" i="1"/>
  <c r="I11" i="1" s="1"/>
  <c r="K10" i="1"/>
  <c r="M10" i="1" s="1"/>
  <c r="H10" i="1"/>
  <c r="I10" i="1" s="1"/>
  <c r="K9" i="1" l="1"/>
  <c r="M15" i="1"/>
  <c r="N15" i="1" s="1"/>
  <c r="M19" i="1"/>
  <c r="N19" i="1" s="1"/>
  <c r="O17" i="1"/>
  <c r="P17" i="1" s="1"/>
  <c r="J19" i="1"/>
  <c r="P19" i="1"/>
  <c r="L19" i="1"/>
  <c r="N17" i="1"/>
  <c r="J17" i="1"/>
  <c r="L17" i="1"/>
  <c r="P15" i="1"/>
  <c r="J15" i="1"/>
  <c r="L15" i="1"/>
  <c r="P14" i="1"/>
  <c r="J14" i="1"/>
  <c r="M14" i="1"/>
  <c r="N14" i="1" s="1"/>
  <c r="L14" i="1"/>
  <c r="M11" i="1"/>
  <c r="N11" i="1" s="1"/>
  <c r="O10" i="1"/>
  <c r="P10" i="1" s="1"/>
  <c r="J11" i="1"/>
  <c r="P11" i="1"/>
  <c r="N10" i="1"/>
  <c r="J10" i="1"/>
  <c r="L11" i="1"/>
  <c r="L10" i="1"/>
  <c r="L9" i="1" l="1"/>
  <c r="N9" i="1"/>
  <c r="M9" i="1"/>
  <c r="O9" i="1" l="1"/>
  <c r="P9" i="1"/>
  <c r="F16" i="1" l="1"/>
  <c r="F18" i="1"/>
  <c r="F20" i="1"/>
  <c r="F21" i="1"/>
  <c r="F13" i="1"/>
  <c r="K16" i="1" l="1"/>
  <c r="J21" i="1"/>
  <c r="J18" i="1"/>
  <c r="J13" i="1"/>
  <c r="K13" i="1"/>
  <c r="M21" i="1"/>
  <c r="K21" i="1"/>
  <c r="J20" i="1"/>
  <c r="K20" i="1"/>
  <c r="K18" i="1"/>
  <c r="J16" i="1"/>
  <c r="L13" i="1" l="1"/>
  <c r="L16" i="1"/>
  <c r="N21" i="1"/>
  <c r="M18" i="1"/>
  <c r="N16" i="1"/>
  <c r="J9" i="1"/>
  <c r="N18" i="1"/>
  <c r="L21" i="1"/>
  <c r="M16" i="1"/>
  <c r="N13" i="1"/>
  <c r="M13" i="1"/>
  <c r="P21" i="1"/>
  <c r="O21" i="1"/>
  <c r="M20" i="1"/>
  <c r="N20" i="1"/>
  <c r="L20" i="1"/>
  <c r="P20" i="1"/>
  <c r="O20" i="1"/>
  <c r="L18" i="1"/>
  <c r="P18" i="1"/>
  <c r="O18" i="1"/>
  <c r="P16" i="1"/>
  <c r="O16" i="1"/>
  <c r="P13" i="1"/>
  <c r="O13" i="1"/>
</calcChain>
</file>

<file path=xl/sharedStrings.xml><?xml version="1.0" encoding="utf-8"?>
<sst xmlns="http://schemas.openxmlformats.org/spreadsheetml/2006/main" count="88" uniqueCount="69">
  <si>
    <t>TT</t>
  </si>
  <si>
    <t>NỘI DUNG CÔNG VIỆC</t>
  </si>
  <si>
    <t>Người trực tiếp chỉ đạo</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</si>
  <si>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</si>
  <si>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</si>
  <si>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</si>
  <si>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</si>
  <si>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</si>
  <si>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</si>
  <si>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</si>
  <si>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</si>
  <si>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</si>
  <si>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</si>
  <si>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</si>
  <si>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</si>
  <si>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</si>
  <si>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</si>
  <si>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</si>
  <si>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</si>
  <si>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</si>
  <si>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</si>
  <si>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TRƯỜNG CAO ĐẲNG KON TUM</t>
  </si>
  <si>
    <t>Đơn vị chủ trì</t>
  </si>
  <si>
    <t>PHT Dương Văn Anh Dũng</t>
  </si>
  <si>
    <t>Hiệu trưởng</t>
  </si>
  <si>
    <t>Trung bình</t>
  </si>
  <si>
    <t>Khó và phức tạp</t>
  </si>
  <si>
    <t>Điểm chấm công việc</t>
  </si>
  <si>
    <t>Hệ số quy đổi</t>
  </si>
  <si>
    <t>KPI (số lượng)</t>
  </si>
  <si>
    <t>KPI (chất lượng)</t>
  </si>
  <si>
    <t>KPI (tiến độ)</t>
  </si>
  <si>
    <t>Thực tế hoàn thành</t>
  </si>
  <si>
    <t>Quy đổi</t>
  </si>
  <si>
    <t>Số lượng quy đổi</t>
  </si>
  <si>
    <t>Thấp</t>
  </si>
  <si>
    <t>Khoa Sư phạm</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</si>
  <si>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</si>
  <si>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</si>
  <si>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</si>
  <si>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</si>
  <si>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</si>
  <si>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</si>
  <si>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</si>
  <si>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</si>
  <si>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</si>
  <si>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</si>
  <si>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</si>
  <si>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</si>
  <si>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UBND TỈNH QUẢNG NGÃI</t>
  </si>
  <si>
    <t>Kế hoạch</t>
  </si>
  <si>
    <t>Báo cáo</t>
  </si>
  <si>
    <t>2.1</t>
  </si>
  <si>
    <t>2.2</t>
  </si>
  <si>
    <t>3.1</t>
  </si>
  <si>
    <t>Hiệu trưởng, Bí thư Đảng ủy</t>
  </si>
  <si>
    <t>BPVPĐU</t>
  </si>
  <si>
    <t>Hồ sơ Hội nghị</t>
  </si>
  <si>
    <t>Công văn</t>
  </si>
  <si>
    <t>CÁC NHIỆM VỤ CHƯA HOÀN THÀNH, ĐANG TRIỂN KHAI THỰC HIỆN (CHUYỂN SANG THÁNG SAU)</t>
  </si>
  <si>
    <t xml:space="preserve">Ban hành Kế hoạch triển khai thực hiện Chiến lược phát triển khoa Sư phạm đến năm 2030 và tầm nhìn đến năm 2045	</t>
  </si>
  <si>
    <t>Tham mưu ban hành Mục tiêu 
chất lượng năm học 2026 - 2027 của khoa Sư phạm</t>
  </si>
  <si>
    <t>Mục tiêu</t>
  </si>
  <si>
    <t>Kế hoạch thực hiện mục tiêu chất lượng năm học 2026 - 2027 khoa Sư phạm</t>
  </si>
  <si>
    <t>Báo cáo tổng kết công tác bảo đảm sĩ số HSSV năm học 2025 - 2026 và kế hoạch triển khai năm học 2026 - 2027</t>
  </si>
  <si>
    <t>Kết quả triển khai nhiệm vụ năm học 2025 – 2026 và phương hướng, nhiệm vụ năm học 2026 - 2027</t>
  </si>
  <si>
    <r>
      <t xml:space="preserve">Công văn </t>
    </r>
    <r>
      <rPr>
        <sz val="14"/>
        <rFont val="Times New Roman"/>
        <family val="1"/>
      </rPr>
      <t>đề xuất phối hợp tổ chức các chương trình bồi dưỡng chuyên môn, nghiệp vụ cho đội ngũ ngành Giáo dục</t>
    </r>
  </si>
  <si>
    <t>Kế hoạch phát huy ưu điểm, 
khắc phục, sửa chữa hạn chế, khuyết điểm nêu trong Thông báo số 30-TB/UBKTĐU, ngày 30/7/2026 của Ủy ban Kiểm tra Đảng ủy Trường</t>
  </si>
  <si>
    <r>
      <t xml:space="preserve">Phụ lục
</t>
    </r>
    <r>
      <rPr>
        <b/>
        <sz val="13"/>
        <color theme="1"/>
        <rFont val="Times New Roman"/>
        <family val="1"/>
      </rPr>
      <t>KẾT QUẢ THỰC HIỆN CÔNG TÁC THÁNG 8 NĂM 2026 CỦA KHOA SƯ PHẠM - TRƯỜNG CAO ĐẲNG KON TUM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</si>
</sst>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23"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sz val="12"/>
      <name val="Times New Roman"/>
      <family val="1"/>
    </font>
    <font>
      <sz val="12"/>
      <name val="Times New Roman"/>
      <family val="1"/>
      <charset val="163"/>
    </font>
    <font>
      <sz val="13"/>
      <color theme="1"/>
      <name val="Times New Roman"/>
      <family val="1"/>
    </font>
    <font>
      <sz val="11"/>
      <color theme="1"/>
      <name val="Calibri"/>
      <family val="2"/>
      <scheme val="minor"/>
    </font>
    <font>
      <sz val="8"/>
      <name val="Calibri"/>
      <family val="2"/>
      <scheme val="minor"/>
    </font>
    <font>
      <sz val="13"/>
      <name val="Times New Roman"/>
      <family val="1"/>
    </font>
    <font>
      <b/>
      <sz val="13"/>
      <name val="Times New Roman"/>
      <family val="1"/>
    </font>
    <font>
      <sz val="13"/>
      <name val="Times New Roman"/>
      <family val="1"/>
      <charset val="163"/>
    </font>
    <font>
      <b/>
      <sz val="13"/>
      <color theme="0"/>
      <name val="Times New Roman"/>
      <family val="1"/>
    </font>
    <font>
      <b/>
      <sz val="12"/>
      <name val="Times New Roman"/>
      <family val="1"/>
    </font>
    <font>
      <b/>
      <sz val="12"/>
      <name val="Times New Roman"/>
      <family val="1"/>
      <charset val="163"/>
    </font>
    <font>
      <sz val="12"/>
      <name val="Calibri"/>
      <family val="2"/>
    </font>
    <font>
      <sz val="10"/>
      <name val="Times New Roman"/>
      <family val="1"/>
      <charset val="163"/>
    </font>
    <font>
      <sz val="10"/>
      <color theme="1"/>
      <name val="Calibri"/>
      <family val="2"/>
      <scheme val="minor"/>
    </font>
    <font>
      <sz val="14"/>
      <color theme="1"/>
      <name val="Times New Roman"/>
      <family val="1"/>
    </font>
    <font>
      <sz val="14"/>
      <name val="Times New Roman"/>
      <family val="1"/>
    </font>
  </fonts>
  <fills count="2">
    <fill>
      <patternFill patternType="none"/>
    </fill>
    <fill>
      <patternFill patternType="gray125"/>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43" fontId="10" fillId="0" borderId="0" applyFont="0" applyFill="0" applyBorder="0" applyAlignment="0" applyProtection="0"/>
  </cellStyleXfs>
  <cellXfs count="54">
    <xf numFmtId="0" fontId="0" fillId="0" borderId="0" xfId="0"/>
    <xf numFmtId="0" fontId="3" fillId="0" borderId="0" xfId="0" applyFont="1" applyAlignment="1">
      <alignment vertical="center"/>
    </xf>
    <xf numFmtId="0" fontId="1"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wrapText="1"/>
    </xf>
    <xf numFmtId="0" fontId="0" fillId="0" borderId="0" xfId="0" applyAlignment="1">
      <alignment vertical="center"/>
    </xf>
    <xf numFmtId="0" fontId="6" fillId="0" borderId="0" xfId="0" applyFont="1" applyAlignment="1">
      <alignment vertical="center"/>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5" fillId="0" borderId="2" xfId="0" applyFont="1" applyBorder="1" applyAlignment="1">
      <alignment horizontal="center" vertical="center"/>
    </xf>
    <xf numFmtId="0" fontId="15" fillId="0" borderId="2" xfId="0" applyFont="1" applyBorder="1" applyAlignment="1">
      <alignment vertical="center"/>
    </xf>
    <xf numFmtId="0" fontId="14" fillId="0" borderId="2" xfId="0" applyFont="1" applyBorder="1" applyAlignment="1">
      <alignment horizontal="center" vertical="center" wrapText="1"/>
    </xf>
    <xf numFmtId="0" fontId="12" fillId="0" borderId="2" xfId="0" applyFont="1" applyBorder="1" applyAlignment="1">
      <alignment horizontal="justify" vertical="center" wrapText="1"/>
    </xf>
    <xf numFmtId="0" fontId="13" fillId="0" borderId="2" xfId="0" applyFont="1" applyBorder="1" applyAlignment="1">
      <alignment vertical="center"/>
    </xf>
    <xf numFmtId="2" fontId="16" fillId="0" borderId="7" xfId="0" applyNumberFormat="1" applyFont="1" applyBorder="1" applyAlignment="1">
      <alignment horizontal="center" vertical="center" wrapText="1"/>
    </xf>
    <xf numFmtId="0" fontId="19" fillId="0" borderId="2" xfId="0" quotePrefix="1" applyFont="1" applyBorder="1" applyAlignment="1">
      <alignment horizontal="center" vertical="center" wrapText="1"/>
    </xf>
    <xf numFmtId="0" fontId="20" fillId="0" borderId="0" xfId="0" applyFont="1" applyAlignment="1">
      <alignment vertical="center"/>
    </xf>
    <xf numFmtId="0" fontId="16" fillId="0" borderId="2" xfId="0" applyFont="1" applyBorder="1" applyAlignment="1">
      <alignment vertical="center" wrapText="1"/>
    </xf>
    <xf numFmtId="0" fontId="16" fillId="0" borderId="2" xfId="0" applyFont="1" applyBorder="1" applyAlignment="1">
      <alignment horizontal="center" vertical="center"/>
    </xf>
    <xf numFmtId="43" fontId="7" fillId="0" borderId="2" xfId="1" applyFont="1" applyFill="1" applyBorder="1" applyAlignment="1">
      <alignment horizontal="center" vertical="center" wrapText="1"/>
    </xf>
    <xf numFmtId="164" fontId="7" fillId="0" borderId="2" xfId="1" applyNumberFormat="1" applyFont="1" applyFill="1" applyBorder="1" applyAlignment="1">
      <alignment horizontal="center" vertical="center" wrapText="1"/>
    </xf>
    <xf numFmtId="0" fontId="8" fillId="0" borderId="2" xfId="0" applyFont="1" applyBorder="1" applyAlignment="1">
      <alignment horizontal="center" vertical="center" wrapText="1"/>
    </xf>
    <xf numFmtId="43" fontId="8" fillId="0" borderId="2" xfId="1" applyFont="1" applyFill="1" applyBorder="1" applyAlignment="1">
      <alignment horizontal="center" vertical="center" wrapText="1"/>
    </xf>
    <xf numFmtId="164" fontId="8" fillId="0" borderId="2" xfId="1" applyNumberFormat="1" applyFont="1" applyFill="1" applyBorder="1" applyAlignment="1">
      <alignment horizontal="center" vertical="center" wrapText="1"/>
    </xf>
    <xf numFmtId="0" fontId="7" fillId="0" borderId="2" xfId="0" applyFont="1" applyBorder="1" applyAlignment="1">
      <alignment horizontal="center" vertical="center" wrapText="1"/>
    </xf>
    <xf numFmtId="165" fontId="16" fillId="0" borderId="2" xfId="1" applyNumberFormat="1" applyFont="1" applyBorder="1" applyAlignment="1">
      <alignment horizontal="center" vertical="center"/>
    </xf>
    <xf numFmtId="0" fontId="16" fillId="0" borderId="3" xfId="0" applyFont="1" applyBorder="1" applyAlignment="1">
      <alignment vertical="center"/>
    </xf>
    <xf numFmtId="0" fontId="16" fillId="0" borderId="4" xfId="0" applyFont="1" applyBorder="1" applyAlignment="1">
      <alignment vertical="center"/>
    </xf>
    <xf numFmtId="0" fontId="1"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9" fillId="0" borderId="0" xfId="0" applyFont="1" applyAlignment="1">
      <alignment horizontal="center" vertical="center"/>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8" fillId="0" borderId="9" xfId="0" applyFont="1" applyBorder="1" applyAlignment="1">
      <alignment vertical="center"/>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3" fillId="0" borderId="12" xfId="0" applyFont="1" applyBorder="1" applyAlignment="1">
      <alignment vertical="center" wrapText="1"/>
    </xf>
    <xf numFmtId="2" fontId="16" fillId="0" borderId="7" xfId="0" applyNumberFormat="1" applyFont="1" applyBorder="1" applyAlignment="1">
      <alignment horizontal="center" vertical="center" wrapText="1"/>
    </xf>
    <xf numFmtId="2" fontId="18" fillId="0" borderId="8" xfId="0" applyNumberFormat="1" applyFont="1" applyBorder="1" applyAlignment="1">
      <alignment vertical="center" wrapText="1"/>
    </xf>
    <xf numFmtId="0" fontId="2" fillId="0" borderId="1" xfId="0" applyFont="1" applyBorder="1" applyAlignment="1">
      <alignment horizontal="left" vertical="center"/>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wrapText="1"/>
    </xf>
    <xf numFmtId="0" fontId="21" fillId="0" borderId="13" xfId="0" applyFont="1" applyBorder="1" applyAlignment="1">
      <alignment horizontal="justify" vertical="center" wrapText="1"/>
    </xf>
    <xf numFmtId="0" fontId="21" fillId="0" borderId="14" xfId="0" applyFont="1" applyBorder="1" applyAlignment="1">
      <alignment horizontal="justify"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36435</xdr:colOff>
      <xdr:row>3</xdr:row>
      <xdr:rowOff>34714</xdr:rowOff>
    </xdr:from>
    <xdr:to>
      <xdr:col>6</xdr:col>
      <xdr:colOff>16298</xdr:colOff>
      <xdr:row>3</xdr:row>
      <xdr:rowOff>34714</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4809518" y="521547"/>
          <a:ext cx="14403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23"/>
  <sheetViews>
    <sheetView tabSelected="1" view="pageBreakPreview" topLeftCell="A3" zoomScale="58" zoomScaleNormal="70" zoomScaleSheetLayoutView="58" workbookViewId="0">
      <selection activeCell="A4" sqref="A4:P4"/>
    </sheetView>
  </sheetViews>
  <sheetFormatPr defaultColWidth="8.90625" defaultRowHeight="32.5" customHeight="1" x14ac:dyDescent="0.35"/>
  <cols>
    <col min="1" max="1" width="5.453125" style="5" customWidth="1"/>
    <col min="2" max="2" width="31.08984375" style="5" customWidth="1"/>
    <col min="3" max="3" width="12.7265625" style="5" customWidth="1"/>
    <col min="4" max="4" width="13.08984375" style="5" customWidth="1"/>
    <col min="5" max="5" width="13" style="5" customWidth="1"/>
    <col min="6" max="6" width="6.08984375" style="5" customWidth="1"/>
    <col min="7" max="7" width="8.7265625" style="5" customWidth="1"/>
    <col min="8" max="8" width="7" style="5" customWidth="1"/>
    <col min="9" max="9" width="6.08984375" style="5" customWidth="1"/>
    <col min="10" max="10" width="5.6328125" style="5" customWidth="1"/>
    <col min="11" max="11" width="6.08984375" style="6" customWidth="1"/>
    <col min="12" max="12" width="5.26953125" style="6" customWidth="1"/>
    <col min="13" max="13" width="6.453125" style="6" customWidth="1"/>
    <col min="14" max="14" width="5.26953125" style="6" customWidth="1"/>
    <col min="15" max="15" width="6.90625" style="6" customWidth="1"/>
    <col min="16" max="16" width="5.453125" style="6" customWidth="1"/>
    <col min="17" max="16384" width="8.90625" style="5"/>
  </cols>
  <sheetData>
    <row r="1" spans="1:17" s="3" customFormat="1" ht="16.5" hidden="1" x14ac:dyDescent="0.35">
      <c r="A1" s="32" t="s">
        <v>49</v>
      </c>
      <c r="B1" s="32"/>
      <c r="E1" s="4"/>
      <c r="F1" s="4"/>
      <c r="G1" s="30" t="s">
        <v>19</v>
      </c>
      <c r="H1" s="30"/>
      <c r="I1" s="30"/>
      <c r="J1" s="30"/>
      <c r="K1" s="30"/>
      <c r="L1" s="30"/>
      <c r="M1" s="30"/>
      <c r="N1" s="30"/>
      <c r="O1" s="30"/>
      <c r="P1" s="30"/>
    </row>
    <row r="2" spans="1:17" s="3" customFormat="1" ht="17.5" hidden="1" x14ac:dyDescent="0.35">
      <c r="A2" s="31" t="s">
        <v>21</v>
      </c>
      <c r="B2" s="31"/>
      <c r="C2" s="1"/>
      <c r="E2" s="2"/>
      <c r="F2" s="2"/>
      <c r="G2" s="29" t="s">
        <v>20</v>
      </c>
      <c r="H2" s="29"/>
      <c r="I2" s="29"/>
      <c r="J2" s="29"/>
      <c r="K2" s="29"/>
      <c r="L2" s="29"/>
      <c r="M2" s="29"/>
      <c r="N2" s="29"/>
      <c r="O2" s="29"/>
      <c r="P2" s="29"/>
    </row>
    <row r="3" spans="1:17" ht="38.25" customHeight="1" x14ac:dyDescent="0.35">
      <c r="A3" s="29" t="s">
        <v>68</v>
      </c>
      <c r="B3" s="29"/>
      <c r="C3" s="29"/>
      <c r="D3" s="29"/>
      <c r="E3" s="29"/>
      <c r="F3" s="29"/>
      <c r="G3" s="29"/>
      <c r="H3" s="29"/>
      <c r="I3" s="29"/>
      <c r="J3" s="29"/>
      <c r="K3" s="29"/>
      <c r="L3" s="29"/>
      <c r="M3" s="29"/>
      <c r="N3" s="29"/>
      <c r="O3" s="29"/>
      <c r="P3" s="29"/>
    </row>
    <row r="4" spans="1:17" ht="24.65" customHeight="1" x14ac:dyDescent="0.35">
      <c r="A4" s="47"/>
      <c r="B4" s="47"/>
      <c r="C4" s="47"/>
      <c r="D4" s="47"/>
      <c r="E4" s="47"/>
      <c r="F4" s="47"/>
      <c r="G4" s="47"/>
      <c r="H4" s="47"/>
      <c r="I4" s="47"/>
      <c r="J4" s="47"/>
      <c r="K4" s="47"/>
      <c r="L4" s="47"/>
      <c r="M4" s="47"/>
      <c r="N4" s="47"/>
      <c r="O4" s="47"/>
      <c r="P4" s="47"/>
    </row>
    <row r="5" spans="1:17" ht="30.75" customHeight="1" x14ac:dyDescent="0.35">
      <c r="A5" s="33" t="s">
        <v>0</v>
      </c>
      <c r="B5" s="33" t="s">
        <v>1</v>
      </c>
      <c r="C5" s="33" t="s">
        <v>2</v>
      </c>
      <c r="D5" s="33" t="s">
        <v>22</v>
      </c>
      <c r="E5" s="33" t="s">
        <v>38</v>
      </c>
      <c r="F5" s="33" t="s">
        <v>11</v>
      </c>
      <c r="G5" s="35" t="s">
        <v>43</v>
      </c>
      <c r="H5" s="37" t="s">
        <v>27</v>
      </c>
      <c r="I5" s="37" t="s">
        <v>28</v>
      </c>
      <c r="J5" s="48" t="s">
        <v>34</v>
      </c>
      <c r="K5" s="45" t="s">
        <v>29</v>
      </c>
      <c r="L5" s="46"/>
      <c r="M5" s="45" t="s">
        <v>30</v>
      </c>
      <c r="N5" s="46"/>
      <c r="O5" s="45" t="s">
        <v>31</v>
      </c>
      <c r="P5" s="46"/>
      <c r="Q5" s="3"/>
    </row>
    <row r="6" spans="1:17" ht="65.25" customHeight="1" x14ac:dyDescent="0.35">
      <c r="A6" s="34"/>
      <c r="B6" s="34"/>
      <c r="C6" s="34"/>
      <c r="D6" s="34"/>
      <c r="E6" s="34"/>
      <c r="F6" s="34"/>
      <c r="G6" s="36"/>
      <c r="H6" s="38"/>
      <c r="I6" s="38"/>
      <c r="J6" s="49"/>
      <c r="K6" s="15" t="s">
        <v>32</v>
      </c>
      <c r="L6" s="15" t="s">
        <v>33</v>
      </c>
      <c r="M6" s="15" t="s">
        <v>32</v>
      </c>
      <c r="N6" s="15" t="s">
        <v>33</v>
      </c>
      <c r="O6" s="15" t="s">
        <v>32</v>
      </c>
      <c r="P6" s="15" t="s">
        <v>33</v>
      </c>
      <c r="Q6" s="3"/>
    </row>
    <row r="7" spans="1:17" s="17" customFormat="1" ht="18" hidden="1" customHeight="1" x14ac:dyDescent="0.35">
      <c r="A7" s="16" t="s">
        <v>12</v>
      </c>
      <c r="B7" s="16" t="s">
        <v>13</v>
      </c>
      <c r="C7" s="16" t="s">
        <v>14</v>
      </c>
      <c r="D7" s="16" t="s">
        <v>15</v>
      </c>
      <c r="E7" s="16" t="s">
        <v>16</v>
      </c>
      <c r="F7" s="16" t="s">
        <v>17</v>
      </c>
      <c r="G7" s="16" t="s">
        <v>18</v>
      </c>
      <c r="H7" s="16" t="s">
        <v>39</v>
      </c>
      <c r="I7" s="16" t="s">
        <v>48</v>
      </c>
      <c r="J7" s="16" t="s">
        <v>47</v>
      </c>
      <c r="K7" s="16" t="s">
        <v>41</v>
      </c>
      <c r="L7" s="16" t="s">
        <v>46</v>
      </c>
      <c r="M7" s="16" t="s">
        <v>40</v>
      </c>
      <c r="N7" s="16" t="s">
        <v>44</v>
      </c>
      <c r="O7" s="16" t="s">
        <v>42</v>
      </c>
      <c r="P7" s="16" t="s">
        <v>45</v>
      </c>
    </row>
    <row r="8" spans="1:17" ht="16.5" x14ac:dyDescent="0.35">
      <c r="A8" s="8" t="s">
        <v>3</v>
      </c>
      <c r="B8" s="42" t="s">
        <v>37</v>
      </c>
      <c r="C8" s="43"/>
      <c r="D8" s="43"/>
      <c r="E8" s="43"/>
      <c r="F8" s="43"/>
      <c r="G8" s="43"/>
      <c r="H8" s="43"/>
      <c r="I8" s="43"/>
      <c r="J8" s="44"/>
      <c r="K8" s="18"/>
      <c r="L8" s="18"/>
      <c r="M8" s="18"/>
      <c r="N8" s="18"/>
      <c r="O8" s="18"/>
      <c r="P8" s="18"/>
    </row>
    <row r="9" spans="1:17" ht="16.5" x14ac:dyDescent="0.35">
      <c r="A9" s="9">
        <v>1</v>
      </c>
      <c r="B9" s="14" t="s">
        <v>4</v>
      </c>
      <c r="C9" s="14"/>
      <c r="D9" s="14"/>
      <c r="E9" s="14"/>
      <c r="F9" s="10"/>
      <c r="G9" s="11"/>
      <c r="H9" s="11"/>
      <c r="I9" s="11"/>
      <c r="J9" s="10">
        <f>SUM(J10:J11)</f>
        <v>3.2</v>
      </c>
      <c r="K9" s="26">
        <f>SUM(K10:K12)</f>
        <v>9</v>
      </c>
      <c r="L9" s="26">
        <f>SUM(L10:L12)</f>
        <v>11.600000000000001</v>
      </c>
      <c r="M9" s="26">
        <f>SUM(M10:M12)</f>
        <v>9</v>
      </c>
      <c r="N9" s="26">
        <f>SUM(N10:N12)</f>
        <v>11.600000000000001</v>
      </c>
      <c r="O9" s="26">
        <f>SUM(O10:O12)</f>
        <v>9</v>
      </c>
      <c r="P9" s="26">
        <f>SUM(P10:P12)</f>
        <v>11.600000000000001</v>
      </c>
    </row>
    <row r="10" spans="1:17" ht="82.5" x14ac:dyDescent="0.35">
      <c r="A10" s="12">
        <v>1.2</v>
      </c>
      <c r="B10" s="13" t="s">
        <v>60</v>
      </c>
      <c r="C10" s="7" t="s">
        <v>23</v>
      </c>
      <c r="D10" s="7" t="s">
        <v>36</v>
      </c>
      <c r="E10" s="7" t="s">
        <v>50</v>
      </c>
      <c r="F10" s="7">
        <v>1</v>
      </c>
      <c r="G10" s="7" t="s">
        <v>26</v>
      </c>
      <c r="H10" s="22">
        <f t="shared" ref="H10:H11" si="0">IF(G10="Khó và phức tạp",200,IF(G10="Cao",150,IF(G10="Trung bình",120,IF(G10="Thấp",100))))</f>
        <v>200</v>
      </c>
      <c r="I10" s="22">
        <f t="shared" ref="I10:I11" si="1">H10*0.01</f>
        <v>2</v>
      </c>
      <c r="J10" s="22">
        <f t="shared" ref="J10:J11" si="2">F10*I10</f>
        <v>2</v>
      </c>
      <c r="K10" s="23">
        <f t="shared" ref="K10:K11" si="3">F10*100%</f>
        <v>1</v>
      </c>
      <c r="L10" s="24">
        <f t="shared" ref="L10:L11" si="4">K10*I10</f>
        <v>2</v>
      </c>
      <c r="M10" s="23">
        <f t="shared" ref="M10:M11" si="5">K10*100%</f>
        <v>1</v>
      </c>
      <c r="N10" s="24">
        <f t="shared" ref="N10:N11" si="6">I10*M10</f>
        <v>2</v>
      </c>
      <c r="O10" s="23">
        <f t="shared" ref="O10" si="7">K10*100%</f>
        <v>1</v>
      </c>
      <c r="P10" s="24">
        <f t="shared" ref="P10:P11" si="8">I10*O10</f>
        <v>2</v>
      </c>
    </row>
    <row r="11" spans="1:17" ht="72" x14ac:dyDescent="0.35">
      <c r="A11" s="12">
        <v>1.2</v>
      </c>
      <c r="B11" s="50" t="s">
        <v>61</v>
      </c>
      <c r="C11" s="7" t="s">
        <v>23</v>
      </c>
      <c r="D11" s="7" t="s">
        <v>36</v>
      </c>
      <c r="E11" s="7" t="s">
        <v>62</v>
      </c>
      <c r="F11" s="7">
        <v>1</v>
      </c>
      <c r="G11" s="7" t="s">
        <v>25</v>
      </c>
      <c r="H11" s="22">
        <f t="shared" si="0"/>
        <v>120</v>
      </c>
      <c r="I11" s="22">
        <f t="shared" si="1"/>
        <v>1.2</v>
      </c>
      <c r="J11" s="22">
        <f t="shared" si="2"/>
        <v>1.2</v>
      </c>
      <c r="K11" s="23">
        <f t="shared" si="3"/>
        <v>1</v>
      </c>
      <c r="L11" s="24">
        <f t="shared" si="4"/>
        <v>1.2</v>
      </c>
      <c r="M11" s="23">
        <f t="shared" si="5"/>
        <v>1</v>
      </c>
      <c r="N11" s="24">
        <f t="shared" si="6"/>
        <v>1.2</v>
      </c>
      <c r="O11" s="23">
        <f>K11*100%</f>
        <v>1</v>
      </c>
      <c r="P11" s="24">
        <f t="shared" si="8"/>
        <v>1.2</v>
      </c>
    </row>
    <row r="12" spans="1:17" ht="54" x14ac:dyDescent="0.4">
      <c r="A12" s="12">
        <v>1.3</v>
      </c>
      <c r="B12" s="51" t="s">
        <v>63</v>
      </c>
      <c r="C12" s="7" t="s">
        <v>23</v>
      </c>
      <c r="D12" s="7" t="s">
        <v>36</v>
      </c>
      <c r="E12" s="7" t="s">
        <v>50</v>
      </c>
      <c r="F12" s="7">
        <v>7</v>
      </c>
      <c r="G12" s="7" t="s">
        <v>25</v>
      </c>
      <c r="H12" s="22">
        <f t="shared" ref="H12" si="9">IF(G12="Khó và phức tạp",200,IF(G12="Cao",150,IF(G12="Trung bình",120,IF(G12="Thấp",100))))</f>
        <v>120</v>
      </c>
      <c r="I12" s="22">
        <f t="shared" ref="I12" si="10">H12*0.01</f>
        <v>1.2</v>
      </c>
      <c r="J12" s="22">
        <f t="shared" ref="J12" si="11">F12*I12</f>
        <v>8.4</v>
      </c>
      <c r="K12" s="23">
        <f t="shared" ref="K12" si="12">F12*100%</f>
        <v>7</v>
      </c>
      <c r="L12" s="24">
        <f t="shared" ref="L12" si="13">K12*I12</f>
        <v>8.4</v>
      </c>
      <c r="M12" s="23">
        <f t="shared" ref="M12" si="14">K12*100%</f>
        <v>7</v>
      </c>
      <c r="N12" s="24">
        <f t="shared" ref="N12" si="15">I12*M12</f>
        <v>8.4</v>
      </c>
      <c r="O12" s="23">
        <f>K12*100%</f>
        <v>7</v>
      </c>
      <c r="P12" s="24">
        <f t="shared" ref="P12" si="16">I12*O12</f>
        <v>8.4</v>
      </c>
    </row>
    <row r="13" spans="1:17" ht="17" thickBot="1" x14ac:dyDescent="0.4">
      <c r="A13" s="9">
        <v>2</v>
      </c>
      <c r="B13" s="39" t="s">
        <v>5</v>
      </c>
      <c r="C13" s="39"/>
      <c r="D13" s="39"/>
      <c r="E13" s="39"/>
      <c r="F13" s="10">
        <f>SUM(F14:F15)</f>
        <v>2</v>
      </c>
      <c r="G13" s="11"/>
      <c r="H13" s="11"/>
      <c r="I13" s="11"/>
      <c r="J13" s="10">
        <f t="shared" ref="J13:P13" si="17">SUM(J14:J15)</f>
        <v>2.4</v>
      </c>
      <c r="K13" s="19">
        <f t="shared" si="17"/>
        <v>2</v>
      </c>
      <c r="L13" s="19">
        <f t="shared" si="17"/>
        <v>2.4</v>
      </c>
      <c r="M13" s="19">
        <f t="shared" si="17"/>
        <v>1.5</v>
      </c>
      <c r="N13" s="19">
        <f t="shared" si="17"/>
        <v>1.7999999999999998</v>
      </c>
      <c r="O13" s="19">
        <f t="shared" si="17"/>
        <v>1</v>
      </c>
      <c r="P13" s="19">
        <f t="shared" si="17"/>
        <v>1.2</v>
      </c>
    </row>
    <row r="14" spans="1:17" ht="90.5" thickBot="1" x14ac:dyDescent="0.4">
      <c r="A14" s="12" t="s">
        <v>52</v>
      </c>
      <c r="B14" s="52" t="s">
        <v>64</v>
      </c>
      <c r="C14" s="7" t="s">
        <v>23</v>
      </c>
      <c r="D14" s="7" t="s">
        <v>36</v>
      </c>
      <c r="E14" s="7" t="s">
        <v>51</v>
      </c>
      <c r="F14" s="7">
        <v>1</v>
      </c>
      <c r="G14" s="7" t="s">
        <v>25</v>
      </c>
      <c r="H14" s="25">
        <f t="shared" ref="H14" si="18">IF(G14="Khó và phức tạp",200,IF(G14="Cao",150,IF(G14="Trung bình",120,IF(G14="Thấp",100))))</f>
        <v>120</v>
      </c>
      <c r="I14" s="25">
        <f t="shared" ref="I14" si="19">H14*0.01</f>
        <v>1.2</v>
      </c>
      <c r="J14" s="25">
        <f t="shared" ref="J14" si="20">F14*I14</f>
        <v>1.2</v>
      </c>
      <c r="K14" s="20">
        <f t="shared" ref="K14" si="21">F14*100%</f>
        <v>1</v>
      </c>
      <c r="L14" s="21">
        <f t="shared" ref="L14" si="22">K14*I14</f>
        <v>1.2</v>
      </c>
      <c r="M14" s="20">
        <f>K14*75%</f>
        <v>0.75</v>
      </c>
      <c r="N14" s="21">
        <f t="shared" ref="N14" si="23">I14*M14</f>
        <v>0.89999999999999991</v>
      </c>
      <c r="O14" s="20">
        <f>K14*50%</f>
        <v>0.5</v>
      </c>
      <c r="P14" s="21">
        <f t="shared" ref="P14" si="24">I14*O14</f>
        <v>0.6</v>
      </c>
    </row>
    <row r="15" spans="1:17" ht="72.5" thickBot="1" x14ac:dyDescent="0.4">
      <c r="A15" s="12" t="s">
        <v>53</v>
      </c>
      <c r="B15" s="53" t="s">
        <v>65</v>
      </c>
      <c r="C15" s="7" t="s">
        <v>23</v>
      </c>
      <c r="D15" s="7" t="s">
        <v>36</v>
      </c>
      <c r="E15" s="7" t="s">
        <v>51</v>
      </c>
      <c r="F15" s="7">
        <v>1</v>
      </c>
      <c r="G15" s="7" t="s">
        <v>25</v>
      </c>
      <c r="H15" s="22">
        <f>IF(G15="Khó và phức tạp",200,IF(G15="Cao",150,IF(G15="Trung bình",120,IF(G15="Thấp",100))))</f>
        <v>120</v>
      </c>
      <c r="I15" s="22">
        <f>H15*0.01</f>
        <v>1.2</v>
      </c>
      <c r="J15" s="22">
        <f>F15*I15</f>
        <v>1.2</v>
      </c>
      <c r="K15" s="23">
        <f>F15*100%</f>
        <v>1</v>
      </c>
      <c r="L15" s="24">
        <f>K15*I15</f>
        <v>1.2</v>
      </c>
      <c r="M15" s="20">
        <f>K15*75%</f>
        <v>0.75</v>
      </c>
      <c r="N15" s="24">
        <f>I15*M15</f>
        <v>0.89999999999999991</v>
      </c>
      <c r="O15" s="20">
        <f>K15*50%</f>
        <v>0.5</v>
      </c>
      <c r="P15" s="24">
        <f>I15*O15</f>
        <v>0.6</v>
      </c>
    </row>
    <row r="16" spans="1:17" ht="16.5" x14ac:dyDescent="0.35">
      <c r="A16" s="9">
        <v>3</v>
      </c>
      <c r="B16" s="39" t="s">
        <v>6</v>
      </c>
      <c r="C16" s="39"/>
      <c r="D16" s="39"/>
      <c r="E16" s="39"/>
      <c r="F16" s="10">
        <f>SUM(F17:F17)</f>
        <v>1</v>
      </c>
      <c r="G16" s="11"/>
      <c r="H16" s="11"/>
      <c r="I16" s="11"/>
      <c r="J16" s="10">
        <f t="shared" ref="J16:P16" si="25">SUM(J17:J17)</f>
        <v>1</v>
      </c>
      <c r="K16" s="19">
        <f t="shared" si="25"/>
        <v>1</v>
      </c>
      <c r="L16" s="19">
        <f t="shared" si="25"/>
        <v>1</v>
      </c>
      <c r="M16" s="19">
        <f t="shared" si="25"/>
        <v>1</v>
      </c>
      <c r="N16" s="19">
        <f t="shared" si="25"/>
        <v>1</v>
      </c>
      <c r="O16" s="19">
        <f t="shared" si="25"/>
        <v>1</v>
      </c>
      <c r="P16" s="19">
        <f t="shared" si="25"/>
        <v>1</v>
      </c>
    </row>
    <row r="17" spans="1:16" ht="90" x14ac:dyDescent="0.4">
      <c r="A17" s="12" t="s">
        <v>54</v>
      </c>
      <c r="B17" s="51" t="s">
        <v>66</v>
      </c>
      <c r="C17" s="7" t="s">
        <v>24</v>
      </c>
      <c r="D17" s="7" t="s">
        <v>36</v>
      </c>
      <c r="E17" s="7" t="s">
        <v>58</v>
      </c>
      <c r="F17" s="7">
        <v>1</v>
      </c>
      <c r="G17" s="7" t="s">
        <v>35</v>
      </c>
      <c r="H17" s="22">
        <f t="shared" ref="H17" si="26">IF(G17="Khó và phức tạp",200,IF(G17="Cao",150,IF(G17="Trung bình",120,IF(G17="Thấp",100))))</f>
        <v>100</v>
      </c>
      <c r="I17" s="22">
        <f t="shared" ref="I17" si="27">H17*0.01</f>
        <v>1</v>
      </c>
      <c r="J17" s="22">
        <f t="shared" ref="J17" si="28">F17*I17</f>
        <v>1</v>
      </c>
      <c r="K17" s="23">
        <f t="shared" ref="K17" si="29">F17*100%</f>
        <v>1</v>
      </c>
      <c r="L17" s="24">
        <f t="shared" ref="L17" si="30">K17*I17</f>
        <v>1</v>
      </c>
      <c r="M17" s="23">
        <f>K17*100%</f>
        <v>1</v>
      </c>
      <c r="N17" s="24">
        <f t="shared" ref="N17" si="31">I17*M17</f>
        <v>1</v>
      </c>
      <c r="O17" s="23">
        <f t="shared" ref="O17" si="32">K17*100%</f>
        <v>1</v>
      </c>
      <c r="P17" s="24">
        <f t="shared" ref="P17" si="33">I17*O17</f>
        <v>1</v>
      </c>
    </row>
    <row r="18" spans="1:16" ht="16.5" x14ac:dyDescent="0.35">
      <c r="A18" s="9">
        <v>4</v>
      </c>
      <c r="B18" s="39" t="s">
        <v>7</v>
      </c>
      <c r="C18" s="39"/>
      <c r="D18" s="39"/>
      <c r="E18" s="39"/>
      <c r="F18" s="10">
        <f>SUM(F19:F19)</f>
        <v>1</v>
      </c>
      <c r="G18" s="11"/>
      <c r="H18" s="11"/>
      <c r="I18" s="11"/>
      <c r="J18" s="10">
        <f>SUM(J19:J19)</f>
        <v>1.2</v>
      </c>
      <c r="K18" s="19">
        <f>SUM(K19:K19)</f>
        <v>1</v>
      </c>
      <c r="L18" s="19">
        <f>SUM(L19:L19)</f>
        <v>1.2</v>
      </c>
      <c r="M18" s="19">
        <f>SUM(M19:M19)</f>
        <v>1</v>
      </c>
      <c r="N18" s="19">
        <f>SUM(N19:N19)</f>
        <v>1.2</v>
      </c>
      <c r="O18" s="19">
        <f>SUM(O19:O19)</f>
        <v>1</v>
      </c>
      <c r="P18" s="19">
        <f>SUM(P19:P19)</f>
        <v>1.2</v>
      </c>
    </row>
    <row r="19" spans="1:16" ht="126" x14ac:dyDescent="0.4">
      <c r="A19" s="12">
        <v>4.0999999999999996</v>
      </c>
      <c r="B19" s="51" t="s">
        <v>67</v>
      </c>
      <c r="C19" s="7" t="s">
        <v>55</v>
      </c>
      <c r="D19" s="7" t="s">
        <v>56</v>
      </c>
      <c r="E19" s="7" t="s">
        <v>57</v>
      </c>
      <c r="F19" s="7">
        <v>1</v>
      </c>
      <c r="G19" s="7" t="s">
        <v>25</v>
      </c>
      <c r="H19" s="22">
        <f t="shared" ref="H19" si="34">IF(G19="Khó và phức tạp",200,IF(G19="Cao",150,IF(G19="Trung bình",120,IF(G19="Thấp",100))))</f>
        <v>120</v>
      </c>
      <c r="I19" s="22">
        <f t="shared" ref="I19" si="35">H19*0.01</f>
        <v>1.2</v>
      </c>
      <c r="J19" s="22">
        <f t="shared" ref="J19" si="36">F19*I19</f>
        <v>1.2</v>
      </c>
      <c r="K19" s="23">
        <f t="shared" ref="K19" si="37">F19*100%</f>
        <v>1</v>
      </c>
      <c r="L19" s="24">
        <f t="shared" ref="L19" si="38">K19*I19</f>
        <v>1.2</v>
      </c>
      <c r="M19" s="23">
        <f>K19*100%</f>
        <v>1</v>
      </c>
      <c r="N19" s="24">
        <f t="shared" ref="N19" si="39">I19*M19</f>
        <v>1.2</v>
      </c>
      <c r="O19" s="23">
        <f t="shared" ref="O19" si="40">K19*100%</f>
        <v>1</v>
      </c>
      <c r="P19" s="24">
        <f t="shared" ref="P19" si="41">I19*O19</f>
        <v>1.2</v>
      </c>
    </row>
    <row r="20" spans="1:16" ht="16.5" x14ac:dyDescent="0.35">
      <c r="A20" s="9">
        <v>5</v>
      </c>
      <c r="B20" s="39" t="s">
        <v>8</v>
      </c>
      <c r="C20" s="39"/>
      <c r="D20" s="39"/>
      <c r="E20" s="39"/>
      <c r="F20" s="10" t="e">
        <f>SUM(#REF!)</f>
        <v>#REF!</v>
      </c>
      <c r="G20" s="11"/>
      <c r="H20" s="11"/>
      <c r="I20" s="11"/>
      <c r="J20" s="10" t="e">
        <f>SUM(#REF!)</f>
        <v>#REF!</v>
      </c>
      <c r="K20" s="19" t="e">
        <f>SUM(#REF!)</f>
        <v>#REF!</v>
      </c>
      <c r="L20" s="19" t="e">
        <f>SUM(#REF!)</f>
        <v>#REF!</v>
      </c>
      <c r="M20" s="19" t="e">
        <f>SUM(#REF!)</f>
        <v>#REF!</v>
      </c>
      <c r="N20" s="19" t="e">
        <f>SUM(#REF!)</f>
        <v>#REF!</v>
      </c>
      <c r="O20" s="19" t="e">
        <f>SUM(#REF!)</f>
        <v>#REF!</v>
      </c>
      <c r="P20" s="19" t="e">
        <f>SUM(#REF!)</f>
        <v>#REF!</v>
      </c>
    </row>
    <row r="21" spans="1:16" ht="16.5" x14ac:dyDescent="0.35">
      <c r="A21" s="9">
        <v>6</v>
      </c>
      <c r="B21" s="40" t="s">
        <v>9</v>
      </c>
      <c r="C21" s="41"/>
      <c r="D21" s="41"/>
      <c r="E21" s="41"/>
      <c r="F21" s="10">
        <f>SUM(F22:F22)</f>
        <v>0</v>
      </c>
      <c r="G21" s="11"/>
      <c r="H21" s="11"/>
      <c r="I21" s="11"/>
      <c r="J21" s="10">
        <f t="shared" ref="J21:P21" si="42">SUM(J22:J22)</f>
        <v>0</v>
      </c>
      <c r="K21" s="19">
        <f t="shared" si="42"/>
        <v>0</v>
      </c>
      <c r="L21" s="19">
        <f t="shared" si="42"/>
        <v>0</v>
      </c>
      <c r="M21" s="19">
        <f t="shared" si="42"/>
        <v>0</v>
      </c>
      <c r="N21" s="19">
        <f t="shared" si="42"/>
        <v>0</v>
      </c>
      <c r="O21" s="19">
        <f t="shared" si="42"/>
        <v>0</v>
      </c>
      <c r="P21" s="19">
        <f t="shared" si="42"/>
        <v>0</v>
      </c>
    </row>
    <row r="22" spans="1:16" ht="16.5" x14ac:dyDescent="0.35">
      <c r="A22" s="12"/>
      <c r="B22" s="13"/>
      <c r="C22" s="7"/>
      <c r="D22" s="7"/>
      <c r="E22" s="7"/>
      <c r="F22" s="7"/>
      <c r="G22" s="7"/>
      <c r="H22" s="22"/>
      <c r="I22" s="22"/>
      <c r="J22" s="22"/>
      <c r="K22" s="23"/>
      <c r="L22" s="24"/>
      <c r="M22" s="23"/>
      <c r="N22" s="24"/>
      <c r="O22" s="23"/>
      <c r="P22" s="24"/>
    </row>
    <row r="23" spans="1:16" ht="16.5" x14ac:dyDescent="0.35">
      <c r="A23" s="9" t="s">
        <v>10</v>
      </c>
      <c r="B23" s="27" t="s">
        <v>59</v>
      </c>
      <c r="C23" s="28"/>
      <c r="D23" s="28"/>
      <c r="E23" s="28"/>
      <c r="F23" s="9"/>
      <c r="G23" s="14"/>
      <c r="H23" s="14"/>
      <c r="I23" s="14"/>
      <c r="J23" s="9"/>
      <c r="K23" s="19"/>
      <c r="L23" s="19"/>
      <c r="M23" s="19"/>
      <c r="N23" s="19"/>
      <c r="O23" s="19"/>
      <c r="P23" s="19"/>
    </row>
  </sheetData>
  <mergeCells count="25">
    <mergeCell ref="B8:J8"/>
    <mergeCell ref="K5:L5"/>
    <mergeCell ref="M5:N5"/>
    <mergeCell ref="O5:P5"/>
    <mergeCell ref="A4:P4"/>
    <mergeCell ref="I5:I6"/>
    <mergeCell ref="J5:J6"/>
    <mergeCell ref="B13:E13"/>
    <mergeCell ref="B18:E18"/>
    <mergeCell ref="B16:E16"/>
    <mergeCell ref="B20:E20"/>
    <mergeCell ref="B21:E21"/>
    <mergeCell ref="G2:P2"/>
    <mergeCell ref="G1:P1"/>
    <mergeCell ref="A2:B2"/>
    <mergeCell ref="A1:B1"/>
    <mergeCell ref="F5:F6"/>
    <mergeCell ref="G5:G6"/>
    <mergeCell ref="A5:A6"/>
    <mergeCell ref="B5:B6"/>
    <mergeCell ref="C5:C6"/>
    <mergeCell ref="D5:D6"/>
    <mergeCell ref="E5:E6"/>
    <mergeCell ref="H5:H6"/>
    <mergeCell ref="A3:P3"/>
  </mergeCells>
  <phoneticPr fontId="11" type="noConversion"/>
  <conditionalFormatting sqref="C17">
    <cfRule type="dataBar" priority="24">
      <dataBar>
        <cfvo type="min"/>
        <cfvo type="max"/>
        <color rgb="FF638EC6"/>
      </dataBar>
      <extLst>
        <ext xmlns:x14="http://schemas.microsoft.com/office/spreadsheetml/2009/9/main" uri="{B025F937-C7B1-47D3-B67F-A62EFF666E3E}">
          <x14:id>{7708E59D-98D2-4F05-A2FF-CD923F8F8D5F}</x14:id>
        </ext>
      </extLst>
    </cfRule>
  </conditionalFormatting>
  <conditionalFormatting sqref="C22">
    <cfRule type="dataBar" priority="13">
      <dataBar>
        <cfvo type="min"/>
        <cfvo type="max"/>
        <color rgb="FF638EC6"/>
      </dataBar>
      <extLst>
        <ext xmlns:x14="http://schemas.microsoft.com/office/spreadsheetml/2009/9/main" uri="{B025F937-C7B1-47D3-B67F-A62EFF666E3E}">
          <x14:id>{5F4AFC85-7735-4BC9-9C47-8D785EAB3EF5}</x14:id>
        </ext>
      </extLst>
    </cfRule>
  </conditionalFormatting>
  <conditionalFormatting sqref="D19">
    <cfRule type="dataBar" priority="20">
      <dataBar>
        <cfvo type="min"/>
        <cfvo type="max"/>
        <color rgb="FF638EC6"/>
      </dataBar>
      <extLst>
        <ext xmlns:x14="http://schemas.microsoft.com/office/spreadsheetml/2009/9/main" uri="{B025F937-C7B1-47D3-B67F-A62EFF666E3E}">
          <x14:id>{1B2B531A-BC49-4780-9D39-24676D562D37}</x14:id>
        </ext>
      </extLst>
    </cfRule>
  </conditionalFormatting>
  <conditionalFormatting sqref="D22">
    <cfRule type="dataBar" priority="12">
      <dataBar>
        <cfvo type="min"/>
        <cfvo type="max"/>
        <color rgb="FF638EC6"/>
      </dataBar>
      <extLst>
        <ext xmlns:x14="http://schemas.microsoft.com/office/spreadsheetml/2009/9/main" uri="{B025F937-C7B1-47D3-B67F-A62EFF666E3E}">
          <x14:id>{8DAF8369-9D7A-4327-BDF0-14C3045609C0}</x14:id>
        </ext>
      </extLst>
    </cfRule>
  </conditionalFormatting>
  <conditionalFormatting sqref="C14:C15">
    <cfRule type="dataBar" priority="1">
      <dataBar>
        <cfvo type="min"/>
        <cfvo type="max"/>
        <color rgb="FF638EC6"/>
      </dataBar>
      <extLst>
        <ext xmlns:x14="http://schemas.microsoft.com/office/spreadsheetml/2009/9/main" uri="{B025F937-C7B1-47D3-B67F-A62EFF666E3E}">
          <x14:id>{01EE5D72-7A3A-4C36-8551-50EE3AF517A1}</x14:id>
        </ext>
      </extLst>
    </cfRule>
  </conditionalFormatting>
  <conditionalFormatting sqref="C19">
    <cfRule type="dataBar" priority="38">
      <dataBar>
        <cfvo type="min"/>
        <cfvo type="max"/>
        <color rgb="FF638EC6"/>
      </dataBar>
      <extLst>
        <ext xmlns:x14="http://schemas.microsoft.com/office/spreadsheetml/2009/9/main" uri="{B025F937-C7B1-47D3-B67F-A62EFF666E3E}">
          <x14:id>{4FDC448B-F332-410C-A9D2-5BD31AF28B0E}</x14:id>
        </ext>
      </extLst>
    </cfRule>
  </conditionalFormatting>
  <conditionalFormatting sqref="C10:C12">
    <cfRule type="dataBar" priority="39">
      <dataBar>
        <cfvo type="min"/>
        <cfvo type="max"/>
        <color rgb="FF638EC6"/>
      </dataBar>
      <extLst>
        <ext xmlns:x14="http://schemas.microsoft.com/office/spreadsheetml/2009/9/main" uri="{B025F937-C7B1-47D3-B67F-A62EFF666E3E}">
          <x14:id>{3B29757C-3BD8-4C37-B182-9A81FF78444B}</x14:id>
        </ext>
      </extLst>
    </cfRule>
  </conditionalFormatting>
  <dataValidations count="6">
    <dataValidation type="list" allowBlank="1" showInputMessage="1" sqref="D10:D12 D14:D15 D17"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10:C12 C17 C19 C22 C14:C15"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4:G15 G17 G19 G22 G10:G12" xr:uid="{242DABCC-F988-4BD7-A39A-B18DD09F67B5}">
      <formula1>"Thấp,Trung bình,Cao,Khó và phức tạp"</formula1>
    </dataValidation>
    <dataValidation allowBlank="1" showInputMessage="1" sqref="H19:K19 H17:K17 H14:K15 H22:K22 H10:K12" xr:uid="{10642937-B860-4152-A8CB-DF82470CE8F3}"/>
    <dataValidation type="list" allowBlank="1" showErrorMessage="1" sqref="E15 E12" xr:uid="{7F27B628-9211-436B-B768-EF86D75BAF29}">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InputMessage="1" sqref="E10:E11" xr:uid="{7EF97A18-0333-47DD-9868-6B5EBCFE9A74}">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56496062999999996" right="0.56496062999999996" top="0.893700787" bottom="0.39370078740157499" header="0.31496062992126" footer="0.31496062992126"/>
  <pageSetup paperSize="9" scale="85" orientation="landscape" r:id="rId1"/>
  <headerFooter>
    <oddHeader>&amp;L
&amp;C&amp;"Times New Roman,Regular"&amp;14&amp;P</oddHeader>
  </headerFooter>
  <drawing r:id="rId2"/>
  <extLst>
    <ext xmlns:x14="http://schemas.microsoft.com/office/spreadsheetml/2009/9/main" uri="{78C0D931-6437-407d-A8EE-F0AAD7539E65}">
      <x14:conditionalFormattings>
        <x14:conditionalFormatting xmlns:xm="http://schemas.microsoft.com/office/excel/2006/main">
          <x14:cfRule type="dataBar" id="{7708E59D-98D2-4F05-A2FF-CD923F8F8D5F}">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5F4AFC85-7735-4BC9-9C47-8D785EAB3EF5}">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1B2B531A-BC49-4780-9D39-24676D562D37}">
            <x14:dataBar minLength="0" maxLength="100" gradient="0">
              <x14:cfvo type="autoMin"/>
              <x14:cfvo type="autoMax"/>
              <x14:negativeFillColor rgb="FFFF0000"/>
              <x14:axisColor rgb="FF000000"/>
            </x14:dataBar>
          </x14:cfRule>
          <xm:sqref>D19</xm:sqref>
        </x14:conditionalFormatting>
        <x14:conditionalFormatting xmlns:xm="http://schemas.microsoft.com/office/excel/2006/main">
          <x14:cfRule type="dataBar" id="{8DAF8369-9D7A-4327-BDF0-14C3045609C0}">
            <x14:dataBar minLength="0" maxLength="100" gradient="0">
              <x14:cfvo type="autoMin"/>
              <x14:cfvo type="autoMax"/>
              <x14:negativeFillColor rgb="FFFF0000"/>
              <x14:axisColor rgb="FF000000"/>
            </x14:dataBar>
          </x14:cfRule>
          <xm:sqref>D22</xm:sqref>
        </x14:conditionalFormatting>
        <x14:conditionalFormatting xmlns:xm="http://schemas.microsoft.com/office/excel/2006/main">
          <x14:cfRule type="dataBar" id="{01EE5D72-7A3A-4C36-8551-50EE3AF517A1}">
            <x14:dataBar minLength="0" maxLength="100" gradient="0">
              <x14:cfvo type="autoMin"/>
              <x14:cfvo type="autoMax"/>
              <x14:negativeFillColor rgb="FFFF0000"/>
              <x14:axisColor rgb="FF000000"/>
            </x14:dataBar>
          </x14:cfRule>
          <xm:sqref>C14:C15</xm:sqref>
        </x14:conditionalFormatting>
        <x14:conditionalFormatting xmlns:xm="http://schemas.microsoft.com/office/excel/2006/main">
          <x14:cfRule type="dataBar" id="{4FDC448B-F332-410C-A9D2-5BD31AF28B0E}">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3B29757C-3BD8-4C37-B182-9A81FF78444B}">
            <x14:dataBar minLength="0" maxLength="100" gradient="0">
              <x14:cfvo type="autoMin"/>
              <x14:cfvo type="autoMax"/>
              <x14:negativeFillColor rgb="FFFF0000"/>
              <x14:axisColor rgb="FF000000"/>
            </x14:dataBar>
          </x14:cfRule>
          <xm:sqref>C10:C12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BC Kết quả tháng 8</vt:lpstr>
      <vt:lpstr>'BC Kết quả tháng 8'!Print_Area</vt:lpstr>
      <vt:lpstr>'BC Kết quả tháng 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Văn Phúc</cp:lastModifiedBy>
  <cp:lastPrinted>2026-07-22T07:28:53Z</cp:lastPrinted>
  <dcterms:created xsi:type="dcterms:W3CDTF">2026-05-27T07:08:41Z</dcterms:created>
  <dcterms:modified xsi:type="dcterms:W3CDTF">2026-08-17T10:55:36Z</dcterms:modified>
</cp:coreProperties>
</file>