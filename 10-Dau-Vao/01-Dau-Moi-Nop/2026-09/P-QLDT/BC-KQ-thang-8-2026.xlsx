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ÔNG VIỆC\BÁO CÁO\BÁO CÁO THÁNG\THÁNG 8.2026\1. BAO CAO PL 2B\"/>
    </mc:Choice>
  </mc:AlternateContent>
  <xr:revisionPtr revIDLastSave="0" documentId="13_ncr:1_{0DFB7597-8E8C-4BDB-8517-FD68349C26D6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BC tháng 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4" i="1" l="1"/>
  <c r="I34" i="1"/>
  <c r="K32" i="1"/>
  <c r="I32" i="1"/>
  <c r="K31" i="1"/>
  <c r="F31" i="1"/>
  <c r="K30" i="1"/>
  <c r="I30" i="1"/>
  <c r="K29" i="1"/>
  <c r="F29" i="1"/>
  <c r="K28" i="1"/>
  <c r="I28" i="1"/>
  <c r="K27" i="1"/>
  <c r="F27" i="1"/>
  <c r="K25" i="1"/>
  <c r="I25" i="1"/>
  <c r="K24" i="1"/>
  <c r="I24" i="1"/>
  <c r="K23" i="1"/>
  <c r="I23" i="1"/>
  <c r="K22" i="1"/>
  <c r="F22" i="1"/>
  <c r="K21" i="1"/>
  <c r="I21" i="1"/>
  <c r="K20" i="1"/>
  <c r="I20" i="1"/>
  <c r="K19" i="1"/>
  <c r="I19" i="1"/>
  <c r="K18" i="1"/>
  <c r="I18" i="1"/>
  <c r="K17" i="1"/>
  <c r="I17" i="1"/>
  <c r="K16" i="1"/>
  <c r="I16" i="1"/>
  <c r="K15" i="1"/>
  <c r="I15" i="1"/>
  <c r="K14" i="1"/>
  <c r="I14" i="1"/>
  <c r="K13" i="1"/>
  <c r="I13" i="1"/>
  <c r="K12" i="1"/>
  <c r="I12" i="1"/>
  <c r="K11" i="1"/>
  <c r="I11" i="1"/>
  <c r="K10" i="1"/>
  <c r="I10" i="1"/>
  <c r="K9" i="1"/>
  <c r="F9" i="1"/>
  <c r="O34" i="1" l="1"/>
  <c r="M34" i="1"/>
  <c r="P34" i="1"/>
  <c r="N34" i="1"/>
  <c r="L34" i="1"/>
  <c r="J34" i="1"/>
  <c r="O32" i="1"/>
  <c r="O31" i="1" s="1"/>
  <c r="M32" i="1"/>
  <c r="M31" i="1" s="1"/>
  <c r="P32" i="1"/>
  <c r="P31" i="1" s="1"/>
  <c r="N32" i="1"/>
  <c r="N31" i="1" s="1"/>
  <c r="L32" i="1"/>
  <c r="L31" i="1" s="1"/>
  <c r="J32" i="1"/>
  <c r="J31" i="1" s="1"/>
  <c r="O30" i="1"/>
  <c r="O29" i="1" s="1"/>
  <c r="M30" i="1"/>
  <c r="M29" i="1" s="1"/>
  <c r="P30" i="1"/>
  <c r="P29" i="1" s="1"/>
  <c r="N30" i="1"/>
  <c r="N29" i="1" s="1"/>
  <c r="L30" i="1"/>
  <c r="L29" i="1" s="1"/>
  <c r="J30" i="1"/>
  <c r="J29" i="1" s="1"/>
  <c r="O28" i="1"/>
  <c r="O27" i="1" s="1"/>
  <c r="M28" i="1"/>
  <c r="M27" i="1" s="1"/>
  <c r="P28" i="1"/>
  <c r="P27" i="1" s="1"/>
  <c r="N28" i="1"/>
  <c r="N27" i="1" s="1"/>
  <c r="L28" i="1"/>
  <c r="L27" i="1" s="1"/>
  <c r="J28" i="1"/>
  <c r="J27" i="1" s="1"/>
  <c r="M25" i="1"/>
  <c r="O25" i="1"/>
  <c r="P25" i="1"/>
  <c r="N25" i="1"/>
  <c r="L25" i="1"/>
  <c r="J25" i="1"/>
  <c r="O24" i="1"/>
  <c r="P24" i="1" s="1"/>
  <c r="P22" i="1" s="1"/>
  <c r="M24" i="1"/>
  <c r="N24" i="1"/>
  <c r="L24" i="1"/>
  <c r="J24" i="1"/>
  <c r="O23" i="1"/>
  <c r="O22" i="1" s="1"/>
  <c r="M23" i="1"/>
  <c r="M22" i="1" s="1"/>
  <c r="P23" i="1"/>
  <c r="N23" i="1"/>
  <c r="N22" i="1" s="1"/>
  <c r="L23" i="1"/>
  <c r="L22" i="1" s="1"/>
  <c r="J23" i="1"/>
  <c r="J22" i="1" s="1"/>
  <c r="O21" i="1"/>
  <c r="M21" i="1"/>
  <c r="P21" i="1"/>
  <c r="N21" i="1"/>
  <c r="L21" i="1"/>
  <c r="J21" i="1"/>
  <c r="O20" i="1"/>
  <c r="M20" i="1"/>
  <c r="N20" i="1"/>
  <c r="L20" i="1"/>
  <c r="J20" i="1"/>
  <c r="P20" i="1"/>
  <c r="M19" i="1"/>
  <c r="O19" i="1"/>
  <c r="N19" i="1"/>
  <c r="L19" i="1"/>
  <c r="J19" i="1"/>
  <c r="P19" i="1"/>
  <c r="O18" i="1"/>
  <c r="M18" i="1"/>
  <c r="N18" i="1"/>
  <c r="L18" i="1"/>
  <c r="J18" i="1"/>
  <c r="P18" i="1"/>
  <c r="O17" i="1"/>
  <c r="M17" i="1"/>
  <c r="P17" i="1"/>
  <c r="N17" i="1"/>
  <c r="L17" i="1"/>
  <c r="J17" i="1"/>
  <c r="O16" i="1"/>
  <c r="M16" i="1"/>
  <c r="P16" i="1"/>
  <c r="N16" i="1"/>
  <c r="L16" i="1"/>
  <c r="J16" i="1"/>
  <c r="O15" i="1"/>
  <c r="M15" i="1"/>
  <c r="P15" i="1"/>
  <c r="N15" i="1"/>
  <c r="L15" i="1"/>
  <c r="J15" i="1"/>
  <c r="O14" i="1"/>
  <c r="M14" i="1"/>
  <c r="L14" i="1"/>
  <c r="J14" i="1"/>
  <c r="P14" i="1"/>
  <c r="N14" i="1"/>
  <c r="M13" i="1"/>
  <c r="O13" i="1"/>
  <c r="N13" i="1"/>
  <c r="L13" i="1"/>
  <c r="J13" i="1"/>
  <c r="P13" i="1"/>
  <c r="O12" i="1"/>
  <c r="M12" i="1"/>
  <c r="P12" i="1"/>
  <c r="N12" i="1"/>
  <c r="L12" i="1"/>
  <c r="J12" i="1"/>
  <c r="M11" i="1"/>
  <c r="O11" i="1"/>
  <c r="P11" i="1"/>
  <c r="N11" i="1"/>
  <c r="L11" i="1"/>
  <c r="J11" i="1"/>
  <c r="M10" i="1"/>
  <c r="O10" i="1"/>
  <c r="P10" i="1"/>
  <c r="N10" i="1"/>
  <c r="L10" i="1"/>
  <c r="J10" i="1"/>
  <c r="O9" i="1" l="1"/>
  <c r="P9" i="1"/>
  <c r="L9" i="1"/>
  <c r="M9" i="1"/>
  <c r="N9" i="1"/>
  <c r="J9" i="1"/>
</calcChain>
</file>

<file path=xl/sharedStrings.xml><?xml version="1.0" encoding="utf-8"?>
<sst xmlns="http://schemas.openxmlformats.org/spreadsheetml/2006/main" count="165" uniqueCount="104">
  <si>
    <t>TRƯỜNG CAO ĐẲNG KON TUM</t>
  </si>
  <si>
    <t>CỘNG HÒA XÃ HỘI CHỦ NGHĨA VIỆT NAM</t>
  </si>
  <si>
    <t>PHÒNG QLĐT&amp;BĐCL</t>
  </si>
  <si>
    <t>Độc lập - Tự do - Hạnh phúc</t>
  </si>
  <si>
    <t>BÁO CÁO
kết quả thực hiện công tác tháng 8 năm 2026</t>
  </si>
  <si>
    <t>TT</t>
  </si>
  <si>
    <t>NỘI DUNG CÔNG VIỆC</t>
  </si>
  <si>
    <t>Người trực tiếp chỉ đạo</t>
  </si>
  <si>
    <t>Đơn vị chủ trì</t>
  </si>
  <si>
    <t>Sản phẩm/ Công việc</t>
  </si>
  <si>
    <t>Số lượng</t>
  </si>
  <si>
    <t>Độ khó, mới, phức tạp; phạm vi tác
động</t>
  </si>
  <si>
    <t>Điểm chấm công việc</t>
  </si>
  <si>
    <t>Hệ số quy đổi</t>
  </si>
  <si>
    <t>Số lượng quy đổi</t>
  </si>
  <si>
    <t>KPI (số lượng)</t>
  </si>
  <si>
    <t>KPI (chất lượng)</t>
  </si>
  <si>
    <t>KPI (tiến độ)</t>
  </si>
  <si>
    <t>Thực tế hoàn thành</t>
  </si>
  <si>
    <t>Quy đổi</t>
  </si>
  <si>
    <t>(1)</t>
  </si>
  <si>
    <t>(2)</t>
  </si>
  <si>
    <t>(3)</t>
  </si>
  <si>
    <t>(4)</t>
  </si>
  <si>
    <t>(5)</t>
  </si>
  <si>
    <t>(6)</t>
  </si>
  <si>
    <t>(7)</t>
  </si>
  <si>
    <t>(8)</t>
  </si>
  <si>
    <t>(9)= (8)* 1%</t>
  </si>
  <si>
    <t>(10)= (6)* (9)</t>
  </si>
  <si>
    <t>(11)=(6)* [Tỷ lệ hoàn thành khối lượng]
Thiếu 1 = 75% (trừ 0,25)</t>
  </si>
  <si>
    <t>(12)= (9)* (11)</t>
  </si>
  <si>
    <t>(13)=(11)*[Tỷ lệ hoàn thành chất lượng]
Sửa đổi 1-2 lần 75% (trừ 0,25)</t>
  </si>
  <si>
    <t>(14)= (9)* (13)</t>
  </si>
  <si>
    <t>(15)=(11)*[Tỷ lệ hoàn thành tiến độ]
Chậm tiến độ 75% (trừ 0,25)</t>
  </si>
  <si>
    <t>(16)= (9)* (15)</t>
  </si>
  <si>
    <t>I</t>
  </si>
  <si>
    <t>Các nhiệm vụ theo kế hoạch (chương trình) công tác đã đề ra từ đầu tháng</t>
  </si>
  <si>
    <t xml:space="preserve">Trục (1) - Thực hiện mục tiêu phát triển Kinh tế - xã hội và nhiệm vụ chính trị được giao </t>
  </si>
  <si>
    <t>1.1</t>
  </si>
  <si>
    <t>Công bố danh sách trúng tuyển đợt 1 (xét tuyển trên Cổng thông tin tuyển sinh chung toàn quốc)</t>
  </si>
  <si>
    <t>Hiệu trưởng</t>
  </si>
  <si>
    <t>Phòng QLĐT&amp;BĐCL</t>
  </si>
  <si>
    <t>Thông báo</t>
  </si>
  <si>
    <t>Trung bình</t>
  </si>
  <si>
    <t>1.2</t>
  </si>
  <si>
    <t>Hoàn thiện hồ sơ triển khai hoạt động đào tạo năm học 2025-2026</t>
  </si>
  <si>
    <t>PHT Dương Văn Anh Dũng</t>
  </si>
  <si>
    <t>Hồ sơ chuyên môn</t>
  </si>
  <si>
    <t>1.3</t>
  </si>
  <si>
    <t>Công tác chuẩn bị cho năm học 2026-2027</t>
  </si>
  <si>
    <t>Kế hoạch; Thông báo</t>
  </si>
  <si>
    <t>1.4</t>
  </si>
  <si>
    <t>Xét tốt nghiệp cho học sinh, sinh viên các lớp trình độ cao đẳng khóa học 2023-2026 và các lớp trình độ trung cấp khóa học 2024-2026</t>
  </si>
  <si>
    <t>Quyết định</t>
  </si>
  <si>
    <t>1.5</t>
  </si>
  <si>
    <t>Triển khai hoạt động liên kết đào tạo với doanh nghiệp tổ chức thực hành, thực tập tại cơ sở</t>
  </si>
  <si>
    <t>Quyết định; Kế hoạch</t>
  </si>
  <si>
    <t>1.6</t>
  </si>
  <si>
    <t>Dự thảo Quy định về xây dựng, quản lý và sử dụng ngân hàng đề thi (áp dụng từ năm học 2026-2027)</t>
  </si>
  <si>
    <t>Kế hoạch; Quyết định</t>
  </si>
  <si>
    <t>Cao</t>
  </si>
  <si>
    <t>1.7</t>
  </si>
  <si>
    <t>Quyết định thay thế Quyết định số 561/QĐ-CĐKT ngày 28/3/2025 ban hành Quy định xây dựng, thẩm định và ban hành chương trình, giáo trình đào tạo</t>
  </si>
  <si>
    <t>1.8</t>
  </si>
  <si>
    <t>Văn bản thay thế Thông báo số 70/TB-CĐKT ngày 24/01/2025 hướng dẫn đăng ký bổ sung hoạt động giáo dục nghề nghiệp</t>
  </si>
  <si>
    <t>1.9</t>
  </si>
  <si>
    <t>Rà soát, tham mưu đăng ký loại bỏ các ngành, nghề đào tạo không còn phù hợp, nguồn tuyển sinh hạn chế</t>
  </si>
  <si>
    <t>Kế hoạch; Công văn</t>
  </si>
  <si>
    <t>1.10</t>
  </si>
  <si>
    <t>Tổ chức rà soát, đối chiếu mức độ đáp ứng chuẩn cơ sở giáo dục nghề nghiệp theo Thông tư 38</t>
  </si>
  <si>
    <t>Kế hoạch</t>
  </si>
  <si>
    <t>1.11</t>
  </si>
  <si>
    <t>Tổ chức thi cuối khóa lớp Bồi dưỡng tiếng dân tộc Ba Na (Bahnar) khóa II năm 2026</t>
  </si>
  <si>
    <t>Kế hoạch, Quyết định</t>
  </si>
  <si>
    <t>1.12</t>
  </si>
  <si>
    <t>Tổ chức thi kết thúc học phần, môn học, mô đun cải thiện điểm, thi lại, học lại học kỳ II, năm học 2025-2026 các lớp trình độ trung cấp, cao đẳng</t>
  </si>
  <si>
    <t>Bảng thống kê</t>
  </si>
  <si>
    <t>Trục (2) - Hoàn thiện thể chế, đẩy mạnh phân cấp, phân quyền gắn với kiểm tra, giám sát</t>
  </si>
  <si>
    <t>2.1</t>
  </si>
  <si>
    <t>Kiểm tra về công tác bảo đảm sĩ số học sinh, sinh viên các lớp học chính quy tại Trường trong năm học đối với các khoa thuộc Trường</t>
  </si>
  <si>
    <t>Quyết định; Kế hoạch; TBKL</t>
  </si>
  <si>
    <t>2.2</t>
  </si>
  <si>
    <t>Tham mưu xây dựng và ban hành kế hoạch kiểm tra năm học 2026-2027</t>
  </si>
  <si>
    <t>2.3</t>
  </si>
  <si>
    <t>Tham mưu xây dựng và ban hành kế hoạch kiểm tra hoạt động dạy và học năm học 2026-2027</t>
  </si>
  <si>
    <t>Trục (3) - Thúc đẩy phát triển khoa học, công nghệ, đổi mới sáng tạo và chuyển đổi số</t>
  </si>
  <si>
    <t>Trục (4) - Xây dựng đảng và hệ thống chính trị trong sạch, vững mạnh; giữ gìn đoàn kết, thống nhất nội bộ; phòng, chống tham nhũng, lãng phí, tiêu cực</t>
  </si>
  <si>
    <t>4.1</t>
  </si>
  <si>
    <t>Báo cáo công tác PCTNTC định kỳ tháng 8 năm 2026</t>
  </si>
  <si>
    <t>Báo cáo</t>
  </si>
  <si>
    <t>Thấp</t>
  </si>
  <si>
    <t>Trục (5) - Phát triển văn hóa, con người, bảo đảm an sinh xã hội, nâng cao đời sống nhân dân</t>
  </si>
  <si>
    <t>5.1</t>
  </si>
  <si>
    <t>Phối hợp các xã phía Tây Quảng Ngãi chuẩn bị điều kiện tổ chức các lớp đào tạo lao động nông thôn</t>
  </si>
  <si>
    <t>Công văn</t>
  </si>
  <si>
    <t>Trục (6) - Củng cố quốc phòng, an ninh, giữ vững ổn định chính trị - xã hội, nâng cao hiệu quả đối ngoại và hội nhập quốc tế</t>
  </si>
  <si>
    <t>6.1</t>
  </si>
  <si>
    <t>Phối hợp với các đơn vị liên quan triển khai học Giáo dục quốc phòng và an ninh đợt 2 (VLVH)</t>
  </si>
  <si>
    <t>II</t>
  </si>
  <si>
    <t>Các nhiệm vụ đột xuất, phát sinh khác ngoài kế hoạch (nếu có)</t>
  </si>
  <si>
    <t>Thông báo hướng dẫn triển khai thực hiện công tác đào tạo nghề trình độ sơ cấp và đào tạo dưới 3 tháng (nhiệm vụ chuyển tiếp từ tháng 7/2026)</t>
  </si>
  <si>
    <t xml:space="preserve">
Nơi nhận:
- Lãnh đạo Trường;
- Phòng TH-HC&amp;QT;
- Viên chức phòng QLĐT&amp;BĐCL;
- Lưu: QLĐT (cô Hạnh).</t>
  </si>
  <si>
    <t>Quảng Ngãi, ngày 17 tháng 8 năm 2026
TRƯỞNG PHÒNG
Võ Đại Nam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</si>
</sst>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3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zoomScaleNormal="100" workbookViewId="0">
      <pane ySplit="7" topLeftCell="A22" activePane="bottomLeft" state="frozen"/>
      <selection pane="bottomLeft" activeCell="B22" sqref="B22:E22"/>
    </sheetView>
  </sheetViews>
  <sheetFormatPr defaultColWidth="8.7265625" defaultRowHeight="14.5" x14ac:dyDescent="0.35"/>
  <cols>
    <col min="1" max="1" width="4.81640625" customWidth="1"/>
    <col min="2" max="2" width="34" customWidth="1"/>
    <col min="3" max="3" width="16.453125" customWidth="1"/>
    <col min="4" max="4" width="17.1796875" customWidth="1"/>
    <col min="5" max="5" width="14.54296875" customWidth="1"/>
    <col min="6" max="6" width="7" customWidth="1"/>
    <col min="7" max="7" width="11" customWidth="1"/>
    <col min="8" max="8" width="8.453125" customWidth="1"/>
    <col min="9" max="9" width="7" customWidth="1"/>
    <col min="10" max="10" width="7.453125" customWidth="1"/>
    <col min="11" max="11" width="11.453125" customWidth="1"/>
    <col min="12" max="12" width="6.7265625" customWidth="1"/>
    <col min="13" max="13" width="10.54296875" customWidth="1"/>
    <col min="14" max="14" width="6.7265625" customWidth="1"/>
    <col min="15" max="15" width="10.54296875" customWidth="1"/>
    <col min="16" max="16" width="6.7265625" customWidth="1"/>
  </cols>
  <sheetData>
    <row r="1" spans="1:16" ht="16.149999999999999" customHeight="1" x14ac:dyDescent="0.35">
      <c r="A1" s="6" t="s">
        <v>0</v>
      </c>
      <c r="B1" s="6"/>
      <c r="G1" s="7" t="s">
        <v>1</v>
      </c>
      <c r="H1" s="7"/>
      <c r="I1" s="7"/>
      <c r="J1" s="7"/>
      <c r="K1" s="7"/>
      <c r="L1" s="7"/>
      <c r="M1" s="7"/>
      <c r="N1" s="7"/>
      <c r="O1" s="7"/>
      <c r="P1" s="7"/>
    </row>
    <row r="2" spans="1:16" ht="16.149999999999999" customHeight="1" x14ac:dyDescent="0.35">
      <c r="A2" s="10" t="s">
        <v>2</v>
      </c>
      <c r="B2" s="10"/>
      <c r="G2" s="7" t="s">
        <v>3</v>
      </c>
      <c r="H2" s="7"/>
      <c r="I2" s="7"/>
      <c r="J2" s="7"/>
      <c r="K2" s="7"/>
      <c r="L2" s="7"/>
      <c r="M2" s="7"/>
      <c r="N2" s="7"/>
      <c r="O2" s="7"/>
      <c r="P2" s="7"/>
    </row>
    <row r="3" spans="1:16" ht="31.5" customHeight="1" x14ac:dyDescent="0.35">
      <c r="A3" s="8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5" spans="1:16" ht="29.9" customHeight="1" x14ac:dyDescent="0.35">
      <c r="A5" s="9" t="s">
        <v>5</v>
      </c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9" t="s">
        <v>15</v>
      </c>
      <c r="L5" s="9"/>
      <c r="M5" s="9" t="s">
        <v>16</v>
      </c>
      <c r="N5" s="9"/>
      <c r="O5" s="9" t="s">
        <v>17</v>
      </c>
      <c r="P5" s="9"/>
    </row>
    <row r="6" spans="1:16" ht="49.5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1" t="s">
        <v>18</v>
      </c>
      <c r="L6" s="1" t="s">
        <v>19</v>
      </c>
      <c r="M6" s="1" t="s">
        <v>18</v>
      </c>
      <c r="N6" s="1" t="s">
        <v>19</v>
      </c>
      <c r="O6" s="1" t="s">
        <v>18</v>
      </c>
      <c r="P6" s="1" t="s">
        <v>19</v>
      </c>
    </row>
    <row r="7" spans="1:16" ht="91" x14ac:dyDescent="0.35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28</v>
      </c>
      <c r="J7" s="2" t="s">
        <v>29</v>
      </c>
      <c r="K7" s="2" t="s">
        <v>30</v>
      </c>
      <c r="L7" s="2" t="s">
        <v>31</v>
      </c>
      <c r="M7" s="2" t="s">
        <v>32</v>
      </c>
      <c r="N7" s="2" t="s">
        <v>33</v>
      </c>
      <c r="O7" s="2" t="s">
        <v>34</v>
      </c>
      <c r="P7" s="2" t="s">
        <v>35</v>
      </c>
    </row>
    <row r="8" spans="1:16" ht="16.149999999999999" customHeight="1" x14ac:dyDescent="0.35">
      <c r="A8" s="3" t="s">
        <v>36</v>
      </c>
      <c r="B8" s="11" t="s">
        <v>37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 ht="29.9" customHeight="1" x14ac:dyDescent="0.35">
      <c r="A9" s="3">
        <v>1</v>
      </c>
      <c r="B9" s="11" t="s">
        <v>38</v>
      </c>
      <c r="C9" s="11"/>
      <c r="D9" s="11"/>
      <c r="E9" s="11"/>
      <c r="F9" s="3">
        <f>SUM(F10:F21)</f>
        <v>17</v>
      </c>
      <c r="J9" s="3">
        <f t="shared" ref="J9:P9" si="0">SUM(J10:J21)</f>
        <v>20.399999999999995</v>
      </c>
      <c r="K9" s="3">
        <f t="shared" si="0"/>
        <v>17</v>
      </c>
      <c r="L9" s="3">
        <f t="shared" si="0"/>
        <v>20.399999999999995</v>
      </c>
      <c r="M9" s="3">
        <f t="shared" si="0"/>
        <v>17</v>
      </c>
      <c r="N9" s="3">
        <f t="shared" si="0"/>
        <v>20.399999999999995</v>
      </c>
      <c r="O9" s="3">
        <f t="shared" si="0"/>
        <v>17</v>
      </c>
      <c r="P9" s="3">
        <f t="shared" si="0"/>
        <v>20.399999999999995</v>
      </c>
    </row>
    <row r="10" spans="1:16" ht="49.5" x14ac:dyDescent="0.35">
      <c r="A10" s="4" t="s">
        <v>39</v>
      </c>
      <c r="B10" s="5" t="s">
        <v>40</v>
      </c>
      <c r="C10" s="4" t="s">
        <v>41</v>
      </c>
      <c r="D10" s="4" t="s">
        <v>42</v>
      </c>
      <c r="E10" s="4" t="s">
        <v>43</v>
      </c>
      <c r="F10" s="4">
        <v>1</v>
      </c>
      <c r="G10" s="4" t="s">
        <v>44</v>
      </c>
      <c r="H10" s="4">
        <v>120</v>
      </c>
      <c r="I10" s="4">
        <f t="shared" ref="I10:I21" si="1">H10*1/100</f>
        <v>1.2</v>
      </c>
      <c r="J10" s="4">
        <f t="shared" ref="J10:J21" si="2">F10*I10</f>
        <v>1.2</v>
      </c>
      <c r="K10" s="4">
        <f t="shared" ref="K10:K21" si="3">F10*100%</f>
        <v>1</v>
      </c>
      <c r="L10" s="4">
        <f t="shared" ref="L10:L21" si="4">I10*K10</f>
        <v>1.2</v>
      </c>
      <c r="M10" s="4">
        <f t="shared" ref="M10:M21" si="5">K10*100%</f>
        <v>1</v>
      </c>
      <c r="N10" s="4">
        <f t="shared" ref="N10:N21" si="6">I10*M10</f>
        <v>1.2</v>
      </c>
      <c r="O10" s="4">
        <f t="shared" ref="O10:O21" si="7">K10*100%</f>
        <v>1</v>
      </c>
      <c r="P10" s="4">
        <f t="shared" ref="P10:P21" si="8">I10*O10</f>
        <v>1.2</v>
      </c>
    </row>
    <row r="11" spans="1:16" ht="33" x14ac:dyDescent="0.35">
      <c r="A11" s="4" t="s">
        <v>45</v>
      </c>
      <c r="B11" s="5" t="s">
        <v>46</v>
      </c>
      <c r="C11" s="4" t="s">
        <v>47</v>
      </c>
      <c r="D11" s="4" t="s">
        <v>42</v>
      </c>
      <c r="E11" s="4" t="s">
        <v>48</v>
      </c>
      <c r="F11" s="4">
        <v>1</v>
      </c>
      <c r="G11" s="4" t="s">
        <v>44</v>
      </c>
      <c r="H11" s="4">
        <v>120</v>
      </c>
      <c r="I11" s="4">
        <f t="shared" si="1"/>
        <v>1.2</v>
      </c>
      <c r="J11" s="4">
        <f t="shared" si="2"/>
        <v>1.2</v>
      </c>
      <c r="K11" s="4">
        <f t="shared" si="3"/>
        <v>1</v>
      </c>
      <c r="L11" s="4">
        <f t="shared" si="4"/>
        <v>1.2</v>
      </c>
      <c r="M11" s="4">
        <f t="shared" si="5"/>
        <v>1</v>
      </c>
      <c r="N11" s="4">
        <f t="shared" si="6"/>
        <v>1.2</v>
      </c>
      <c r="O11" s="4">
        <f t="shared" si="7"/>
        <v>1</v>
      </c>
      <c r="P11" s="4">
        <f t="shared" si="8"/>
        <v>1.2</v>
      </c>
    </row>
    <row r="12" spans="1:16" ht="33" x14ac:dyDescent="0.35">
      <c r="A12" s="4" t="s">
        <v>49</v>
      </c>
      <c r="B12" s="5" t="s">
        <v>50</v>
      </c>
      <c r="C12" s="4" t="s">
        <v>47</v>
      </c>
      <c r="D12" s="4" t="s">
        <v>42</v>
      </c>
      <c r="E12" s="4" t="s">
        <v>51</v>
      </c>
      <c r="F12" s="4">
        <v>2</v>
      </c>
      <c r="G12" s="4" t="s">
        <v>44</v>
      </c>
      <c r="H12" s="4">
        <v>120</v>
      </c>
      <c r="I12" s="4">
        <f t="shared" si="1"/>
        <v>1.2</v>
      </c>
      <c r="J12" s="4">
        <f t="shared" si="2"/>
        <v>2.4</v>
      </c>
      <c r="K12" s="4">
        <f t="shared" si="3"/>
        <v>2</v>
      </c>
      <c r="L12" s="4">
        <f t="shared" si="4"/>
        <v>2.4</v>
      </c>
      <c r="M12" s="4">
        <f t="shared" si="5"/>
        <v>2</v>
      </c>
      <c r="N12" s="4">
        <f t="shared" si="6"/>
        <v>2.4</v>
      </c>
      <c r="O12" s="4">
        <f t="shared" si="7"/>
        <v>2</v>
      </c>
      <c r="P12" s="4">
        <f t="shared" si="8"/>
        <v>2.4</v>
      </c>
    </row>
    <row r="13" spans="1:16" ht="82.5" x14ac:dyDescent="0.35">
      <c r="A13" s="4" t="s">
        <v>52</v>
      </c>
      <c r="B13" s="5" t="s">
        <v>53</v>
      </c>
      <c r="C13" s="4" t="s">
        <v>41</v>
      </c>
      <c r="D13" s="4" t="s">
        <v>42</v>
      </c>
      <c r="E13" s="4" t="s">
        <v>54</v>
      </c>
      <c r="F13" s="4">
        <v>2</v>
      </c>
      <c r="G13" s="4" t="s">
        <v>44</v>
      </c>
      <c r="H13" s="4">
        <v>120</v>
      </c>
      <c r="I13" s="4">
        <f t="shared" si="1"/>
        <v>1.2</v>
      </c>
      <c r="J13" s="4">
        <f t="shared" si="2"/>
        <v>2.4</v>
      </c>
      <c r="K13" s="4">
        <f t="shared" si="3"/>
        <v>2</v>
      </c>
      <c r="L13" s="4">
        <f t="shared" si="4"/>
        <v>2.4</v>
      </c>
      <c r="M13" s="4">
        <f t="shared" si="5"/>
        <v>2</v>
      </c>
      <c r="N13" s="4">
        <f t="shared" si="6"/>
        <v>2.4</v>
      </c>
      <c r="O13" s="4">
        <f t="shared" si="7"/>
        <v>2</v>
      </c>
      <c r="P13" s="4">
        <f t="shared" si="8"/>
        <v>2.4</v>
      </c>
    </row>
    <row r="14" spans="1:16" ht="49.5" x14ac:dyDescent="0.35">
      <c r="A14" s="4" t="s">
        <v>55</v>
      </c>
      <c r="B14" s="5" t="s">
        <v>56</v>
      </c>
      <c r="C14" s="4" t="s">
        <v>47</v>
      </c>
      <c r="D14" s="4" t="s">
        <v>42</v>
      </c>
      <c r="E14" s="4" t="s">
        <v>57</v>
      </c>
      <c r="F14" s="4">
        <v>2</v>
      </c>
      <c r="G14" s="4" t="s">
        <v>44</v>
      </c>
      <c r="H14" s="4">
        <v>120</v>
      </c>
      <c r="I14" s="4">
        <f t="shared" si="1"/>
        <v>1.2</v>
      </c>
      <c r="J14" s="4">
        <f t="shared" si="2"/>
        <v>2.4</v>
      </c>
      <c r="K14" s="4">
        <f t="shared" si="3"/>
        <v>2</v>
      </c>
      <c r="L14" s="4">
        <f t="shared" si="4"/>
        <v>2.4</v>
      </c>
      <c r="M14" s="4">
        <f t="shared" si="5"/>
        <v>2</v>
      </c>
      <c r="N14" s="4">
        <f t="shared" si="6"/>
        <v>2.4</v>
      </c>
      <c r="O14" s="4">
        <f t="shared" si="7"/>
        <v>2</v>
      </c>
      <c r="P14" s="4">
        <f t="shared" si="8"/>
        <v>2.4</v>
      </c>
    </row>
    <row r="15" spans="1:16" ht="66" x14ac:dyDescent="0.35">
      <c r="A15" s="4" t="s">
        <v>58</v>
      </c>
      <c r="B15" s="5" t="s">
        <v>59</v>
      </c>
      <c r="C15" s="4" t="s">
        <v>41</v>
      </c>
      <c r="D15" s="4" t="s">
        <v>42</v>
      </c>
      <c r="E15" s="4" t="s">
        <v>60</v>
      </c>
      <c r="F15" s="4">
        <v>2</v>
      </c>
      <c r="G15" s="4" t="s">
        <v>61</v>
      </c>
      <c r="H15" s="4">
        <v>120</v>
      </c>
      <c r="I15" s="4">
        <f t="shared" si="1"/>
        <v>1.2</v>
      </c>
      <c r="J15" s="4">
        <f t="shared" si="2"/>
        <v>2.4</v>
      </c>
      <c r="K15" s="4">
        <f t="shared" si="3"/>
        <v>2</v>
      </c>
      <c r="L15" s="4">
        <f t="shared" si="4"/>
        <v>2.4</v>
      </c>
      <c r="M15" s="4">
        <f t="shared" si="5"/>
        <v>2</v>
      </c>
      <c r="N15" s="4">
        <f t="shared" si="6"/>
        <v>2.4</v>
      </c>
      <c r="O15" s="4">
        <f t="shared" si="7"/>
        <v>2</v>
      </c>
      <c r="P15" s="4">
        <f t="shared" si="8"/>
        <v>2.4</v>
      </c>
    </row>
    <row r="16" spans="1:16" ht="82.5" x14ac:dyDescent="0.35">
      <c r="A16" s="4" t="s">
        <v>62</v>
      </c>
      <c r="B16" s="5" t="s">
        <v>63</v>
      </c>
      <c r="C16" s="4" t="s">
        <v>41</v>
      </c>
      <c r="D16" s="4" t="s">
        <v>42</v>
      </c>
      <c r="E16" s="4" t="s">
        <v>54</v>
      </c>
      <c r="F16" s="4">
        <v>1</v>
      </c>
      <c r="G16" s="4" t="s">
        <v>44</v>
      </c>
      <c r="H16" s="4">
        <v>120</v>
      </c>
      <c r="I16" s="4">
        <f t="shared" si="1"/>
        <v>1.2</v>
      </c>
      <c r="J16" s="4">
        <f t="shared" si="2"/>
        <v>1.2</v>
      </c>
      <c r="K16" s="4">
        <f t="shared" si="3"/>
        <v>1</v>
      </c>
      <c r="L16" s="4">
        <f t="shared" si="4"/>
        <v>1.2</v>
      </c>
      <c r="M16" s="4">
        <f t="shared" si="5"/>
        <v>1</v>
      </c>
      <c r="N16" s="4">
        <f t="shared" si="6"/>
        <v>1.2</v>
      </c>
      <c r="O16" s="4">
        <f t="shared" si="7"/>
        <v>1</v>
      </c>
      <c r="P16" s="4">
        <f t="shared" si="8"/>
        <v>1.2</v>
      </c>
    </row>
    <row r="17" spans="1:16" ht="66" x14ac:dyDescent="0.35">
      <c r="A17" s="4" t="s">
        <v>64</v>
      </c>
      <c r="B17" s="5" t="s">
        <v>65</v>
      </c>
      <c r="C17" s="4" t="s">
        <v>41</v>
      </c>
      <c r="D17" s="4" t="s">
        <v>42</v>
      </c>
      <c r="E17" s="4" t="s">
        <v>43</v>
      </c>
      <c r="F17" s="4">
        <v>1</v>
      </c>
      <c r="G17" s="4" t="s">
        <v>44</v>
      </c>
      <c r="H17" s="4">
        <v>120</v>
      </c>
      <c r="I17" s="4">
        <f t="shared" si="1"/>
        <v>1.2</v>
      </c>
      <c r="J17" s="4">
        <f t="shared" si="2"/>
        <v>1.2</v>
      </c>
      <c r="K17" s="4">
        <f t="shared" si="3"/>
        <v>1</v>
      </c>
      <c r="L17" s="4">
        <f t="shared" si="4"/>
        <v>1.2</v>
      </c>
      <c r="M17" s="4">
        <f t="shared" si="5"/>
        <v>1</v>
      </c>
      <c r="N17" s="4">
        <f t="shared" si="6"/>
        <v>1.2</v>
      </c>
      <c r="O17" s="4">
        <f t="shared" si="7"/>
        <v>1</v>
      </c>
      <c r="P17" s="4">
        <f t="shared" si="8"/>
        <v>1.2</v>
      </c>
    </row>
    <row r="18" spans="1:16" ht="66" x14ac:dyDescent="0.35">
      <c r="A18" s="4" t="s">
        <v>66</v>
      </c>
      <c r="B18" s="5" t="s">
        <v>67</v>
      </c>
      <c r="C18" s="4" t="s">
        <v>41</v>
      </c>
      <c r="D18" s="4" t="s">
        <v>42</v>
      </c>
      <c r="E18" s="4" t="s">
        <v>68</v>
      </c>
      <c r="F18" s="4">
        <v>1</v>
      </c>
      <c r="G18" s="4" t="s">
        <v>44</v>
      </c>
      <c r="H18" s="4">
        <v>120</v>
      </c>
      <c r="I18" s="4">
        <f t="shared" si="1"/>
        <v>1.2</v>
      </c>
      <c r="J18" s="4">
        <f t="shared" si="2"/>
        <v>1.2</v>
      </c>
      <c r="K18" s="4">
        <f t="shared" si="3"/>
        <v>1</v>
      </c>
      <c r="L18" s="4">
        <f t="shared" si="4"/>
        <v>1.2</v>
      </c>
      <c r="M18" s="4">
        <f t="shared" si="5"/>
        <v>1</v>
      </c>
      <c r="N18" s="4">
        <f t="shared" si="6"/>
        <v>1.2</v>
      </c>
      <c r="O18" s="4">
        <f t="shared" si="7"/>
        <v>1</v>
      </c>
      <c r="P18" s="4">
        <f t="shared" si="8"/>
        <v>1.2</v>
      </c>
    </row>
    <row r="19" spans="1:16" ht="49.5" x14ac:dyDescent="0.35">
      <c r="A19" s="4" t="s">
        <v>69</v>
      </c>
      <c r="B19" s="5" t="s">
        <v>70</v>
      </c>
      <c r="C19" s="4" t="s">
        <v>41</v>
      </c>
      <c r="D19" s="4" t="s">
        <v>42</v>
      </c>
      <c r="E19" s="4" t="s">
        <v>71</v>
      </c>
      <c r="F19" s="4">
        <v>1</v>
      </c>
      <c r="G19" s="4" t="s">
        <v>44</v>
      </c>
      <c r="H19" s="4">
        <v>120</v>
      </c>
      <c r="I19" s="4">
        <f t="shared" si="1"/>
        <v>1.2</v>
      </c>
      <c r="J19" s="4">
        <f t="shared" si="2"/>
        <v>1.2</v>
      </c>
      <c r="K19" s="4">
        <f t="shared" si="3"/>
        <v>1</v>
      </c>
      <c r="L19" s="4">
        <f t="shared" si="4"/>
        <v>1.2</v>
      </c>
      <c r="M19" s="4">
        <f t="shared" si="5"/>
        <v>1</v>
      </c>
      <c r="N19" s="4">
        <f t="shared" si="6"/>
        <v>1.2</v>
      </c>
      <c r="O19" s="4">
        <f t="shared" si="7"/>
        <v>1</v>
      </c>
      <c r="P19" s="4">
        <f t="shared" si="8"/>
        <v>1.2</v>
      </c>
    </row>
    <row r="20" spans="1:16" ht="49.5" x14ac:dyDescent="0.35">
      <c r="A20" s="4" t="s">
        <v>72</v>
      </c>
      <c r="B20" s="5" t="s">
        <v>73</v>
      </c>
      <c r="C20" s="4" t="s">
        <v>41</v>
      </c>
      <c r="D20" s="4" t="s">
        <v>42</v>
      </c>
      <c r="E20" s="4" t="s">
        <v>74</v>
      </c>
      <c r="F20" s="4">
        <v>2</v>
      </c>
      <c r="G20" s="4" t="s">
        <v>44</v>
      </c>
      <c r="H20" s="4">
        <v>120</v>
      </c>
      <c r="I20" s="4">
        <f t="shared" si="1"/>
        <v>1.2</v>
      </c>
      <c r="J20" s="4">
        <f t="shared" si="2"/>
        <v>2.4</v>
      </c>
      <c r="K20" s="4">
        <f t="shared" si="3"/>
        <v>2</v>
      </c>
      <c r="L20" s="4">
        <f t="shared" si="4"/>
        <v>2.4</v>
      </c>
      <c r="M20" s="4">
        <f t="shared" si="5"/>
        <v>2</v>
      </c>
      <c r="N20" s="4">
        <f t="shared" si="6"/>
        <v>2.4</v>
      </c>
      <c r="O20" s="4">
        <f t="shared" si="7"/>
        <v>2</v>
      </c>
      <c r="P20" s="4">
        <f t="shared" si="8"/>
        <v>2.4</v>
      </c>
    </row>
    <row r="21" spans="1:16" ht="82.5" x14ac:dyDescent="0.35">
      <c r="A21" s="4" t="s">
        <v>75</v>
      </c>
      <c r="B21" s="5" t="s">
        <v>76</v>
      </c>
      <c r="C21" s="4" t="s">
        <v>47</v>
      </c>
      <c r="D21" s="4" t="s">
        <v>42</v>
      </c>
      <c r="E21" s="4" t="s">
        <v>77</v>
      </c>
      <c r="F21" s="4">
        <v>1</v>
      </c>
      <c r="G21" s="4" t="s">
        <v>44</v>
      </c>
      <c r="H21" s="4">
        <v>120</v>
      </c>
      <c r="I21" s="4">
        <f t="shared" si="1"/>
        <v>1.2</v>
      </c>
      <c r="J21" s="4">
        <f t="shared" si="2"/>
        <v>1.2</v>
      </c>
      <c r="K21" s="4">
        <f t="shared" si="3"/>
        <v>1</v>
      </c>
      <c r="L21" s="4">
        <f t="shared" si="4"/>
        <v>1.2</v>
      </c>
      <c r="M21" s="4">
        <f t="shared" si="5"/>
        <v>1</v>
      </c>
      <c r="N21" s="4">
        <f t="shared" si="6"/>
        <v>1.2</v>
      </c>
      <c r="O21" s="4">
        <f t="shared" si="7"/>
        <v>1</v>
      </c>
      <c r="P21" s="4">
        <f t="shared" si="8"/>
        <v>1.2</v>
      </c>
    </row>
    <row r="22" spans="1:16" ht="29.9" customHeight="1" x14ac:dyDescent="0.35">
      <c r="A22" s="3">
        <v>2</v>
      </c>
      <c r="B22" s="11" t="s">
        <v>78</v>
      </c>
      <c r="C22" s="11"/>
      <c r="D22" s="11"/>
      <c r="E22" s="11"/>
      <c r="F22" s="3">
        <f>SUM(F23:F25)</f>
        <v>5</v>
      </c>
      <c r="J22" s="3">
        <f t="shared" ref="J22:P22" si="9">SUM(J23:J25)</f>
        <v>6.9</v>
      </c>
      <c r="K22" s="3">
        <f t="shared" si="9"/>
        <v>5</v>
      </c>
      <c r="L22" s="3">
        <f t="shared" si="9"/>
        <v>6.9</v>
      </c>
      <c r="M22" s="3">
        <f t="shared" si="9"/>
        <v>5</v>
      </c>
      <c r="N22" s="3">
        <f t="shared" si="9"/>
        <v>6.9</v>
      </c>
      <c r="O22" s="3">
        <f t="shared" si="9"/>
        <v>5</v>
      </c>
      <c r="P22" s="3">
        <f t="shared" si="9"/>
        <v>6.9</v>
      </c>
    </row>
    <row r="23" spans="1:16" ht="82.5" x14ac:dyDescent="0.35">
      <c r="A23" s="4" t="s">
        <v>79</v>
      </c>
      <c r="B23" s="5" t="s">
        <v>80</v>
      </c>
      <c r="C23" s="4" t="s">
        <v>41</v>
      </c>
      <c r="D23" s="4" t="s">
        <v>42</v>
      </c>
      <c r="E23" s="4" t="s">
        <v>81</v>
      </c>
      <c r="F23" s="4">
        <v>3</v>
      </c>
      <c r="G23" s="4" t="s">
        <v>61</v>
      </c>
      <c r="H23" s="4">
        <v>150</v>
      </c>
      <c r="I23" s="4">
        <f>H23*1/100</f>
        <v>1.5</v>
      </c>
      <c r="J23" s="4">
        <f>F23*I23</f>
        <v>4.5</v>
      </c>
      <c r="K23" s="4">
        <f>F23*100%</f>
        <v>3</v>
      </c>
      <c r="L23" s="4">
        <f>I23*K23</f>
        <v>4.5</v>
      </c>
      <c r="M23" s="4">
        <f>K23*100%</f>
        <v>3</v>
      </c>
      <c r="N23" s="4">
        <f>I23*M23</f>
        <v>4.5</v>
      </c>
      <c r="O23" s="4">
        <f>K23*100%</f>
        <v>3</v>
      </c>
      <c r="P23" s="4">
        <f>I23*O23</f>
        <v>4.5</v>
      </c>
    </row>
    <row r="24" spans="1:16" ht="49.5" x14ac:dyDescent="0.35">
      <c r="A24" s="4" t="s">
        <v>82</v>
      </c>
      <c r="B24" s="5" t="s">
        <v>83</v>
      </c>
      <c r="C24" s="4" t="s">
        <v>41</v>
      </c>
      <c r="D24" s="4" t="s">
        <v>42</v>
      </c>
      <c r="E24" s="4" t="s">
        <v>54</v>
      </c>
      <c r="F24" s="4">
        <v>1</v>
      </c>
      <c r="G24" s="4" t="s">
        <v>44</v>
      </c>
      <c r="H24" s="4">
        <v>120</v>
      </c>
      <c r="I24" s="4">
        <f>H24*1/100</f>
        <v>1.2</v>
      </c>
      <c r="J24" s="4">
        <f>F24*I24</f>
        <v>1.2</v>
      </c>
      <c r="K24" s="4">
        <f>F24*100%</f>
        <v>1</v>
      </c>
      <c r="L24" s="4">
        <f>I24*K24</f>
        <v>1.2</v>
      </c>
      <c r="M24" s="4">
        <f>K24*100%</f>
        <v>1</v>
      </c>
      <c r="N24" s="4">
        <f>I24*M24</f>
        <v>1.2</v>
      </c>
      <c r="O24" s="4">
        <f>K24*100%</f>
        <v>1</v>
      </c>
      <c r="P24" s="4">
        <f>I24*O24</f>
        <v>1.2</v>
      </c>
    </row>
    <row r="25" spans="1:16" ht="49.5" x14ac:dyDescent="0.35">
      <c r="A25" s="4" t="s">
        <v>84</v>
      </c>
      <c r="B25" s="5" t="s">
        <v>85</v>
      </c>
      <c r="C25" s="4" t="s">
        <v>41</v>
      </c>
      <c r="D25" s="4" t="s">
        <v>42</v>
      </c>
      <c r="E25" s="4" t="s">
        <v>54</v>
      </c>
      <c r="F25" s="4">
        <v>1</v>
      </c>
      <c r="G25" s="4" t="s">
        <v>44</v>
      </c>
      <c r="H25" s="4">
        <v>120</v>
      </c>
      <c r="I25" s="4">
        <f>H25*1/100</f>
        <v>1.2</v>
      </c>
      <c r="J25" s="4">
        <f>F25*I25</f>
        <v>1.2</v>
      </c>
      <c r="K25" s="4">
        <f>F25*100%</f>
        <v>1</v>
      </c>
      <c r="L25" s="4">
        <f>I25*K25</f>
        <v>1.2</v>
      </c>
      <c r="M25" s="4">
        <f>K25*100%</f>
        <v>1</v>
      </c>
      <c r="N25" s="4">
        <f>I25*M25</f>
        <v>1.2</v>
      </c>
      <c r="O25" s="4">
        <f>K25*100%</f>
        <v>1</v>
      </c>
      <c r="P25" s="4">
        <f>I25*O25</f>
        <v>1.2</v>
      </c>
    </row>
    <row r="26" spans="1:16" ht="29.9" customHeight="1" x14ac:dyDescent="0.35">
      <c r="A26" s="3">
        <v>3</v>
      </c>
      <c r="B26" s="11" t="s">
        <v>86</v>
      </c>
      <c r="C26" s="11"/>
      <c r="D26" s="11"/>
      <c r="E26" s="11"/>
      <c r="F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</row>
    <row r="27" spans="1:16" ht="29.9" customHeight="1" x14ac:dyDescent="0.35">
      <c r="A27" s="3">
        <v>4</v>
      </c>
      <c r="B27" s="11" t="s">
        <v>87</v>
      </c>
      <c r="C27" s="11"/>
      <c r="D27" s="11"/>
      <c r="E27" s="11"/>
      <c r="F27" s="3">
        <f>SUM(F28:F28)</f>
        <v>1</v>
      </c>
      <c r="J27" s="3">
        <f t="shared" ref="J27:P27" si="10">SUM(J28:J28)</f>
        <v>1</v>
      </c>
      <c r="K27" s="3">
        <f t="shared" si="10"/>
        <v>1</v>
      </c>
      <c r="L27" s="3">
        <f t="shared" si="10"/>
        <v>1</v>
      </c>
      <c r="M27" s="3">
        <f t="shared" si="10"/>
        <v>1</v>
      </c>
      <c r="N27" s="3">
        <f t="shared" si="10"/>
        <v>1</v>
      </c>
      <c r="O27" s="3">
        <f t="shared" si="10"/>
        <v>1</v>
      </c>
      <c r="P27" s="3">
        <f t="shared" si="10"/>
        <v>1</v>
      </c>
    </row>
    <row r="28" spans="1:16" ht="33" x14ac:dyDescent="0.35">
      <c r="A28" s="4" t="s">
        <v>88</v>
      </c>
      <c r="B28" s="5" t="s">
        <v>89</v>
      </c>
      <c r="C28" s="4" t="s">
        <v>41</v>
      </c>
      <c r="D28" s="4" t="s">
        <v>42</v>
      </c>
      <c r="E28" s="4" t="s">
        <v>90</v>
      </c>
      <c r="F28" s="4">
        <v>1</v>
      </c>
      <c r="G28" s="4" t="s">
        <v>91</v>
      </c>
      <c r="H28" s="4">
        <v>100</v>
      </c>
      <c r="I28" s="4">
        <f>H28*1/100</f>
        <v>1</v>
      </c>
      <c r="J28" s="4">
        <f>F28*I28</f>
        <v>1</v>
      </c>
      <c r="K28" s="4">
        <f>F28*100%</f>
        <v>1</v>
      </c>
      <c r="L28" s="4">
        <f>I28*K28</f>
        <v>1</v>
      </c>
      <c r="M28" s="4">
        <f>K28*100%</f>
        <v>1</v>
      </c>
      <c r="N28" s="4">
        <f>I28*M28</f>
        <v>1</v>
      </c>
      <c r="O28" s="4">
        <f>K28*100%</f>
        <v>1</v>
      </c>
      <c r="P28" s="4">
        <f>I28*O28</f>
        <v>1</v>
      </c>
    </row>
    <row r="29" spans="1:16" ht="29.9" customHeight="1" x14ac:dyDescent="0.35">
      <c r="A29" s="3">
        <v>5</v>
      </c>
      <c r="B29" s="11" t="s">
        <v>92</v>
      </c>
      <c r="C29" s="11"/>
      <c r="D29" s="11"/>
      <c r="E29" s="11"/>
      <c r="F29" s="3">
        <f>SUM(F30:F30)</f>
        <v>1</v>
      </c>
      <c r="J29" s="3">
        <f t="shared" ref="J29:P29" si="11">SUM(J30:J30)</f>
        <v>1.2</v>
      </c>
      <c r="K29" s="3">
        <f t="shared" si="11"/>
        <v>1</v>
      </c>
      <c r="L29" s="3">
        <f t="shared" si="11"/>
        <v>1.2</v>
      </c>
      <c r="M29" s="3">
        <f t="shared" si="11"/>
        <v>1</v>
      </c>
      <c r="N29" s="3">
        <f t="shared" si="11"/>
        <v>1.2</v>
      </c>
      <c r="O29" s="3">
        <f t="shared" si="11"/>
        <v>1</v>
      </c>
      <c r="P29" s="3">
        <f t="shared" si="11"/>
        <v>1.2</v>
      </c>
    </row>
    <row r="30" spans="1:16" ht="66" x14ac:dyDescent="0.35">
      <c r="A30" s="4" t="s">
        <v>93</v>
      </c>
      <c r="B30" s="5" t="s">
        <v>94</v>
      </c>
      <c r="C30" s="4" t="s">
        <v>41</v>
      </c>
      <c r="D30" s="4" t="s">
        <v>42</v>
      </c>
      <c r="E30" s="4" t="s">
        <v>95</v>
      </c>
      <c r="F30" s="4">
        <v>1</v>
      </c>
      <c r="G30" s="4" t="s">
        <v>44</v>
      </c>
      <c r="H30" s="4">
        <v>120</v>
      </c>
      <c r="I30" s="4">
        <f>H30*1/100</f>
        <v>1.2</v>
      </c>
      <c r="J30" s="4">
        <f>F30*I30</f>
        <v>1.2</v>
      </c>
      <c r="K30" s="4">
        <f>F30*100%</f>
        <v>1</v>
      </c>
      <c r="L30" s="4">
        <f>I30*K30</f>
        <v>1.2</v>
      </c>
      <c r="M30" s="4">
        <f>K30*100%</f>
        <v>1</v>
      </c>
      <c r="N30" s="4">
        <f>I30*M30</f>
        <v>1.2</v>
      </c>
      <c r="O30" s="4">
        <f>K30*100%</f>
        <v>1</v>
      </c>
      <c r="P30" s="4">
        <f>I30*O30</f>
        <v>1.2</v>
      </c>
    </row>
    <row r="31" spans="1:16" ht="29.9" customHeight="1" x14ac:dyDescent="0.35">
      <c r="A31" s="3">
        <v>6</v>
      </c>
      <c r="B31" s="11" t="s">
        <v>96</v>
      </c>
      <c r="C31" s="11"/>
      <c r="D31" s="11"/>
      <c r="E31" s="11"/>
      <c r="F31" s="3">
        <f>SUM(F32:F32)</f>
        <v>1</v>
      </c>
      <c r="J31" s="3">
        <f t="shared" ref="J31:P31" si="12">SUM(J32:J32)</f>
        <v>1</v>
      </c>
      <c r="K31" s="3">
        <f t="shared" si="12"/>
        <v>1</v>
      </c>
      <c r="L31" s="3">
        <f t="shared" si="12"/>
        <v>1</v>
      </c>
      <c r="M31" s="3">
        <f t="shared" si="12"/>
        <v>1</v>
      </c>
      <c r="N31" s="3">
        <f t="shared" si="12"/>
        <v>1</v>
      </c>
      <c r="O31" s="3">
        <f t="shared" si="12"/>
        <v>1</v>
      </c>
      <c r="P31" s="3">
        <f t="shared" si="12"/>
        <v>1</v>
      </c>
    </row>
    <row r="32" spans="1:16" ht="49.5" x14ac:dyDescent="0.35">
      <c r="A32" s="4" t="s">
        <v>97</v>
      </c>
      <c r="B32" s="5" t="s">
        <v>98</v>
      </c>
      <c r="C32" s="4" t="s">
        <v>47</v>
      </c>
      <c r="D32" s="4" t="s">
        <v>42</v>
      </c>
      <c r="E32" s="4" t="s">
        <v>43</v>
      </c>
      <c r="F32" s="4">
        <v>1</v>
      </c>
      <c r="G32" s="4" t="s">
        <v>91</v>
      </c>
      <c r="H32" s="4">
        <v>100</v>
      </c>
      <c r="I32" s="4">
        <f>H32*1/100</f>
        <v>1</v>
      </c>
      <c r="J32" s="4">
        <f>F32*I32</f>
        <v>1</v>
      </c>
      <c r="K32" s="4">
        <f>F32*100%</f>
        <v>1</v>
      </c>
      <c r="L32" s="4">
        <f>I32*K32</f>
        <v>1</v>
      </c>
      <c r="M32" s="4">
        <f>K32*100%</f>
        <v>1</v>
      </c>
      <c r="N32" s="4">
        <f>I32*M32</f>
        <v>1</v>
      </c>
      <c r="O32" s="4">
        <f>K32*100%</f>
        <v>1</v>
      </c>
      <c r="P32" s="4">
        <f>I32*O32</f>
        <v>1</v>
      </c>
    </row>
    <row r="33" spans="1:16" ht="16.149999999999999" customHeight="1" x14ac:dyDescent="0.35">
      <c r="A33" s="3" t="s">
        <v>99</v>
      </c>
      <c r="B33" s="11" t="s">
        <v>100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 ht="82.5" x14ac:dyDescent="0.35">
      <c r="A34" s="4">
        <v>1</v>
      </c>
      <c r="B34" s="5" t="s">
        <v>101</v>
      </c>
      <c r="C34" s="4" t="s">
        <v>41</v>
      </c>
      <c r="D34" s="4" t="s">
        <v>42</v>
      </c>
      <c r="E34" s="4" t="s">
        <v>43</v>
      </c>
      <c r="F34" s="4">
        <v>1</v>
      </c>
      <c r="G34" s="4" t="s">
        <v>44</v>
      </c>
      <c r="H34" s="4">
        <v>120</v>
      </c>
      <c r="I34" s="4">
        <f>H34*1/100</f>
        <v>1.2</v>
      </c>
      <c r="J34" s="4">
        <f>F34*I34</f>
        <v>1.2</v>
      </c>
      <c r="K34" s="4">
        <f>F34*100%</f>
        <v>1</v>
      </c>
      <c r="L34" s="4">
        <f>I34*K34</f>
        <v>1.2</v>
      </c>
      <c r="M34" s="4">
        <f>K34*100%</f>
        <v>1</v>
      </c>
      <c r="N34" s="4">
        <f>I34*M34</f>
        <v>1.2</v>
      </c>
      <c r="O34" s="4">
        <f>K34*100%</f>
        <v>1</v>
      </c>
      <c r="P34" s="4">
        <f>I34*O34</f>
        <v>1.2</v>
      </c>
    </row>
    <row r="36" spans="1:16" ht="109.5" customHeight="1" x14ac:dyDescent="0.35">
      <c r="A36" s="12" t="s">
        <v>102</v>
      </c>
      <c r="B36" s="12"/>
      <c r="C36" s="12"/>
      <c r="G36" s="13" t="s">
        <v>103</v>
      </c>
      <c r="H36" s="7"/>
      <c r="I36" s="7"/>
      <c r="J36" s="7"/>
      <c r="K36" s="7"/>
      <c r="L36" s="7"/>
      <c r="M36" s="7"/>
      <c r="N36" s="7"/>
      <c r="O36" s="7"/>
      <c r="P36" s="7"/>
    </row>
  </sheetData>
  <mergeCells count="28">
    <mergeCell ref="A2:B2"/>
    <mergeCell ref="B27:E27"/>
    <mergeCell ref="B29:E29"/>
    <mergeCell ref="B31:E31"/>
    <mergeCell ref="B33:P33"/>
    <mergeCell ref="A36:C36"/>
    <mergeCell ref="G36:P36"/>
    <mergeCell ref="O5:P5"/>
    <mergeCell ref="B8:P8"/>
    <mergeCell ref="B9:E9"/>
    <mergeCell ref="B22:E22"/>
    <mergeCell ref="B26:E26"/>
    <mergeCell ref="A1:B1"/>
    <mergeCell ref="G1:P1"/>
    <mergeCell ref="G2:P2"/>
    <mergeCell ref="A3:P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L5"/>
    <mergeCell ref="M5:N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tháng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phuc Nguyen</cp:lastModifiedBy>
  <cp:revision>0</cp:revision>
  <dcterms:created xsi:type="dcterms:W3CDTF">2026-08-17T03:22:19Z</dcterms:created>
  <dcterms:modified xsi:type="dcterms:W3CDTF">2026-08-17T09:14:54Z</dcterms:modified>
  <dc:language>en-US</dc:language>
</cp:coreProperties>
</file>