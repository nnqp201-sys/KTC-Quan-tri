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MÁY TÍNH CHÚC\HOANG CHUC\2. ĐOÀN THANH NIÊN\CHƯƠNG TRÌNH-KH-CV-TB\2026\Thang 8.2026\"/>
    </mc:Choice>
  </mc:AlternateContent>
  <xr:revisionPtr revIDLastSave="0" documentId="13_ncr:1_{CD8DC7C3-32C1-4BDD-87E4-A84BB1525C44}" xr6:coauthVersionLast="47" xr6:coauthVersionMax="47" xr10:uidLastSave="{00000000-0000-0000-0000-000000000000}"/>
  <bookViews>
    <workbookView xWindow="-120" yWindow="-120" windowWidth="20730" windowHeight="11160" xr2:uid="{CF09AA7D-F157-435F-8730-78D5FF9F5A39}"/>
  </bookViews>
  <sheets>
    <sheet name="BC tháng 8.2026" sheetId="1" r:id="rId1"/>
  </sheets>
  <definedNames>
    <definedName name="_xlnm.Print_Area" localSheetId="0">'BC tháng 8.2026'!$A$1:$P$42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8" i="1" l="1"/>
  <c r="H30" i="1"/>
  <c r="I30" i="1" s="1"/>
  <c r="K30" i="1"/>
  <c r="H31" i="1"/>
  <c r="I31" i="1" s="1"/>
  <c r="K31" i="1"/>
  <c r="O31" i="1"/>
  <c r="H32" i="1"/>
  <c r="I32" i="1"/>
  <c r="J32" i="1" s="1"/>
  <c r="K32" i="1"/>
  <c r="L32" i="1" s="1"/>
  <c r="M32" i="1"/>
  <c r="O32" i="1"/>
  <c r="H33" i="1"/>
  <c r="I33" i="1" s="1"/>
  <c r="K33" i="1"/>
  <c r="M33" i="1"/>
  <c r="O33" i="1"/>
  <c r="L30" i="1" l="1"/>
  <c r="L31" i="1"/>
  <c r="J30" i="1"/>
  <c r="N33" i="1"/>
  <c r="J33" i="1"/>
  <c r="L33" i="1"/>
  <c r="P33" i="1"/>
  <c r="P31" i="1"/>
  <c r="N31" i="1"/>
  <c r="J31" i="1"/>
  <c r="P32" i="1"/>
  <c r="M31" i="1"/>
  <c r="M30" i="1"/>
  <c r="N30" i="1" s="1"/>
  <c r="O30" i="1"/>
  <c r="P30" i="1" s="1"/>
  <c r="N32" i="1"/>
  <c r="K15" i="1" l="1"/>
  <c r="K10" i="1"/>
  <c r="O10" i="1" s="1"/>
  <c r="I16" i="1" l="1"/>
  <c r="J16" i="1" s="1"/>
  <c r="K40" i="1"/>
  <c r="O40" i="1" s="1"/>
  <c r="K39" i="1"/>
  <c r="M39" i="1" s="1"/>
  <c r="K38" i="1"/>
  <c r="M38" i="1" s="1"/>
  <c r="K36" i="1"/>
  <c r="M36" i="1" s="1"/>
  <c r="K35" i="1"/>
  <c r="M35" i="1" s="1"/>
  <c r="K29" i="1"/>
  <c r="O29" i="1" s="1"/>
  <c r="K28" i="1"/>
  <c r="M28" i="1" s="1"/>
  <c r="K26" i="1"/>
  <c r="M26" i="1" s="1"/>
  <c r="K25" i="1"/>
  <c r="M25" i="1" s="1"/>
  <c r="K24" i="1"/>
  <c r="M24" i="1" s="1"/>
  <c r="K23" i="1"/>
  <c r="M23" i="1" s="1"/>
  <c r="K22" i="1"/>
  <c r="O22" i="1" s="1"/>
  <c r="K21" i="1"/>
  <c r="M21" i="1" s="1"/>
  <c r="K19" i="1"/>
  <c r="K18" i="1"/>
  <c r="M18" i="1" s="1"/>
  <c r="K16" i="1"/>
  <c r="M16" i="1" s="1"/>
  <c r="H40" i="1"/>
  <c r="I40" i="1" s="1"/>
  <c r="J40" i="1" s="1"/>
  <c r="H39" i="1"/>
  <c r="I39" i="1" s="1"/>
  <c r="J39" i="1" s="1"/>
  <c r="H38" i="1"/>
  <c r="I38" i="1" s="1"/>
  <c r="J38" i="1" s="1"/>
  <c r="H36" i="1"/>
  <c r="I36" i="1" s="1"/>
  <c r="J36" i="1" s="1"/>
  <c r="H35" i="1"/>
  <c r="I35" i="1" s="1"/>
  <c r="J35" i="1" s="1"/>
  <c r="H29" i="1"/>
  <c r="I29" i="1" s="1"/>
  <c r="J29" i="1" s="1"/>
  <c r="I28" i="1"/>
  <c r="J28" i="1" s="1"/>
  <c r="H26" i="1"/>
  <c r="I26" i="1" s="1"/>
  <c r="J26" i="1" s="1"/>
  <c r="H25" i="1"/>
  <c r="I25" i="1" s="1"/>
  <c r="J25" i="1" s="1"/>
  <c r="H24" i="1"/>
  <c r="I24" i="1" s="1"/>
  <c r="J24" i="1" s="1"/>
  <c r="H23" i="1"/>
  <c r="I23" i="1" s="1"/>
  <c r="J23" i="1" s="1"/>
  <c r="H22" i="1"/>
  <c r="I22" i="1" s="1"/>
  <c r="J22" i="1" s="1"/>
  <c r="H21" i="1"/>
  <c r="I21" i="1" s="1"/>
  <c r="J21" i="1" s="1"/>
  <c r="H19" i="1"/>
  <c r="I19" i="1" s="1"/>
  <c r="J19" i="1" s="1"/>
  <c r="H18" i="1"/>
  <c r="I18" i="1" s="1"/>
  <c r="J18" i="1" s="1"/>
  <c r="I15" i="1"/>
  <c r="J15" i="1" s="1"/>
  <c r="H11" i="1"/>
  <c r="I11" i="1" s="1"/>
  <c r="H12" i="1"/>
  <c r="I12" i="1" s="1"/>
  <c r="J12" i="1" s="1"/>
  <c r="H13" i="1"/>
  <c r="I13" i="1" s="1"/>
  <c r="H10" i="1"/>
  <c r="I10" i="1" s="1"/>
  <c r="F17" i="1"/>
  <c r="F20" i="1"/>
  <c r="F27" i="1"/>
  <c r="F34" i="1"/>
  <c r="F37" i="1"/>
  <c r="F14" i="1"/>
  <c r="K12" i="1"/>
  <c r="O12" i="1" s="1"/>
  <c r="K11" i="1"/>
  <c r="O11" i="1" s="1"/>
  <c r="K13" i="1"/>
  <c r="M13" i="1" s="1"/>
  <c r="F9" i="1"/>
  <c r="L22" i="1" l="1"/>
  <c r="K17" i="1"/>
  <c r="L15" i="1"/>
  <c r="P29" i="1"/>
  <c r="N39" i="1"/>
  <c r="P40" i="1"/>
  <c r="M11" i="1"/>
  <c r="N11" i="1" s="1"/>
  <c r="J34" i="1"/>
  <c r="P10" i="1"/>
  <c r="J10" i="1"/>
  <c r="L21" i="1"/>
  <c r="J20" i="1"/>
  <c r="K9" i="1"/>
  <c r="N36" i="1"/>
  <c r="L10" i="1"/>
  <c r="J37" i="1"/>
  <c r="M40" i="1"/>
  <c r="N40" i="1" s="1"/>
  <c r="N24" i="1"/>
  <c r="N26" i="1"/>
  <c r="O13" i="1"/>
  <c r="P13" i="1" s="1"/>
  <c r="P22" i="1"/>
  <c r="N23" i="1"/>
  <c r="L29" i="1"/>
  <c r="J14" i="1"/>
  <c r="L19" i="1"/>
  <c r="N25" i="1"/>
  <c r="M29" i="1"/>
  <c r="N29" i="1" s="1"/>
  <c r="K14" i="1"/>
  <c r="M15" i="1"/>
  <c r="L18" i="1"/>
  <c r="L17" i="1" s="1"/>
  <c r="M19" i="1"/>
  <c r="N19" i="1" s="1"/>
  <c r="M22" i="1"/>
  <c r="N22" i="1" s="1"/>
  <c r="L24" i="1"/>
  <c r="L40" i="1"/>
  <c r="N16" i="1"/>
  <c r="L16" i="1"/>
  <c r="L14" i="1" s="1"/>
  <c r="M37" i="1"/>
  <c r="N38" i="1"/>
  <c r="O39" i="1"/>
  <c r="P39" i="1" s="1"/>
  <c r="K37" i="1"/>
  <c r="O38" i="1"/>
  <c r="L39" i="1"/>
  <c r="L38" i="1"/>
  <c r="N35" i="1"/>
  <c r="M34" i="1"/>
  <c r="O36" i="1"/>
  <c r="P36" i="1" s="1"/>
  <c r="O35" i="1"/>
  <c r="L36" i="1"/>
  <c r="K34" i="1"/>
  <c r="L35" i="1"/>
  <c r="J27" i="1"/>
  <c r="N28" i="1"/>
  <c r="O28" i="1"/>
  <c r="L28" i="1"/>
  <c r="K27" i="1"/>
  <c r="O26" i="1"/>
  <c r="P26" i="1" s="1"/>
  <c r="O25" i="1"/>
  <c r="P25" i="1" s="1"/>
  <c r="L26" i="1"/>
  <c r="L25" i="1"/>
  <c r="O24" i="1"/>
  <c r="P24" i="1" s="1"/>
  <c r="O23" i="1"/>
  <c r="P23" i="1" s="1"/>
  <c r="K20" i="1"/>
  <c r="L23" i="1"/>
  <c r="O21" i="1"/>
  <c r="J17" i="1"/>
  <c r="O19" i="1"/>
  <c r="P19" i="1" s="1"/>
  <c r="N18" i="1"/>
  <c r="O18" i="1"/>
  <c r="O16" i="1"/>
  <c r="P16" i="1" s="1"/>
  <c r="O15" i="1"/>
  <c r="P11" i="1"/>
  <c r="P12" i="1"/>
  <c r="M10" i="1"/>
  <c r="M12" i="1"/>
  <c r="N12" i="1" s="1"/>
  <c r="J11" i="1"/>
  <c r="L11" i="1"/>
  <c r="J13" i="1"/>
  <c r="N13" i="1"/>
  <c r="L13" i="1"/>
  <c r="L12" i="1"/>
  <c r="O9" i="1" l="1"/>
  <c r="N34" i="1"/>
  <c r="M20" i="1"/>
  <c r="M9" i="1"/>
  <c r="N10" i="1"/>
  <c r="N9" i="1" s="1"/>
  <c r="N17" i="1"/>
  <c r="J9" i="1"/>
  <c r="N37" i="1"/>
  <c r="N21" i="1"/>
  <c r="N20" i="1" s="1"/>
  <c r="L37" i="1"/>
  <c r="L34" i="1"/>
  <c r="M17" i="1"/>
  <c r="N15" i="1"/>
  <c r="N14" i="1" s="1"/>
  <c r="M14" i="1"/>
  <c r="P38" i="1"/>
  <c r="P37" i="1" s="1"/>
  <c r="O37" i="1"/>
  <c r="P35" i="1"/>
  <c r="P34" i="1" s="1"/>
  <c r="O34" i="1"/>
  <c r="M27" i="1"/>
  <c r="N27" i="1"/>
  <c r="L27" i="1"/>
  <c r="P28" i="1"/>
  <c r="P27" i="1" s="1"/>
  <c r="O27" i="1"/>
  <c r="L20" i="1"/>
  <c r="P21" i="1"/>
  <c r="P20" i="1" s="1"/>
  <c r="O20" i="1"/>
  <c r="P18" i="1"/>
  <c r="P17" i="1" s="1"/>
  <c r="O17" i="1"/>
  <c r="P15" i="1"/>
  <c r="P14" i="1" s="1"/>
  <c r="O14" i="1"/>
  <c r="L9" i="1"/>
  <c r="P9" i="1"/>
</calcChain>
</file>

<file path=xl/sharedStrings.xml><?xml version="1.0" encoding="utf-8"?>
<sst xmlns="http://schemas.openxmlformats.org/spreadsheetml/2006/main" count="85" uniqueCount="63">
  <si>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</si>
  <si>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</si>
  <si>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</si>
  <si>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</si>
  <si>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</si>
  <si>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</si>
  <si>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</si>
  <si>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</si>
  <si>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</si>
  <si>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</si>
  <si>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</si>
  <si>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</si>
  <si>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</si>
  <si>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</si>
  <si>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</si>
  <si>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</si>
  <si>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</si>
  <si>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</si>
  <si>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</si>
  <si>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</si>
  <si>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1.1</t>
  </si>
  <si>
    <t>1.2</t>
  </si>
  <si>
    <t>Đơn vị chủ trì</t>
  </si>
  <si>
    <t>PHT Huỳnh Văn Chung</t>
  </si>
  <si>
    <t>1.3</t>
  </si>
  <si>
    <t>Các nhiệm vụ đột xuất, phát sinh khác ngoài kế hoạch (nếu có)</t>
  </si>
  <si>
    <t>Trung bình</t>
  </si>
  <si>
    <t>Khó và phức tạp</t>
  </si>
  <si>
    <t>1.4</t>
  </si>
  <si>
    <t>Điểm chấm công việc</t>
  </si>
  <si>
    <t>Hệ số quy đổi</t>
  </si>
  <si>
    <t>KPI (số lượng)</t>
  </si>
  <si>
    <t>KPI (chất lượng)</t>
  </si>
  <si>
    <t>KPI (tiến độ)</t>
  </si>
  <si>
    <t>Thực tế hoàn thành</t>
  </si>
  <si>
    <t>Quy đổi</t>
  </si>
  <si>
    <t>Số lượng quy đổi</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</si>
  <si>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</si>
  <si>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</si>
  <si>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</si>
  <si>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</si>
  <si>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</si>
  <si>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</si>
  <si>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</si>
  <si>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</si>
  <si>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</si>
  <si>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</si>
  <si>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</si>
  <si>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</si>
  <si>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ĐOÀN UBND TỈNH QUẢNG NGÃI</t>
  </si>
  <si>
    <t>ĐOÀN TNCS HỒ CHÍ MINH</t>
  </si>
  <si>
    <t>Kế hoạch</t>
  </si>
  <si>
    <t>BCH ĐOÀN TRƯỜNG CAO DẲNG KON TUM
***</t>
  </si>
  <si>
    <r>
      <rPr>
        <b/>
        <i/>
        <sz val="12"/>
        <rFont val="Times New Roman"/>
        <family val="1"/>
        <charset val="163"/>
      </rPr>
      <t xml:space="preserve">
Nơi nhận:</t>
    </r>
    <r>
      <rPr>
        <sz val="12"/>
        <rFont val="Times New Roman"/>
        <family val="1"/>
      </rPr>
      <t xml:space="preserve">
</t>
    </r>
    <r>
      <rPr>
        <sz val="11"/>
        <rFont val="Times New Roman"/>
        <family val="1"/>
        <charset val="163"/>
      </rPr>
      <t>- Đảng ủy, Lãnh đạo Trường;
- Phòng Tổng hợp - Hành chính và Quảng trị;
- Lưu: VP Đoàn- Hội.</t>
    </r>
  </si>
  <si>
    <t>Quảng Ngãi, ngày 14 tháng 8 năm 2026</t>
  </si>
  <si>
    <t>BÁO CÁO
kết quả thực hiện công tác tháng 8 năm 2026</t>
  </si>
  <si>
    <r>
      <rPr>
        <i/>
        <sz val="14"/>
        <rFont val="Times New Roman"/>
        <family val="1"/>
        <charset val="163"/>
      </rPr>
      <t>Quảng Ngãi, ngày 14 tháng 8 năm 2026</t>
    </r>
    <r>
      <rPr>
        <sz val="14"/>
        <rFont val="Times New Roman"/>
        <family val="1"/>
      </rPr>
      <t xml:space="preserve">
</t>
    </r>
    <r>
      <rPr>
        <b/>
        <sz val="14"/>
        <rFont val="Times New Roman"/>
        <family val="1"/>
      </rPr>
      <t xml:space="preserve">TM. BCH ĐOÀN TRƯỜNG
BÍ THƯ
Hoàng Thị Chúc
</t>
    </r>
  </si>
  <si>
    <t>Đoàn TN-Hội SV</t>
  </si>
  <si>
    <t>Phối hợp tổ chức tiếp sinh, nhập học thí sinh trúng tuyển trình độ cao đẳng, trung cấp, hệ chính quy năm học 2026-2027 theo kế hoạch của nhà trường</t>
  </si>
  <si>
    <t>Công văn/Thông báo</t>
  </si>
  <si>
    <t>Kiểm điểm và đánh giá, xếp loại chất lượng tập thể và cá nhân năm học 2025 – 2026</t>
  </si>
  <si>
    <t>Đoàn TN</t>
  </si>
  <si>
    <t>Xây dựng Kế hoạch xét chọn "Sinh viên 5 tốt" và "Học sinh 3 rèn luyện" các cấp năm học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</si>
</sst>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3" x14ac:knownFonts="1">
    <font>
      <sz val="11"/>
      <color theme="1"/>
      <name val="Calibri"/>
      <family val="2"/>
      <scheme val="minor"/>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3"/>
      <name val="Times New Roman"/>
      <family val="1"/>
    </font>
    <font>
      <b/>
      <sz val="13"/>
      <name val="Times New Roman"/>
      <family val="1"/>
    </font>
    <font>
      <b/>
      <u/>
      <sz val="15"/>
      <name val="Times New Roman"/>
      <family val="1"/>
    </font>
    <font>
      <i/>
      <sz val="14"/>
      <name val="Times New Roman"/>
      <family val="1"/>
    </font>
    <font>
      <sz val="14"/>
      <name val="Calibri"/>
      <family val="2"/>
      <scheme val="minor"/>
    </font>
    <font>
      <sz val="14"/>
      <name val="Times New Roman"/>
      <family val="1"/>
      <charset val="163"/>
    </font>
    <font>
      <sz val="12"/>
      <color rgb="FFFF0000"/>
      <name val="Times New Roman"/>
      <family val="1"/>
    </font>
    <font>
      <b/>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12" fillId="0" borderId="0" applyFont="0" applyFill="0" applyBorder="0" applyAlignment="0" applyProtection="0"/>
  </cellStyleXfs>
  <cellXfs count="66">
    <xf numFmtId="0" fontId="0" fillId="0" borderId="0" xfId="0"/>
    <xf numFmtId="0" fontId="1" fillId="0" borderId="0" xfId="0" applyFont="1"/>
    <xf numFmtId="0" fontId="9" fillId="0" borderId="0" xfId="0" applyFont="1"/>
    <xf numFmtId="0" fontId="6" fillId="0" borderId="2" xfId="0" applyFont="1" applyBorder="1" applyAlignment="1">
      <alignment horizontal="center" vertical="center" wrapText="1"/>
    </xf>
    <xf numFmtId="43" fontId="6" fillId="0" borderId="2" xfId="1" applyFont="1" applyFill="1" applyBorder="1" applyAlignment="1">
      <alignment horizontal="center" vertical="center" wrapText="1"/>
    </xf>
    <xf numFmtId="0" fontId="6" fillId="0" borderId="0" xfId="0" applyFont="1" applyAlignment="1">
      <alignment horizontal="left" vertical="top" wrapText="1"/>
    </xf>
    <xf numFmtId="2" fontId="2" fillId="0" borderId="8"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xf>
    <xf numFmtId="164" fontId="6" fillId="0" borderId="2" xfId="1" applyNumberFormat="1" applyFont="1" applyFill="1" applyBorder="1" applyAlignment="1">
      <alignment horizontal="center" vertical="center" wrapText="1"/>
    </xf>
    <xf numFmtId="0" fontId="6" fillId="0" borderId="2" xfId="0" applyFont="1" applyBorder="1" applyAlignment="1">
      <alignment vertical="center" wrapText="1"/>
    </xf>
    <xf numFmtId="43" fontId="6" fillId="0" borderId="2" xfId="1" quotePrefix="1" applyFont="1" applyFill="1" applyBorder="1" applyAlignment="1">
      <alignment horizontal="center" vertical="center" wrapText="1"/>
    </xf>
    <xf numFmtId="0" fontId="8" fillId="0" borderId="2" xfId="0" quotePrefix="1" applyFont="1" applyBorder="1" applyAlignment="1">
      <alignment horizontal="center" vertical="center" wrapText="1"/>
    </xf>
    <xf numFmtId="0" fontId="3" fillId="0" borderId="2" xfId="0" applyFont="1" applyBorder="1" applyAlignment="1">
      <alignment horizontal="center" vertical="center" wrapText="1"/>
    </xf>
    <xf numFmtId="43" fontId="3" fillId="0" borderId="2" xfId="1" applyFont="1" applyFill="1" applyBorder="1" applyAlignment="1">
      <alignment horizontal="center" vertical="center" wrapText="1"/>
    </xf>
    <xf numFmtId="164" fontId="3" fillId="0" borderId="2" xfId="1" applyNumberFormat="1"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justify" vertical="center" wrapText="1"/>
    </xf>
    <xf numFmtId="0" fontId="3" fillId="0" borderId="0" xfId="0" applyFont="1" applyAlignment="1">
      <alignment vertical="center" wrapText="1"/>
    </xf>
    <xf numFmtId="0" fontId="16" fillId="0" borderId="0" xfId="0" applyFont="1" applyAlignment="1">
      <alignment wrapText="1"/>
    </xf>
    <xf numFmtId="0" fontId="5" fillId="0" borderId="0" xfId="0" applyFont="1" applyAlignment="1">
      <alignment vertical="center" wrapText="1"/>
    </xf>
    <xf numFmtId="0" fontId="20" fillId="0" borderId="2" xfId="0" applyFont="1" applyBorder="1" applyAlignment="1">
      <alignment vertical="center" wrapText="1"/>
    </xf>
    <xf numFmtId="0" fontId="1" fillId="0" borderId="2" xfId="0" applyFont="1" applyBorder="1"/>
    <xf numFmtId="0" fontId="1" fillId="2" borderId="0" xfId="0" applyFont="1" applyFill="1"/>
    <xf numFmtId="0" fontId="1" fillId="4" borderId="0" xfId="0" applyFont="1" applyFill="1"/>
    <xf numFmtId="0" fontId="1" fillId="3" borderId="0" xfId="0" applyFont="1" applyFill="1"/>
    <xf numFmtId="0" fontId="1" fillId="5" borderId="0" xfId="0" applyFont="1" applyFill="1"/>
    <xf numFmtId="0" fontId="21" fillId="0" borderId="2" xfId="0" applyFont="1" applyBorder="1" applyAlignment="1">
      <alignment horizontal="center" vertical="center" wrapText="1"/>
    </xf>
    <xf numFmtId="0" fontId="21" fillId="0" borderId="2" xfId="0" applyFont="1" applyBorder="1" applyAlignment="1">
      <alignment vertical="center" wrapText="1"/>
    </xf>
    <xf numFmtId="0" fontId="21" fillId="0" borderId="0" xfId="0" applyFont="1" applyAlignment="1">
      <alignment vertical="center"/>
    </xf>
    <xf numFmtId="0" fontId="22" fillId="0" borderId="2" xfId="0" applyFont="1" applyBorder="1" applyAlignment="1">
      <alignment horizontal="center" vertical="center" wrapText="1"/>
    </xf>
    <xf numFmtId="0" fontId="21" fillId="0" borderId="6" xfId="0" applyFont="1" applyBorder="1" applyAlignment="1">
      <alignment vertical="center" wrapText="1"/>
    </xf>
    <xf numFmtId="0" fontId="21" fillId="0" borderId="6" xfId="0" applyFont="1" applyBorder="1" applyAlignment="1">
      <alignment horizontal="center" vertical="center" wrapText="1"/>
    </xf>
    <xf numFmtId="0" fontId="21" fillId="0" borderId="2" xfId="0" applyFont="1" applyBorder="1" applyAlignment="1">
      <alignment vertical="center"/>
    </xf>
    <xf numFmtId="43" fontId="21" fillId="0" borderId="2" xfId="1" applyFont="1" applyFill="1" applyBorder="1" applyAlignment="1">
      <alignment horizontal="center" vertical="center" wrapText="1"/>
    </xf>
    <xf numFmtId="164" fontId="21" fillId="0" borderId="2" xfId="1" applyNumberFormat="1" applyFont="1" applyFill="1" applyBorder="1" applyAlignment="1">
      <alignment horizontal="center" vertical="center" wrapText="1"/>
    </xf>
    <xf numFmtId="0" fontId="22" fillId="0" borderId="6" xfId="0" applyFont="1" applyBorder="1" applyAlignment="1">
      <alignment horizontal="center" vertical="center" wrapText="1"/>
    </xf>
    <xf numFmtId="0" fontId="2" fillId="0" borderId="2" xfId="0" applyFont="1" applyBorder="1" applyAlignment="1">
      <alignment horizontal="left" vertical="center"/>
    </xf>
    <xf numFmtId="0" fontId="5" fillId="0" borderId="0" xfId="0" applyFont="1" applyAlignment="1">
      <alignment horizontal="center" vertical="center" wrapText="1"/>
    </xf>
    <xf numFmtId="0" fontId="19" fillId="0" borderId="0" xfId="0" applyFont="1" applyAlignment="1">
      <alignment horizontal="center" vertical="center"/>
    </xf>
    <xf numFmtId="0" fontId="2" fillId="0" borderId="8" xfId="0" applyFont="1" applyBorder="1" applyAlignment="1">
      <alignment horizontal="center" vertical="center" wrapText="1"/>
    </xf>
    <xf numFmtId="0" fontId="14" fillId="0" borderId="10" xfId="0" applyFont="1" applyBorder="1"/>
    <xf numFmtId="0" fontId="17" fillId="0" borderId="0" xfId="0" applyFont="1" applyAlignment="1">
      <alignment horizontal="center" wrapText="1"/>
    </xf>
    <xf numFmtId="0" fontId="18" fillId="0" borderId="0" xfId="0" applyFont="1" applyAlignment="1">
      <alignment horizontal="center" vertical="center" wrapText="1"/>
    </xf>
    <xf numFmtId="2" fontId="2" fillId="0" borderId="8" xfId="0" applyNumberFormat="1" applyFont="1" applyBorder="1" applyAlignment="1">
      <alignment horizontal="center" vertical="center" wrapText="1"/>
    </xf>
    <xf numFmtId="2" fontId="14" fillId="0" borderId="9" xfId="0" applyNumberFormat="1" applyFont="1" applyBorder="1" applyAlignment="1">
      <alignment wrapText="1"/>
    </xf>
    <xf numFmtId="0" fontId="3" fillId="0" borderId="1" xfId="0" applyFont="1" applyBorder="1" applyAlignment="1">
      <alignment horizontal="left"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15" fillId="0" borderId="0" xfId="0" applyFont="1" applyAlignment="1">
      <alignment horizontal="center"/>
    </xf>
    <xf numFmtId="0" fontId="16" fillId="0" borderId="0" xfId="0" applyFont="1" applyAlignment="1">
      <alignment horizontal="center" vertical="center" wrapText="1"/>
    </xf>
    <xf numFmtId="0" fontId="11"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left" vertical="top"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2"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376195</xdr:colOff>
      <xdr:row>2</xdr:row>
      <xdr:rowOff>519793</xdr:rowOff>
    </xdr:from>
    <xdr:to>
      <xdr:col>5</xdr:col>
      <xdr:colOff>23209</xdr:colOff>
      <xdr:row>2</xdr:row>
      <xdr:rowOff>519793</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132016" y="1349829"/>
          <a:ext cx="119822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42"/>
  <sheetViews>
    <sheetView tabSelected="1" view="pageBreakPreview" zoomScale="85" zoomScaleNormal="70" zoomScaleSheetLayoutView="85" workbookViewId="0">
      <selection activeCell="D28" sqref="D28"/>
    </sheetView>
  </sheetViews>
  <sheetFormatPr defaultRowHeight="32.450000000000003" customHeight="1" x14ac:dyDescent="0.25"/>
  <cols>
    <col min="1" max="1" width="4.85546875" style="1" customWidth="1"/>
    <col min="2" max="2" width="42.28515625" style="1" customWidth="1"/>
    <col min="3" max="3" width="25" style="1" bestFit="1" customWidth="1"/>
    <col min="4" max="4" width="18" style="1" bestFit="1" customWidth="1"/>
    <col min="5" max="5" width="19.140625" style="1" customWidth="1"/>
    <col min="6" max="6" width="7.42578125" style="24" bestFit="1" customWidth="1"/>
    <col min="7" max="7" width="10.140625" style="1" customWidth="1"/>
    <col min="8" max="8" width="8.42578125" style="25" customWidth="1"/>
    <col min="9" max="9" width="6.85546875" style="26" customWidth="1"/>
    <col min="10" max="10" width="7.28515625" style="1" customWidth="1"/>
    <col min="11" max="11" width="11.42578125" style="27" customWidth="1"/>
    <col min="12" max="12" width="6.5703125" style="1" customWidth="1"/>
    <col min="13" max="13" width="10.42578125" style="27" customWidth="1"/>
    <col min="14" max="14" width="6.42578125" style="1" customWidth="1"/>
    <col min="15" max="15" width="10.42578125" style="27" customWidth="1"/>
    <col min="16" max="16" width="6.5703125" style="1" customWidth="1"/>
    <col min="17" max="16384" width="9.140625" style="1"/>
  </cols>
  <sheetData>
    <row r="1" spans="1:17" s="2" customFormat="1" ht="28.5" customHeight="1" x14ac:dyDescent="0.3">
      <c r="A1" s="50" t="s">
        <v>49</v>
      </c>
      <c r="B1" s="50"/>
      <c r="C1" s="50"/>
      <c r="E1" s="20"/>
      <c r="F1" s="20"/>
      <c r="G1" s="43" t="s">
        <v>50</v>
      </c>
      <c r="H1" s="43"/>
      <c r="I1" s="43"/>
      <c r="J1" s="43"/>
      <c r="K1" s="43"/>
      <c r="L1" s="43"/>
      <c r="M1" s="43"/>
      <c r="N1" s="43"/>
      <c r="O1" s="43"/>
      <c r="P1" s="43"/>
    </row>
    <row r="2" spans="1:17" s="2" customFormat="1" ht="36.75" customHeight="1" x14ac:dyDescent="0.25">
      <c r="A2" s="51" t="s">
        <v>52</v>
      </c>
      <c r="B2" s="51"/>
      <c r="C2" s="51"/>
      <c r="E2" s="21"/>
      <c r="F2" s="21"/>
      <c r="G2" s="44" t="s">
        <v>54</v>
      </c>
      <c r="H2" s="44"/>
      <c r="I2" s="44"/>
      <c r="J2" s="44"/>
      <c r="K2" s="44"/>
      <c r="L2" s="44"/>
      <c r="M2" s="44"/>
      <c r="N2" s="44"/>
      <c r="O2" s="44"/>
      <c r="P2" s="44"/>
    </row>
    <row r="3" spans="1:17" ht="44.25" customHeight="1" x14ac:dyDescent="0.25">
      <c r="A3" s="39" t="s">
        <v>55</v>
      </c>
      <c r="B3" s="40"/>
      <c r="C3" s="40"/>
      <c r="D3" s="40"/>
      <c r="E3" s="40"/>
      <c r="F3" s="40"/>
      <c r="G3" s="40"/>
      <c r="H3" s="40"/>
      <c r="I3" s="40"/>
      <c r="J3" s="40"/>
      <c r="K3" s="40"/>
      <c r="L3" s="40"/>
      <c r="M3" s="40"/>
      <c r="N3" s="40"/>
      <c r="O3" s="40"/>
      <c r="P3" s="40"/>
    </row>
    <row r="4" spans="1:17" ht="9" customHeight="1" x14ac:dyDescent="0.25">
      <c r="A4" s="47"/>
      <c r="B4" s="47"/>
      <c r="C4" s="47"/>
      <c r="D4" s="47"/>
      <c r="E4" s="47"/>
      <c r="F4" s="47"/>
      <c r="G4" s="47"/>
      <c r="H4" s="47"/>
      <c r="I4" s="47"/>
      <c r="J4" s="47"/>
      <c r="K4" s="47"/>
      <c r="L4" s="47"/>
      <c r="M4" s="47"/>
      <c r="N4" s="47"/>
      <c r="O4" s="47"/>
      <c r="P4" s="47"/>
    </row>
    <row r="5" spans="1:17" ht="36" customHeight="1" x14ac:dyDescent="0.25">
      <c r="A5" s="55" t="s">
        <v>0</v>
      </c>
      <c r="B5" s="55" t="s">
        <v>1</v>
      </c>
      <c r="C5" s="55" t="s">
        <v>2</v>
      </c>
      <c r="D5" s="55" t="s">
        <v>22</v>
      </c>
      <c r="E5" s="55" t="s">
        <v>38</v>
      </c>
      <c r="F5" s="55" t="s">
        <v>12</v>
      </c>
      <c r="G5" s="57" t="s">
        <v>43</v>
      </c>
      <c r="H5" s="41" t="s">
        <v>29</v>
      </c>
      <c r="I5" s="41" t="s">
        <v>30</v>
      </c>
      <c r="J5" s="48" t="s">
        <v>36</v>
      </c>
      <c r="K5" s="45" t="s">
        <v>31</v>
      </c>
      <c r="L5" s="46"/>
      <c r="M5" s="45" t="s">
        <v>32</v>
      </c>
      <c r="N5" s="46"/>
      <c r="O5" s="45" t="s">
        <v>33</v>
      </c>
      <c r="P5" s="46"/>
      <c r="Q5" s="2"/>
    </row>
    <row r="6" spans="1:17" ht="105" customHeight="1" x14ac:dyDescent="0.25">
      <c r="A6" s="56"/>
      <c r="B6" s="56"/>
      <c r="C6" s="56"/>
      <c r="D6" s="56"/>
      <c r="E6" s="56"/>
      <c r="F6" s="56"/>
      <c r="G6" s="58"/>
      <c r="H6" s="42"/>
      <c r="I6" s="42"/>
      <c r="J6" s="49"/>
      <c r="K6" s="6" t="s">
        <v>34</v>
      </c>
      <c r="L6" s="6" t="s">
        <v>35</v>
      </c>
      <c r="M6" s="6" t="s">
        <v>34</v>
      </c>
      <c r="N6" s="6" t="s">
        <v>35</v>
      </c>
      <c r="O6" s="6" t="s">
        <v>34</v>
      </c>
      <c r="P6" s="6" t="s">
        <v>35</v>
      </c>
      <c r="Q6" s="2"/>
    </row>
    <row r="7" spans="1:17" ht="102" customHeight="1" x14ac:dyDescent="0.25">
      <c r="A7" s="13" t="s">
        <v>13</v>
      </c>
      <c r="B7" s="13" t="s">
        <v>14</v>
      </c>
      <c r="C7" s="13" t="s">
        <v>15</v>
      </c>
      <c r="D7" s="13" t="s">
        <v>16</v>
      </c>
      <c r="E7" s="13" t="s">
        <v>17</v>
      </c>
      <c r="F7" s="13" t="s">
        <v>18</v>
      </c>
      <c r="G7" s="13" t="s">
        <v>19</v>
      </c>
      <c r="H7" s="13" t="s">
        <v>39</v>
      </c>
      <c r="I7" s="13" t="s">
        <v>48</v>
      </c>
      <c r="J7" s="13" t="s">
        <v>47</v>
      </c>
      <c r="K7" s="13" t="s">
        <v>41</v>
      </c>
      <c r="L7" s="13" t="s">
        <v>46</v>
      </c>
      <c r="M7" s="13" t="s">
        <v>40</v>
      </c>
      <c r="N7" s="13" t="s">
        <v>44</v>
      </c>
      <c r="O7" s="13" t="s">
        <v>42</v>
      </c>
      <c r="P7" s="13" t="s">
        <v>45</v>
      </c>
    </row>
    <row r="8" spans="1:17" ht="31.5" customHeight="1" x14ac:dyDescent="0.25">
      <c r="A8" s="7" t="s">
        <v>3</v>
      </c>
      <c r="B8" s="59" t="s">
        <v>37</v>
      </c>
      <c r="C8" s="59"/>
      <c r="D8" s="59"/>
      <c r="E8" s="59"/>
      <c r="F8" s="59"/>
      <c r="G8" s="59"/>
      <c r="H8" s="59"/>
      <c r="I8" s="59"/>
      <c r="J8" s="59"/>
      <c r="K8" s="59"/>
      <c r="L8" s="59"/>
      <c r="M8" s="59"/>
      <c r="N8" s="59"/>
      <c r="O8" s="59"/>
      <c r="P8" s="59"/>
    </row>
    <row r="9" spans="1:17" ht="15.75" x14ac:dyDescent="0.25">
      <c r="A9" s="8">
        <v>1</v>
      </c>
      <c r="B9" s="38" t="s">
        <v>4</v>
      </c>
      <c r="C9" s="38"/>
      <c r="D9" s="38"/>
      <c r="E9" s="38"/>
      <c r="F9" s="8">
        <f>SUM(F10:F13)</f>
        <v>0</v>
      </c>
      <c r="G9" s="9"/>
      <c r="H9" s="9"/>
      <c r="I9" s="9"/>
      <c r="J9" s="8">
        <f t="shared" ref="J9:P9" si="0">SUM(J10:J13)</f>
        <v>0</v>
      </c>
      <c r="K9" s="8">
        <f t="shared" si="0"/>
        <v>0</v>
      </c>
      <c r="L9" s="8">
        <f t="shared" si="0"/>
        <v>0</v>
      </c>
      <c r="M9" s="8">
        <f t="shared" si="0"/>
        <v>0</v>
      </c>
      <c r="N9" s="8">
        <f t="shared" si="0"/>
        <v>0</v>
      </c>
      <c r="O9" s="8">
        <f t="shared" si="0"/>
        <v>0</v>
      </c>
      <c r="P9" s="8">
        <f t="shared" si="0"/>
        <v>0</v>
      </c>
    </row>
    <row r="10" spans="1:17" ht="18.75" x14ac:dyDescent="0.25">
      <c r="A10" s="3" t="s">
        <v>20</v>
      </c>
      <c r="B10" s="22"/>
      <c r="C10" s="3"/>
      <c r="D10" s="3"/>
      <c r="E10" s="3"/>
      <c r="F10" s="3"/>
      <c r="G10" s="3"/>
      <c r="H10" s="3">
        <f>IF(G10="Khó và phức tạp",200,IF(G10="Cao",150,IF(G10="Trungbình",120,100)))</f>
        <v>100</v>
      </c>
      <c r="I10" s="3">
        <f>H10*0.01</f>
        <v>1</v>
      </c>
      <c r="J10" s="3">
        <f>F10*I10</f>
        <v>0</v>
      </c>
      <c r="K10" s="4">
        <f>F10*100%</f>
        <v>0</v>
      </c>
      <c r="L10" s="10">
        <f>K10*I10</f>
        <v>0</v>
      </c>
      <c r="M10" s="4">
        <f>K10*75%</f>
        <v>0</v>
      </c>
      <c r="N10" s="10">
        <f>I10*M10</f>
        <v>0</v>
      </c>
      <c r="O10" s="4">
        <f>K10*100%</f>
        <v>0</v>
      </c>
      <c r="P10" s="10">
        <f>I10*O10</f>
        <v>0</v>
      </c>
    </row>
    <row r="11" spans="1:17" ht="15.75" x14ac:dyDescent="0.25">
      <c r="A11" s="3" t="s">
        <v>21</v>
      </c>
      <c r="B11" s="23"/>
      <c r="C11" s="23"/>
      <c r="D11" s="23"/>
      <c r="E11" s="23"/>
      <c r="F11" s="3"/>
      <c r="G11" s="3"/>
      <c r="H11" s="3">
        <f t="shared" ref="H11:H13" si="1">IF(G11="Khó và phức tạp",200,IF(G11="Cao",150,IF(G11="Trungbình",120,100)))</f>
        <v>100</v>
      </c>
      <c r="I11" s="3">
        <f t="shared" ref="I11:I13" si="2">H11*0.01</f>
        <v>1</v>
      </c>
      <c r="J11" s="3">
        <f t="shared" ref="J11:J13" si="3">F11*I11</f>
        <v>0</v>
      </c>
      <c r="K11" s="4">
        <f>F11*50%</f>
        <v>0</v>
      </c>
      <c r="L11" s="10">
        <f t="shared" ref="L11:L13" si="4">K11*I11</f>
        <v>0</v>
      </c>
      <c r="M11" s="12">
        <f>K11*100%</f>
        <v>0</v>
      </c>
      <c r="N11" s="10">
        <f t="shared" ref="N11:N13" si="5">I11*M11</f>
        <v>0</v>
      </c>
      <c r="O11" s="12">
        <f>K11*100%</f>
        <v>0</v>
      </c>
      <c r="P11" s="10">
        <f t="shared" ref="P11:P13" si="6">I11*O11</f>
        <v>0</v>
      </c>
    </row>
    <row r="12" spans="1:17" ht="15.75" x14ac:dyDescent="0.25">
      <c r="A12" s="3" t="s">
        <v>24</v>
      </c>
      <c r="B12" s="11" t="s">
        <v>5</v>
      </c>
      <c r="C12" s="3"/>
      <c r="D12" s="3"/>
      <c r="E12" s="3"/>
      <c r="F12" s="3"/>
      <c r="G12" s="3"/>
      <c r="H12" s="3">
        <f t="shared" si="1"/>
        <v>100</v>
      </c>
      <c r="I12" s="3">
        <f t="shared" si="2"/>
        <v>1</v>
      </c>
      <c r="J12" s="3">
        <f t="shared" si="3"/>
        <v>0</v>
      </c>
      <c r="K12" s="4">
        <f>F12*100%</f>
        <v>0</v>
      </c>
      <c r="L12" s="10">
        <f t="shared" si="4"/>
        <v>0</v>
      </c>
      <c r="M12" s="4">
        <f>K12*75%</f>
        <v>0</v>
      </c>
      <c r="N12" s="10">
        <f t="shared" si="5"/>
        <v>0</v>
      </c>
      <c r="O12" s="4">
        <f>K12*50%</f>
        <v>0</v>
      </c>
      <c r="P12" s="10">
        <f t="shared" si="6"/>
        <v>0</v>
      </c>
    </row>
    <row r="13" spans="1:17" ht="15.75" x14ac:dyDescent="0.25">
      <c r="A13" s="3" t="s">
        <v>28</v>
      </c>
      <c r="B13" s="11" t="s">
        <v>5</v>
      </c>
      <c r="C13" s="3"/>
      <c r="D13" s="3"/>
      <c r="E13" s="3"/>
      <c r="F13" s="3"/>
      <c r="G13" s="3"/>
      <c r="H13" s="3">
        <f t="shared" si="1"/>
        <v>100</v>
      </c>
      <c r="I13" s="3">
        <f t="shared" si="2"/>
        <v>1</v>
      </c>
      <c r="J13" s="3">
        <f t="shared" si="3"/>
        <v>0</v>
      </c>
      <c r="K13" s="4">
        <f>F13*75%</f>
        <v>0</v>
      </c>
      <c r="L13" s="10">
        <f t="shared" si="4"/>
        <v>0</v>
      </c>
      <c r="M13" s="4">
        <f>K13*100%</f>
        <v>0</v>
      </c>
      <c r="N13" s="10">
        <f t="shared" si="5"/>
        <v>0</v>
      </c>
      <c r="O13" s="4">
        <f>K13*75%</f>
        <v>0</v>
      </c>
      <c r="P13" s="10">
        <f t="shared" si="6"/>
        <v>0</v>
      </c>
    </row>
    <row r="14" spans="1:17" ht="15.75" x14ac:dyDescent="0.25">
      <c r="A14" s="8">
        <v>2</v>
      </c>
      <c r="B14" s="38" t="s">
        <v>6</v>
      </c>
      <c r="C14" s="38"/>
      <c r="D14" s="38"/>
      <c r="E14" s="38"/>
      <c r="F14" s="8">
        <f>SUM(F15:F16)</f>
        <v>0</v>
      </c>
      <c r="G14" s="9"/>
      <c r="H14" s="9"/>
      <c r="I14" s="9"/>
      <c r="J14" s="8">
        <f t="shared" ref="J14:P14" si="7">SUM(J15:J16)</f>
        <v>0</v>
      </c>
      <c r="K14" s="8">
        <f t="shared" si="7"/>
        <v>0</v>
      </c>
      <c r="L14" s="8">
        <f t="shared" si="7"/>
        <v>0</v>
      </c>
      <c r="M14" s="8">
        <f t="shared" si="7"/>
        <v>0</v>
      </c>
      <c r="N14" s="8">
        <f t="shared" si="7"/>
        <v>0</v>
      </c>
      <c r="O14" s="8">
        <f t="shared" si="7"/>
        <v>0</v>
      </c>
      <c r="P14" s="8">
        <f t="shared" si="7"/>
        <v>0</v>
      </c>
    </row>
    <row r="15" spans="1:17" ht="15.75" x14ac:dyDescent="0.25">
      <c r="A15" s="3"/>
      <c r="B15" s="11"/>
      <c r="C15" s="3"/>
      <c r="D15" s="3"/>
      <c r="E15" s="3"/>
      <c r="F15" s="3"/>
      <c r="G15" s="3"/>
      <c r="H15" s="3"/>
      <c r="I15" s="3">
        <f>H15*0.01</f>
        <v>0</v>
      </c>
      <c r="J15" s="3">
        <f>F15*I15</f>
        <v>0</v>
      </c>
      <c r="K15" s="4">
        <f>F15*100%</f>
        <v>0</v>
      </c>
      <c r="L15" s="10">
        <f t="shared" ref="L15:L16" si="8">K15*I15</f>
        <v>0</v>
      </c>
      <c r="M15" s="4">
        <f>K15*75%</f>
        <v>0</v>
      </c>
      <c r="N15" s="10">
        <f>I15*M15</f>
        <v>0</v>
      </c>
      <c r="O15" s="4">
        <f>K15*100%</f>
        <v>0</v>
      </c>
      <c r="P15" s="10">
        <f>I15*O15</f>
        <v>0</v>
      </c>
    </row>
    <row r="16" spans="1:17" ht="15.75" x14ac:dyDescent="0.25">
      <c r="A16" s="3"/>
      <c r="B16" s="11"/>
      <c r="C16" s="3"/>
      <c r="D16" s="3"/>
      <c r="E16" s="3"/>
      <c r="F16" s="3"/>
      <c r="G16" s="3"/>
      <c r="H16" s="3"/>
      <c r="I16" s="3">
        <f>H16*0.01</f>
        <v>0</v>
      </c>
      <c r="J16" s="3">
        <f>F16*I16</f>
        <v>0</v>
      </c>
      <c r="K16" s="4">
        <f>F16*100%</f>
        <v>0</v>
      </c>
      <c r="L16" s="10">
        <f t="shared" si="8"/>
        <v>0</v>
      </c>
      <c r="M16" s="4">
        <f>K16*75%</f>
        <v>0</v>
      </c>
      <c r="N16" s="10">
        <f>I16*M16</f>
        <v>0</v>
      </c>
      <c r="O16" s="4">
        <f>K16*100%</f>
        <v>0</v>
      </c>
      <c r="P16" s="10">
        <f>I16*O16</f>
        <v>0</v>
      </c>
    </row>
    <row r="17" spans="1:16" ht="15.75" x14ac:dyDescent="0.25">
      <c r="A17" s="8">
        <v>3</v>
      </c>
      <c r="B17" s="38" t="s">
        <v>7</v>
      </c>
      <c r="C17" s="38"/>
      <c r="D17" s="38"/>
      <c r="E17" s="38"/>
      <c r="F17" s="8">
        <f>SUM(F18:F19)</f>
        <v>1</v>
      </c>
      <c r="G17" s="9"/>
      <c r="H17" s="9"/>
      <c r="I17" s="9"/>
      <c r="J17" s="8">
        <f t="shared" ref="J17:P17" si="9">SUM(J18:J19)</f>
        <v>1</v>
      </c>
      <c r="K17" s="8">
        <f t="shared" si="9"/>
        <v>1</v>
      </c>
      <c r="L17" s="8">
        <f t="shared" si="9"/>
        <v>1</v>
      </c>
      <c r="M17" s="8">
        <f t="shared" si="9"/>
        <v>0.75</v>
      </c>
      <c r="N17" s="8">
        <f t="shared" si="9"/>
        <v>0.75</v>
      </c>
      <c r="O17" s="8">
        <f t="shared" si="9"/>
        <v>1</v>
      </c>
      <c r="P17" s="8">
        <f t="shared" si="9"/>
        <v>1</v>
      </c>
    </row>
    <row r="18" spans="1:16" ht="15.75" x14ac:dyDescent="0.25">
      <c r="A18" s="14">
        <v>3.1</v>
      </c>
      <c r="B18" s="17"/>
      <c r="C18" s="14"/>
      <c r="D18" s="19"/>
      <c r="E18" s="14"/>
      <c r="F18" s="7">
        <v>1</v>
      </c>
      <c r="G18" s="14" t="s">
        <v>26</v>
      </c>
      <c r="H18" s="14">
        <f>IF(G18="Khó và phức tạp",200,IF(G18="Cao",150,IF(G18="Trungbình",120,100)))</f>
        <v>100</v>
      </c>
      <c r="I18" s="14">
        <f>H18*0.01</f>
        <v>1</v>
      </c>
      <c r="J18" s="14">
        <f>F18*I18</f>
        <v>1</v>
      </c>
      <c r="K18" s="15">
        <f>F18*100%</f>
        <v>1</v>
      </c>
      <c r="L18" s="16">
        <f t="shared" ref="L18:L19" si="10">K18*I18</f>
        <v>1</v>
      </c>
      <c r="M18" s="15">
        <f>K18*75%</f>
        <v>0.75</v>
      </c>
      <c r="N18" s="16">
        <f>I18*M18</f>
        <v>0.75</v>
      </c>
      <c r="O18" s="15">
        <f>K18*100%</f>
        <v>1</v>
      </c>
      <c r="P18" s="16">
        <f>I18*O18</f>
        <v>1</v>
      </c>
    </row>
    <row r="19" spans="1:16" ht="15.75" x14ac:dyDescent="0.25">
      <c r="A19" s="3"/>
      <c r="B19" s="11" t="s">
        <v>5</v>
      </c>
      <c r="C19" s="3"/>
      <c r="D19" s="3"/>
      <c r="E19" s="3"/>
      <c r="F19" s="3"/>
      <c r="G19" s="3"/>
      <c r="H19" s="3">
        <f>IF(G19="Khó và phức tạp",200,IF(G19="Cao",150,IF(G19="Trungbình",120,100)))</f>
        <v>100</v>
      </c>
      <c r="I19" s="3">
        <f>H19*0.01</f>
        <v>1</v>
      </c>
      <c r="J19" s="3">
        <f>F19*I19</f>
        <v>0</v>
      </c>
      <c r="K19" s="4">
        <f>F19*100%</f>
        <v>0</v>
      </c>
      <c r="L19" s="10">
        <f t="shared" si="10"/>
        <v>0</v>
      </c>
      <c r="M19" s="4">
        <f>K19*75%</f>
        <v>0</v>
      </c>
      <c r="N19" s="10">
        <f>I19*M19</f>
        <v>0</v>
      </c>
      <c r="O19" s="4">
        <f>K19*100%</f>
        <v>0</v>
      </c>
      <c r="P19" s="10">
        <f>I19*O19</f>
        <v>0</v>
      </c>
    </row>
    <row r="20" spans="1:16" ht="15.75" x14ac:dyDescent="0.25">
      <c r="A20" s="8">
        <v>4</v>
      </c>
      <c r="B20" s="65" t="s">
        <v>8</v>
      </c>
      <c r="C20" s="65"/>
      <c r="D20" s="65"/>
      <c r="E20" s="65"/>
      <c r="F20" s="8">
        <f>SUM(F21:F26)</f>
        <v>1</v>
      </c>
      <c r="G20" s="9"/>
      <c r="H20" s="9"/>
      <c r="I20" s="9"/>
      <c r="J20" s="8">
        <f t="shared" ref="J20:P20" si="11">SUM(J21:J26)</f>
        <v>1</v>
      </c>
      <c r="K20" s="8">
        <f t="shared" si="11"/>
        <v>1</v>
      </c>
      <c r="L20" s="8">
        <f t="shared" si="11"/>
        <v>1</v>
      </c>
      <c r="M20" s="8">
        <f t="shared" si="11"/>
        <v>0.75</v>
      </c>
      <c r="N20" s="8">
        <f t="shared" si="11"/>
        <v>0.75</v>
      </c>
      <c r="O20" s="8">
        <f t="shared" si="11"/>
        <v>1</v>
      </c>
      <c r="P20" s="8">
        <f t="shared" si="11"/>
        <v>1</v>
      </c>
    </row>
    <row r="21" spans="1:16" ht="47.25" x14ac:dyDescent="0.25">
      <c r="A21" s="28">
        <v>4.0999999999999996</v>
      </c>
      <c r="B21" s="29" t="s">
        <v>62</v>
      </c>
      <c r="C21" s="28" t="s">
        <v>23</v>
      </c>
      <c r="D21" s="30" t="s">
        <v>57</v>
      </c>
      <c r="E21" s="28" t="s">
        <v>51</v>
      </c>
      <c r="F21" s="31">
        <v>1</v>
      </c>
      <c r="G21" s="28" t="s">
        <v>26</v>
      </c>
      <c r="H21" s="28">
        <f t="shared" ref="H21:H26" si="12">IF(G21="Khó và phức tạp",200,IF(G21="Cao",150,IF(G21="Trungbình",120,100)))</f>
        <v>100</v>
      </c>
      <c r="I21" s="28">
        <f t="shared" ref="I21:I26" si="13">H21*0.01</f>
        <v>1</v>
      </c>
      <c r="J21" s="28">
        <f>F21*I21</f>
        <v>1</v>
      </c>
      <c r="K21" s="35">
        <f>F21*100%</f>
        <v>1</v>
      </c>
      <c r="L21" s="36">
        <f t="shared" ref="L21:L26" si="14">K21*I21</f>
        <v>1</v>
      </c>
      <c r="M21" s="35">
        <f>K21*75%</f>
        <v>0.75</v>
      </c>
      <c r="N21" s="36">
        <f>I21*M21</f>
        <v>0.75</v>
      </c>
      <c r="O21" s="35">
        <f>K21*100%</f>
        <v>1</v>
      </c>
      <c r="P21" s="36">
        <f>I21*O21</f>
        <v>1</v>
      </c>
    </row>
    <row r="22" spans="1:16" ht="15.75" x14ac:dyDescent="0.25">
      <c r="A22" s="14">
        <v>4.2</v>
      </c>
      <c r="B22" s="17"/>
      <c r="C22" s="14"/>
      <c r="D22" s="14"/>
      <c r="E22" s="14"/>
      <c r="F22" s="14"/>
      <c r="G22" s="14"/>
      <c r="H22" s="14">
        <f t="shared" si="12"/>
        <v>100</v>
      </c>
      <c r="I22" s="14">
        <f t="shared" si="13"/>
        <v>1</v>
      </c>
      <c r="J22" s="14">
        <f>F22*I22</f>
        <v>0</v>
      </c>
      <c r="K22" s="15">
        <f>F22*100%</f>
        <v>0</v>
      </c>
      <c r="L22" s="16">
        <f t="shared" si="14"/>
        <v>0</v>
      </c>
      <c r="M22" s="15">
        <f>K22*75%</f>
        <v>0</v>
      </c>
      <c r="N22" s="16">
        <f>I22*M22</f>
        <v>0</v>
      </c>
      <c r="O22" s="15">
        <f>K22*100%</f>
        <v>0</v>
      </c>
      <c r="P22" s="16">
        <f>I22*O22</f>
        <v>0</v>
      </c>
    </row>
    <row r="23" spans="1:16" ht="15.75" x14ac:dyDescent="0.25">
      <c r="A23" s="14"/>
      <c r="B23" s="17" t="s">
        <v>5</v>
      </c>
      <c r="C23" s="14"/>
      <c r="D23" s="14"/>
      <c r="E23" s="14"/>
      <c r="F23" s="14"/>
      <c r="G23" s="14"/>
      <c r="H23" s="14">
        <f t="shared" si="12"/>
        <v>100</v>
      </c>
      <c r="I23" s="14">
        <f t="shared" si="13"/>
        <v>1</v>
      </c>
      <c r="J23" s="14">
        <f>F23*I23</f>
        <v>0</v>
      </c>
      <c r="K23" s="15">
        <f>F23*100%</f>
        <v>0</v>
      </c>
      <c r="L23" s="16">
        <f t="shared" si="14"/>
        <v>0</v>
      </c>
      <c r="M23" s="15">
        <f>K23*75%</f>
        <v>0</v>
      </c>
      <c r="N23" s="16">
        <f>I23*M23</f>
        <v>0</v>
      </c>
      <c r="O23" s="15">
        <f>K23*100%</f>
        <v>0</v>
      </c>
      <c r="P23" s="16">
        <f>I23*O23</f>
        <v>0</v>
      </c>
    </row>
    <row r="24" spans="1:16" ht="15.75" x14ac:dyDescent="0.25">
      <c r="A24" s="14"/>
      <c r="B24" s="17" t="s">
        <v>5</v>
      </c>
      <c r="C24" s="14"/>
      <c r="D24" s="14"/>
      <c r="E24" s="14"/>
      <c r="F24" s="14"/>
      <c r="G24" s="14"/>
      <c r="H24" s="14">
        <f t="shared" si="12"/>
        <v>100</v>
      </c>
      <c r="I24" s="14">
        <f t="shared" si="13"/>
        <v>1</v>
      </c>
      <c r="J24" s="14">
        <f>F24*I24</f>
        <v>0</v>
      </c>
      <c r="K24" s="15">
        <f>F24*100%</f>
        <v>0</v>
      </c>
      <c r="L24" s="16">
        <f t="shared" si="14"/>
        <v>0</v>
      </c>
      <c r="M24" s="15">
        <f>K24*75%</f>
        <v>0</v>
      </c>
      <c r="N24" s="16">
        <f>I24*M24</f>
        <v>0</v>
      </c>
      <c r="O24" s="15">
        <f>K24*100%</f>
        <v>0</v>
      </c>
      <c r="P24" s="16">
        <f>I24*O24</f>
        <v>0</v>
      </c>
    </row>
    <row r="25" spans="1:16" ht="15.75" x14ac:dyDescent="0.25">
      <c r="A25" s="14"/>
      <c r="B25" s="17" t="s">
        <v>5</v>
      </c>
      <c r="C25" s="14"/>
      <c r="D25" s="14"/>
      <c r="E25" s="14"/>
      <c r="F25" s="14"/>
      <c r="G25" s="14"/>
      <c r="H25" s="14">
        <f t="shared" si="12"/>
        <v>100</v>
      </c>
      <c r="I25" s="14">
        <f t="shared" si="13"/>
        <v>1</v>
      </c>
      <c r="J25" s="14">
        <f t="shared" ref="J25:J26" si="15">F25*I25</f>
        <v>0</v>
      </c>
      <c r="K25" s="15">
        <f t="shared" ref="K25:K26" si="16">F25*100%</f>
        <v>0</v>
      </c>
      <c r="L25" s="16">
        <f t="shared" si="14"/>
        <v>0</v>
      </c>
      <c r="M25" s="15">
        <f t="shared" ref="M25:M26" si="17">K25*75%</f>
        <v>0</v>
      </c>
      <c r="N25" s="16">
        <f t="shared" ref="N25:N26" si="18">I25*M25</f>
        <v>0</v>
      </c>
      <c r="O25" s="15">
        <f t="shared" ref="O25:O26" si="19">K25*100%</f>
        <v>0</v>
      </c>
      <c r="P25" s="16">
        <f t="shared" ref="P25:P26" si="20">I25*O25</f>
        <v>0</v>
      </c>
    </row>
    <row r="26" spans="1:16" ht="15.75" x14ac:dyDescent="0.25">
      <c r="A26" s="14"/>
      <c r="B26" s="17" t="s">
        <v>5</v>
      </c>
      <c r="C26" s="14"/>
      <c r="D26" s="14"/>
      <c r="E26" s="14"/>
      <c r="F26" s="14"/>
      <c r="G26" s="14"/>
      <c r="H26" s="14">
        <f t="shared" si="12"/>
        <v>100</v>
      </c>
      <c r="I26" s="14">
        <f t="shared" si="13"/>
        <v>1</v>
      </c>
      <c r="J26" s="14">
        <f t="shared" si="15"/>
        <v>0</v>
      </c>
      <c r="K26" s="15">
        <f t="shared" si="16"/>
        <v>0</v>
      </c>
      <c r="L26" s="16">
        <f t="shared" si="14"/>
        <v>0</v>
      </c>
      <c r="M26" s="15">
        <f t="shared" si="17"/>
        <v>0</v>
      </c>
      <c r="N26" s="16">
        <f t="shared" si="18"/>
        <v>0</v>
      </c>
      <c r="O26" s="15">
        <f t="shared" si="19"/>
        <v>0</v>
      </c>
      <c r="P26" s="16">
        <f t="shared" si="20"/>
        <v>0</v>
      </c>
    </row>
    <row r="27" spans="1:16" ht="15.75" x14ac:dyDescent="0.25">
      <c r="A27" s="8">
        <v>5</v>
      </c>
      <c r="B27" s="38" t="s">
        <v>9</v>
      </c>
      <c r="C27" s="38"/>
      <c r="D27" s="38"/>
      <c r="E27" s="38"/>
      <c r="F27" s="8">
        <f>SUM(F28:F33)</f>
        <v>1</v>
      </c>
      <c r="G27" s="9"/>
      <c r="H27" s="9"/>
      <c r="I27" s="9"/>
      <c r="J27" s="8">
        <f t="shared" ref="J27:P27" si="21">SUM(J28:J33)</f>
        <v>1</v>
      </c>
      <c r="K27" s="8">
        <f t="shared" si="21"/>
        <v>1</v>
      </c>
      <c r="L27" s="8">
        <f t="shared" si="21"/>
        <v>1</v>
      </c>
      <c r="M27" s="8">
        <f t="shared" si="21"/>
        <v>0.75</v>
      </c>
      <c r="N27" s="8">
        <f t="shared" si="21"/>
        <v>0.75</v>
      </c>
      <c r="O27" s="8">
        <f t="shared" si="21"/>
        <v>1</v>
      </c>
      <c r="P27" s="8">
        <f t="shared" si="21"/>
        <v>1</v>
      </c>
    </row>
    <row r="28" spans="1:16" ht="77.25" customHeight="1" x14ac:dyDescent="0.25">
      <c r="A28" s="28">
        <v>5.0999999999999996</v>
      </c>
      <c r="B28" s="32" t="s">
        <v>58</v>
      </c>
      <c r="C28" s="33" t="s">
        <v>23</v>
      </c>
      <c r="D28" s="34" t="s">
        <v>57</v>
      </c>
      <c r="E28" s="33" t="s">
        <v>59</v>
      </c>
      <c r="F28" s="37">
        <v>1</v>
      </c>
      <c r="G28" s="28" t="s">
        <v>26</v>
      </c>
      <c r="H28" s="28">
        <f t="shared" ref="H28:H33" si="22">IF(G28="Khó và phức tạp",200,IF(G28="Cao",150,IF(G28="Trungbình",120,100)))</f>
        <v>100</v>
      </c>
      <c r="I28" s="28">
        <f t="shared" ref="I28:I33" si="23">H28*0.01</f>
        <v>1</v>
      </c>
      <c r="J28" s="28">
        <f>F28*I28</f>
        <v>1</v>
      </c>
      <c r="K28" s="35">
        <f t="shared" ref="K28:K33" si="24">F28*100%</f>
        <v>1</v>
      </c>
      <c r="L28" s="36">
        <f t="shared" ref="L28:L33" si="25">K28*I28</f>
        <v>1</v>
      </c>
      <c r="M28" s="35">
        <f t="shared" ref="M28:M33" si="26">K28*75%</f>
        <v>0.75</v>
      </c>
      <c r="N28" s="36">
        <f t="shared" ref="N28:N33" si="27">I28*M28</f>
        <v>0.75</v>
      </c>
      <c r="O28" s="35">
        <f t="shared" ref="O28:O33" si="28">K28*100%</f>
        <v>1</v>
      </c>
      <c r="P28" s="36">
        <f t="shared" ref="P28:P33" si="29">I28*O28</f>
        <v>1</v>
      </c>
    </row>
    <row r="29" spans="1:16" ht="15.75" x14ac:dyDescent="0.25">
      <c r="A29" s="14">
        <v>5.2</v>
      </c>
      <c r="B29" s="18"/>
      <c r="C29" s="14"/>
      <c r="D29" s="14"/>
      <c r="E29" s="14"/>
      <c r="F29" s="14"/>
      <c r="G29" s="14"/>
      <c r="H29" s="14">
        <f t="shared" si="22"/>
        <v>100</v>
      </c>
      <c r="I29" s="14">
        <f t="shared" si="23"/>
        <v>1</v>
      </c>
      <c r="J29" s="14">
        <f t="shared" ref="J29:J33" si="30">F29*I29</f>
        <v>0</v>
      </c>
      <c r="K29" s="15">
        <f t="shared" si="24"/>
        <v>0</v>
      </c>
      <c r="L29" s="16">
        <f t="shared" si="25"/>
        <v>0</v>
      </c>
      <c r="M29" s="15">
        <f t="shared" si="26"/>
        <v>0</v>
      </c>
      <c r="N29" s="16">
        <f t="shared" si="27"/>
        <v>0</v>
      </c>
      <c r="O29" s="15">
        <f t="shared" si="28"/>
        <v>0</v>
      </c>
      <c r="P29" s="16">
        <f t="shared" si="29"/>
        <v>0</v>
      </c>
    </row>
    <row r="30" spans="1:16" ht="15.75" x14ac:dyDescent="0.25">
      <c r="A30" s="14">
        <v>5.3</v>
      </c>
      <c r="B30" s="17"/>
      <c r="C30" s="14"/>
      <c r="D30" s="14"/>
      <c r="E30" s="14"/>
      <c r="F30" s="14"/>
      <c r="G30" s="14"/>
      <c r="H30" s="14">
        <f t="shared" si="22"/>
        <v>100</v>
      </c>
      <c r="I30" s="14">
        <f t="shared" si="23"/>
        <v>1</v>
      </c>
      <c r="J30" s="14">
        <f t="shared" si="30"/>
        <v>0</v>
      </c>
      <c r="K30" s="15">
        <f t="shared" si="24"/>
        <v>0</v>
      </c>
      <c r="L30" s="16">
        <f t="shared" si="25"/>
        <v>0</v>
      </c>
      <c r="M30" s="15">
        <f t="shared" si="26"/>
        <v>0</v>
      </c>
      <c r="N30" s="16">
        <f t="shared" si="27"/>
        <v>0</v>
      </c>
      <c r="O30" s="15">
        <f t="shared" si="28"/>
        <v>0</v>
      </c>
      <c r="P30" s="16">
        <f t="shared" si="29"/>
        <v>0</v>
      </c>
    </row>
    <row r="31" spans="1:16" ht="15.75" x14ac:dyDescent="0.25">
      <c r="A31" s="14">
        <v>5.4</v>
      </c>
      <c r="B31" s="17"/>
      <c r="C31" s="14"/>
      <c r="D31" s="14"/>
      <c r="E31" s="14"/>
      <c r="F31" s="14"/>
      <c r="G31" s="14"/>
      <c r="H31" s="14">
        <f t="shared" si="22"/>
        <v>100</v>
      </c>
      <c r="I31" s="14">
        <f t="shared" si="23"/>
        <v>1</v>
      </c>
      <c r="J31" s="14">
        <f t="shared" si="30"/>
        <v>0</v>
      </c>
      <c r="K31" s="15">
        <f t="shared" si="24"/>
        <v>0</v>
      </c>
      <c r="L31" s="16">
        <f t="shared" si="25"/>
        <v>0</v>
      </c>
      <c r="M31" s="15">
        <f t="shared" si="26"/>
        <v>0</v>
      </c>
      <c r="N31" s="16">
        <f t="shared" si="27"/>
        <v>0</v>
      </c>
      <c r="O31" s="15">
        <f t="shared" si="28"/>
        <v>0</v>
      </c>
      <c r="P31" s="16">
        <f t="shared" si="29"/>
        <v>0</v>
      </c>
    </row>
    <row r="32" spans="1:16" ht="15.75" x14ac:dyDescent="0.25">
      <c r="A32" s="3"/>
      <c r="B32" s="11" t="s">
        <v>5</v>
      </c>
      <c r="C32" s="3"/>
      <c r="D32" s="3"/>
      <c r="E32" s="3"/>
      <c r="F32" s="3"/>
      <c r="G32" s="3"/>
      <c r="H32" s="3">
        <f t="shared" si="22"/>
        <v>100</v>
      </c>
      <c r="I32" s="3">
        <f t="shared" si="23"/>
        <v>1</v>
      </c>
      <c r="J32" s="3">
        <f t="shared" si="30"/>
        <v>0</v>
      </c>
      <c r="K32" s="4">
        <f t="shared" si="24"/>
        <v>0</v>
      </c>
      <c r="L32" s="10">
        <f t="shared" si="25"/>
        <v>0</v>
      </c>
      <c r="M32" s="4">
        <f t="shared" si="26"/>
        <v>0</v>
      </c>
      <c r="N32" s="10">
        <f t="shared" si="27"/>
        <v>0</v>
      </c>
      <c r="O32" s="4">
        <f t="shared" si="28"/>
        <v>0</v>
      </c>
      <c r="P32" s="10">
        <f t="shared" si="29"/>
        <v>0</v>
      </c>
    </row>
    <row r="33" spans="1:16" ht="15.75" x14ac:dyDescent="0.25">
      <c r="A33" s="3"/>
      <c r="B33" s="11" t="s">
        <v>5</v>
      </c>
      <c r="C33" s="3"/>
      <c r="D33" s="3"/>
      <c r="E33" s="3"/>
      <c r="F33" s="3"/>
      <c r="G33" s="3"/>
      <c r="H33" s="3">
        <f t="shared" si="22"/>
        <v>100</v>
      </c>
      <c r="I33" s="3">
        <f t="shared" si="23"/>
        <v>1</v>
      </c>
      <c r="J33" s="3">
        <f t="shared" si="30"/>
        <v>0</v>
      </c>
      <c r="K33" s="4">
        <f t="shared" si="24"/>
        <v>0</v>
      </c>
      <c r="L33" s="10">
        <f t="shared" si="25"/>
        <v>0</v>
      </c>
      <c r="M33" s="4">
        <f t="shared" si="26"/>
        <v>0</v>
      </c>
      <c r="N33" s="10">
        <f t="shared" si="27"/>
        <v>0</v>
      </c>
      <c r="O33" s="4">
        <f t="shared" si="28"/>
        <v>0</v>
      </c>
      <c r="P33" s="10">
        <f t="shared" si="29"/>
        <v>0</v>
      </c>
    </row>
    <row r="34" spans="1:16" ht="15.75" x14ac:dyDescent="0.25">
      <c r="A34" s="8">
        <v>6</v>
      </c>
      <c r="B34" s="61" t="s">
        <v>10</v>
      </c>
      <c r="C34" s="62"/>
      <c r="D34" s="62"/>
      <c r="E34" s="62"/>
      <c r="F34" s="8">
        <f>SUM(F35:F36)</f>
        <v>0</v>
      </c>
      <c r="G34" s="9"/>
      <c r="H34" s="9"/>
      <c r="I34" s="9"/>
      <c r="J34" s="8">
        <f t="shared" ref="J34:P34" si="31">SUM(J35:J36)</f>
        <v>0</v>
      </c>
      <c r="K34" s="8">
        <f t="shared" si="31"/>
        <v>0</v>
      </c>
      <c r="L34" s="8">
        <f t="shared" si="31"/>
        <v>0</v>
      </c>
      <c r="M34" s="8">
        <f t="shared" si="31"/>
        <v>0</v>
      </c>
      <c r="N34" s="8">
        <f t="shared" si="31"/>
        <v>0</v>
      </c>
      <c r="O34" s="8">
        <f t="shared" si="31"/>
        <v>0</v>
      </c>
      <c r="P34" s="8">
        <f t="shared" si="31"/>
        <v>0</v>
      </c>
    </row>
    <row r="35" spans="1:16" ht="15.75" x14ac:dyDescent="0.25">
      <c r="A35" s="3"/>
      <c r="B35" s="11" t="s">
        <v>5</v>
      </c>
      <c r="C35" s="3"/>
      <c r="D35" s="3"/>
      <c r="E35" s="3"/>
      <c r="F35" s="3"/>
      <c r="G35" s="3"/>
      <c r="H35" s="3">
        <f>IF(G35="Khó và phức tạp",200,IF(G35="Cao",150,IF(G35="Trungbình",120,100)))</f>
        <v>100</v>
      </c>
      <c r="I35" s="3">
        <f>H35*0.01</f>
        <v>1</v>
      </c>
      <c r="J35" s="3">
        <f t="shared" ref="J35:J36" si="32">F35*I35</f>
        <v>0</v>
      </c>
      <c r="K35" s="4">
        <f t="shared" ref="K35:K36" si="33">F35*100%</f>
        <v>0</v>
      </c>
      <c r="L35" s="10">
        <f t="shared" ref="L35:L36" si="34">K35*I35</f>
        <v>0</v>
      </c>
      <c r="M35" s="4">
        <f t="shared" ref="M35:M36" si="35">K35*75%</f>
        <v>0</v>
      </c>
      <c r="N35" s="10">
        <f t="shared" ref="N35:N36" si="36">I35*M35</f>
        <v>0</v>
      </c>
      <c r="O35" s="4">
        <f t="shared" ref="O35:O36" si="37">K35*100%</f>
        <v>0</v>
      </c>
      <c r="P35" s="10">
        <f t="shared" ref="P35:P36" si="38">I35*O35</f>
        <v>0</v>
      </c>
    </row>
    <row r="36" spans="1:16" ht="15.75" x14ac:dyDescent="0.25">
      <c r="A36" s="3"/>
      <c r="B36" s="11" t="s">
        <v>5</v>
      </c>
      <c r="C36" s="3"/>
      <c r="D36" s="3"/>
      <c r="E36" s="3"/>
      <c r="F36" s="3"/>
      <c r="G36" s="3"/>
      <c r="H36" s="3">
        <f>IF(G36="Khó và phức tạp",200,IF(G36="Cao",150,IF(G36="Trungbình",120,100)))</f>
        <v>100</v>
      </c>
      <c r="I36" s="3">
        <f>H36*0.01</f>
        <v>1</v>
      </c>
      <c r="J36" s="3">
        <f t="shared" si="32"/>
        <v>0</v>
      </c>
      <c r="K36" s="4">
        <f t="shared" si="33"/>
        <v>0</v>
      </c>
      <c r="L36" s="10">
        <f t="shared" si="34"/>
        <v>0</v>
      </c>
      <c r="M36" s="4">
        <f t="shared" si="35"/>
        <v>0</v>
      </c>
      <c r="N36" s="10">
        <f t="shared" si="36"/>
        <v>0</v>
      </c>
      <c r="O36" s="4">
        <f t="shared" si="37"/>
        <v>0</v>
      </c>
      <c r="P36" s="10">
        <f t="shared" si="38"/>
        <v>0</v>
      </c>
    </row>
    <row r="37" spans="1:16" ht="15.75" x14ac:dyDescent="0.25">
      <c r="A37" s="8" t="s">
        <v>11</v>
      </c>
      <c r="B37" s="63" t="s">
        <v>25</v>
      </c>
      <c r="C37" s="64"/>
      <c r="D37" s="64"/>
      <c r="E37" s="64"/>
      <c r="F37" s="8">
        <f>SUM(F38:F40)</f>
        <v>3</v>
      </c>
      <c r="G37" s="9"/>
      <c r="H37" s="9"/>
      <c r="I37" s="9"/>
      <c r="J37" s="8">
        <f t="shared" ref="J37:P37" si="39">SUM(J38:J40)</f>
        <v>4</v>
      </c>
      <c r="K37" s="8">
        <f t="shared" si="39"/>
        <v>3</v>
      </c>
      <c r="L37" s="8">
        <f t="shared" si="39"/>
        <v>4</v>
      </c>
      <c r="M37" s="8">
        <f t="shared" si="39"/>
        <v>2.25</v>
      </c>
      <c r="N37" s="8">
        <f t="shared" si="39"/>
        <v>3</v>
      </c>
      <c r="O37" s="8">
        <f t="shared" si="39"/>
        <v>3</v>
      </c>
      <c r="P37" s="8">
        <f t="shared" si="39"/>
        <v>4</v>
      </c>
    </row>
    <row r="38" spans="1:16" ht="47.25" x14ac:dyDescent="0.25">
      <c r="A38" s="14">
        <v>1</v>
      </c>
      <c r="B38" s="29" t="s">
        <v>60</v>
      </c>
      <c r="C38" s="28" t="s">
        <v>23</v>
      </c>
      <c r="D38" s="30" t="s">
        <v>61</v>
      </c>
      <c r="E38" s="28" t="s">
        <v>51</v>
      </c>
      <c r="F38" s="31">
        <v>1</v>
      </c>
      <c r="G38" s="28" t="s">
        <v>26</v>
      </c>
      <c r="H38" s="28">
        <f>IF(G38="Khó và phức tạp",200,IF(G38="Cao",150,IF(G38="Trungbình",120,100)))</f>
        <v>100</v>
      </c>
      <c r="I38" s="28">
        <f>H38*0.01</f>
        <v>1</v>
      </c>
      <c r="J38" s="28">
        <f t="shared" ref="J38:J40" si="40">F38*I38</f>
        <v>1</v>
      </c>
      <c r="K38" s="35">
        <f t="shared" ref="K38:K40" si="41">F38*100%</f>
        <v>1</v>
      </c>
      <c r="L38" s="36">
        <f t="shared" ref="L38:L40" si="42">K38*I38</f>
        <v>1</v>
      </c>
      <c r="M38" s="35">
        <f t="shared" ref="M38:M40" si="43">K38*75%</f>
        <v>0.75</v>
      </c>
      <c r="N38" s="36">
        <f t="shared" ref="N38:N40" si="44">I38*M38</f>
        <v>0.75</v>
      </c>
      <c r="O38" s="35">
        <f t="shared" ref="O38:O40" si="45">K38*100%</f>
        <v>1</v>
      </c>
      <c r="P38" s="36">
        <f t="shared" ref="P38:P40" si="46">I38*O38</f>
        <v>1</v>
      </c>
    </row>
    <row r="39" spans="1:16" ht="31.5" x14ac:dyDescent="0.25">
      <c r="A39" s="14">
        <v>2</v>
      </c>
      <c r="B39" s="17"/>
      <c r="C39" s="14"/>
      <c r="D39" s="14"/>
      <c r="E39" s="14"/>
      <c r="F39" s="14">
        <v>1</v>
      </c>
      <c r="G39" s="14" t="s">
        <v>27</v>
      </c>
      <c r="H39" s="14">
        <f>IF(G39="Khó và phức tạp",200,IF(G39="Cao",150,IF(G39="Trungbình",120,100)))</f>
        <v>200</v>
      </c>
      <c r="I39" s="14">
        <f>H39*0.01</f>
        <v>2</v>
      </c>
      <c r="J39" s="14">
        <f t="shared" si="40"/>
        <v>2</v>
      </c>
      <c r="K39" s="15">
        <f t="shared" si="41"/>
        <v>1</v>
      </c>
      <c r="L39" s="16">
        <f t="shared" si="42"/>
        <v>2</v>
      </c>
      <c r="M39" s="15">
        <f t="shared" si="43"/>
        <v>0.75</v>
      </c>
      <c r="N39" s="16">
        <f t="shared" si="44"/>
        <v>1.5</v>
      </c>
      <c r="O39" s="15">
        <f t="shared" si="45"/>
        <v>1</v>
      </c>
      <c r="P39" s="16">
        <f t="shared" si="46"/>
        <v>2</v>
      </c>
    </row>
    <row r="40" spans="1:16" ht="15.75" x14ac:dyDescent="0.25">
      <c r="A40" s="14">
        <v>3</v>
      </c>
      <c r="B40" s="17"/>
      <c r="C40" s="14"/>
      <c r="D40" s="14"/>
      <c r="E40" s="14"/>
      <c r="F40" s="14">
        <v>1</v>
      </c>
      <c r="G40" s="14" t="s">
        <v>26</v>
      </c>
      <c r="H40" s="14">
        <f>IF(G40="Khó và phức tạp",200,IF(G40="Cao",150,IF(G40="Trungbình",120,100)))</f>
        <v>100</v>
      </c>
      <c r="I40" s="14">
        <f>H40*0.01</f>
        <v>1</v>
      </c>
      <c r="J40" s="14">
        <f t="shared" si="40"/>
        <v>1</v>
      </c>
      <c r="K40" s="15">
        <f t="shared" si="41"/>
        <v>1</v>
      </c>
      <c r="L40" s="16">
        <f t="shared" si="42"/>
        <v>1</v>
      </c>
      <c r="M40" s="15">
        <f t="shared" si="43"/>
        <v>0.75</v>
      </c>
      <c r="N40" s="16">
        <f t="shared" si="44"/>
        <v>0.75</v>
      </c>
      <c r="O40" s="15">
        <f t="shared" si="45"/>
        <v>1</v>
      </c>
      <c r="P40" s="16">
        <f t="shared" si="46"/>
        <v>1</v>
      </c>
    </row>
    <row r="41" spans="1:16" ht="15.75" x14ac:dyDescent="0.25">
      <c r="B41" s="60"/>
      <c r="C41" s="60"/>
      <c r="D41" s="60"/>
      <c r="E41" s="60"/>
      <c r="F41" s="60"/>
      <c r="G41" s="60"/>
      <c r="H41" s="60"/>
      <c r="I41" s="60"/>
      <c r="J41" s="60"/>
      <c r="K41" s="60"/>
      <c r="L41" s="60"/>
      <c r="M41" s="60"/>
      <c r="N41" s="60"/>
      <c r="O41" s="60"/>
      <c r="P41" s="60"/>
    </row>
    <row r="42" spans="1:16" s="2" customFormat="1" ht="131.25" customHeight="1" x14ac:dyDescent="0.25">
      <c r="A42" s="54" t="s">
        <v>53</v>
      </c>
      <c r="B42" s="54"/>
      <c r="C42" s="54"/>
      <c r="D42" s="5"/>
      <c r="G42" s="52" t="s">
        <v>56</v>
      </c>
      <c r="H42" s="52"/>
      <c r="I42" s="52"/>
      <c r="J42" s="52"/>
      <c r="K42" s="52"/>
      <c r="L42" s="53"/>
      <c r="M42" s="53"/>
      <c r="N42" s="53"/>
      <c r="O42" s="53"/>
      <c r="P42" s="53"/>
    </row>
  </sheetData>
  <mergeCells count="30">
    <mergeCell ref="G42:P42"/>
    <mergeCell ref="A42:C42"/>
    <mergeCell ref="F5:F6"/>
    <mergeCell ref="G5:G6"/>
    <mergeCell ref="A5:A6"/>
    <mergeCell ref="B5:B6"/>
    <mergeCell ref="C5:C6"/>
    <mergeCell ref="D5:D6"/>
    <mergeCell ref="E5:E6"/>
    <mergeCell ref="B8:P8"/>
    <mergeCell ref="B41:P41"/>
    <mergeCell ref="B34:E34"/>
    <mergeCell ref="B37:E37"/>
    <mergeCell ref="B9:E9"/>
    <mergeCell ref="B14:E14"/>
    <mergeCell ref="B20:E20"/>
    <mergeCell ref="B17:E17"/>
    <mergeCell ref="B27:E27"/>
    <mergeCell ref="A3:P3"/>
    <mergeCell ref="H5:H6"/>
    <mergeCell ref="G1:P1"/>
    <mergeCell ref="G2:P2"/>
    <mergeCell ref="K5:L5"/>
    <mergeCell ref="M5:N5"/>
    <mergeCell ref="O5:P5"/>
    <mergeCell ref="A4:P4"/>
    <mergeCell ref="I5:I6"/>
    <mergeCell ref="J5:J6"/>
    <mergeCell ref="A1:C1"/>
    <mergeCell ref="A2:C2"/>
  </mergeCells>
  <conditionalFormatting sqref="C12:C13 C16 C10">
    <cfRule type="dataBar" priority="27">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5">
    <cfRule type="dataBar" priority="16">
      <dataBar>
        <cfvo type="min"/>
        <cfvo type="max"/>
        <color rgb="FF638EC6"/>
      </dataBar>
      <extLst>
        <ext xmlns:x14="http://schemas.microsoft.com/office/spreadsheetml/2009/9/main" uri="{B025F937-C7B1-47D3-B67F-A62EFF666E3E}">
          <x14:id>{9B5E07A1-A0DF-40EA-A811-F4C2603E1411}</x14:id>
        </ext>
      </extLst>
    </cfRule>
  </conditionalFormatting>
  <conditionalFormatting sqref="C18">
    <cfRule type="dataBar" priority="6">
      <dataBar>
        <cfvo type="min"/>
        <cfvo type="max"/>
        <color rgb="FF638EC6"/>
      </dataBar>
      <extLst>
        <ext xmlns:x14="http://schemas.microsoft.com/office/spreadsheetml/2009/9/main" uri="{B025F937-C7B1-47D3-B67F-A62EFF666E3E}">
          <x14:id>{9B9D3DED-F54D-4A0A-8679-BFD5A32ACB03}</x14:id>
        </ext>
      </extLst>
    </cfRule>
  </conditionalFormatting>
  <conditionalFormatting sqref="C19">
    <cfRule type="dataBar" priority="23">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1">
    <cfRule type="dataBar" priority="3">
      <dataBar>
        <cfvo type="min"/>
        <cfvo type="max"/>
        <color rgb="FF638EC6"/>
      </dataBar>
      <extLst>
        <ext xmlns:x14="http://schemas.microsoft.com/office/spreadsheetml/2009/9/main" uri="{B025F937-C7B1-47D3-B67F-A62EFF666E3E}">
          <x14:id>{BE31FEDE-EA82-4E36-9426-C458A8B549E1}</x14:id>
        </ext>
      </extLst>
    </cfRule>
  </conditionalFormatting>
  <conditionalFormatting sqref="C22">
    <cfRule type="dataBar" priority="12">
      <dataBar>
        <cfvo type="min"/>
        <cfvo type="max"/>
        <color rgb="FF638EC6"/>
      </dataBar>
      <extLst>
        <ext xmlns:x14="http://schemas.microsoft.com/office/spreadsheetml/2009/9/main" uri="{B025F937-C7B1-47D3-B67F-A62EFF666E3E}">
          <x14:id>{B839D862-41C4-4A94-949E-FE1D36B0A83B}</x14:id>
        </ext>
      </extLst>
    </cfRule>
  </conditionalFormatting>
  <conditionalFormatting sqref="C23:C26">
    <cfRule type="dataBar" priority="22">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8">
    <cfRule type="dataBar" priority="2">
      <dataBar>
        <cfvo type="min"/>
        <cfvo type="max"/>
        <color rgb="FF638EC6"/>
      </dataBar>
      <extLst>
        <ext xmlns:x14="http://schemas.microsoft.com/office/spreadsheetml/2009/9/main" uri="{B025F937-C7B1-47D3-B67F-A62EFF666E3E}">
          <x14:id>{A58B3287-B970-40D4-A120-5BB83BF6B033}</x14:id>
        </ext>
      </extLst>
    </cfRule>
  </conditionalFormatting>
  <conditionalFormatting sqref="C29">
    <cfRule type="dataBar" priority="9">
      <dataBar>
        <cfvo type="min"/>
        <cfvo type="max"/>
        <color rgb="FF638EC6"/>
      </dataBar>
      <extLst>
        <ext xmlns:x14="http://schemas.microsoft.com/office/spreadsheetml/2009/9/main" uri="{B025F937-C7B1-47D3-B67F-A62EFF666E3E}">
          <x14:id>{2AD2CCB7-DBFD-4320-B03B-1111C5FBEDF7}</x14:id>
        </ext>
      </extLst>
    </cfRule>
  </conditionalFormatting>
  <conditionalFormatting sqref="C30:C31">
    <cfRule type="dataBar" priority="7">
      <dataBar>
        <cfvo type="min"/>
        <cfvo type="max"/>
        <color rgb="FF638EC6"/>
      </dataBar>
      <extLst>
        <ext xmlns:x14="http://schemas.microsoft.com/office/spreadsheetml/2009/9/main" uri="{B025F937-C7B1-47D3-B67F-A62EFF666E3E}">
          <x14:id>{0D146EDD-247B-4443-8FAD-A5BF419FCAB4}</x14:id>
        </ext>
      </extLst>
    </cfRule>
  </conditionalFormatting>
  <conditionalFormatting sqref="C32:C33">
    <cfRule type="dataBar" priority="21">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5:C36">
    <cfRule type="dataBar" priority="20">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8">
    <cfRule type="dataBar" priority="1">
      <dataBar>
        <cfvo type="min"/>
        <cfvo type="max"/>
        <color rgb="FF638EC6"/>
      </dataBar>
      <extLst>
        <ext xmlns:x14="http://schemas.microsoft.com/office/spreadsheetml/2009/9/main" uri="{B025F937-C7B1-47D3-B67F-A62EFF666E3E}">
          <x14:id>{F2EC5B48-6CFB-4BF6-8B0E-4CA22C2DB7CE}</x14:id>
        </ext>
      </extLst>
    </cfRule>
  </conditionalFormatting>
  <conditionalFormatting sqref="C39:C40">
    <cfRule type="dataBar" priority="4">
      <dataBar>
        <cfvo type="min"/>
        <cfvo type="max"/>
        <color rgb="FF638EC6"/>
      </dataBar>
      <extLst>
        <ext xmlns:x14="http://schemas.microsoft.com/office/spreadsheetml/2009/9/main" uri="{B025F937-C7B1-47D3-B67F-A62EFF666E3E}">
          <x14:id>{F7B75474-159A-4F6F-B4F1-9B60BBB4A3BB}</x14:id>
        </ext>
      </extLst>
    </cfRule>
  </conditionalFormatting>
  <dataValidations count="5">
    <dataValidation type="list" allowBlank="1" showInputMessage="1" sqref="D15:D16 D19 D35:D36 E28 D32:D33 D10 D12:D13 D22:D26"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18:C19 C28:C33 C21:C26 C35:C36 C10 C12:C13 C15:C16 C38:C40"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8:G19 G10:G13 G21:G26 G28:G33 G35:G36 G15:G16 G38:G40" xr:uid="{242DABCC-F988-4BD7-A39A-B18DD09F67B5}">
      <formula1>"Thấp,Trung bình,Cao,Khó và phức tạp"</formula1>
    </dataValidation>
    <dataValidation allowBlank="1" showInputMessage="1" sqref="H10:K13 H35:K36 E19 H21:K26 H38:K40 H28:K33 H18:K19 E22:E26 H15:K16 E35:E36 E32:E33 E10 E12:E13 E15:E16" xr:uid="{10642937-B860-4152-A8CB-DF82470CE8F3}"/>
    <dataValidation type="list" allowBlank="1" showInputMessage="1" sqref="E18 E21 E28 E38" xr:uid="{D8332732-69A2-4CB7-9E4A-AF75EEC9E346}">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rowBreaks count="1" manualBreakCount="1">
    <brk id="25" max="16383" man="1"/>
  </rowBreaks>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C12:C13 C16 C10</xm:sqref>
        </x14:conditionalFormatting>
        <x14:conditionalFormatting xmlns:xm="http://schemas.microsoft.com/office/excel/2006/main">
          <x14:cfRule type="dataBar" id="{9B5E07A1-A0DF-40EA-A811-F4C2603E1411}">
            <x14:dataBar minLength="0" maxLength="100" gradient="0">
              <x14:cfvo type="autoMin"/>
              <x14:cfvo type="autoMax"/>
              <x14:negativeFillColor rgb="FFFF0000"/>
              <x14:axisColor rgb="FF000000"/>
            </x14:dataBar>
          </x14:cfRule>
          <xm:sqref>C15</xm:sqref>
        </x14:conditionalFormatting>
        <x14:conditionalFormatting xmlns:xm="http://schemas.microsoft.com/office/excel/2006/main">
          <x14:cfRule type="dataBar" id="{9B9D3DED-F54D-4A0A-8679-BFD5A32ACB03}">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BE31FEDE-EA82-4E36-9426-C458A8B549E1}">
            <x14:dataBar minLength="0" maxLength="100" gradient="0">
              <x14:cfvo type="autoMin"/>
              <x14:cfvo type="autoMax"/>
              <x14:negativeFillColor rgb="FFFF0000"/>
              <x14:axisColor rgb="FF000000"/>
            </x14:dataBar>
          </x14:cfRule>
          <xm:sqref>C21</xm:sqref>
        </x14:conditionalFormatting>
        <x14:conditionalFormatting xmlns:xm="http://schemas.microsoft.com/office/excel/2006/main">
          <x14:cfRule type="dataBar" id="{B839D862-41C4-4A94-949E-FE1D36B0A83B}">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C23:C26</xm:sqref>
        </x14:conditionalFormatting>
        <x14:conditionalFormatting xmlns:xm="http://schemas.microsoft.com/office/excel/2006/main">
          <x14:cfRule type="dataBar" id="{A58B3287-B970-40D4-A120-5BB83BF6B033}">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2AD2CCB7-DBFD-4320-B03B-1111C5FBEDF7}">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0D146EDD-247B-4443-8FAD-A5BF419FCAB4}">
            <x14:dataBar minLength="0" maxLength="100" gradient="0">
              <x14:cfvo type="autoMin"/>
              <x14:cfvo type="autoMax"/>
              <x14:negativeFillColor rgb="FFFF0000"/>
              <x14:axisColor rgb="FF000000"/>
            </x14:dataBar>
          </x14:cfRule>
          <xm:sqref>C30:C31</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C32:C33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C35:C36</xm:sqref>
        </x14:conditionalFormatting>
        <x14:conditionalFormatting xmlns:xm="http://schemas.microsoft.com/office/excel/2006/main">
          <x14:cfRule type="dataBar" id="{F2EC5B48-6CFB-4BF6-8B0E-4CA22C2DB7CE}">
            <x14:dataBar minLength="0" maxLength="100" gradient="0">
              <x14:cfvo type="autoMin"/>
              <x14:cfvo type="autoMax"/>
              <x14:negativeFillColor rgb="FFFF0000"/>
              <x14:axisColor rgb="FF000000"/>
            </x14:dataBar>
          </x14:cfRule>
          <xm:sqref>C38</xm:sqref>
        </x14:conditionalFormatting>
        <x14:conditionalFormatting xmlns:xm="http://schemas.microsoft.com/office/excel/2006/main">
          <x14:cfRule type="dataBar" id="{F7B75474-159A-4F6F-B4F1-9B60BBB4A3BB}">
            <x14:dataBar minLength="0" maxLength="100" gradient="0">
              <x14:cfvo type="autoMin"/>
              <x14:cfvo type="autoMax"/>
              <x14:negativeFillColor rgb="FFFF0000"/>
              <x14:axisColor rgb="FF000000"/>
            </x14:dataBar>
          </x14:cfRule>
          <xm:sqref>C39:C40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BC tháng 8.2026</vt:lpstr>
      <vt:lpstr>'BC tháng 8.2026'!Print_Area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Hoang Thi Chuc</cp:lastModifiedBy>
  <cp:lastPrinted>2026-06-25T01:59:32Z</cp:lastPrinted>
  <dcterms:created xsi:type="dcterms:W3CDTF">2026-05-27T07:08:41Z</dcterms:created>
  <dcterms:modified xsi:type="dcterms:W3CDTF">2026-08-14T03:13:44Z</dcterms:modified>
</cp:coreProperties>
</file>