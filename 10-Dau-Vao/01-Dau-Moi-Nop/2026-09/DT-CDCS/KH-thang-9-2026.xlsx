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0. CONG DOAN\Cong doan nam 2026\2. Bao cao\11. BC thang 8, KH thang 9\"/>
    </mc:Choice>
  </mc:AlternateContent>
  <xr:revisionPtr revIDLastSave="0" documentId="13_ncr:1_{CE7735F0-A92F-4FEC-91FD-8B2A3D5946FD}" xr6:coauthVersionLast="47" xr6:coauthVersionMax="47" xr10:uidLastSave="{00000000-0000-0000-0000-000000000000}"/>
  <bookViews>
    <workbookView xWindow="-110" yWindow="-110" windowWidth="19420" windowHeight="11500" xr2:uid="{7E04179B-AE72-433D-A0F4-54C338E82316}"/>
  </bookViews>
  <sheets>
    <sheet name="Mẫu KH tháng" sheetId="1" r:id="rId1"/>
  </sheets>
  <definedNames>
    <definedName name="_xlnm.Print_Area" localSheetId="0">'Mẫu KH tháng'!$A$1:$K$34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J20" i="1"/>
  <c r="I26" i="1"/>
  <c r="J26" i="1" s="1"/>
  <c r="I31" i="1" l="1"/>
  <c r="J31" i="1" s="1"/>
  <c r="I29" i="1"/>
  <c r="J29" i="1" s="1"/>
  <c r="I28" i="1"/>
  <c r="J28" i="1" s="1"/>
  <c r="I25" i="1"/>
  <c r="J25" i="1" s="1"/>
  <c r="I24" i="1"/>
  <c r="J24" i="1" s="1"/>
  <c r="I23" i="1"/>
  <c r="J23" i="1" s="1"/>
  <c r="I21" i="1"/>
  <c r="J21" i="1" s="1"/>
  <c r="I19" i="1"/>
  <c r="J19" i="1" s="1"/>
  <c r="I17" i="1"/>
  <c r="J17" i="1" s="1"/>
  <c r="I16" i="1"/>
  <c r="J16" i="1" s="1"/>
  <c r="I14" i="1"/>
  <c r="J14" i="1" s="1"/>
  <c r="I13" i="1"/>
  <c r="J13" i="1" s="1"/>
  <c r="I11" i="1"/>
  <c r="J11" i="1" s="1"/>
  <c r="I10" i="1"/>
  <c r="J10" i="1" s="1"/>
</calcChain>
</file>

<file path=xl/sharedStrings.xml><?xml version="1.0" encoding="utf-8"?>
<sst xmlns="http://schemas.openxmlformats.org/spreadsheetml/2006/main" count="156" uniqueCount="93">
  <si>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</si>
  <si>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</si>
  <si>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</si>
  <si>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</si>
  <si>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</si>
  <si>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</si>
  <si>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</si>
  <si>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</si>
  <si>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</si>
  <si>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</si>
  <si>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</si>
  <si>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</si>
  <si>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</si>
  <si>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</si>
  <si>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</si>
  <si>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</si>
  <si>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</si>
  <si>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</si>
  <si>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</si>
  <si>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</si>
  <si>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</si>
  <si>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(8)</t>
  </si>
  <si>
    <t>CỘNG HÒA XÃ HỘI CHỦ NGHĨA VIỆT NAM</t>
  </si>
  <si>
    <t>Độc lập - Tự do - Hạnh phúc</t>
  </si>
  <si>
    <t>1.1</t>
  </si>
  <si>
    <t>1.2</t>
  </si>
  <si>
    <t>(9)</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</si>
  <si>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</si>
  <si>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</si>
  <si>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</si>
  <si>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Chủ tịch Công đoàn</t>
  </si>
  <si>
    <t>Trung bình</t>
  </si>
  <si>
    <t>Cao</t>
  </si>
  <si>
    <t>Độ khó, mới, phức tạp; phạm vi tác
động</t>
  </si>
  <si>
    <t>Các nhiệm vụ đột xuất, phát sinh khác ngoài kế hoạch, từ tháng trước chuyển sang (nếu có)</t>
  </si>
  <si>
    <t>Sản phẩm/ công việc</t>
  </si>
  <si>
    <t>Điểm chấm công việc</t>
  </si>
  <si>
    <t>Hệ số quy đổi</t>
  </si>
  <si>
    <t> Các nhiệm vụ theo kế hoạch (chương trình) công tác đã đề ra từ đầu quý</t>
  </si>
  <si>
    <t>Đưa vào KH Trường</t>
  </si>
  <si>
    <t>Thường xuyên của đơn vị</t>
  </si>
  <si>
    <t>LIÊN ĐOÀN LAO ĐỘNG TỈNH QUẢNG NGÃI</t>
  </si>
  <si>
    <t>CÔNG ĐOÀN CƠ SỞ TRƯỜNG CAO ĐẲNG KON TUM</t>
  </si>
  <si>
    <t>KẾ HOẠCH 
công tác tháng 9 năm 2026</t>
  </si>
  <si>
    <t>Tổng hợp kết quả thực hiện nhiệm vụ tháng 9 và Quý III; rà soát chỉ tiêu, nhiệm vụ công tác năm 2026.</t>
  </si>
  <si>
    <t>CĐCS Trường</t>
  </si>
  <si>
    <t>Báo cáo tháng 9; báo cáo kết quả Quý III</t>
  </si>
  <si>
    <t>Theo dõi, đôn đốc các nhiệm vụ chuyển tiếp Quý III; hoàn thiện sản phẩm, hồ sơ và minh chứng theo 06 trục KPI.</t>
  </si>
  <si>
    <t>Bảng tiến độ; danh mục minh chứng</t>
  </si>
  <si>
    <t>Tiếp tục giám sát việc thực hiện chế độ, chính sách; tiếp nhận, tổng hợp kiến nghị của đoàn viên, VC, NLĐ.</t>
  </si>
  <si>
    <t>CĐCS Trường/UBKT</t>
  </si>
  <si>
    <t>Tổng hợp giám sát/kiến nghị</t>
  </si>
  <si>
    <t>Hoàn thiện hồ sơ kiểm tra, giám sát và tài chính Công đoàn; theo dõi việc thực hiện các kiến nghị sau kiểm tra.</t>
  </si>
  <si>
    <t>UBKT CĐCS</t>
  </si>
  <si>
    <t>Hồ sơ kiểm tra, giám sát và tài chính</t>
  </si>
  <si>
    <t>Tin/bài/nội dung tuyên truyền</t>
  </si>
  <si>
    <t>Hoàn thiện dữ liệu, hồ sơ điện tử và minh chứng KPI Quý III; cập nhật, sắp xếp minh chứng theo từng trục, nhiệm vụ.</t>
  </si>
  <si>
    <t>Hồ sơ điện tử; danh mục minh chứng</t>
  </si>
  <si>
    <t>Nội dung tuyên truyền; báo cáo rà soát</t>
  </si>
  <si>
    <t>Thực hiện công khai, minh bạch; phòng, chống tham nhũng, tiêu cực; thực hành tiết kiệm, chống lãng phí trong hoạt động Công đoàn.</t>
  </si>
  <si>
    <t>Hồ sơ/minh chứng</t>
  </si>
  <si>
    <t>Ban Nữ công/CĐCS</t>
  </si>
  <si>
    <t>Hồ sơ chương trình; báo cáo; quyết toán</t>
  </si>
  <si>
    <t>Hồ sơ chăm lo; Kế hoạch 20/10</t>
  </si>
  <si>
    <t>Tuyên truyền, vận động nữ đoàn viên hưởng ứng phong trào thi đua hướng tới Ngày Phụ nữ Việt Nam 20/10.</t>
  </si>
  <si>
    <t>Ban Nữ công</t>
  </si>
  <si>
    <t>Nội dung phát động/tuyên truyền</t>
  </si>
  <si>
    <t>Tuyên truyền pháp luật, an toàn giao thông, phòng cháy, chữa cháy, an ninh mạng, an toàn vệ sinh lao động và văn hóa công sở.</t>
  </si>
  <si>
    <t>Nội dung tuyên truyền</t>
  </si>
  <si>
    <t>Vận động đoàn viên chấp hành kỷ luật, kỷ cương; bảo vệ tài sản công, giữ gìn an ninh, trật tự và an toàn trong cơ quan.</t>
  </si>
  <si>
    <t>Các Tổ Công đoàn</t>
  </si>
  <si>
    <t>Minh chứng triển khai</t>
  </si>
  <si>
    <t>Triển khai các nhiệm vụ phát sinh theo chỉ đạo của Đảng ủy, Lãnh đạo Trường, Liên đoàn Lao động tỉnh và Ban Chấp hành CĐCS (nếu có).</t>
  </si>
  <si>
    <t>BCH CĐCS</t>
  </si>
  <si>
    <t>Văn bản/báo cáo/sản phẩm theo yêu cầu</t>
  </si>
  <si>
    <t>Theo phát sinh</t>
  </si>
  <si>
    <t>Theo mức độ</t>
  </si>
  <si>
    <t>Tiếp tục quán triệt, tuyên truyền và triển khai các nghị quyết, chỉ thị, kết luận, văn bản chỉ đạo của cấp trên; củng cố tổ chức, phát huy vai trò của các đoàn thể trong thực hiện nhiệm vụ chính trị của Nhà trường.</t>
  </si>
  <si>
    <t>Đẩy mạnh tuyên truyền chuyển đổi số, bảo đảm an toàn thông tin; tăng cường ứng dụng nền tảng số trong quản lý, điều hành và truyền thông của nhà trường.</t>
  </si>
  <si>
    <t>Tổ chức Chương trình Tết Trung thu năm 2026 cho con viên chức, người lao động; bảo đảm thiết thực, an toàn, tiết kiệm, đúng đối tượng.</t>
  </si>
  <si>
    <t>Tiếp tục chăm lo đời sống VC, NLĐ; xây dựng kế hoạch và chuẩn bị các điều kiện tổ chức hoạt động chào mừng Ngày Phụ nữ Việt Nam 20/10.</t>
  </si>
  <si>
    <t>Theo yêu cầu</t>
  </si>
  <si>
    <t>Thường xuyên</t>
  </si>
  <si>
    <t>Trong tháng 9</t>
  </si>
  <si>
    <t>Cuối tháng 9</t>
  </si>
  <si>
    <r>
      <rPr>
        <b/>
        <i/>
        <sz val="12"/>
        <rFont val="Times New Roman"/>
        <family val="1"/>
        <charset val="163"/>
      </rPr>
      <t xml:space="preserve">
Nơi nhận:</t>
    </r>
    <r>
      <rPr>
        <sz val="12"/>
        <rFont val="Times New Roman"/>
        <family val="1"/>
      </rPr>
      <t xml:space="preserve">
</t>
    </r>
    <r>
      <rPr>
        <sz val="11"/>
        <rFont val="Times New Roman"/>
        <family val="1"/>
        <charset val="163"/>
      </rPr>
      <t>- Đảng ủy Trường;
- Lãnh đạo Trường;
- Phòng TH-HC&amp;QT;
- Các tổ Công đoàn;
- Lưu:VT, CĐCS.</t>
    </r>
  </si>
  <si>
    <r>
      <rPr>
        <i/>
        <sz val="14"/>
        <rFont val="Times New Roman"/>
        <family val="1"/>
        <charset val="163"/>
      </rPr>
      <t>Quảng Ngãi, ngày 17 tháng 8 năm 2026</t>
    </r>
    <r>
      <rPr>
        <sz val="14"/>
        <rFont val="Times New Roman"/>
        <family val="1"/>
      </rPr>
      <t xml:space="preserve">
</t>
    </r>
    <r>
      <rPr>
        <b/>
        <sz val="14"/>
        <rFont val="Times New Roman"/>
        <family val="1"/>
      </rPr>
      <t xml:space="preserve">TM. BAN CHẤP HÀNH
CHỦ TỊCH
</t>
    </r>
  </si>
  <si>
    <t>Nguyễn Trung Hiếu</t>
  </si>
  <si>
    <t>Danh sách/ báo cáo</t>
  </si>
  <si>
    <t>Nội dung tuyên truyn, chứng chỉ, báo cáo</t>
  </si>
  <si>
    <t>Tiếp tục tuyên truyền, vận động đoàn viên tham gia Cuộc thi trực tuyến tìm hiểu Nghị quyết Đại hội Công đoàn; theo dõi, tổng hợp kết quả tham gia theo yêu cầu</t>
  </si>
  <si>
    <t>Các tổ Công đoàn</t>
  </si>
  <si>
    <t>Rà soát, thống kê trẻ em mồ côi là con đoàn viên, người lao động tử vong do tai nạn lao động theo Công văn số 616/LĐLĐ.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</si>
</sst>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
      <sz val="10"/>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0">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6" fillId="0" borderId="0" xfId="0" applyFont="1"/>
    <xf numFmtId="0" fontId="4" fillId="0" borderId="2" xfId="0" applyFont="1" applyBorder="1" applyAlignment="1">
      <alignment horizontal="center" vertical="center"/>
    </xf>
    <xf numFmtId="0" fontId="8" fillId="0" borderId="0" xfId="0" applyFont="1"/>
    <xf numFmtId="0" fontId="13" fillId="0" borderId="0" xfId="0" applyFont="1" applyAlignment="1">
      <alignment horizontal="left" vertical="top" wrapText="1"/>
    </xf>
    <xf numFmtId="0" fontId="16" fillId="0" borderId="0" xfId="0" applyFont="1"/>
    <xf numFmtId="0" fontId="20"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9" fillId="0" borderId="0" xfId="0" applyFont="1" applyAlignment="1">
      <alignment horizontal="center" vertical="top" wrapText="1"/>
    </xf>
    <xf numFmtId="0" fontId="13"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0" fillId="0" borderId="3"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7" fillId="0" borderId="0" xfId="0" applyFont="1" applyAlignment="1">
      <alignment horizontal="center"/>
    </xf>
    <xf numFmtId="0" fontId="7" fillId="0" borderId="0" xfId="0" applyFont="1" applyAlignment="1">
      <alignment horizontal="center" vertical="center" wrapText="1"/>
    </xf>
    <xf numFmtId="0" fontId="2" fillId="0" borderId="0" xfId="0" applyFont="1" applyAlignment="1">
      <alignment horizontal="center" vertical="center"/>
    </xf>
    <xf numFmtId="0" fontId="7" fillId="0" borderId="0" xfId="0" applyFont="1" applyAlignment="1">
      <alignment horizontal="center" wrapText="1"/>
    </xf>
    <xf numFmtId="0" fontId="22" fillId="0" borderId="2" xfId="0" applyFont="1" applyBorder="1" applyAlignment="1">
      <alignment vertical="top" wrapText="1"/>
    </xf>
    <xf numFmtId="0" fontId="22" fillId="0" borderId="2" xfId="0" applyFont="1" applyBorder="1" applyAlignment="1">
      <alignment horizontal="center" vertical="center" wrapText="1"/>
    </xf>
    <xf numFmtId="0" fontId="12" fillId="0" borderId="0" xfId="0" applyFont="1"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1049102</xdr:colOff>
      <xdr:row>2</xdr:row>
      <xdr:rowOff>35718</xdr:rowOff>
    </xdr:from>
    <xdr:to>
      <xdr:col>1</xdr:col>
      <xdr:colOff>2272999</xdr:colOff>
      <xdr:row>2</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466388" y="634432"/>
          <a:ext cx="122389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495132</xdr:colOff>
      <xdr:row>2</xdr:row>
      <xdr:rowOff>39191</xdr:rowOff>
    </xdr:from>
    <xdr:to>
      <xdr:col>7</xdr:col>
      <xdr:colOff>697287</xdr:colOff>
      <xdr:row>2</xdr:row>
      <xdr:rowOff>39191</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6811355" y="640414"/>
          <a:ext cx="214093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788977</xdr:colOff>
      <xdr:row>2</xdr:row>
      <xdr:rowOff>533376</xdr:rowOff>
    </xdr:from>
    <xdr:to>
      <xdr:col>5</xdr:col>
      <xdr:colOff>12609</xdr:colOff>
      <xdr:row>2</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088834" y="1132090"/>
          <a:ext cx="124656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P34"/>
  <sheetViews>
    <sheetView tabSelected="1" view="pageBreakPreview" topLeftCell="A31" zoomScale="94" zoomScaleNormal="70" zoomScaleSheetLayoutView="94" workbookViewId="0">
      <selection activeCell="K20" sqref="K20"/>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s="4" customFormat="1" ht="28.5" customHeight="1" x14ac:dyDescent="0.35">
      <c r="A1" s="22" t="s">
        <v>41</v>
      </c>
      <c r="B1" s="22"/>
      <c r="C1" s="22"/>
      <c r="D1" s="25" t="s">
        <v>22</v>
      </c>
      <c r="E1" s="25"/>
      <c r="F1" s="25"/>
      <c r="G1" s="25"/>
      <c r="H1" s="25"/>
      <c r="I1" s="25"/>
      <c r="J1" s="25"/>
      <c r="K1" s="25"/>
    </row>
    <row r="2" spans="1:11" s="4" customFormat="1" ht="18.75" customHeight="1" x14ac:dyDescent="0.35">
      <c r="A2" s="23" t="s">
        <v>42</v>
      </c>
      <c r="B2" s="23"/>
      <c r="C2" s="23"/>
      <c r="D2" s="18" t="s">
        <v>23</v>
      </c>
      <c r="E2" s="18"/>
      <c r="F2" s="18"/>
      <c r="G2" s="18"/>
      <c r="H2" s="18"/>
      <c r="I2" s="18"/>
      <c r="J2" s="18"/>
      <c r="K2" s="18"/>
    </row>
    <row r="3" spans="1:11" ht="44.25" customHeight="1" x14ac:dyDescent="0.35">
      <c r="A3" s="18" t="s">
        <v>43</v>
      </c>
      <c r="B3" s="24"/>
      <c r="C3" s="24"/>
      <c r="D3" s="24"/>
      <c r="E3" s="24"/>
      <c r="F3" s="24"/>
      <c r="G3" s="24"/>
      <c r="H3" s="24"/>
      <c r="I3" s="24"/>
      <c r="J3" s="24"/>
      <c r="K3" s="24"/>
    </row>
    <row r="4" spans="1:11" ht="9" customHeight="1" x14ac:dyDescent="0.35">
      <c r="A4" s="21"/>
      <c r="B4" s="21"/>
      <c r="C4" s="21"/>
      <c r="D4" s="21"/>
      <c r="E4" s="21"/>
      <c r="F4" s="21"/>
      <c r="G4" s="21"/>
      <c r="H4" s="21"/>
      <c r="I4" s="21"/>
      <c r="J4" s="21"/>
      <c r="K4" s="21"/>
    </row>
    <row r="5" spans="1:11" ht="22" customHeight="1" x14ac:dyDescent="0.35">
      <c r="A5" s="20" t="s">
        <v>0</v>
      </c>
      <c r="B5" s="20" t="s">
        <v>1</v>
      </c>
      <c r="C5" s="20" t="s">
        <v>2</v>
      </c>
      <c r="D5" s="20" t="s">
        <v>27</v>
      </c>
      <c r="E5" s="20" t="s">
        <v>35</v>
      </c>
      <c r="F5" s="20" t="s">
        <v>13</v>
      </c>
      <c r="G5" s="20" t="s">
        <v>33</v>
      </c>
      <c r="H5" s="11" t="s">
        <v>3</v>
      </c>
      <c r="I5" s="11" t="s">
        <v>36</v>
      </c>
      <c r="J5" s="11" t="s">
        <v>37</v>
      </c>
      <c r="K5" s="11" t="s">
        <v>4</v>
      </c>
    </row>
    <row r="6" spans="1:11" ht="63.75" customHeight="1" x14ac:dyDescent="0.35">
      <c r="A6" s="20"/>
      <c r="B6" s="20"/>
      <c r="C6" s="20"/>
      <c r="D6" s="20"/>
      <c r="E6" s="20"/>
      <c r="F6" s="20"/>
      <c r="G6" s="20"/>
      <c r="H6" s="11"/>
      <c r="I6" s="11"/>
      <c r="J6" s="11"/>
      <c r="K6" s="11"/>
    </row>
    <row r="7" spans="1:11" ht="15" x14ac:dyDescent="0.35">
      <c r="A7" s="3" t="s">
        <v>14</v>
      </c>
      <c r="B7" s="3" t="s">
        <v>15</v>
      </c>
      <c r="C7" s="3" t="s">
        <v>16</v>
      </c>
      <c r="D7" s="3" t="s">
        <v>17</v>
      </c>
      <c r="E7" s="3" t="s">
        <v>18</v>
      </c>
      <c r="F7" s="3" t="s">
        <v>19</v>
      </c>
      <c r="G7" s="3" t="s">
        <v>20</v>
      </c>
      <c r="H7" s="3" t="s">
        <v>21</v>
      </c>
      <c r="I7" s="3" t="s">
        <v>26</v>
      </c>
      <c r="J7" s="3" t="s">
        <v>28</v>
      </c>
      <c r="K7" s="3" t="s">
        <v>28</v>
      </c>
    </row>
    <row r="8" spans="1:11" ht="25" customHeight="1" x14ac:dyDescent="0.35">
      <c r="A8" s="1" t="s">
        <v>5</v>
      </c>
      <c r="B8" s="14" t="s">
        <v>38</v>
      </c>
      <c r="C8" s="14"/>
      <c r="D8" s="14"/>
      <c r="E8" s="14"/>
      <c r="F8" s="14"/>
      <c r="G8" s="14"/>
      <c r="H8" s="14"/>
      <c r="I8" s="14"/>
      <c r="J8" s="14"/>
      <c r="K8" s="14"/>
    </row>
    <row r="9" spans="1:11" ht="25" customHeight="1" x14ac:dyDescent="0.35">
      <c r="A9" s="5">
        <v>1</v>
      </c>
      <c r="B9" s="15" t="s">
        <v>6</v>
      </c>
      <c r="C9" s="15"/>
      <c r="D9" s="15"/>
      <c r="E9" s="15"/>
      <c r="F9" s="15"/>
      <c r="G9" s="15"/>
      <c r="H9" s="15"/>
      <c r="I9" s="15"/>
      <c r="J9" s="15"/>
      <c r="K9" s="15"/>
    </row>
    <row r="10" spans="1:11" ht="40" customHeight="1" x14ac:dyDescent="0.35">
      <c r="A10" s="1" t="s">
        <v>24</v>
      </c>
      <c r="B10" s="26" t="s">
        <v>44</v>
      </c>
      <c r="C10" s="27" t="s">
        <v>30</v>
      </c>
      <c r="D10" s="27" t="s">
        <v>45</v>
      </c>
      <c r="E10" s="27" t="s">
        <v>46</v>
      </c>
      <c r="F10" s="27">
        <v>2</v>
      </c>
      <c r="G10" s="27" t="s">
        <v>32</v>
      </c>
      <c r="H10" s="27" t="s">
        <v>84</v>
      </c>
      <c r="I10" s="1">
        <f>IF(G10="Khó và phức tạp",200,IF(G10="Cao",150,IF(G10="Trungbình",120,100)))</f>
        <v>150</v>
      </c>
      <c r="J10" s="1">
        <f>I10*0.01</f>
        <v>1.5</v>
      </c>
      <c r="K10" s="10" t="s">
        <v>39</v>
      </c>
    </row>
    <row r="11" spans="1:11" ht="39" x14ac:dyDescent="0.35">
      <c r="A11" s="1" t="s">
        <v>25</v>
      </c>
      <c r="B11" s="26" t="s">
        <v>47</v>
      </c>
      <c r="C11" s="27" t="s">
        <v>30</v>
      </c>
      <c r="D11" s="27" t="s">
        <v>45</v>
      </c>
      <c r="E11" s="27" t="s">
        <v>48</v>
      </c>
      <c r="F11" s="27">
        <v>1</v>
      </c>
      <c r="G11" s="27" t="s">
        <v>32</v>
      </c>
      <c r="H11" s="27" t="s">
        <v>83</v>
      </c>
      <c r="I11" s="1">
        <f t="shared" ref="I11" si="0">IF(G11="Khó và phức tạp",200,IF(G11="Cao",150,IF(G11="Trungbình",120,100)))</f>
        <v>150</v>
      </c>
      <c r="J11" s="1">
        <f t="shared" ref="J11" si="1">I11*0.01</f>
        <v>1.5</v>
      </c>
      <c r="K11" s="9" t="s">
        <v>40</v>
      </c>
    </row>
    <row r="12" spans="1:11" ht="25" customHeight="1" x14ac:dyDescent="0.35">
      <c r="A12" s="5">
        <v>2</v>
      </c>
      <c r="B12" s="15" t="s">
        <v>7</v>
      </c>
      <c r="C12" s="15"/>
      <c r="D12" s="15"/>
      <c r="E12" s="15"/>
      <c r="F12" s="15"/>
      <c r="G12" s="15"/>
      <c r="H12" s="15"/>
      <c r="I12" s="15"/>
      <c r="J12" s="15"/>
      <c r="K12" s="15"/>
    </row>
    <row r="13" spans="1:11" ht="39" x14ac:dyDescent="0.35">
      <c r="A13" s="1">
        <v>2.1</v>
      </c>
      <c r="B13" s="26" t="s">
        <v>49</v>
      </c>
      <c r="C13" s="27" t="s">
        <v>30</v>
      </c>
      <c r="D13" s="27" t="s">
        <v>50</v>
      </c>
      <c r="E13" s="27" t="s">
        <v>51</v>
      </c>
      <c r="F13" s="27">
        <v>1</v>
      </c>
      <c r="G13" s="27" t="s">
        <v>31</v>
      </c>
      <c r="H13" s="27" t="s">
        <v>82</v>
      </c>
      <c r="I13" s="1">
        <f>IF(G13="Khó và phức tạp",200,IF(G13="Cao",150,IF(G13="Trungbình",120,100)))</f>
        <v>100</v>
      </c>
      <c r="J13" s="1">
        <f>I13*0.01</f>
        <v>1</v>
      </c>
      <c r="K13" s="10" t="s">
        <v>39</v>
      </c>
    </row>
    <row r="14" spans="1:11" ht="39" x14ac:dyDescent="0.35">
      <c r="A14" s="1">
        <v>2.2000000000000002</v>
      </c>
      <c r="B14" s="26" t="s">
        <v>52</v>
      </c>
      <c r="C14" s="27" t="s">
        <v>30</v>
      </c>
      <c r="D14" s="27" t="s">
        <v>53</v>
      </c>
      <c r="E14" s="27" t="s">
        <v>54</v>
      </c>
      <c r="F14" s="27">
        <v>1</v>
      </c>
      <c r="G14" s="27" t="s">
        <v>32</v>
      </c>
      <c r="H14" s="27" t="s">
        <v>83</v>
      </c>
      <c r="I14" s="1">
        <f>IF(G14="Khó và phức tạp",200,IF(G14="Cao",150,IF(G14="Trungbình",120,100)))</f>
        <v>150</v>
      </c>
      <c r="J14" s="1">
        <f>I14*0.01</f>
        <v>1.5</v>
      </c>
      <c r="K14" s="9" t="s">
        <v>40</v>
      </c>
    </row>
    <row r="15" spans="1:11" ht="25" customHeight="1" x14ac:dyDescent="0.35">
      <c r="A15" s="5">
        <v>3</v>
      </c>
      <c r="B15" s="15" t="s">
        <v>8</v>
      </c>
      <c r="C15" s="15"/>
      <c r="D15" s="15"/>
      <c r="E15" s="15"/>
      <c r="F15" s="15"/>
      <c r="G15" s="15"/>
      <c r="H15" s="15"/>
      <c r="I15" s="15"/>
      <c r="J15" s="15"/>
      <c r="K15" s="15"/>
    </row>
    <row r="16" spans="1:11" ht="60" customHeight="1" x14ac:dyDescent="0.35">
      <c r="A16" s="2">
        <v>3.1</v>
      </c>
      <c r="B16" s="26" t="s">
        <v>78</v>
      </c>
      <c r="C16" s="27" t="s">
        <v>30</v>
      </c>
      <c r="D16" s="27" t="s">
        <v>45</v>
      </c>
      <c r="E16" s="27" t="s">
        <v>55</v>
      </c>
      <c r="F16" s="27">
        <v>2</v>
      </c>
      <c r="G16" s="27" t="s">
        <v>32</v>
      </c>
      <c r="H16" s="27" t="s">
        <v>83</v>
      </c>
      <c r="I16" s="1">
        <f>IF(G16="Khó và phức tạp",200,IF(G16="Cao",150,IF(G16="Trungbình",120,100)))</f>
        <v>150</v>
      </c>
      <c r="J16" s="1">
        <f>I16*0.01</f>
        <v>1.5</v>
      </c>
      <c r="K16" s="10" t="s">
        <v>39</v>
      </c>
    </row>
    <row r="17" spans="1:11" ht="39" x14ac:dyDescent="0.35">
      <c r="A17" s="2">
        <v>3.2</v>
      </c>
      <c r="B17" s="26" t="s">
        <v>56</v>
      </c>
      <c r="C17" s="27" t="s">
        <v>30</v>
      </c>
      <c r="D17" s="27" t="s">
        <v>45</v>
      </c>
      <c r="E17" s="27" t="s">
        <v>57</v>
      </c>
      <c r="F17" s="27">
        <v>1</v>
      </c>
      <c r="G17" s="27" t="s">
        <v>32</v>
      </c>
      <c r="H17" s="27" t="s">
        <v>84</v>
      </c>
      <c r="I17" s="1">
        <f>IF(G17="Khó và phức tạp",200,IF(G17="Cao",150,IF(G17="Trungbình",120,100)))</f>
        <v>150</v>
      </c>
      <c r="J17" s="1">
        <f>I17*0.01</f>
        <v>1.5</v>
      </c>
      <c r="K17" s="9" t="s">
        <v>40</v>
      </c>
    </row>
    <row r="18" spans="1:11" ht="25" customHeight="1" x14ac:dyDescent="0.35">
      <c r="A18" s="5">
        <v>4</v>
      </c>
      <c r="B18" s="17" t="s">
        <v>9</v>
      </c>
      <c r="C18" s="17"/>
      <c r="D18" s="17"/>
      <c r="E18" s="17"/>
      <c r="F18" s="17"/>
      <c r="G18" s="17"/>
      <c r="H18" s="17"/>
      <c r="I18" s="17"/>
      <c r="J18" s="17"/>
      <c r="K18" s="17"/>
    </row>
    <row r="19" spans="1:11" ht="65" x14ac:dyDescent="0.35">
      <c r="A19" s="2">
        <v>4.0999999999999996</v>
      </c>
      <c r="B19" s="26" t="s">
        <v>77</v>
      </c>
      <c r="C19" s="27" t="s">
        <v>30</v>
      </c>
      <c r="D19" s="27" t="s">
        <v>45</v>
      </c>
      <c r="E19" s="27" t="s">
        <v>58</v>
      </c>
      <c r="F19" s="27">
        <v>2</v>
      </c>
      <c r="G19" s="27" t="s">
        <v>32</v>
      </c>
      <c r="H19" s="27" t="s">
        <v>83</v>
      </c>
      <c r="I19" s="1">
        <f>IF(G19="Khó và phức tạp",200,IF(G19="Cao",150,IF(G19="Trungbình",120,100)))</f>
        <v>150</v>
      </c>
      <c r="J19" s="1">
        <f>I19*0.01</f>
        <v>1.5</v>
      </c>
      <c r="K19" s="10" t="s">
        <v>39</v>
      </c>
    </row>
    <row r="20" spans="1:11" ht="52" x14ac:dyDescent="0.35">
      <c r="A20" s="2">
        <v>4.2</v>
      </c>
      <c r="B20" s="26" t="s">
        <v>90</v>
      </c>
      <c r="C20" s="27" t="s">
        <v>30</v>
      </c>
      <c r="D20" s="27" t="s">
        <v>45</v>
      </c>
      <c r="E20" s="27" t="s">
        <v>89</v>
      </c>
      <c r="F20" s="27">
        <v>1</v>
      </c>
      <c r="G20" s="27" t="s">
        <v>31</v>
      </c>
      <c r="H20" s="27" t="s">
        <v>83</v>
      </c>
      <c r="I20" s="1">
        <f>IF(G20="Khó và phức tạp",200,IF(G20="Cao",150,IF(G20="Trungbình",120,100)))</f>
        <v>100</v>
      </c>
      <c r="J20" s="1">
        <f>I20*0.01</f>
        <v>1</v>
      </c>
      <c r="K20" s="9" t="s">
        <v>40</v>
      </c>
    </row>
    <row r="21" spans="1:11" ht="39" x14ac:dyDescent="0.35">
      <c r="A21" s="2">
        <v>4.3</v>
      </c>
      <c r="B21" s="26" t="s">
        <v>59</v>
      </c>
      <c r="C21" s="27" t="s">
        <v>30</v>
      </c>
      <c r="D21" s="27" t="s">
        <v>45</v>
      </c>
      <c r="E21" s="27" t="s">
        <v>60</v>
      </c>
      <c r="F21" s="27">
        <v>1</v>
      </c>
      <c r="G21" s="27" t="s">
        <v>31</v>
      </c>
      <c r="H21" s="27" t="s">
        <v>82</v>
      </c>
      <c r="I21" s="1">
        <f t="shared" ref="I21" si="2">IF(G21="Khó và phức tạp",200,IF(G21="Cao",150,IF(G21="Trungbình",120,100)))</f>
        <v>100</v>
      </c>
      <c r="J21" s="1">
        <f t="shared" ref="J21:J31" si="3">I21*0.01</f>
        <v>1</v>
      </c>
      <c r="K21" s="9" t="s">
        <v>40</v>
      </c>
    </row>
    <row r="22" spans="1:11" ht="25" customHeight="1" x14ac:dyDescent="0.35">
      <c r="A22" s="5">
        <v>5</v>
      </c>
      <c r="B22" s="15" t="s">
        <v>10</v>
      </c>
      <c r="C22" s="15"/>
      <c r="D22" s="15"/>
      <c r="E22" s="15"/>
      <c r="F22" s="15"/>
      <c r="G22" s="15"/>
      <c r="H22" s="15"/>
      <c r="I22" s="15"/>
      <c r="J22" s="15"/>
      <c r="K22" s="15"/>
    </row>
    <row r="23" spans="1:11" ht="39" x14ac:dyDescent="0.35">
      <c r="A23" s="2">
        <v>5.0999999999999996</v>
      </c>
      <c r="B23" s="26" t="s">
        <v>79</v>
      </c>
      <c r="C23" s="27" t="s">
        <v>30</v>
      </c>
      <c r="D23" s="27" t="s">
        <v>61</v>
      </c>
      <c r="E23" s="27" t="s">
        <v>62</v>
      </c>
      <c r="F23" s="27">
        <v>1</v>
      </c>
      <c r="G23" s="27" t="s">
        <v>32</v>
      </c>
      <c r="H23" s="2" t="s">
        <v>83</v>
      </c>
      <c r="I23" s="1">
        <f t="shared" ref="I23:I26" si="4">IF(G23="Khó và phức tạp",200,IF(G23="Cao",150,IF(G23="Trungbình",120,100)))</f>
        <v>150</v>
      </c>
      <c r="J23" s="1">
        <f t="shared" si="3"/>
        <v>1.5</v>
      </c>
      <c r="K23" s="10" t="s">
        <v>39</v>
      </c>
    </row>
    <row r="24" spans="1:11" ht="39" x14ac:dyDescent="0.35">
      <c r="A24" s="2">
        <v>5.2</v>
      </c>
      <c r="B24" s="26" t="s">
        <v>80</v>
      </c>
      <c r="C24" s="27" t="s">
        <v>30</v>
      </c>
      <c r="D24" s="27" t="s">
        <v>61</v>
      </c>
      <c r="E24" s="27" t="s">
        <v>63</v>
      </c>
      <c r="F24" s="27">
        <v>2</v>
      </c>
      <c r="G24" s="27" t="s">
        <v>32</v>
      </c>
      <c r="H24" s="2" t="s">
        <v>83</v>
      </c>
      <c r="I24" s="1">
        <f t="shared" si="4"/>
        <v>150</v>
      </c>
      <c r="J24" s="1">
        <f t="shared" si="3"/>
        <v>1.5</v>
      </c>
      <c r="K24" s="10" t="s">
        <v>39</v>
      </c>
    </row>
    <row r="25" spans="1:11" ht="39" x14ac:dyDescent="0.35">
      <c r="A25" s="2">
        <v>5.3</v>
      </c>
      <c r="B25" s="26" t="s">
        <v>64</v>
      </c>
      <c r="C25" s="27" t="s">
        <v>30</v>
      </c>
      <c r="D25" s="27" t="s">
        <v>65</v>
      </c>
      <c r="E25" s="27" t="s">
        <v>66</v>
      </c>
      <c r="F25" s="27">
        <v>1</v>
      </c>
      <c r="G25" s="27" t="s">
        <v>31</v>
      </c>
      <c r="H25" s="2" t="s">
        <v>83</v>
      </c>
      <c r="I25" s="1">
        <f t="shared" si="4"/>
        <v>100</v>
      </c>
      <c r="J25" s="1">
        <f t="shared" si="3"/>
        <v>1</v>
      </c>
      <c r="K25" s="9" t="s">
        <v>40</v>
      </c>
    </row>
    <row r="26" spans="1:11" ht="39" x14ac:dyDescent="0.35">
      <c r="A26" s="2">
        <v>5.4</v>
      </c>
      <c r="B26" s="26" t="s">
        <v>92</v>
      </c>
      <c r="C26" s="27" t="s">
        <v>30</v>
      </c>
      <c r="D26" s="27" t="s">
        <v>91</v>
      </c>
      <c r="E26" s="27" t="s">
        <v>88</v>
      </c>
      <c r="F26" s="27">
        <v>1</v>
      </c>
      <c r="G26" s="27" t="s">
        <v>32</v>
      </c>
      <c r="H26" s="2" t="s">
        <v>83</v>
      </c>
      <c r="I26" s="1">
        <f t="shared" si="4"/>
        <v>150</v>
      </c>
      <c r="J26" s="1">
        <f t="shared" si="3"/>
        <v>1.5</v>
      </c>
      <c r="K26" s="10" t="s">
        <v>39</v>
      </c>
    </row>
    <row r="27" spans="1:11" ht="25" customHeight="1" x14ac:dyDescent="0.35">
      <c r="A27" s="5">
        <v>6</v>
      </c>
      <c r="B27" s="15" t="s">
        <v>11</v>
      </c>
      <c r="C27" s="15"/>
      <c r="D27" s="15"/>
      <c r="E27" s="15"/>
      <c r="F27" s="15"/>
      <c r="G27" s="15"/>
      <c r="H27" s="15"/>
      <c r="I27" s="15"/>
      <c r="J27" s="15"/>
      <c r="K27" s="15"/>
    </row>
    <row r="28" spans="1:11" ht="39" x14ac:dyDescent="0.35">
      <c r="A28" s="2">
        <v>6.1</v>
      </c>
      <c r="B28" s="26" t="s">
        <v>67</v>
      </c>
      <c r="C28" s="27" t="s">
        <v>30</v>
      </c>
      <c r="D28" s="27" t="s">
        <v>45</v>
      </c>
      <c r="E28" s="27" t="s">
        <v>68</v>
      </c>
      <c r="F28" s="27">
        <v>1</v>
      </c>
      <c r="G28" s="27" t="s">
        <v>31</v>
      </c>
      <c r="H28" s="2" t="s">
        <v>82</v>
      </c>
      <c r="I28" s="1">
        <f t="shared" ref="I28:I29" si="5">IF(G28="Khó và phức tạp",200,IF(G28="Cao",150,IF(G28="Trungbình",120,100)))</f>
        <v>100</v>
      </c>
      <c r="J28" s="1">
        <f t="shared" si="3"/>
        <v>1</v>
      </c>
      <c r="K28" s="10" t="s">
        <v>39</v>
      </c>
    </row>
    <row r="29" spans="1:11" ht="39" x14ac:dyDescent="0.35">
      <c r="A29" s="2">
        <v>6.2</v>
      </c>
      <c r="B29" s="26" t="s">
        <v>69</v>
      </c>
      <c r="C29" s="27" t="s">
        <v>30</v>
      </c>
      <c r="D29" s="27" t="s">
        <v>70</v>
      </c>
      <c r="E29" s="27" t="s">
        <v>71</v>
      </c>
      <c r="F29" s="27">
        <v>1</v>
      </c>
      <c r="G29" s="27" t="s">
        <v>31</v>
      </c>
      <c r="H29" s="2" t="s">
        <v>82</v>
      </c>
      <c r="I29" s="1">
        <f t="shared" si="5"/>
        <v>100</v>
      </c>
      <c r="J29" s="1">
        <f t="shared" si="3"/>
        <v>1</v>
      </c>
      <c r="K29" s="9" t="s">
        <v>40</v>
      </c>
    </row>
    <row r="30" spans="1:11" ht="25" customHeight="1" x14ac:dyDescent="0.35">
      <c r="A30" s="5" t="s">
        <v>12</v>
      </c>
      <c r="B30" s="15" t="s">
        <v>34</v>
      </c>
      <c r="C30" s="15"/>
      <c r="D30" s="15"/>
      <c r="E30" s="15"/>
      <c r="F30" s="15"/>
      <c r="G30" s="15"/>
      <c r="H30" s="15"/>
      <c r="I30" s="15"/>
      <c r="J30" s="15"/>
      <c r="K30" s="15"/>
    </row>
    <row r="31" spans="1:11" ht="39" x14ac:dyDescent="0.35">
      <c r="A31" s="2">
        <v>1</v>
      </c>
      <c r="B31" s="26" t="s">
        <v>72</v>
      </c>
      <c r="C31" s="27" t="s">
        <v>30</v>
      </c>
      <c r="D31" s="27" t="s">
        <v>73</v>
      </c>
      <c r="E31" s="27" t="s">
        <v>74</v>
      </c>
      <c r="F31" s="27" t="s">
        <v>75</v>
      </c>
      <c r="G31" s="27" t="s">
        <v>76</v>
      </c>
      <c r="H31" s="2" t="s">
        <v>81</v>
      </c>
      <c r="I31" s="1">
        <f t="shared" ref="I31" si="6">IF(G31="Khó và phức tạp",200,IF(G31="Cao",150,IF(G31="Trungbình",120,100)))</f>
        <v>100</v>
      </c>
      <c r="J31" s="1">
        <f t="shared" si="3"/>
        <v>1</v>
      </c>
      <c r="K31" s="10" t="s">
        <v>39</v>
      </c>
    </row>
    <row r="32" spans="1:11" s="6" customFormat="1" ht="119.25" customHeight="1" x14ac:dyDescent="0.35">
      <c r="B32" s="16" t="s">
        <v>29</v>
      </c>
      <c r="C32" s="16"/>
      <c r="D32" s="16"/>
      <c r="E32" s="16"/>
      <c r="F32" s="16"/>
      <c r="G32" s="16"/>
      <c r="H32" s="16"/>
      <c r="I32" s="16"/>
      <c r="J32" s="16"/>
      <c r="K32" s="16"/>
    </row>
    <row r="33" spans="1:16" s="8" customFormat="1" ht="132" customHeight="1" x14ac:dyDescent="0.35">
      <c r="A33" s="13" t="s">
        <v>85</v>
      </c>
      <c r="B33" s="13"/>
      <c r="C33" s="13"/>
      <c r="D33" s="7"/>
      <c r="G33" s="12" t="s">
        <v>86</v>
      </c>
      <c r="H33" s="12"/>
      <c r="I33" s="12"/>
      <c r="J33" s="12"/>
      <c r="K33" s="12"/>
      <c r="L33" s="28"/>
      <c r="M33" s="28"/>
      <c r="N33" s="28"/>
      <c r="O33" s="28"/>
      <c r="P33" s="28"/>
    </row>
    <row r="34" spans="1:16" ht="32.5" customHeight="1" x14ac:dyDescent="0.35">
      <c r="G34" s="19" t="s">
        <v>87</v>
      </c>
      <c r="H34" s="19"/>
      <c r="I34" s="19"/>
      <c r="J34" s="19"/>
      <c r="K34" s="19"/>
      <c r="L34" s="29"/>
      <c r="M34" s="29"/>
      <c r="N34" s="29"/>
      <c r="O34" s="29"/>
      <c r="P34" s="29"/>
    </row>
  </sheetData>
  <mergeCells count="29">
    <mergeCell ref="A1:C1"/>
    <mergeCell ref="A2:C2"/>
    <mergeCell ref="G33:K33"/>
    <mergeCell ref="G34:K34"/>
    <mergeCell ref="F5:F6"/>
    <mergeCell ref="G5:G6"/>
    <mergeCell ref="A5:A6"/>
    <mergeCell ref="B5:B6"/>
    <mergeCell ref="C5:C6"/>
    <mergeCell ref="D5:D6"/>
    <mergeCell ref="E5:E6"/>
    <mergeCell ref="A4:K4"/>
    <mergeCell ref="A3:K3"/>
    <mergeCell ref="K5:K6"/>
    <mergeCell ref="D1:K1"/>
    <mergeCell ref="D2:K2"/>
    <mergeCell ref="H5:H6"/>
    <mergeCell ref="I5:I6"/>
    <mergeCell ref="J5:J6"/>
    <mergeCell ref="A33:C33"/>
    <mergeCell ref="B8:K8"/>
    <mergeCell ref="B30:K30"/>
    <mergeCell ref="B32:K32"/>
    <mergeCell ref="B9:K9"/>
    <mergeCell ref="B12:K12"/>
    <mergeCell ref="B15:K15"/>
    <mergeCell ref="B18:K18"/>
    <mergeCell ref="B22:K22"/>
    <mergeCell ref="B27:K27"/>
  </mergeCells>
  <conditionalFormatting sqref="C13">
    <cfRule type="dataBar" priority="9">
      <dataBar>
        <cfvo type="min"/>
        <cfvo type="max"/>
        <color rgb="FF638EC6"/>
      </dataBar>
      <extLst>
        <ext xmlns:x14="http://schemas.microsoft.com/office/spreadsheetml/2009/9/main" uri="{B025F937-C7B1-47D3-B67F-A62EFF666E3E}">
          <x14:id>{CBD7B373-A4C1-41FB-A25C-F14BF1ED705A}</x14:id>
        </ext>
      </extLst>
    </cfRule>
  </conditionalFormatting>
  <conditionalFormatting sqref="C16">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17">
    <cfRule type="dataBar" priority="7">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3">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8:C29">
    <cfRule type="dataBar" priority="4">
      <dataBar>
        <cfvo type="min"/>
        <cfvo type="max"/>
        <color rgb="FF638EC6"/>
      </dataBar>
      <extLst>
        <ext xmlns:x14="http://schemas.microsoft.com/office/spreadsheetml/2009/9/main" uri="{B025F937-C7B1-47D3-B67F-A62EFF666E3E}">
          <x14:id>{7E1987A0-3211-4AC2-801D-3D223C64AEAA}</x14:id>
        </ext>
      </extLst>
    </cfRule>
  </conditionalFormatting>
  <conditionalFormatting sqref="C24:C26">
    <cfRule type="dataBar" priority="12">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1">
    <cfRule type="dataBar" priority="13">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9:C21">
    <cfRule type="dataBar" priority="14">
      <dataBar>
        <cfvo type="min"/>
        <cfvo type="max"/>
        <color rgb="FF638EC6"/>
      </dataBar>
      <extLst>
        <ext xmlns:x14="http://schemas.microsoft.com/office/spreadsheetml/2009/9/main" uri="{B025F937-C7B1-47D3-B67F-A62EFF666E3E}">
          <x14:id>{43AE063F-6FBA-4145-8E96-3B15FC0C4DF2}</x14:id>
        </ext>
      </extLst>
    </cfRule>
  </conditionalFormatting>
  <conditionalFormatting sqref="C10:C11">
    <cfRule type="dataBar" priority="15">
      <dataBar>
        <cfvo type="min"/>
        <cfvo type="max"/>
        <color rgb="FF638EC6"/>
      </dataBar>
      <extLst>
        <ext xmlns:x14="http://schemas.microsoft.com/office/spreadsheetml/2009/9/main" uri="{B025F937-C7B1-47D3-B67F-A62EFF666E3E}">
          <x14:id>{503E23DC-A883-4E4A-9CEB-0585580125FE}</x14:id>
        </ext>
      </extLst>
    </cfRule>
  </conditionalFormatting>
  <dataValidations count="5">
    <dataValidation type="list" allowBlank="1" showInputMessage="1" sqref="D10:D11 D13 D16:D17 D31 D23:D26 D28:D29 D19:D21"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10:C11 C13 C16:C17 C23:C26 C31 C28:C29 C19:C21"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10:E11 E13 E16:E17 E19:E21 E28:E29 E23:E26 E31"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3:G26 G28:G29 G19:G21 G16:G17 G13 G10:G11 G31" xr:uid="{242DABCC-F988-4BD7-A39A-B18DD09F67B5}">
      <formula1>"Thấp,Trung bình,Cao,Khó và phức tạp"</formula1>
    </dataValidation>
    <dataValidation allowBlank="1" showInputMessage="1" sqref="H16:K17 H23:K26 H31:K31 H13:K14 H10:K11 H28:K29 H19:K21" xr:uid="{7A6D0803-D5AA-4103-B723-48076D69A4E4}"/>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C13</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C17</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C28:C29</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C24:C26</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C19:C21</xm:sqref>
        </x14:conditionalFormatting>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C10:C11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ACER</cp:lastModifiedBy>
  <cp:lastPrinted>2026-06-25T01:37:08Z</cp:lastPrinted>
  <dcterms:created xsi:type="dcterms:W3CDTF">2026-05-27T07:08:41Z</dcterms:created>
  <dcterms:modified xsi:type="dcterms:W3CDTF">2026-08-17T09:02:40Z</dcterms:modified>
</cp:coreProperties>
</file>