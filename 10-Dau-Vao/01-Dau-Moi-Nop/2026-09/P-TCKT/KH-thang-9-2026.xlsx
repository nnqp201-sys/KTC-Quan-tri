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Phòng TCKT báo cáo tháng 8 và kế hoạch tháng 9 - Copy\"/>
    </mc:Choice>
  </mc:AlternateContent>
  <bookViews>
    <workbookView xWindow="-120" yWindow="-120" windowWidth="24240" windowHeight="13020"/>
  </bookViews>
  <sheets>
    <sheet name="Mẫu KH tháng" sheetId="1" r:id="rId1"/>
  </sheets>
  <definedNames>
    <definedName name="_xlnm.Print_Area" localSheetId="0">'Mẫu KH tháng'!$A$1:$K$32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4" i="1" l="1"/>
  <c r="J14" i="1" s="1"/>
  <c r="J13" i="1"/>
  <c r="J12" i="1"/>
  <c r="I28" i="1" l="1"/>
  <c r="J28" i="1" s="1"/>
  <c r="I27" i="1"/>
  <c r="J27" i="1" s="1"/>
  <c r="I15" i="1"/>
  <c r="J15" i="1" s="1"/>
  <c r="J11" i="1"/>
</calcChain>
</file>

<file path=xl/sharedStrings.xml><?xml version="1.0" encoding="utf-8"?>
<sst xmlns="http://schemas.openxmlformats.org/spreadsheetml/2006/main" count="140" uniqueCount="87">
  <si>
    <t>TT</t>
  </si>
  <si>
    <t>NỘI DUNG CÔNG VIỆC</t>
  </si>
  <si>
    <t>Người trực tiếp chỉ đạo</t>
  </si>
  <si>
    <t>Thời gian hoàn thành</t>
  </si>
  <si>
    <t>Ghi chú</t>
  </si>
  <si>
    <t>I</t>
  </si>
  <si>
    <t xml:space="preserve">Trục (1) - Thực hiện mục tiêu phát triển Kinh tế - xã hội và nhiệm vụ chính trị được giao </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</si>
  <si>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</si>
  <si>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</si>
  <si>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</si>
  <si>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</si>
  <si>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</si>
  <si>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II</t>
  </si>
  <si>
    <t>Số lượng</t>
  </si>
  <si>
    <t>(1)</t>
  </si>
  <si>
    <t>(2)</t>
  </si>
  <si>
    <t>(3)</t>
  </si>
  <si>
    <t>(4)</t>
  </si>
  <si>
    <t>(5)</t>
  </si>
  <si>
    <t>(6)</t>
  </si>
  <si>
    <t>(7)</t>
  </si>
  <si>
    <t>(8)</t>
  </si>
  <si>
    <t>CỘNG HÒA XÃ HỘI CHỦ NGHĨA VIỆT NAM</t>
  </si>
  <si>
    <t>Độc lập - Tự do - Hạnh phúc</t>
  </si>
  <si>
    <t>1.1</t>
  </si>
  <si>
    <t>1.2</t>
  </si>
  <si>
    <t>(9)</t>
  </si>
  <si>
    <t>TRƯỜNG CAO ĐẲNG KON TUM</t>
  </si>
  <si>
    <t>Đơn vị chủ trì</t>
  </si>
  <si>
    <t>(10)</t>
  </si>
  <si>
    <r>
      <rPr>
        <b/>
        <sz val="12"/>
        <rFont val="Times New Roman"/>
        <family val="1"/>
      </rPr>
      <t>Ghi chú:</t>
    </r>
    <r>
      <rPr>
        <sz val="12"/>
        <rFont val="Times New Roman"/>
        <family val="1"/>
      </rPr>
      <t xml:space="preserve"> Mức độ công việc, gồm 4 mức: Thấp; Trung Bình; Cao; Khó, phức tạp và mang tính đột phá 
+ Mức độ thấp: Thường xuyên, nhiệm vụ chủ yếu là thống kê 
+ Mức độ trung bình: Thường xuyên, nhưng có tính thống kê, tổng hợp cao hơn tháng, tác động lớn hơn báo cáo hằng tháng 
+ Mức độ cao: Tổng hợp, phân tích, đánh giá số liệu, không quá khó và phức tạp 
+ Mức độ khó và phức tạp: Khó, phức tạp, tác động lớn, sâu rộng trong toàn Đảng</t>
    </r>
  </si>
  <si>
    <t>Hiệu trưởng</t>
  </si>
  <si>
    <t>1.3</t>
  </si>
  <si>
    <t>Quyết định</t>
  </si>
  <si>
    <t>Trung bình</t>
  </si>
  <si>
    <t>Cao</t>
  </si>
  <si>
    <t>1.4</t>
  </si>
  <si>
    <t>Độ khó, mới, phức tạp; phạm vi tác
động</t>
  </si>
  <si>
    <t>Các nhiệm vụ đột xuất, phát sinh khác ngoài kế hoạch, từ tháng trước chuyển sang (nếu có)</t>
  </si>
  <si>
    <t>Sản phẩm/ công việc</t>
  </si>
  <si>
    <t>Điểm chấm công việc</t>
  </si>
  <si>
    <t>Hệ số quy đổi</t>
  </si>
  <si>
    <t>Thấp</t>
  </si>
  <si>
    <t> Các nhiệm vụ theo kế hoạch (chương trình) công tác đã đề ra từ đầu quý</t>
  </si>
  <si>
    <t>Đưa vào KH Trường</t>
  </si>
  <si>
    <t>Thường xuyên của đơn vị</t>
  </si>
  <si>
    <t xml:space="preserve">Phụ lục Ib
</t>
  </si>
  <si>
    <t>ĐƠN VỊ: PHÒNG TÀI CHÍNH - KẾ TOÁN</t>
  </si>
  <si>
    <t>Phòng TCKT</t>
  </si>
  <si>
    <t>Thông báo</t>
  </si>
  <si>
    <t>Theo số lượng nghề thực tế</t>
  </si>
  <si>
    <t>Phụ lục</t>
  </si>
  <si>
    <t xml:space="preserve">Phó Hiệu trưởng phụ trách </t>
  </si>
  <si>
    <t>Báo báo, Biên bản</t>
  </si>
  <si>
    <t>Ban hành  định định mức kinh tế kỹ thuật và giá dịch vụ đào tạo nghề sơ cấp và dưới 3 tháng</t>
  </si>
  <si>
    <t>Danh sách</t>
  </si>
  <si>
    <t>5.1</t>
  </si>
  <si>
    <t>Thanh toán chế độ chính sách cho HSSV tháng 7/2026</t>
  </si>
  <si>
    <t>5.2</t>
  </si>
  <si>
    <t>Chứng từ</t>
  </si>
  <si>
    <t>Theo thực tế</t>
  </si>
  <si>
    <t>Thực hiện thanh toán các nhiệm vụ thường xuyên, không thường xuyên cho công tác chuyên môn và lương cho viên chức, người lao động</t>
  </si>
  <si>
    <t>1.5</t>
  </si>
  <si>
    <t>1.6</t>
  </si>
  <si>
    <t>Tham mưu ký hợp đồng đào tạo dạy nghề cho người lao động với các đơn vị xã, phường.</t>
  </si>
  <si>
    <t>Hợp đồng</t>
  </si>
  <si>
    <t>Theo nhu cầu</t>
  </si>
  <si>
    <t>1.7</t>
  </si>
  <si>
    <t>Tham mưu tổ chức thanh lý TSCĐ năm 2026</t>
  </si>
  <si>
    <t>Hồ sơ</t>
  </si>
  <si>
    <t>1.8</t>
  </si>
  <si>
    <r>
      <rPr>
        <b/>
        <i/>
        <sz val="12"/>
        <rFont val="Times New Roman"/>
        <family val="1"/>
        <charset val="163"/>
      </rPr>
      <t xml:space="preserve">
Nơi nhận:</t>
    </r>
    <r>
      <rPr>
        <sz val="12"/>
        <rFont val="Times New Roman"/>
        <family val="1"/>
      </rPr>
      <t xml:space="preserve">
</t>
    </r>
    <r>
      <rPr>
        <sz val="11"/>
        <rFont val="Times New Roman"/>
        <family val="1"/>
        <charset val="163"/>
      </rPr>
      <t>- Phòng THHCQT;
- Lưu: TCKT</t>
    </r>
  </si>
  <si>
    <t>Thông báo thu học phí các lớp trình độ cao đẳng, trình độ trung cấp</t>
  </si>
  <si>
    <t>1.9</t>
  </si>
  <si>
    <t>KẾ HOẠCH 
công tác tháng  9 năm 2026</t>
  </si>
  <si>
    <t>Tham mưu ban hành Quy chế kiểm toán nội bộ</t>
  </si>
  <si>
    <t xml:space="preserve"> Tiếp tục Xây dựng định mức kinh tế kỹ thuật và giá dịch vụ đào tạo nghề sơ cấp và dưới 3 tháng</t>
  </si>
  <si>
    <t>Tiếp tục Tham mưu thẩm định định mức kinh tế kỹ thuật và giá dịch vụ đào tạo nghề sơ cấp và dưới 3 tháng</t>
  </si>
  <si>
    <t xml:space="preserve">Tham mưu ban hành Kế hoạch xây dựng định mức kinh tế - kỹ thuật và định giá đào tạo ngành, nghề Y sỹ đa khoa và các lái xe </t>
  </si>
  <si>
    <t>Kế hoạch</t>
  </si>
  <si>
    <t>Kế hoạch của Trườn</t>
  </si>
  <si>
    <t>Phối hợp các khoa ban hành Kế hoạch vật tư thực hành các lớp</t>
  </si>
  <si>
    <t>Quyết định + phụ lục đinh mức</t>
  </si>
  <si>
    <t>Tham mưu ban hành Định mức kinh tế kỹ thuật ngành nghề Y sỹ đa khoa và định giá đào tạo</t>
  </si>
  <si>
    <t>Tham mưu ban hành định mức kinh tế - kỹ thuật và định giá đào tạo lái xe</t>
  </si>
  <si>
    <t>Thanh toán lương tháng 9/2026</t>
  </si>
  <si>
    <r>
      <rPr>
        <i/>
        <sz val="14"/>
        <rFont val="Times New Roman"/>
        <family val="1"/>
        <charset val="163"/>
      </rPr>
      <t>Quảng Ngãi, ngày 15 .tháng 8 năm 2026</t>
    </r>
    <r>
      <rPr>
        <sz val="14"/>
        <rFont val="Times New Roman"/>
        <family val="1"/>
      </rPr>
      <t xml:space="preserve">
</t>
    </r>
    <r>
      <rPr>
        <b/>
        <sz val="14"/>
        <rFont val="Times New Roman"/>
        <family val="1"/>
      </rPr>
      <t xml:space="preserve">LÃNH ĐẠO KHOA/PHÒNG
Lê Thị Hồng Nga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</si>
</sst>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11"/>
      <color theme="1"/>
      <name val="Calibri"/>
      <family val="2"/>
      <scheme val="minor"/>
    </font>
    <font>
      <b/>
      <sz val="14"/>
      <color theme="1"/>
      <name val="Times New Roman"/>
      <family val="1"/>
    </font>
    <font>
      <sz val="14"/>
      <color theme="1"/>
      <name val="Calibri"/>
      <family val="2"/>
      <scheme val="minor"/>
    </font>
    <font>
      <sz val="12"/>
      <color theme="1"/>
      <name val="Times New Roman"/>
      <family val="1"/>
    </font>
    <font>
      <b/>
      <sz val="12"/>
      <color rgb="FF000000"/>
      <name val="Times New Roman"/>
      <family val="1"/>
    </font>
    <font>
      <sz val="12"/>
      <color rgb="FF000000"/>
      <name val="Times New Roman"/>
      <family val="1"/>
    </font>
    <font>
      <sz val="12"/>
      <color theme="1"/>
      <name val="Calibri"/>
      <family val="2"/>
      <scheme val="minor"/>
    </font>
    <font>
      <b/>
      <sz val="13"/>
      <color theme="1"/>
      <name val="Times New Roman"/>
      <family val="1"/>
    </font>
    <font>
      <sz val="11"/>
      <name val="Calibri"/>
      <family val="2"/>
      <scheme val="minor"/>
    </font>
    <font>
      <b/>
      <sz val="12"/>
      <name val="Times New Roman"/>
      <family val="1"/>
    </font>
    <font>
      <sz val="12"/>
      <name val="Times New Roman"/>
      <family val="1"/>
    </font>
    <font>
      <sz val="14"/>
      <name val="Times New Roman"/>
      <family val="1"/>
    </font>
    <font>
      <b/>
      <sz val="14"/>
      <name val="Times New Roman"/>
      <family val="1"/>
    </font>
    <font>
      <sz val="12"/>
      <name val="Times New Roman"/>
      <family val="1"/>
      <charset val="163"/>
    </font>
    <font>
      <b/>
      <i/>
      <sz val="12"/>
      <name val="Times New Roman"/>
      <family val="1"/>
      <charset val="163"/>
    </font>
    <font>
      <sz val="11"/>
      <name val="Times New Roman"/>
      <family val="1"/>
      <charset val="163"/>
    </font>
    <font>
      <sz val="12"/>
      <name val="Calibri"/>
      <family val="2"/>
      <scheme val="minor"/>
    </font>
    <font>
      <sz val="13"/>
      <color theme="1"/>
      <name val="Times New Roman"/>
      <family val="1"/>
    </font>
    <font>
      <sz val="13"/>
      <color theme="1"/>
      <name val="Calibri"/>
      <family val="2"/>
      <scheme val="minor"/>
    </font>
    <font>
      <i/>
      <sz val="14"/>
      <name val="Times New Roman"/>
      <family val="1"/>
      <charset val="163"/>
    </font>
    <font>
      <b/>
      <sz val="14"/>
      <name val="Times New Roman"/>
      <family val="1"/>
      <charset val="163"/>
    </font>
    <font>
      <sz val="12"/>
      <color rgb="FF000000"/>
      <name val="Times New Roman"/>
      <family val="1"/>
      <charset val="163"/>
    </font>
    <font>
      <b/>
      <sz val="12"/>
      <color rgb="FF000000"/>
      <name val="Times New Roman"/>
      <family val="1"/>
      <charset val="163"/>
    </font>
  </fonts>
  <fills count="2">
    <fill>
      <patternFill patternType="none"/>
    </fill>
    <fill>
      <patternFill patternType="gray125"/>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33">
    <xf numFmtId="0" fontId="0" fillId="0" borderId="0" xfId="0"/>
    <xf numFmtId="0" fontId="4" fillId="0" borderId="2" xfId="0" applyFont="1" applyBorder="1" applyAlignment="1">
      <alignment horizontal="center" vertical="center" wrapText="1"/>
    </xf>
    <xf numFmtId="0" fontId="5" fillId="0" borderId="2" xfId="0" applyFont="1" applyBorder="1" applyAlignment="1">
      <alignment vertical="center" wrapText="1"/>
    </xf>
    <xf numFmtId="0" fontId="5" fillId="0" borderId="2" xfId="0" applyFont="1" applyBorder="1" applyAlignment="1">
      <alignment horizontal="center" vertical="center" wrapText="1"/>
    </xf>
    <xf numFmtId="0" fontId="4" fillId="0" borderId="2" xfId="0" quotePrefix="1" applyFont="1" applyBorder="1" applyAlignment="1">
      <alignment horizontal="center" vertical="center" wrapText="1"/>
    </xf>
    <xf numFmtId="0" fontId="6" fillId="0" borderId="0" xfId="0" applyFont="1"/>
    <xf numFmtId="0" fontId="4" fillId="0" borderId="2" xfId="0" applyFont="1" applyBorder="1" applyAlignment="1">
      <alignment horizontal="center" vertical="center"/>
    </xf>
    <xf numFmtId="0" fontId="8" fillId="0" borderId="0" xfId="0" applyFont="1"/>
    <xf numFmtId="0" fontId="10" fillId="0" borderId="2" xfId="0" applyFont="1" applyBorder="1" applyAlignment="1">
      <alignment horizontal="center" vertical="center" wrapText="1"/>
    </xf>
    <xf numFmtId="0" fontId="13" fillId="0" borderId="0" xfId="0" applyFont="1" applyAlignment="1">
      <alignment horizontal="left" vertical="top" wrapText="1"/>
    </xf>
    <xf numFmtId="0" fontId="16" fillId="0" borderId="0" xfId="0" applyFont="1"/>
    <xf numFmtId="0" fontId="21" fillId="0" borderId="2" xfId="0" applyFont="1" applyBorder="1" applyAlignment="1">
      <alignment horizontal="center" vertical="center" wrapText="1"/>
    </xf>
    <xf numFmtId="0" fontId="22" fillId="0" borderId="2" xfId="0" applyFont="1" applyBorder="1" applyAlignment="1">
      <alignment horizontal="center" vertical="center" wrapText="1"/>
    </xf>
    <xf numFmtId="0" fontId="4" fillId="0" borderId="2" xfId="0" applyFont="1" applyBorder="1" applyAlignment="1">
      <alignment horizontal="center" vertical="center" wrapText="1"/>
    </xf>
    <xf numFmtId="0" fontId="22" fillId="0" borderId="2" xfId="0" applyFont="1" applyBorder="1" applyAlignment="1">
      <alignment horizontal="center" vertical="center" wrapText="1"/>
    </xf>
    <xf numFmtId="0" fontId="4" fillId="0" borderId="2" xfId="0" applyFont="1" applyBorder="1" applyAlignment="1">
      <alignment horizontal="center" vertical="center" wrapText="1"/>
    </xf>
    <xf numFmtId="0" fontId="7" fillId="0" borderId="0" xfId="0" applyFont="1" applyAlignment="1">
      <alignment horizontal="center" vertical="center" wrapText="1"/>
    </xf>
    <xf numFmtId="0" fontId="0" fillId="0" borderId="0" xfId="0"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4" fillId="0" borderId="2" xfId="0" applyFont="1" applyBorder="1" applyAlignment="1">
      <alignment horizontal="center" vertical="center" wrapText="1"/>
    </xf>
    <xf numFmtId="0" fontId="3" fillId="0" borderId="1" xfId="0" applyFont="1" applyBorder="1" applyAlignment="1">
      <alignment horizontal="left" vertical="center"/>
    </xf>
    <xf numFmtId="0" fontId="2" fillId="0" borderId="0" xfId="0" applyFont="1" applyAlignment="1">
      <alignment horizontal="center" vertical="center"/>
    </xf>
    <xf numFmtId="0" fontId="9" fillId="0" borderId="2" xfId="0" applyFont="1" applyBorder="1" applyAlignment="1">
      <alignment horizontal="center" vertical="center" wrapText="1"/>
    </xf>
    <xf numFmtId="0" fontId="7" fillId="0" borderId="0" xfId="0" applyFont="1" applyAlignment="1">
      <alignment horizontal="center" wrapText="1"/>
    </xf>
    <xf numFmtId="0" fontId="20" fillId="0" borderId="0" xfId="0" applyFont="1" applyAlignment="1">
      <alignment horizontal="center" vertical="top" wrapText="1"/>
    </xf>
    <xf numFmtId="0" fontId="13" fillId="0" borderId="0" xfId="0" applyFont="1" applyAlignment="1">
      <alignment horizontal="left" vertical="top" wrapText="1"/>
    </xf>
    <xf numFmtId="0" fontId="4" fillId="0" borderId="2" xfId="0" applyFont="1" applyBorder="1" applyAlignment="1">
      <alignment vertical="center" wrapText="1"/>
    </xf>
    <xf numFmtId="0" fontId="4" fillId="0" borderId="2" xfId="0" applyFont="1" applyBorder="1" applyAlignment="1">
      <alignment horizontal="left" vertical="center"/>
    </xf>
    <xf numFmtId="0" fontId="10" fillId="0" borderId="3" xfId="0" applyFont="1" applyBorder="1" applyAlignment="1">
      <alignment horizontal="left" vertical="center" wrapText="1"/>
    </xf>
    <xf numFmtId="0" fontId="4"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1175935</xdr:colOff>
      <xdr:row>3</xdr:row>
      <xdr:rowOff>35718</xdr:rowOff>
    </xdr:from>
    <xdr:to>
      <xdr:col>1</xdr:col>
      <xdr:colOff>1973794</xdr:colOff>
      <xdr:row>3</xdr:row>
      <xdr:rowOff>35718</xdr:rowOff>
    </xdr:to>
    <xdr:cxnSp macro="">
      <xdr:nvCxnSpPr>
        <xdr:cNvPr id="2" name="Straight Connector 1">
          <a:extLst>
            <a:ext uri="{FF2B5EF4-FFF2-40B4-BE49-F238E27FC236}">
              <a16:creationId xmlns:a16="http://schemas.microsoft.com/office/drawing/2014/main" id="{C84106FF-030C-484D-91E0-13935D3AC82E}"/>
            </a:ext>
          </a:extLst>
        </xdr:cNvPr>
        <xdr:cNvCxnSpPr/>
      </xdr:nvCxnSpPr>
      <xdr:spPr>
        <a:xfrm>
          <a:off x="1570542" y="1110682"/>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661353</xdr:colOff>
      <xdr:row>3</xdr:row>
      <xdr:rowOff>59456</xdr:rowOff>
    </xdr:from>
    <xdr:to>
      <xdr:col>7</xdr:col>
      <xdr:colOff>585107</xdr:colOff>
      <xdr:row>3</xdr:row>
      <xdr:rowOff>59456</xdr:rowOff>
    </xdr:to>
    <xdr:cxnSp macro="">
      <xdr:nvCxnSpPr>
        <xdr:cNvPr id="3" name="Straight Connector 2">
          <a:extLst>
            <a:ext uri="{FF2B5EF4-FFF2-40B4-BE49-F238E27FC236}">
              <a16:creationId xmlns:a16="http://schemas.microsoft.com/office/drawing/2014/main" id="{8DA3F0EA-A2EA-4136-800A-FE8E509630DA}"/>
            </a:ext>
          </a:extLst>
        </xdr:cNvPr>
        <xdr:cNvCxnSpPr/>
      </xdr:nvCxnSpPr>
      <xdr:spPr>
        <a:xfrm>
          <a:off x="7560174" y="1216063"/>
          <a:ext cx="203286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967339</xdr:colOff>
      <xdr:row>3</xdr:row>
      <xdr:rowOff>533376</xdr:rowOff>
    </xdr:from>
    <xdr:to>
      <xdr:col>4</xdr:col>
      <xdr:colOff>804887</xdr:colOff>
      <xdr:row>3</xdr:row>
      <xdr:rowOff>533376</xdr:rowOff>
    </xdr:to>
    <xdr:cxnSp macro="">
      <xdr:nvCxnSpPr>
        <xdr:cNvPr id="6" name="Straight Connector 5">
          <a:extLst>
            <a:ext uri="{FF2B5EF4-FFF2-40B4-BE49-F238E27FC236}">
              <a16:creationId xmlns:a16="http://schemas.microsoft.com/office/drawing/2014/main" id="{96331044-2F4B-4153-AA26-332584C736E8}"/>
            </a:ext>
          </a:extLst>
        </xdr:cNvPr>
        <xdr:cNvCxnSpPr/>
      </xdr:nvCxnSpPr>
      <xdr:spPr>
        <a:xfrm>
          <a:off x="5661803" y="1689983"/>
          <a:ext cx="106219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Views>
    <sheetView tabSelected="1" view="pageBreakPreview" topLeftCell="A27" zoomScale="89" zoomScaleNormal="70" zoomScaleSheetLayoutView="89" workbookViewId="0">
      <selection activeCell="G32" sqref="G32:K32"/>
    </sheetView>
  </sheetViews>
  <sheetFormatPr defaultRowHeight="32.450000000000003" customHeight="1" x14ac:dyDescent="0.25"/>
  <cols>
    <col min="1" max="1" width="6" customWidth="1"/>
    <col min="2" max="2" width="39.140625" customWidth="1"/>
    <col min="3" max="3" width="16.42578125" customWidth="1"/>
    <col min="4" max="4" width="16.140625" customWidth="1"/>
    <col min="5" max="5" width="12.85546875" customWidth="1"/>
    <col min="6" max="6" width="14.140625" customWidth="1"/>
    <col min="7" max="8" width="13.5703125" customWidth="1"/>
    <col min="9" max="9" width="8.28515625" customWidth="1"/>
    <col min="10" max="10" width="7.140625" customWidth="1"/>
    <col min="11" max="11" width="16.28515625" customWidth="1"/>
  </cols>
  <sheetData>
    <row r="1" spans="1:11" ht="36.75" customHeight="1" x14ac:dyDescent="0.25">
      <c r="A1" s="20" t="s">
        <v>46</v>
      </c>
      <c r="B1" s="21"/>
      <c r="C1" s="21"/>
      <c r="D1" s="21"/>
      <c r="E1" s="21"/>
      <c r="F1" s="21"/>
      <c r="G1" s="21"/>
      <c r="H1" s="21"/>
      <c r="I1" s="21"/>
      <c r="J1" s="21"/>
      <c r="K1" s="21"/>
    </row>
    <row r="2" spans="1:11" s="5" customFormat="1" ht="28.5" customHeight="1" x14ac:dyDescent="0.25">
      <c r="A2" s="18" t="s">
        <v>27</v>
      </c>
      <c r="B2" s="19"/>
      <c r="C2" s="17"/>
      <c r="D2" s="26" t="s">
        <v>22</v>
      </c>
      <c r="E2" s="26"/>
      <c r="F2" s="26"/>
      <c r="G2" s="26"/>
      <c r="H2" s="26"/>
      <c r="I2" s="26"/>
      <c r="J2" s="26"/>
      <c r="K2" s="26"/>
    </row>
    <row r="3" spans="1:11" s="5" customFormat="1" ht="18.75" customHeight="1" x14ac:dyDescent="0.25">
      <c r="A3" s="16" t="s">
        <v>47</v>
      </c>
      <c r="B3" s="16"/>
      <c r="C3" s="17"/>
      <c r="D3" s="20" t="s">
        <v>23</v>
      </c>
      <c r="E3" s="20"/>
      <c r="F3" s="20"/>
      <c r="G3" s="20"/>
      <c r="H3" s="20"/>
      <c r="I3" s="20"/>
      <c r="J3" s="20"/>
      <c r="K3" s="20"/>
    </row>
    <row r="4" spans="1:11" ht="44.25" customHeight="1" x14ac:dyDescent="0.25">
      <c r="A4" s="20" t="s">
        <v>74</v>
      </c>
      <c r="B4" s="24"/>
      <c r="C4" s="24"/>
      <c r="D4" s="24"/>
      <c r="E4" s="24"/>
      <c r="F4" s="24"/>
      <c r="G4" s="24"/>
      <c r="H4" s="24"/>
      <c r="I4" s="24"/>
      <c r="J4" s="24"/>
      <c r="K4" s="24"/>
    </row>
    <row r="5" spans="1:11" ht="9" customHeight="1" x14ac:dyDescent="0.25">
      <c r="A5" s="23"/>
      <c r="B5" s="23"/>
      <c r="C5" s="23"/>
      <c r="D5" s="23"/>
      <c r="E5" s="23"/>
      <c r="F5" s="23"/>
      <c r="G5" s="23"/>
      <c r="H5" s="23"/>
      <c r="I5" s="23"/>
      <c r="J5" s="23"/>
      <c r="K5" s="23"/>
    </row>
    <row r="6" spans="1:11" ht="21.95" customHeight="1" x14ac:dyDescent="0.25">
      <c r="A6" s="22" t="s">
        <v>0</v>
      </c>
      <c r="B6" s="22" t="s">
        <v>1</v>
      </c>
      <c r="C6" s="22" t="s">
        <v>2</v>
      </c>
      <c r="D6" s="22" t="s">
        <v>28</v>
      </c>
      <c r="E6" s="22" t="s">
        <v>39</v>
      </c>
      <c r="F6" s="22" t="s">
        <v>13</v>
      </c>
      <c r="G6" s="22" t="s">
        <v>37</v>
      </c>
      <c r="H6" s="25" t="s">
        <v>3</v>
      </c>
      <c r="I6" s="25" t="s">
        <v>40</v>
      </c>
      <c r="J6" s="25" t="s">
        <v>41</v>
      </c>
      <c r="K6" s="25" t="s">
        <v>4</v>
      </c>
    </row>
    <row r="7" spans="1:11" ht="63.75" customHeight="1" x14ac:dyDescent="0.25">
      <c r="A7" s="22"/>
      <c r="B7" s="22"/>
      <c r="C7" s="22"/>
      <c r="D7" s="22"/>
      <c r="E7" s="22"/>
      <c r="F7" s="22"/>
      <c r="G7" s="22"/>
      <c r="H7" s="25"/>
      <c r="I7" s="25"/>
      <c r="J7" s="25"/>
      <c r="K7" s="25"/>
    </row>
    <row r="8" spans="1:11" ht="15.75" x14ac:dyDescent="0.25">
      <c r="A8" s="4" t="s">
        <v>14</v>
      </c>
      <c r="B8" s="4" t="s">
        <v>15</v>
      </c>
      <c r="C8" s="4" t="s">
        <v>16</v>
      </c>
      <c r="D8" s="4" t="s">
        <v>17</v>
      </c>
      <c r="E8" s="4" t="s">
        <v>18</v>
      </c>
      <c r="F8" s="4" t="s">
        <v>19</v>
      </c>
      <c r="G8" s="4" t="s">
        <v>20</v>
      </c>
      <c r="H8" s="4" t="s">
        <v>21</v>
      </c>
      <c r="I8" s="4" t="s">
        <v>26</v>
      </c>
      <c r="J8" s="4" t="s">
        <v>29</v>
      </c>
      <c r="K8" s="4" t="s">
        <v>29</v>
      </c>
    </row>
    <row r="9" spans="1:11" ht="31.5" customHeight="1" x14ac:dyDescent="0.25">
      <c r="A9" s="1" t="s">
        <v>5</v>
      </c>
      <c r="B9" s="29" t="s">
        <v>43</v>
      </c>
      <c r="C9" s="29"/>
      <c r="D9" s="29"/>
      <c r="E9" s="29"/>
      <c r="F9" s="29"/>
      <c r="G9" s="29"/>
      <c r="H9" s="29"/>
      <c r="I9" s="29"/>
      <c r="J9" s="29"/>
      <c r="K9" s="29"/>
    </row>
    <row r="10" spans="1:11" ht="22.5" customHeight="1" x14ac:dyDescent="0.25">
      <c r="A10" s="6">
        <v>1</v>
      </c>
      <c r="B10" s="30" t="s">
        <v>6</v>
      </c>
      <c r="C10" s="30"/>
      <c r="D10" s="30"/>
      <c r="E10" s="30"/>
      <c r="F10" s="30"/>
      <c r="G10" s="30"/>
      <c r="H10" s="30"/>
      <c r="I10" s="30"/>
      <c r="J10" s="30"/>
      <c r="K10" s="30"/>
    </row>
    <row r="11" spans="1:11" ht="74.25" customHeight="1" x14ac:dyDescent="0.25">
      <c r="A11" s="3" t="s">
        <v>24</v>
      </c>
      <c r="B11" s="2" t="s">
        <v>76</v>
      </c>
      <c r="C11" s="8" t="s">
        <v>31</v>
      </c>
      <c r="D11" s="8" t="s">
        <v>48</v>
      </c>
      <c r="E11" s="3" t="s">
        <v>51</v>
      </c>
      <c r="F11" s="1" t="s">
        <v>50</v>
      </c>
      <c r="G11" s="3" t="s">
        <v>35</v>
      </c>
      <c r="H11" s="1"/>
      <c r="I11" s="1">
        <v>150</v>
      </c>
      <c r="J11" s="1">
        <f>I11*0.01</f>
        <v>1.5</v>
      </c>
      <c r="K11" s="12" t="s">
        <v>44</v>
      </c>
    </row>
    <row r="12" spans="1:11" ht="74.25" customHeight="1" x14ac:dyDescent="0.25">
      <c r="A12" s="3" t="s">
        <v>25</v>
      </c>
      <c r="B12" s="2" t="s">
        <v>77</v>
      </c>
      <c r="C12" s="8" t="s">
        <v>52</v>
      </c>
      <c r="D12" s="8" t="s">
        <v>48</v>
      </c>
      <c r="E12" s="3" t="s">
        <v>53</v>
      </c>
      <c r="F12" s="13" t="s">
        <v>50</v>
      </c>
      <c r="G12" s="3" t="s">
        <v>34</v>
      </c>
      <c r="H12" s="13"/>
      <c r="I12" s="13">
        <v>120</v>
      </c>
      <c r="J12" s="13">
        <f>I12*0.01</f>
        <v>1.2</v>
      </c>
      <c r="K12" s="14" t="s">
        <v>44</v>
      </c>
    </row>
    <row r="13" spans="1:11" ht="63" customHeight="1" x14ac:dyDescent="0.25">
      <c r="A13" s="3" t="s">
        <v>32</v>
      </c>
      <c r="B13" s="2" t="s">
        <v>54</v>
      </c>
      <c r="C13" s="8" t="s">
        <v>31</v>
      </c>
      <c r="D13" s="8" t="s">
        <v>48</v>
      </c>
      <c r="E13" s="3" t="s">
        <v>33</v>
      </c>
      <c r="F13" s="13" t="s">
        <v>50</v>
      </c>
      <c r="G13" s="3" t="s">
        <v>35</v>
      </c>
      <c r="H13" s="13"/>
      <c r="I13" s="13">
        <v>150</v>
      </c>
      <c r="J13" s="13">
        <f>I13*0.01</f>
        <v>1.5</v>
      </c>
      <c r="K13" s="14" t="s">
        <v>44</v>
      </c>
    </row>
    <row r="14" spans="1:11" ht="69.75" customHeight="1" x14ac:dyDescent="0.25">
      <c r="A14" s="3" t="s">
        <v>36</v>
      </c>
      <c r="B14" s="2" t="s">
        <v>61</v>
      </c>
      <c r="C14" s="8" t="s">
        <v>31</v>
      </c>
      <c r="D14" s="8" t="s">
        <v>48</v>
      </c>
      <c r="E14" s="3" t="s">
        <v>59</v>
      </c>
      <c r="F14" s="13" t="s">
        <v>60</v>
      </c>
      <c r="G14" s="3" t="s">
        <v>42</v>
      </c>
      <c r="H14" s="3"/>
      <c r="I14" s="13">
        <f t="shared" ref="I14" si="0">IF(G14="Khó và phức tạp",200,IF(G14="Cao",150,IF(G14="Trungbình",120,100)))</f>
        <v>100</v>
      </c>
      <c r="J14" s="13">
        <f t="shared" ref="J14" si="1">I14*0.01</f>
        <v>1</v>
      </c>
      <c r="K14" s="11" t="s">
        <v>45</v>
      </c>
    </row>
    <row r="15" spans="1:11" ht="47.25" x14ac:dyDescent="0.25">
      <c r="A15" s="3" t="s">
        <v>62</v>
      </c>
      <c r="B15" s="2" t="s">
        <v>78</v>
      </c>
      <c r="C15" s="8" t="s">
        <v>31</v>
      </c>
      <c r="D15" s="8" t="s">
        <v>48</v>
      </c>
      <c r="E15" s="3" t="s">
        <v>79</v>
      </c>
      <c r="F15" s="1">
        <v>1</v>
      </c>
      <c r="G15" s="3" t="s">
        <v>42</v>
      </c>
      <c r="H15" s="1"/>
      <c r="I15" s="1">
        <f t="shared" ref="I15" si="2">IF(G15="Khó và phức tạp",200,IF(G15="Cao",150,IF(G15="Trungbình",120,100)))</f>
        <v>100</v>
      </c>
      <c r="J15" s="1">
        <f t="shared" ref="J15" si="3">I15*0.01</f>
        <v>1</v>
      </c>
      <c r="K15" s="11" t="s">
        <v>80</v>
      </c>
    </row>
    <row r="16" spans="1:11" ht="47.25" x14ac:dyDescent="0.25">
      <c r="A16" s="3" t="s">
        <v>63</v>
      </c>
      <c r="B16" s="2" t="s">
        <v>64</v>
      </c>
      <c r="C16" s="8" t="s">
        <v>31</v>
      </c>
      <c r="D16" s="8" t="s">
        <v>48</v>
      </c>
      <c r="E16" s="3" t="s">
        <v>65</v>
      </c>
      <c r="F16" s="13" t="s">
        <v>66</v>
      </c>
      <c r="G16" s="3" t="s">
        <v>42</v>
      </c>
      <c r="H16" s="13"/>
      <c r="I16" s="13">
        <v>100</v>
      </c>
      <c r="J16" s="13">
        <v>1</v>
      </c>
      <c r="K16" s="11" t="s">
        <v>45</v>
      </c>
    </row>
    <row r="17" spans="1:11" ht="31.5" x14ac:dyDescent="0.25">
      <c r="A17" s="3" t="s">
        <v>67</v>
      </c>
      <c r="B17" s="2" t="s">
        <v>68</v>
      </c>
      <c r="C17" s="8" t="s">
        <v>31</v>
      </c>
      <c r="D17" s="8" t="s">
        <v>48</v>
      </c>
      <c r="E17" s="3" t="s">
        <v>69</v>
      </c>
      <c r="F17" s="13">
        <v>1</v>
      </c>
      <c r="G17" s="3" t="s">
        <v>34</v>
      </c>
      <c r="H17" s="13"/>
      <c r="I17" s="13">
        <v>120</v>
      </c>
      <c r="J17" s="13">
        <v>1.2</v>
      </c>
      <c r="K17" s="11" t="s">
        <v>45</v>
      </c>
    </row>
    <row r="18" spans="1:11" ht="31.5" x14ac:dyDescent="0.25">
      <c r="A18" s="3" t="s">
        <v>70</v>
      </c>
      <c r="B18" s="2" t="s">
        <v>81</v>
      </c>
      <c r="C18" s="8" t="s">
        <v>31</v>
      </c>
      <c r="D18" s="8" t="s">
        <v>48</v>
      </c>
      <c r="E18" s="3" t="s">
        <v>79</v>
      </c>
      <c r="F18" s="15" t="s">
        <v>60</v>
      </c>
      <c r="G18" s="3" t="s">
        <v>42</v>
      </c>
      <c r="H18" s="15"/>
      <c r="I18" s="15">
        <v>100</v>
      </c>
      <c r="J18" s="15">
        <v>1</v>
      </c>
      <c r="K18" s="11" t="s">
        <v>45</v>
      </c>
    </row>
    <row r="19" spans="1:11" ht="31.5" x14ac:dyDescent="0.25">
      <c r="A19" s="3" t="s">
        <v>73</v>
      </c>
      <c r="B19" s="2" t="s">
        <v>72</v>
      </c>
      <c r="C19" s="8" t="s">
        <v>31</v>
      </c>
      <c r="D19" s="8" t="s">
        <v>48</v>
      </c>
      <c r="E19" s="3" t="s">
        <v>49</v>
      </c>
      <c r="F19" s="13">
        <v>3</v>
      </c>
      <c r="G19" s="3" t="s">
        <v>42</v>
      </c>
      <c r="H19" s="13"/>
      <c r="I19" s="13">
        <v>100</v>
      </c>
      <c r="J19" s="13">
        <v>1</v>
      </c>
      <c r="K19" s="11" t="s">
        <v>45</v>
      </c>
    </row>
    <row r="20" spans="1:11" ht="22.5" customHeight="1" x14ac:dyDescent="0.25">
      <c r="A20" s="6">
        <v>2</v>
      </c>
      <c r="B20" s="30" t="s">
        <v>7</v>
      </c>
      <c r="C20" s="30"/>
      <c r="D20" s="30"/>
      <c r="E20" s="30"/>
      <c r="F20" s="30"/>
      <c r="G20" s="30"/>
      <c r="H20" s="30"/>
      <c r="I20" s="30"/>
      <c r="J20" s="30"/>
      <c r="K20" s="30"/>
    </row>
    <row r="21" spans="1:11" ht="31.5" x14ac:dyDescent="0.25">
      <c r="A21" s="1">
        <v>2.1</v>
      </c>
      <c r="B21" s="2" t="s">
        <v>75</v>
      </c>
      <c r="C21" s="8" t="s">
        <v>31</v>
      </c>
      <c r="D21" s="8" t="s">
        <v>48</v>
      </c>
      <c r="E21" s="3" t="s">
        <v>33</v>
      </c>
      <c r="F21" s="13">
        <v>1</v>
      </c>
      <c r="G21" s="3" t="s">
        <v>34</v>
      </c>
      <c r="H21" s="13"/>
      <c r="I21" s="13">
        <v>120</v>
      </c>
      <c r="J21" s="13">
        <v>1</v>
      </c>
      <c r="K21" s="14" t="s">
        <v>44</v>
      </c>
    </row>
    <row r="22" spans="1:11" ht="47.25" x14ac:dyDescent="0.25">
      <c r="A22" s="15">
        <v>2.2000000000000002</v>
      </c>
      <c r="B22" s="2" t="s">
        <v>83</v>
      </c>
      <c r="C22" s="8" t="s">
        <v>31</v>
      </c>
      <c r="D22" s="8" t="s">
        <v>48</v>
      </c>
      <c r="E22" s="3" t="s">
        <v>82</v>
      </c>
      <c r="F22" s="15">
        <v>2</v>
      </c>
      <c r="G22" s="3" t="s">
        <v>35</v>
      </c>
      <c r="H22" s="15"/>
      <c r="I22" s="15">
        <v>150</v>
      </c>
      <c r="J22" s="15">
        <v>1.5</v>
      </c>
      <c r="K22" s="14" t="s">
        <v>44</v>
      </c>
    </row>
    <row r="23" spans="1:11" ht="47.25" x14ac:dyDescent="0.25">
      <c r="A23" s="15">
        <v>2.2999999999999998</v>
      </c>
      <c r="B23" s="2" t="s">
        <v>84</v>
      </c>
      <c r="C23" s="8" t="s">
        <v>31</v>
      </c>
      <c r="D23" s="8" t="s">
        <v>48</v>
      </c>
      <c r="E23" s="3" t="s">
        <v>82</v>
      </c>
      <c r="F23" s="15">
        <v>2</v>
      </c>
      <c r="G23" s="3" t="s">
        <v>35</v>
      </c>
      <c r="H23" s="15"/>
      <c r="I23" s="15">
        <v>150</v>
      </c>
      <c r="J23" s="15">
        <v>1.5</v>
      </c>
      <c r="K23" s="14" t="s">
        <v>44</v>
      </c>
    </row>
    <row r="24" spans="1:11" ht="22.5" customHeight="1" x14ac:dyDescent="0.25">
      <c r="A24" s="6">
        <v>3</v>
      </c>
      <c r="B24" s="30" t="s">
        <v>8</v>
      </c>
      <c r="C24" s="30"/>
      <c r="D24" s="30"/>
      <c r="E24" s="30"/>
      <c r="F24" s="30"/>
      <c r="G24" s="30"/>
      <c r="H24" s="30"/>
      <c r="I24" s="30"/>
      <c r="J24" s="30"/>
      <c r="K24" s="30"/>
    </row>
    <row r="25" spans="1:11" ht="46.5" customHeight="1" x14ac:dyDescent="0.25">
      <c r="A25" s="6">
        <v>4</v>
      </c>
      <c r="B25" s="32" t="s">
        <v>9</v>
      </c>
      <c r="C25" s="32"/>
      <c r="D25" s="32"/>
      <c r="E25" s="32"/>
      <c r="F25" s="32"/>
      <c r="G25" s="32"/>
      <c r="H25" s="32"/>
      <c r="I25" s="32"/>
      <c r="J25" s="32"/>
      <c r="K25" s="32"/>
    </row>
    <row r="26" spans="1:11" ht="22.5" customHeight="1" x14ac:dyDescent="0.25">
      <c r="A26" s="6">
        <v>5</v>
      </c>
      <c r="B26" s="30" t="s">
        <v>10</v>
      </c>
      <c r="C26" s="30"/>
      <c r="D26" s="30"/>
      <c r="E26" s="30"/>
      <c r="F26" s="30"/>
      <c r="G26" s="30"/>
      <c r="H26" s="30"/>
      <c r="I26" s="30"/>
      <c r="J26" s="30"/>
      <c r="K26" s="30"/>
    </row>
    <row r="27" spans="1:11" ht="31.5" x14ac:dyDescent="0.25">
      <c r="A27" s="1" t="s">
        <v>56</v>
      </c>
      <c r="B27" s="2" t="s">
        <v>85</v>
      </c>
      <c r="C27" s="8" t="s">
        <v>31</v>
      </c>
      <c r="D27" s="8"/>
      <c r="E27" s="3" t="s">
        <v>55</v>
      </c>
      <c r="F27" s="1">
        <v>1</v>
      </c>
      <c r="G27" s="3" t="s">
        <v>35</v>
      </c>
      <c r="H27" s="3"/>
      <c r="I27" s="1">
        <f t="shared" ref="I27:I28" si="4">IF(G27="Khó và phức tạp",200,IF(G27="Cao",150,IF(G27="Trungbình",120,100)))</f>
        <v>150</v>
      </c>
      <c r="J27" s="1">
        <f t="shared" ref="J27:J28" si="5">I27*0.01</f>
        <v>1.5</v>
      </c>
      <c r="K27" s="11" t="s">
        <v>45</v>
      </c>
    </row>
    <row r="28" spans="1:11" ht="31.5" x14ac:dyDescent="0.25">
      <c r="A28" s="3" t="s">
        <v>58</v>
      </c>
      <c r="B28" s="2" t="s">
        <v>57</v>
      </c>
      <c r="C28" s="8" t="s">
        <v>31</v>
      </c>
      <c r="D28" s="8"/>
      <c r="E28" s="3" t="s">
        <v>55</v>
      </c>
      <c r="F28" s="1">
        <v>3</v>
      </c>
      <c r="G28" s="3" t="s">
        <v>42</v>
      </c>
      <c r="H28" s="3"/>
      <c r="I28" s="1">
        <f t="shared" si="4"/>
        <v>100</v>
      </c>
      <c r="J28" s="1">
        <f t="shared" si="5"/>
        <v>1</v>
      </c>
      <c r="K28" s="11" t="s">
        <v>45</v>
      </c>
    </row>
    <row r="29" spans="1:11" ht="22.5" customHeight="1" x14ac:dyDescent="0.25">
      <c r="A29" s="6">
        <v>6</v>
      </c>
      <c r="B29" s="30" t="s">
        <v>11</v>
      </c>
      <c r="C29" s="30"/>
      <c r="D29" s="30"/>
      <c r="E29" s="30"/>
      <c r="F29" s="30"/>
      <c r="G29" s="30"/>
      <c r="H29" s="30"/>
      <c r="I29" s="30"/>
      <c r="J29" s="30"/>
      <c r="K29" s="30"/>
    </row>
    <row r="30" spans="1:11" ht="22.5" customHeight="1" x14ac:dyDescent="0.25">
      <c r="A30" s="6" t="s">
        <v>12</v>
      </c>
      <c r="B30" s="30" t="s">
        <v>38</v>
      </c>
      <c r="C30" s="30"/>
      <c r="D30" s="30"/>
      <c r="E30" s="30"/>
      <c r="F30" s="30"/>
      <c r="G30" s="30"/>
      <c r="H30" s="30"/>
      <c r="I30" s="30"/>
      <c r="J30" s="30"/>
      <c r="K30" s="30"/>
    </row>
    <row r="31" spans="1:11" s="7" customFormat="1" ht="119.25" customHeight="1" x14ac:dyDescent="0.25">
      <c r="B31" s="31" t="s">
        <v>30</v>
      </c>
      <c r="C31" s="31"/>
      <c r="D31" s="31"/>
      <c r="E31" s="31"/>
      <c r="F31" s="31"/>
      <c r="G31" s="31"/>
      <c r="H31" s="31"/>
      <c r="I31" s="31"/>
      <c r="J31" s="31"/>
      <c r="K31" s="31"/>
    </row>
    <row r="32" spans="1:11" s="10" customFormat="1" ht="132" customHeight="1" x14ac:dyDescent="0.25">
      <c r="A32" s="28" t="s">
        <v>71</v>
      </c>
      <c r="B32" s="28"/>
      <c r="C32" s="28"/>
      <c r="D32" s="9"/>
      <c r="G32" s="27" t="s">
        <v>86</v>
      </c>
      <c r="H32" s="27"/>
      <c r="I32" s="27"/>
      <c r="J32" s="27"/>
      <c r="K32" s="27"/>
    </row>
  </sheetData>
  <mergeCells count="29">
    <mergeCell ref="I6:I7"/>
    <mergeCell ref="J6:J7"/>
    <mergeCell ref="G32:K32"/>
    <mergeCell ref="A32:C32"/>
    <mergeCell ref="B9:K9"/>
    <mergeCell ref="B30:K30"/>
    <mergeCell ref="B31:K31"/>
    <mergeCell ref="B10:K10"/>
    <mergeCell ref="B20:K20"/>
    <mergeCell ref="B24:K24"/>
    <mergeCell ref="B25:K25"/>
    <mergeCell ref="B26:K26"/>
    <mergeCell ref="B29:K29"/>
    <mergeCell ref="A3:C3"/>
    <mergeCell ref="A2:C2"/>
    <mergeCell ref="A1:K1"/>
    <mergeCell ref="F6:F7"/>
    <mergeCell ref="G6:G7"/>
    <mergeCell ref="A6:A7"/>
    <mergeCell ref="B6:B7"/>
    <mergeCell ref="C6:C7"/>
    <mergeCell ref="D6:D7"/>
    <mergeCell ref="E6:E7"/>
    <mergeCell ref="A5:K5"/>
    <mergeCell ref="A4:K4"/>
    <mergeCell ref="K6:K7"/>
    <mergeCell ref="D2:K2"/>
    <mergeCell ref="D3:K3"/>
    <mergeCell ref="H6:H7"/>
  </mergeCells>
  <conditionalFormatting sqref="C27">
    <cfRule type="dataBar" priority="3">
      <dataBar>
        <cfvo type="min"/>
        <cfvo type="max"/>
        <color rgb="FF638EC6"/>
      </dataBar>
      <extLst>
        <ext xmlns:x14="http://schemas.microsoft.com/office/spreadsheetml/2009/9/main" uri="{B025F937-C7B1-47D3-B67F-A62EFF666E3E}">
          <x14:id>{B2DABE0F-7BA8-442A-B48E-1ECE74F6B597}</x14:id>
        </ext>
      </extLst>
    </cfRule>
  </conditionalFormatting>
  <conditionalFormatting sqref="C14">
    <cfRule type="dataBar" priority="2">
      <dataBar>
        <cfvo type="min"/>
        <cfvo type="max"/>
        <color rgb="FF638EC6"/>
      </dataBar>
      <extLst>
        <ext xmlns:x14="http://schemas.microsoft.com/office/spreadsheetml/2009/9/main" uri="{B025F937-C7B1-47D3-B67F-A62EFF666E3E}">
          <x14:id>{C4DF9FAE-CBA1-4E9F-BA5A-5ABF95B11699}</x14:id>
        </ext>
      </extLst>
    </cfRule>
  </conditionalFormatting>
  <conditionalFormatting sqref="C21:C23">
    <cfRule type="dataBar" priority="1">
      <dataBar>
        <cfvo type="min"/>
        <cfvo type="max"/>
        <color rgb="FF638EC6"/>
      </dataBar>
      <extLst>
        <ext xmlns:x14="http://schemas.microsoft.com/office/spreadsheetml/2009/9/main" uri="{B025F937-C7B1-47D3-B67F-A62EFF666E3E}">
          <x14:id>{B6CFCA74-3CE1-41E6-9A70-8C06988A6D4F}</x14:id>
        </ext>
      </extLst>
    </cfRule>
  </conditionalFormatting>
  <conditionalFormatting sqref="C28">
    <cfRule type="dataBar" priority="15">
      <dataBar>
        <cfvo type="min"/>
        <cfvo type="max"/>
        <color rgb="FF638EC6"/>
      </dataBar>
      <extLst>
        <ext xmlns:x14="http://schemas.microsoft.com/office/spreadsheetml/2009/9/main" uri="{B025F937-C7B1-47D3-B67F-A62EFF666E3E}">
          <x14:id>{03A9939A-9B3D-4529-BE0E-4E6837550A17}</x14:id>
        </ext>
      </extLst>
    </cfRule>
  </conditionalFormatting>
  <conditionalFormatting sqref="C11:C13 C15:C19">
    <cfRule type="dataBar" priority="16">
      <dataBar>
        <cfvo type="min"/>
        <cfvo type="max"/>
        <color rgb="FF638EC6"/>
      </dataBar>
      <extLst>
        <ext xmlns:x14="http://schemas.microsoft.com/office/spreadsheetml/2009/9/main" uri="{B025F937-C7B1-47D3-B67F-A62EFF666E3E}">
          <x14:id>{503E23DC-A883-4E4A-9CEB-0585580125FE}</x14:id>
        </ext>
      </extLst>
    </cfRule>
  </conditionalFormatting>
  <dataValidations count="5">
    <dataValidation type="list" allowBlank="1" showInputMessage="1" sqref="D27:D28 D11:D19 D21:D23">
      <formula1>"Phòng QLĐT&amp;BĐCL, Phòng TH-HC&amp;QT, Phòng QLKHCN&amp;HTPT, Phòng TC-KT, Phòng  TCCB&amp;CTHSSV, Khoa Sư phạm, Khoa CKHCB, Khoa KT&amp;NL, Khoa Y – Dược, Khoa ĐT&amp;SHLX, Khoa KT&amp;CN"</formula1>
    </dataValidation>
    <dataValidation type="list" allowBlank="1" showInputMessage="1" sqref="C27:C28 C11:C19 C21:C23">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E27:E28 E11:E19 E21:E23">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type="list" allowBlank="1" showInputMessage="1" sqref="G27:G28 G11:G19 G21:G23">
      <formula1>"Thấp,Trung bình,Cao,Khó và phức tạp"</formula1>
    </dataValidation>
    <dataValidation allowBlank="1" showInputMessage="1" sqref="H21:K23 H11:K19 H27:K28"/>
  </dataValidations>
  <printOptions horizontalCentered="1"/>
  <pageMargins left="0.31496062992126" right="0.31496062992126" top="0.39370078740157499" bottom="0.39370078740157499" header="0.31496062992126" footer="0.31496062992126"/>
  <pageSetup paperSize="9" scale="75" orientation="landscape" r:id="rId1"/>
  <drawing r:id="rId2"/>
  <extLst>
    <ext xmlns:x14="http://schemas.microsoft.com/office/spreadsheetml/2009/9/main" uri="{78C0D931-6437-407d-A8EE-F0AAD7539E65}">
      <x14:conditionalFormattings>
        <x14:conditionalFormatting xmlns:xm="http://schemas.microsoft.com/office/excel/2006/main">
          <x14:cfRule type="dataBar" id="{B2DABE0F-7BA8-442A-B48E-1ECE74F6B597}">
            <x14:dataBar minLength="0" maxLength="100" gradient="0">
              <x14:cfvo type="autoMin"/>
              <x14:cfvo type="autoMax"/>
              <x14:negativeFillColor rgb="FFFF0000"/>
              <x14:axisColor rgb="FF000000"/>
            </x14:dataBar>
          </x14:cfRule>
          <xm:sqref>C27</xm:sqref>
        </x14:conditionalFormatting>
        <x14:conditionalFormatting xmlns:xm="http://schemas.microsoft.com/office/excel/2006/main">
          <x14:cfRule type="dataBar" id="{C4DF9FAE-CBA1-4E9F-BA5A-5ABF95B11699}">
            <x14:dataBar minLength="0" maxLength="100" gradient="0">
              <x14:cfvo type="autoMin"/>
              <x14:cfvo type="autoMax"/>
              <x14:negativeFillColor rgb="FFFF0000"/>
              <x14:axisColor rgb="FF000000"/>
            </x14:dataBar>
          </x14:cfRule>
          <xm:sqref>C14</xm:sqref>
        </x14:conditionalFormatting>
        <x14:conditionalFormatting xmlns:xm="http://schemas.microsoft.com/office/excel/2006/main">
          <x14:cfRule type="dataBar" id="{B6CFCA74-3CE1-41E6-9A70-8C06988A6D4F}">
            <x14:dataBar minLength="0" maxLength="100" gradient="0">
              <x14:cfvo type="autoMin"/>
              <x14:cfvo type="autoMax"/>
              <x14:negativeFillColor rgb="FFFF0000"/>
              <x14:axisColor rgb="FF000000"/>
            </x14:dataBar>
          </x14:cfRule>
          <xm:sqref>C21:C23</xm:sqref>
        </x14:conditionalFormatting>
        <x14:conditionalFormatting xmlns:xm="http://schemas.microsoft.com/office/excel/2006/main">
          <x14:cfRule type="dataBar" id="{03A9939A-9B3D-4529-BE0E-4E6837550A17}">
            <x14:dataBar minLength="0" maxLength="100" gradient="0">
              <x14:cfvo type="autoMin"/>
              <x14:cfvo type="autoMax"/>
              <x14:negativeFillColor rgb="FFFF0000"/>
              <x14:axisColor rgb="FF000000"/>
            </x14:dataBar>
          </x14:cfRule>
          <xm:sqref>C28</xm:sqref>
        </x14:conditionalFormatting>
        <x14:conditionalFormatting xmlns:xm="http://schemas.microsoft.com/office/excel/2006/main">
          <x14:cfRule type="dataBar" id="{503E23DC-A883-4E4A-9CEB-0585580125FE}">
            <x14:dataBar minLength="0" maxLength="100" gradient="0">
              <x14:cfvo type="autoMin"/>
              <x14:cfvo type="autoMax"/>
              <x14:negativeFillColor rgb="FFFF0000"/>
              <x14:axisColor rgb="FF000000"/>
            </x14:dataBar>
          </x14:cfRule>
          <xm:sqref>C11:C13 C15:C19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Mẫu KH tháng</vt:lpstr>
      <vt:lpstr>'Mẫu KH tháng'!Print_Area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Phuc</dc:creator>
  <cp:lastModifiedBy>Lê Thị Hồng Nga</cp:lastModifiedBy>
  <cp:lastPrinted>2026-06-25T01:37:08Z</cp:lastPrinted>
  <dcterms:created xsi:type="dcterms:W3CDTF">2026-05-27T07:08:41Z</dcterms:created>
  <dcterms:modified xsi:type="dcterms:W3CDTF">2026-08-16T13:43:56Z</dcterms:modified>
</cp:coreProperties>
</file>