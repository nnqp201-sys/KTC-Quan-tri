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ÔNG VIỆC\BÁO CÁO\BÁO CÁO THÁNG\THÁNG 9.2026\1. BAO CAO PL IIB\"/>
    </mc:Choice>
  </mc:AlternateContent>
  <xr:revisionPtr revIDLastSave="0" documentId="13_ncr:1_{92832B0E-8BC3-46ED-B962-201F4D07D5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C tháng 9" sheetId="1" r:id="rId1"/>
    <sheet name="KH tháng 1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K22" i="1" s="1"/>
  <c r="I24" i="1"/>
  <c r="K23" i="1"/>
  <c r="I23" i="1"/>
  <c r="F22" i="1"/>
  <c r="K20" i="1"/>
  <c r="I20" i="1"/>
  <c r="F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J12" i="1" s="1"/>
  <c r="K11" i="1"/>
  <c r="I11" i="1"/>
  <c r="K10" i="1"/>
  <c r="I10" i="1"/>
  <c r="F9" i="1"/>
  <c r="K9" i="1" l="1"/>
  <c r="O24" i="1"/>
  <c r="M24" i="1"/>
  <c r="P24" i="1"/>
  <c r="N24" i="1"/>
  <c r="L24" i="1"/>
  <c r="J24" i="1"/>
  <c r="O23" i="1"/>
  <c r="O22" i="1" s="1"/>
  <c r="M23" i="1"/>
  <c r="L23" i="1"/>
  <c r="J23" i="1"/>
  <c r="O20" i="1"/>
  <c r="O19" i="1" s="1"/>
  <c r="M20" i="1"/>
  <c r="K19" i="1"/>
  <c r="P20" i="1"/>
  <c r="P19" i="1" s="1"/>
  <c r="L20" i="1"/>
  <c r="L19" i="1" s="1"/>
  <c r="J20" i="1"/>
  <c r="J19" i="1" s="1"/>
  <c r="O18" i="1"/>
  <c r="M18" i="1"/>
  <c r="P18" i="1"/>
  <c r="N18" i="1"/>
  <c r="L18" i="1"/>
  <c r="J18" i="1"/>
  <c r="O17" i="1"/>
  <c r="P17" i="1" s="1"/>
  <c r="M17" i="1"/>
  <c r="L17" i="1"/>
  <c r="N17" i="1"/>
  <c r="J17" i="1"/>
  <c r="O16" i="1"/>
  <c r="P16" i="1" s="1"/>
  <c r="M16" i="1"/>
  <c r="N16" i="1" s="1"/>
  <c r="L16" i="1"/>
  <c r="J16" i="1"/>
  <c r="O15" i="1"/>
  <c r="M15" i="1"/>
  <c r="N15" i="1"/>
  <c r="P15" i="1"/>
  <c r="L15" i="1"/>
  <c r="J15" i="1"/>
  <c r="O14" i="1"/>
  <c r="P14" i="1" s="1"/>
  <c r="M14" i="1"/>
  <c r="N14" i="1" s="1"/>
  <c r="L14" i="1"/>
  <c r="J14" i="1"/>
  <c r="O13" i="1"/>
  <c r="P13" i="1" s="1"/>
  <c r="M13" i="1"/>
  <c r="N13" i="1"/>
  <c r="L13" i="1"/>
  <c r="J13" i="1"/>
  <c r="O12" i="1"/>
  <c r="P12" i="1" s="1"/>
  <c r="M12" i="1"/>
  <c r="N12" i="1" s="1"/>
  <c r="L12" i="1"/>
  <c r="O11" i="1"/>
  <c r="M11" i="1"/>
  <c r="N11" i="1" s="1"/>
  <c r="P11" i="1"/>
  <c r="L11" i="1"/>
  <c r="J11" i="1"/>
  <c r="M10" i="1"/>
  <c r="O10" i="1"/>
  <c r="P10" i="1"/>
  <c r="N10" i="1"/>
  <c r="L10" i="1"/>
  <c r="J10" i="1"/>
  <c r="M22" i="1" l="1"/>
  <c r="N23" i="1"/>
  <c r="N22" i="1" s="1"/>
  <c r="J22" i="1"/>
  <c r="L22" i="1"/>
  <c r="P23" i="1"/>
  <c r="P22" i="1" s="1"/>
  <c r="P9" i="1"/>
  <c r="J9" i="1"/>
  <c r="M9" i="1"/>
  <c r="O9" i="1"/>
  <c r="N9" i="1"/>
  <c r="L9" i="1"/>
  <c r="M19" i="1"/>
  <c r="N20" i="1"/>
  <c r="N19" i="1" s="1"/>
</calcChain>
</file>

<file path=xl/sharedStrings.xml><?xml version="1.0" encoding="utf-8"?>
<sst xmlns="http://schemas.openxmlformats.org/spreadsheetml/2006/main" count="220" uniqueCount="119">
  <si>
    <t>TRƯỜNG CAO ĐẲNG KON TUM</t>
  </si>
  <si>
    <t>CỘNG HÒA XÃ HỘI CHỦ NGHĨA VIỆT NAM</t>
  </si>
  <si>
    <t>PHÒNG QLĐT&amp;BĐCL</t>
  </si>
  <si>
    <t>Độc lập - Tự do - Hạnh phúc</t>
  </si>
  <si>
    <t>BÁO CÁO
kết quả thực hiện công tác tháng 9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</si>
  <si>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</si>
  <si>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</si>
  <si>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</si>
  <si>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</si>
  <si>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</si>
  <si>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</si>
  <si>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
động</t>
  </si>
  <si>
    <t>Điểm chấm công việc</t>
  </si>
  <si>
    <t>Hệ số quy đổi</t>
  </si>
  <si>
    <t>Số lượng quy đổi</t>
  </si>
  <si>
    <t>KPI (số lượng)</t>
  </si>
  <si>
    <t>KPI (chất lượng)</t>
  </si>
  <si>
    <t>KPI (tiến độ)</t>
  </si>
  <si>
    <t>Thực tế hoàn thành</t>
  </si>
  <si>
    <t>Quy đổi</t>
  </si>
  <si>
    <t>(1)</t>
  </si>
  <si>
    <t>(2)</t>
  </si>
  <si>
    <t>(3)</t>
  </si>
  <si>
    <t>(4)</t>
  </si>
  <si>
    <t>(5)</t>
  </si>
  <si>
    <t>(6)</t>
  </si>
  <si>
    <t>(7)</t>
  </si>
  <si>
    <t>(8)</t>
  </si>
  <si>
    <t>(9)= (8)* 1%</t>
  </si>
  <si>
    <t>(10)= (6)* (9)</t>
  </si>
  <si>
    <t>(11)=(6)* [Tỷ lệ hoàn thành khối lượng]
Thiếu 1 = 75% (trừ 0,25)</t>
  </si>
  <si>
    <t>(12)= (9)* (11)</t>
  </si>
  <si>
    <t>(13)=(11)*[Tỷ lệ hoàn thành chất lượng]
Sửa đổi 1-2 lần 75% (trừ 0,25)</t>
  </si>
  <si>
    <t>(14)= (9)* (13)</t>
  </si>
  <si>
    <t>(15)=(11)*[Tỷ lệ hoàn thành tiến độ]
Chậm tiến độ 75% (trừ 0,25)</t>
  </si>
  <si>
    <t>(16)= (9)* (15)</t>
  </si>
  <si>
    <t>I</t>
  </si>
  <si>
    <t>Các nhiệm vụ theo kế hoạch (chương trình) công tác đã đề ra từ đầu tháng</t>
  </si>
  <si>
    <t xml:space="preserve">Trục (1) - Thực hiện mục tiêu phát triển Kinh tế - xã hội và nhiệm vụ chính trị được giao </t>
  </si>
  <si>
    <t>1.1</t>
  </si>
  <si>
    <t>Tổ chức Lễ tốt nghiệp và trao bằng tốt nghiệp cho học sinh, sinh viên</t>
  </si>
  <si>
    <t>Hiệu trưởng</t>
  </si>
  <si>
    <t>Phòng QLĐT&amp;BĐCL</t>
  </si>
  <si>
    <t>Chương trình</t>
  </si>
  <si>
    <t>Trung bình</t>
  </si>
  <si>
    <t>1.2</t>
  </si>
  <si>
    <t>Tổ chức Lễ Khai giảng năm học 2026-2027</t>
  </si>
  <si>
    <t>Kế hoạch</t>
  </si>
  <si>
    <t>Thấp</t>
  </si>
  <si>
    <t>1.3</t>
  </si>
  <si>
    <t>Xây dựng kế hoạch khảo thí năm học 2026-2027 cho các lớp trình độ cao đẳng, trung cấp (tuyển sinh năm 2024, 2025, 2026)</t>
  </si>
  <si>
    <t>PHT Dương Văn Anh Dũng</t>
  </si>
  <si>
    <t>1.4</t>
  </si>
  <si>
    <t>Tham mưu ban hành kế hoạch triển khai công cụ trí tuệ nhân tạo để phát triển kế hoạch bài giảng (lý thuyết, thực hành, tích hợp)</t>
  </si>
  <si>
    <t>Tiếp tục triển khai công tác chuẩn bị cho năm học 2026-2027 (thời khóa biểu, phân công giảng dạy, hồ sơ chuyên môn)</t>
  </si>
  <si>
    <t>Kế hoạch; Thông báo</t>
  </si>
  <si>
    <t>Rà soát, tham mưu đăng ký loại bỏ các ngành, nghề đào tạo không còn phù hợp, nguồn tuyển sinh hạn chế</t>
  </si>
  <si>
    <t>Kế hoạch; Công văn</t>
  </si>
  <si>
    <t>Xây dựng Kế hoạch chuẩn bị sơ kết tình hình triển khai mô hình đào tạo kép "Một chương trình – Hai địa điểm" và Đề án Bảo đảm sĩ số học sinh, sinh viên</t>
  </si>
  <si>
    <t>Kế hoạch triển khai thực hiện Kế hoạch số 295/KH-UBND về phát triển nguồn nhân lực ngành công nghiệp bán dẫn</t>
  </si>
  <si>
    <t>Chuẩn bị điều kiện đánh giá ngoài chương trình đào tạo nghề Lâm sinh năm 2026</t>
  </si>
  <si>
    <t>Hồ sơ minh chứng; Báo cáo rà soát</t>
  </si>
  <si>
    <t>Khó và phức tạp</t>
  </si>
  <si>
    <t>Trục (2) - Hoàn thiện thể chế, đẩy mạnh phân cấp, phân quyền gắn với kiểm tra, giám sát</t>
  </si>
  <si>
    <t>2.1</t>
  </si>
  <si>
    <t>Kiểm tra, giám sát thường xuyên hoạt động dạy và học tại các khoa thuộc Trường</t>
  </si>
  <si>
    <t>Phó Hiệu trưởng</t>
  </si>
  <si>
    <t>TBKL</t>
  </si>
  <si>
    <t>Trục (3) - Thúc đẩy phát triển khoa học, công nghệ, đổi mới sáng tạo và chuyển đổi số</t>
  </si>
  <si>
    <t>Trục (4) - Xây dựng đảng và hệ thống chính trị trong sạch, vững mạnh; giữ gìn đoàn kết, thống nhất nội bộ; phòng, chống tham nhũng, lãng phí, tiêu cực</t>
  </si>
  <si>
    <t>4.1</t>
  </si>
  <si>
    <t>Báo cáo công tác phòng, chống tham nhũng, tiêu cực Quý III năm 2026</t>
  </si>
  <si>
    <t>Báo cáo</t>
  </si>
  <si>
    <t>4.2</t>
  </si>
  <si>
    <t>Báo cáo công tác phòng, chống tham nhũng, tiêu cực định kỳ tháng 9 năm 2026</t>
  </si>
  <si>
    <t>Trục (5) - Phát triển văn hóa, con người, bảo đảm an sinh xã hội, nâng cao đời sống nhân dân</t>
  </si>
  <si>
    <t>Trục (6) - Củng cố quốc phòng, an ninh, giữ vững ổn định chính trị - xã hội, nâng cao hiệu quả đối ngoại và hội nhập quốc tế</t>
  </si>
  <si>
    <t>II</t>
  </si>
  <si>
    <t>Các nhiệm vụ đột xuất, phát sinh khác ngoài kế hoạch (không có)</t>
  </si>
  <si>
    <t>KẾ HOẠCH 
công tác tháng 10 năm 2026</t>
  </si>
  <si>
    <t>Sản phẩm/ công việc</t>
  </si>
  <si>
    <t>Độ khó, mới, phức tạp; phạm vi tác động</t>
  </si>
  <si>
    <t>Thời gian hoàn thành</t>
  </si>
  <si>
    <t>Ghi chú</t>
  </si>
  <si>
    <t>(9)</t>
  </si>
  <si>
    <t>(10)</t>
  </si>
  <si>
    <t>(11)</t>
  </si>
  <si>
    <t>Các nhiệm vụ theo kế hoạch công tác đã đề ra từ đầu quý</t>
  </si>
  <si>
    <t>Hoàn thiện hồ sơ rà soát, đăng ký loại bỏ ngành, nghề đào tạo không còn nhu cầu; bổ sung ngành, nghề mới; chuẩn hóa thông tin trong Giấy chứng nhận đăng ký hoạt động giáo dục nghề nghiệp</t>
  </si>
  <si>
    <t>Kế hoạch thẩm định; Thông báo kết quả; Công văn đăng ký; Hồ sơ minh chứng</t>
  </si>
  <si>
    <t>Cao</t>
  </si>
  <si>
    <t>Nhiệm vụ trọng tâm số 1 (KH số 688/KH-CĐKT)</t>
  </si>
  <si>
    <t>Hoàn thiện hồ sơ, sổ sách đào tạo năm học 2025-2026; theo dõi, điều chỉnh kế hoạch đào tạo toàn khóa, kế hoạch đào tạo năm học 2026-2027</t>
  </si>
  <si>
    <t>Hồ sơ chuyên môn; Hồ sơ lưu trữ</t>
  </si>
  <si>
    <t>Nhiệm vụ trọng tâm số 3</t>
  </si>
  <si>
    <t>Xây dựng thời khóa biểu, phân công giảng dạy học kỳ I năm học 2026-2027; kiện toàn lớp học</t>
  </si>
  <si>
    <t>Thời khóa biểu; Quyết định kiện toàn</t>
  </si>
  <si>
    <t>Thường xuyên của đơn vị</t>
  </si>
  <si>
    <t>Hoàn thiện hồ sơ mô hình đào tạo kép "Một chương trình - Hai địa điểm"; triển khai thí điểm chương trình đào tạo ngắn hạn theo đơn đặt hàng của doanh nghiệp</t>
  </si>
  <si>
    <t>Hồ sơ mô hình đào tạo kép; Chương trình đào tạo ngắn hạn</t>
  </si>
  <si>
    <t>Nhiệm vụ trọng tâm số 6, thực hiện đến Quý III/2027</t>
  </si>
  <si>
    <t>Hoàn thiện, trình ban hành Quy định xây dựng, thẩm định và ban hành chương trình đào tạo; tổ chức biên soạn, lựa chọn, thẩm định, duyệt và sử dụng giáo trình đào tạo</t>
  </si>
  <si>
    <t>Quyết định</t>
  </si>
  <si>
    <t>3.1</t>
  </si>
  <si>
    <t>Xây dựng công cụ trí tuệ nhân tạo hỗ trợ biên soạn, cập nhật giáo trình đào tạo</t>
  </si>
  <si>
    <t>Bộ công cụ đóng gói: Skills, Prompt, quy trình, thông báo</t>
  </si>
  <si>
    <t>Kế hoạch phát triển công cụ AI, hạn 10/2026</t>
  </si>
  <si>
    <t>Báo cáo công tác phòng, chống tham nhũng, tiêu cực định kỳ tháng 10 năm 2026</t>
  </si>
  <si>
    <t>5.1</t>
  </si>
  <si>
    <t>Phối hợp các xã phía Tây Quảng Ngãi và doanh nghiệp tổ chức các lớp đào tạo nghề cho lao động nông thôn, đào tạo ngắn hạn theo đặt hàng</t>
  </si>
  <si>
    <t>Công văn; Kế hoạch</t>
  </si>
  <si>
    <t>6.1</t>
  </si>
  <si>
    <t>Tổ chức cho học sinh, sinh viên khóa tuyển sinh mới năm 2026 học Giáo dục quốc phòng và an ninh (đợt 3)</t>
  </si>
  <si>
    <t>Thông báo; Kế hoạch</t>
  </si>
  <si>
    <t>Các nhiệm vụ tháng trước chuyển sang (không có)</t>
  </si>
  <si>
    <t>Ghi chú: Mức độ công việc, gồm 4 mức: Thấp; Trung Bình; Cao; Khó, phức tạp và mang tính đột phá 
+ Mức độ thấp: Thường xuyên, nhiệm vụ chủ yếu là thống kê 
+ Mức độ trung bình: Thường xuyên, nhưng có tính thống kê, tổng hợp cao hơn tháng, tác động lớn hơn báo cáo hằng tháng 
+ Mức độ cao: Tổng hợp, phân tích, đánh giá số liệu, không quá khó và phức tạp 
+ Mức độ khó và phức tạp: Khó, phức tạp, tác động lớn, sâu rộng trong toàn Đảng</t>
  </si>
  <si>
    <r>
      <rPr>
        <i/>
        <sz val="13"/>
        <rFont val="Times New Roman"/>
        <family val="1"/>
      </rPr>
      <t>Quảng Ngãi, ngày 21 tháng 9 năm 2026</t>
    </r>
    <r>
      <rPr>
        <b/>
        <sz val="13"/>
        <rFont val="Times New Roman"/>
        <family val="1"/>
      </rPr>
      <t xml:space="preserve">
TRƯỞNG PHÒNG
Võ Đại Nam Anh</t>
    </r>
  </si>
  <si>
    <r>
      <rPr>
        <b/>
        <i/>
        <sz val="12"/>
        <rFont val="Times New Roman"/>
        <family val="1"/>
      </rPr>
      <t>Nơi nhận:</t>
    </r>
    <r>
      <rPr>
        <sz val="13"/>
        <rFont val="Times New Roman"/>
        <family val="1"/>
      </rPr>
      <t xml:space="preserve">
</t>
    </r>
    <r>
      <rPr>
        <sz val="11"/>
        <rFont val="Times New Roman"/>
        <family val="1"/>
      </rPr>
      <t>- Lãnh đạo Trường;
- Phòng TH-HC&amp;QT;
- Viên chức phòng QLĐT&amp;BĐCL;
- Lưu: QLĐT (cô Hạnh).</t>
    </r>
  </si>
  <si>
    <r>
      <t xml:space="preserve">
</t>
    </r>
    <r>
      <rPr>
        <b/>
        <i/>
        <sz val="12"/>
        <rFont val="Times New Roman"/>
        <family val="1"/>
      </rPr>
      <t>Nơi nhận:</t>
    </r>
    <r>
      <rPr>
        <sz val="13"/>
        <rFont val="Times New Roman"/>
        <charset val="1"/>
      </rPr>
      <t xml:space="preserve">
</t>
    </r>
    <r>
      <rPr>
        <sz val="11"/>
        <rFont val="Times New Roman"/>
        <family val="1"/>
      </rPr>
      <t>- Lãnh đạo Trường;
- Phòng TH-HC&amp;QT;
- Viên chức phòng QLĐT&amp;BĐCL;
- Lưu: QLĐT (cô Hạnh).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</si>
</sst>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name val="Times New Roman"/>
      <charset val="1"/>
    </font>
    <font>
      <b/>
      <sz val="14"/>
      <name val="Times New Roman"/>
      <charset val="1"/>
    </font>
    <font>
      <i/>
      <sz val="10"/>
      <name val="Times New Roman"/>
      <charset val="1"/>
    </font>
    <font>
      <sz val="13"/>
      <name val="Times New Roman"/>
      <charset val="1"/>
    </font>
    <font>
      <b/>
      <sz val="13"/>
      <name val="Times New Roman"/>
      <family val="1"/>
    </font>
    <font>
      <i/>
      <sz val="13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4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2</xdr:row>
      <xdr:rowOff>0</xdr:rowOff>
    </xdr:from>
    <xdr:to>
      <xdr:col>1</xdr:col>
      <xdr:colOff>1371600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2364124-B81B-BD97-57A0-E3B600C6C942}"/>
            </a:ext>
          </a:extLst>
        </xdr:cNvPr>
        <xdr:cNvCxnSpPr/>
      </xdr:nvCxnSpPr>
      <xdr:spPr>
        <a:xfrm>
          <a:off x="762000" y="400050"/>
          <a:ext cx="9334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161925</xdr:colOff>
      <xdr:row>2</xdr:row>
      <xdr:rowOff>19050</xdr:rowOff>
    </xdr:from>
    <xdr:to>
      <xdr:col>12</xdr:col>
      <xdr:colOff>400050</xdr:colOff>
      <xdr:row>2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AF81F41-88DD-4617-A1AE-02DBCBD9C858}"/>
            </a:ext>
          </a:extLst>
        </xdr:cNvPr>
        <xdr:cNvCxnSpPr/>
      </xdr:nvCxnSpPr>
      <xdr:spPr>
        <a:xfrm>
          <a:off x="8191500" y="419100"/>
          <a:ext cx="19431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638175</xdr:colOff>
      <xdr:row>3</xdr:row>
      <xdr:rowOff>47625</xdr:rowOff>
    </xdr:from>
    <xdr:to>
      <xdr:col>6</xdr:col>
      <xdr:colOff>504825</xdr:colOff>
      <xdr:row>3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4065E85-E18F-4395-03B2-ACB3383C043D}"/>
            </a:ext>
          </a:extLst>
        </xdr:cNvPr>
        <xdr:cNvCxnSpPr/>
      </xdr:nvCxnSpPr>
      <xdr:spPr>
        <a:xfrm>
          <a:off x="5467350" y="847725"/>
          <a:ext cx="13049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283102</xdr:colOff>
      <xdr:row>28</xdr:row>
      <xdr:rowOff>430795</xdr:rowOff>
    </xdr:from>
    <xdr:to>
      <xdr:col>12</xdr:col>
      <xdr:colOff>99976</xdr:colOff>
      <xdr:row>28</xdr:row>
      <xdr:rowOff>1193009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BBA48A-40F6-5BFA-9346-5CF9206C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375900" flipV="1">
          <a:off x="8694984" y="15125442"/>
          <a:ext cx="1609816" cy="7622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628650</xdr:colOff>
      <xdr:row>2</xdr:row>
      <xdr:rowOff>0</xdr:rowOff>
    </xdr:from>
    <xdr:to>
      <xdr:col>1</xdr:col>
      <xdr:colOff>1543050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9B6DA7E-1EB0-EC7D-66A4-D8614A0403A1}"/>
            </a:ext>
          </a:extLst>
        </xdr:cNvPr>
        <xdr:cNvCxnSpPr/>
      </xdr:nvCxnSpPr>
      <xdr:spPr>
        <a:xfrm>
          <a:off x="1152525" y="400050"/>
          <a:ext cx="914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390525</xdr:colOff>
      <xdr:row>2</xdr:row>
      <xdr:rowOff>0</xdr:rowOff>
    </xdr:from>
    <xdr:to>
      <xdr:col>8</xdr:col>
      <xdr:colOff>685800</xdr:colOff>
      <xdr:row>2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297338C-4CCF-6CC2-F579-71FE803130BB}"/>
            </a:ext>
          </a:extLst>
        </xdr:cNvPr>
        <xdr:cNvCxnSpPr/>
      </xdr:nvCxnSpPr>
      <xdr:spPr>
        <a:xfrm>
          <a:off x="7543800" y="400050"/>
          <a:ext cx="1895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885825</xdr:colOff>
      <xdr:row>3</xdr:row>
      <xdr:rowOff>19050</xdr:rowOff>
    </xdr:from>
    <xdr:to>
      <xdr:col>4</xdr:col>
      <xdr:colOff>590550</xdr:colOff>
      <xdr:row>3</xdr:row>
      <xdr:rowOff>28575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FDC769F-A50B-449E-EA8F-27E5BEB3A1BF}"/>
            </a:ext>
          </a:extLst>
        </xdr:cNvPr>
        <xdr:cNvCxnSpPr/>
      </xdr:nvCxnSpPr>
      <xdr:spPr>
        <a:xfrm flipV="1">
          <a:off x="5191125" y="819150"/>
          <a:ext cx="10287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1"/>
  <sheetViews>
    <sheetView tabSelected="1" zoomScale="85" zoomScaleNormal="85" workbookViewId="0">
      <pane ySplit="7" topLeftCell="A20" activePane="bottomLeft" state="frozen"/>
      <selection pane="bottomLeft" activeCell="D7" sqref="D7"/>
    </sheetView>
  </sheetViews>
  <sheetFormatPr defaultRowHeight="14.5" x14ac:dyDescent="0.35"/>
  <cols>
    <col min="1" max="1" width="4.81640625" customWidth="1"/>
    <col min="2" max="2" width="34" customWidth="1"/>
    <col min="3" max="3" width="16.453125" customWidth="1"/>
    <col min="4" max="4" width="17.1796875" customWidth="1"/>
    <col min="5" max="5" width="14.54296875" customWidth="1"/>
    <col min="6" max="6" width="7" customWidth="1"/>
    <col min="7" max="7" width="11" customWidth="1"/>
    <col min="8" max="8" width="8.453125" customWidth="1"/>
    <col min="9" max="9" width="7" customWidth="1"/>
    <col min="10" max="10" width="7.453125" customWidth="1"/>
    <col min="11" max="11" width="11.453125" style="23" customWidth="1"/>
    <col min="12" max="12" width="6.7265625" customWidth="1"/>
    <col min="13" max="13" width="10.54296875" customWidth="1"/>
    <col min="14" max="14" width="6.7265625" customWidth="1"/>
    <col min="15" max="15" width="10.54296875" customWidth="1"/>
    <col min="16" max="16" width="6.7265625" customWidth="1"/>
  </cols>
  <sheetData>
    <row r="1" spans="1:16" ht="16.149999999999999" customHeight="1" x14ac:dyDescent="0.35">
      <c r="A1" s="6" t="s">
        <v>0</v>
      </c>
      <c r="B1" s="7"/>
      <c r="G1" s="10" t="s">
        <v>1</v>
      </c>
      <c r="H1" s="7"/>
      <c r="I1" s="7"/>
      <c r="J1" s="7"/>
      <c r="K1" s="7"/>
      <c r="L1" s="7"/>
      <c r="M1" s="7"/>
      <c r="N1" s="7"/>
      <c r="O1" s="7"/>
      <c r="P1" s="7"/>
    </row>
    <row r="2" spans="1:16" ht="16.149999999999999" customHeight="1" x14ac:dyDescent="0.35">
      <c r="A2" s="14" t="s">
        <v>2</v>
      </c>
      <c r="B2" s="7"/>
      <c r="G2" s="10" t="s">
        <v>3</v>
      </c>
      <c r="H2" s="7"/>
      <c r="I2" s="7"/>
      <c r="J2" s="7"/>
      <c r="K2" s="7"/>
      <c r="L2" s="7"/>
      <c r="M2" s="7"/>
      <c r="N2" s="7"/>
      <c r="O2" s="7"/>
      <c r="P2" s="7"/>
    </row>
    <row r="3" spans="1:16" ht="31.5" customHeight="1" x14ac:dyDescent="0.35">
      <c r="A3" s="15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5" spans="1:16" ht="29.9" customHeight="1" x14ac:dyDescent="0.35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8" t="s">
        <v>15</v>
      </c>
      <c r="L5" s="13"/>
      <c r="M5" s="8" t="s">
        <v>16</v>
      </c>
      <c r="N5" s="13"/>
      <c r="O5" s="8" t="s">
        <v>17</v>
      </c>
      <c r="P5" s="13"/>
    </row>
    <row r="6" spans="1:16" ht="49.5" customHeight="1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20" t="s">
        <v>18</v>
      </c>
      <c r="L6" s="1" t="s">
        <v>19</v>
      </c>
      <c r="M6" s="1" t="s">
        <v>18</v>
      </c>
      <c r="N6" s="1" t="s">
        <v>19</v>
      </c>
      <c r="O6" s="1" t="s">
        <v>18</v>
      </c>
      <c r="P6" s="1" t="s">
        <v>19</v>
      </c>
    </row>
    <row r="7" spans="1:16" ht="89.25" customHeight="1" x14ac:dyDescent="0.3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28</v>
      </c>
      <c r="J7" s="2" t="s">
        <v>29</v>
      </c>
      <c r="K7" s="21" t="s">
        <v>30</v>
      </c>
      <c r="L7" s="2" t="s">
        <v>31</v>
      </c>
      <c r="M7" s="2" t="s">
        <v>32</v>
      </c>
      <c r="N7" s="2" t="s">
        <v>33</v>
      </c>
      <c r="O7" s="2" t="s">
        <v>34</v>
      </c>
      <c r="P7" s="2" t="s">
        <v>35</v>
      </c>
    </row>
    <row r="8" spans="1:16" ht="16.149999999999999" customHeight="1" x14ac:dyDescent="0.35">
      <c r="A8" s="3" t="s">
        <v>36</v>
      </c>
      <c r="B8" s="11" t="s">
        <v>37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</row>
    <row r="9" spans="1:16" ht="29.9" customHeight="1" x14ac:dyDescent="0.35">
      <c r="A9" s="3">
        <v>1</v>
      </c>
      <c r="B9" s="11" t="s">
        <v>38</v>
      </c>
      <c r="C9" s="12"/>
      <c r="D9" s="12"/>
      <c r="E9" s="13"/>
      <c r="F9" s="3">
        <f>SUM(F10:F18)</f>
        <v>9</v>
      </c>
      <c r="J9" s="3">
        <f t="shared" ref="J9:P9" si="0">SUM(J10:J18)</f>
        <v>11.4</v>
      </c>
      <c r="K9" s="20">
        <f t="shared" si="0"/>
        <v>9</v>
      </c>
      <c r="L9" s="3">
        <f t="shared" si="0"/>
        <v>11.4</v>
      </c>
      <c r="M9" s="3">
        <f t="shared" si="0"/>
        <v>9</v>
      </c>
      <c r="N9" s="3">
        <f t="shared" si="0"/>
        <v>11.4</v>
      </c>
      <c r="O9" s="3">
        <f t="shared" si="0"/>
        <v>9</v>
      </c>
      <c r="P9" s="3">
        <f t="shared" si="0"/>
        <v>11.4</v>
      </c>
    </row>
    <row r="10" spans="1:16" ht="48" customHeight="1" x14ac:dyDescent="0.35">
      <c r="A10" s="4" t="s">
        <v>39</v>
      </c>
      <c r="B10" s="5" t="s">
        <v>40</v>
      </c>
      <c r="C10" s="4" t="s">
        <v>41</v>
      </c>
      <c r="D10" s="4" t="s">
        <v>42</v>
      </c>
      <c r="E10" s="4" t="s">
        <v>43</v>
      </c>
      <c r="F10" s="4">
        <v>1</v>
      </c>
      <c r="G10" s="4" t="s">
        <v>44</v>
      </c>
      <c r="H10" s="4">
        <v>120</v>
      </c>
      <c r="I10" s="4">
        <f t="shared" ref="I10:I18" si="1">H10*1/100</f>
        <v>1.2</v>
      </c>
      <c r="J10" s="4">
        <f t="shared" ref="J10:J18" si="2">F10*I10</f>
        <v>1.2</v>
      </c>
      <c r="K10" s="22">
        <f t="shared" ref="K10:K18" si="3">F10*100%</f>
        <v>1</v>
      </c>
      <c r="L10" s="4">
        <f t="shared" ref="L10:L18" si="4">I10*K10</f>
        <v>1.2</v>
      </c>
      <c r="M10" s="4">
        <f t="shared" ref="M10:M18" si="5">K10*100%</f>
        <v>1</v>
      </c>
      <c r="N10" s="4">
        <f t="shared" ref="N10:N18" si="6">I10*M10</f>
        <v>1.2</v>
      </c>
      <c r="O10" s="4">
        <f t="shared" ref="O10:O18" si="7">K10*100%</f>
        <v>1</v>
      </c>
      <c r="P10" s="4">
        <f t="shared" ref="P10:P18" si="8">I10*O10</f>
        <v>1.2</v>
      </c>
    </row>
    <row r="11" spans="1:16" ht="34" customHeight="1" x14ac:dyDescent="0.35">
      <c r="A11" s="4" t="s">
        <v>45</v>
      </c>
      <c r="B11" s="19" t="s">
        <v>46</v>
      </c>
      <c r="C11" s="4" t="s">
        <v>41</v>
      </c>
      <c r="D11" s="4" t="s">
        <v>42</v>
      </c>
      <c r="F11" s="4">
        <v>1</v>
      </c>
      <c r="G11" s="4" t="s">
        <v>48</v>
      </c>
      <c r="H11" s="4">
        <v>100</v>
      </c>
      <c r="I11" s="4">
        <f t="shared" si="1"/>
        <v>1</v>
      </c>
      <c r="J11" s="4">
        <f t="shared" si="2"/>
        <v>1</v>
      </c>
      <c r="K11" s="22">
        <f t="shared" si="3"/>
        <v>1</v>
      </c>
      <c r="L11" s="4">
        <f t="shared" si="4"/>
        <v>1</v>
      </c>
      <c r="M11" s="4">
        <f t="shared" si="5"/>
        <v>1</v>
      </c>
      <c r="N11" s="4">
        <f t="shared" si="6"/>
        <v>1</v>
      </c>
      <c r="O11" s="4">
        <f t="shared" si="7"/>
        <v>1</v>
      </c>
      <c r="P11" s="4">
        <f t="shared" si="8"/>
        <v>1</v>
      </c>
    </row>
    <row r="12" spans="1:16" ht="62.15" customHeight="1" x14ac:dyDescent="0.35">
      <c r="A12" s="4" t="s">
        <v>49</v>
      </c>
      <c r="B12" s="19" t="s">
        <v>50</v>
      </c>
      <c r="C12" s="4" t="s">
        <v>51</v>
      </c>
      <c r="D12" s="4" t="s">
        <v>42</v>
      </c>
      <c r="E12" s="4" t="s">
        <v>47</v>
      </c>
      <c r="F12" s="4">
        <v>1</v>
      </c>
      <c r="G12" s="4" t="s">
        <v>44</v>
      </c>
      <c r="H12" s="4">
        <v>120</v>
      </c>
      <c r="I12" s="4">
        <f t="shared" si="1"/>
        <v>1.2</v>
      </c>
      <c r="J12" s="4">
        <f t="shared" si="2"/>
        <v>1.2</v>
      </c>
      <c r="K12" s="22">
        <f t="shared" si="3"/>
        <v>1</v>
      </c>
      <c r="L12" s="4">
        <f t="shared" si="4"/>
        <v>1.2</v>
      </c>
      <c r="M12" s="4">
        <f t="shared" si="5"/>
        <v>1</v>
      </c>
      <c r="N12" s="4">
        <f t="shared" si="6"/>
        <v>1.2</v>
      </c>
      <c r="O12" s="4">
        <f t="shared" si="7"/>
        <v>1</v>
      </c>
      <c r="P12" s="4">
        <f t="shared" si="8"/>
        <v>1.2</v>
      </c>
    </row>
    <row r="13" spans="1:16" ht="76" customHeight="1" x14ac:dyDescent="0.35">
      <c r="A13" s="4">
        <v>1.4</v>
      </c>
      <c r="B13" s="5" t="s">
        <v>53</v>
      </c>
      <c r="C13" s="4" t="s">
        <v>41</v>
      </c>
      <c r="D13" s="4" t="s">
        <v>42</v>
      </c>
      <c r="E13" s="4" t="s">
        <v>47</v>
      </c>
      <c r="F13" s="4">
        <v>1</v>
      </c>
      <c r="G13" s="4" t="s">
        <v>44</v>
      </c>
      <c r="H13" s="4">
        <v>120</v>
      </c>
      <c r="I13" s="4">
        <f t="shared" si="1"/>
        <v>1.2</v>
      </c>
      <c r="J13" s="4">
        <f t="shared" si="2"/>
        <v>1.2</v>
      </c>
      <c r="K13" s="22">
        <f t="shared" si="3"/>
        <v>1</v>
      </c>
      <c r="L13" s="4">
        <f t="shared" si="4"/>
        <v>1.2</v>
      </c>
      <c r="M13" s="4">
        <f t="shared" si="5"/>
        <v>1</v>
      </c>
      <c r="N13" s="4">
        <f t="shared" si="6"/>
        <v>1.2</v>
      </c>
      <c r="O13" s="4">
        <f t="shared" si="7"/>
        <v>1</v>
      </c>
      <c r="P13" s="4">
        <f t="shared" si="8"/>
        <v>1.2</v>
      </c>
    </row>
    <row r="14" spans="1:16" ht="62.15" customHeight="1" x14ac:dyDescent="0.35">
      <c r="A14" s="4">
        <v>1.5</v>
      </c>
      <c r="B14" s="5" t="s">
        <v>54</v>
      </c>
      <c r="C14" s="4" t="s">
        <v>51</v>
      </c>
      <c r="D14" s="4" t="s">
        <v>42</v>
      </c>
      <c r="E14" s="4" t="s">
        <v>55</v>
      </c>
      <c r="F14" s="4">
        <v>1</v>
      </c>
      <c r="G14" s="4" t="s">
        <v>44</v>
      </c>
      <c r="H14" s="4">
        <v>120</v>
      </c>
      <c r="I14" s="4">
        <f t="shared" si="1"/>
        <v>1.2</v>
      </c>
      <c r="J14" s="4">
        <f t="shared" si="2"/>
        <v>1.2</v>
      </c>
      <c r="K14" s="22">
        <f t="shared" si="3"/>
        <v>1</v>
      </c>
      <c r="L14" s="4">
        <f t="shared" si="4"/>
        <v>1.2</v>
      </c>
      <c r="M14" s="4">
        <f t="shared" si="5"/>
        <v>1</v>
      </c>
      <c r="N14" s="4">
        <f t="shared" si="6"/>
        <v>1.2</v>
      </c>
      <c r="O14" s="4">
        <f t="shared" si="7"/>
        <v>1</v>
      </c>
      <c r="P14" s="4">
        <f t="shared" si="8"/>
        <v>1.2</v>
      </c>
    </row>
    <row r="15" spans="1:16" ht="62.15" customHeight="1" x14ac:dyDescent="0.35">
      <c r="A15" s="4">
        <v>1.6</v>
      </c>
      <c r="B15" s="5" t="s">
        <v>56</v>
      </c>
      <c r="C15" s="4" t="s">
        <v>41</v>
      </c>
      <c r="D15" s="4" t="s">
        <v>42</v>
      </c>
      <c r="E15" s="4" t="s">
        <v>57</v>
      </c>
      <c r="F15" s="4">
        <v>1</v>
      </c>
      <c r="G15" s="4" t="s">
        <v>44</v>
      </c>
      <c r="H15" s="4">
        <v>120</v>
      </c>
      <c r="I15" s="4">
        <f t="shared" si="1"/>
        <v>1.2</v>
      </c>
      <c r="J15" s="4">
        <f t="shared" si="2"/>
        <v>1.2</v>
      </c>
      <c r="K15" s="22">
        <f t="shared" si="3"/>
        <v>1</v>
      </c>
      <c r="L15" s="4">
        <f t="shared" si="4"/>
        <v>1.2</v>
      </c>
      <c r="M15" s="4">
        <f t="shared" si="5"/>
        <v>1</v>
      </c>
      <c r="N15" s="4">
        <f t="shared" si="6"/>
        <v>1.2</v>
      </c>
      <c r="O15" s="4">
        <f t="shared" si="7"/>
        <v>1</v>
      </c>
      <c r="P15" s="4">
        <f t="shared" si="8"/>
        <v>1.2</v>
      </c>
    </row>
    <row r="16" spans="1:16" ht="90" customHeight="1" x14ac:dyDescent="0.35">
      <c r="A16" s="4">
        <v>1.7</v>
      </c>
      <c r="B16" s="5" t="s">
        <v>58</v>
      </c>
      <c r="C16" s="4" t="s">
        <v>41</v>
      </c>
      <c r="D16" s="4" t="s">
        <v>42</v>
      </c>
      <c r="E16" s="4" t="s">
        <v>47</v>
      </c>
      <c r="F16" s="4">
        <v>1</v>
      </c>
      <c r="G16" s="4" t="s">
        <v>44</v>
      </c>
      <c r="H16" s="4">
        <v>120</v>
      </c>
      <c r="I16" s="4">
        <f t="shared" si="1"/>
        <v>1.2</v>
      </c>
      <c r="J16" s="4">
        <f t="shared" si="2"/>
        <v>1.2</v>
      </c>
      <c r="K16" s="22">
        <f t="shared" si="3"/>
        <v>1</v>
      </c>
      <c r="L16" s="4">
        <f t="shared" si="4"/>
        <v>1.2</v>
      </c>
      <c r="M16" s="4">
        <f t="shared" si="5"/>
        <v>1</v>
      </c>
      <c r="N16" s="4">
        <f t="shared" si="6"/>
        <v>1.2</v>
      </c>
      <c r="O16" s="4">
        <f t="shared" si="7"/>
        <v>1</v>
      </c>
      <c r="P16" s="4">
        <f t="shared" si="8"/>
        <v>1.2</v>
      </c>
    </row>
    <row r="17" spans="1:16" ht="62.15" customHeight="1" x14ac:dyDescent="0.35">
      <c r="A17" s="4">
        <v>1.8</v>
      </c>
      <c r="B17" s="5" t="s">
        <v>59</v>
      </c>
      <c r="C17" s="4" t="s">
        <v>41</v>
      </c>
      <c r="D17" s="4" t="s">
        <v>42</v>
      </c>
      <c r="E17" s="4" t="s">
        <v>47</v>
      </c>
      <c r="F17" s="4">
        <v>1</v>
      </c>
      <c r="G17" s="4" t="s">
        <v>44</v>
      </c>
      <c r="H17" s="4">
        <v>120</v>
      </c>
      <c r="I17" s="4">
        <f t="shared" si="1"/>
        <v>1.2</v>
      </c>
      <c r="J17" s="4">
        <f t="shared" si="2"/>
        <v>1.2</v>
      </c>
      <c r="K17" s="22">
        <f t="shared" si="3"/>
        <v>1</v>
      </c>
      <c r="L17" s="4">
        <f t="shared" si="4"/>
        <v>1.2</v>
      </c>
      <c r="M17" s="4">
        <f t="shared" si="5"/>
        <v>1</v>
      </c>
      <c r="N17" s="4">
        <f t="shared" si="6"/>
        <v>1.2</v>
      </c>
      <c r="O17" s="4">
        <f t="shared" si="7"/>
        <v>1</v>
      </c>
      <c r="P17" s="4">
        <f t="shared" si="8"/>
        <v>1.2</v>
      </c>
    </row>
    <row r="18" spans="1:16" ht="48" customHeight="1" x14ac:dyDescent="0.35">
      <c r="A18" s="4">
        <v>1.9</v>
      </c>
      <c r="B18" s="5" t="s">
        <v>60</v>
      </c>
      <c r="C18" s="4" t="s">
        <v>41</v>
      </c>
      <c r="D18" s="4" t="s">
        <v>42</v>
      </c>
      <c r="E18" s="4" t="s">
        <v>61</v>
      </c>
      <c r="F18" s="4">
        <v>1</v>
      </c>
      <c r="G18" s="4" t="s">
        <v>62</v>
      </c>
      <c r="H18" s="4">
        <v>200</v>
      </c>
      <c r="I18" s="4">
        <f t="shared" si="1"/>
        <v>2</v>
      </c>
      <c r="J18" s="4">
        <f t="shared" si="2"/>
        <v>2</v>
      </c>
      <c r="K18" s="22">
        <f t="shared" si="3"/>
        <v>1</v>
      </c>
      <c r="L18" s="4">
        <f t="shared" si="4"/>
        <v>2</v>
      </c>
      <c r="M18" s="4">
        <f t="shared" si="5"/>
        <v>1</v>
      </c>
      <c r="N18" s="4">
        <f t="shared" si="6"/>
        <v>2</v>
      </c>
      <c r="O18" s="4">
        <f t="shared" si="7"/>
        <v>1</v>
      </c>
      <c r="P18" s="4">
        <f t="shared" si="8"/>
        <v>2</v>
      </c>
    </row>
    <row r="19" spans="1:16" ht="29.9" customHeight="1" x14ac:dyDescent="0.35">
      <c r="A19" s="3">
        <v>2</v>
      </c>
      <c r="B19" s="11" t="s">
        <v>63</v>
      </c>
      <c r="C19" s="12"/>
      <c r="D19" s="12"/>
      <c r="E19" s="13"/>
      <c r="F19" s="3">
        <f>SUM(F20:F20)</f>
        <v>1</v>
      </c>
      <c r="J19" s="3">
        <f t="shared" ref="J19:P19" si="9">SUM(J20:J20)</f>
        <v>1.2</v>
      </c>
      <c r="K19" s="20">
        <f t="shared" si="9"/>
        <v>1</v>
      </c>
      <c r="L19" s="3">
        <f t="shared" si="9"/>
        <v>1.2</v>
      </c>
      <c r="M19" s="3">
        <f t="shared" si="9"/>
        <v>1</v>
      </c>
      <c r="N19" s="3">
        <f t="shared" si="9"/>
        <v>1.2</v>
      </c>
      <c r="O19" s="3">
        <f t="shared" si="9"/>
        <v>1</v>
      </c>
      <c r="P19" s="3">
        <f t="shared" si="9"/>
        <v>1.2</v>
      </c>
    </row>
    <row r="20" spans="1:16" ht="48" customHeight="1" x14ac:dyDescent="0.35">
      <c r="A20" s="4" t="s">
        <v>64</v>
      </c>
      <c r="B20" s="5" t="s">
        <v>65</v>
      </c>
      <c r="C20" s="4" t="s">
        <v>66</v>
      </c>
      <c r="D20" s="4" t="s">
        <v>42</v>
      </c>
      <c r="E20" s="4" t="s">
        <v>67</v>
      </c>
      <c r="F20" s="4">
        <v>1</v>
      </c>
      <c r="G20" s="4" t="s">
        <v>44</v>
      </c>
      <c r="H20" s="4">
        <v>120</v>
      </c>
      <c r="I20" s="4">
        <f>H20*1/100</f>
        <v>1.2</v>
      </c>
      <c r="J20" s="4">
        <f>F20*I20</f>
        <v>1.2</v>
      </c>
      <c r="K20" s="22">
        <f>F20*100%</f>
        <v>1</v>
      </c>
      <c r="L20" s="4">
        <f>I20*K20</f>
        <v>1.2</v>
      </c>
      <c r="M20" s="4">
        <f>K20*100%</f>
        <v>1</v>
      </c>
      <c r="N20" s="4">
        <f>I20*M20</f>
        <v>1.2</v>
      </c>
      <c r="O20" s="4">
        <f>K20*100%</f>
        <v>1</v>
      </c>
      <c r="P20" s="4">
        <f>I20*O20</f>
        <v>1.2</v>
      </c>
    </row>
    <row r="21" spans="1:16" ht="29.9" customHeight="1" x14ac:dyDescent="0.35">
      <c r="A21" s="3">
        <v>3</v>
      </c>
      <c r="B21" s="11" t="s">
        <v>68</v>
      </c>
      <c r="C21" s="12"/>
      <c r="D21" s="12"/>
      <c r="E21" s="13"/>
      <c r="F21" s="3">
        <v>0</v>
      </c>
      <c r="J21" s="3">
        <v>0</v>
      </c>
      <c r="K21" s="20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1:16" ht="29.9" customHeight="1" x14ac:dyDescent="0.35">
      <c r="A22" s="3">
        <v>4</v>
      </c>
      <c r="B22" s="11" t="s">
        <v>69</v>
      </c>
      <c r="C22" s="12"/>
      <c r="D22" s="12"/>
      <c r="E22" s="13"/>
      <c r="F22" s="3">
        <f>SUM(F23:F24)</f>
        <v>2</v>
      </c>
      <c r="J22" s="3">
        <f t="shared" ref="J22:P22" si="10">SUM(J23:J24)</f>
        <v>2.2000000000000002</v>
      </c>
      <c r="K22" s="20">
        <f t="shared" si="10"/>
        <v>2</v>
      </c>
      <c r="L22" s="3">
        <f t="shared" si="10"/>
        <v>2.2000000000000002</v>
      </c>
      <c r="M22" s="3">
        <f t="shared" si="10"/>
        <v>2</v>
      </c>
      <c r="N22" s="3">
        <f t="shared" si="10"/>
        <v>2.2000000000000002</v>
      </c>
      <c r="O22" s="3">
        <f t="shared" si="10"/>
        <v>2</v>
      </c>
      <c r="P22" s="3">
        <f t="shared" si="10"/>
        <v>2.2000000000000002</v>
      </c>
    </row>
    <row r="23" spans="1:16" ht="48" customHeight="1" x14ac:dyDescent="0.35">
      <c r="A23" s="4" t="s">
        <v>70</v>
      </c>
      <c r="B23" s="5" t="s">
        <v>71</v>
      </c>
      <c r="C23" s="4" t="s">
        <v>41</v>
      </c>
      <c r="D23" s="4" t="s">
        <v>42</v>
      </c>
      <c r="E23" s="4" t="s">
        <v>72</v>
      </c>
      <c r="F23" s="4">
        <v>1</v>
      </c>
      <c r="G23" s="4" t="s">
        <v>44</v>
      </c>
      <c r="H23" s="4">
        <v>120</v>
      </c>
      <c r="I23" s="4">
        <f>H23*1/100</f>
        <v>1.2</v>
      </c>
      <c r="J23" s="4">
        <f>F23*I23</f>
        <v>1.2</v>
      </c>
      <c r="K23" s="22">
        <f>F23*100%</f>
        <v>1</v>
      </c>
      <c r="L23" s="4">
        <f>I23*K23</f>
        <v>1.2</v>
      </c>
      <c r="M23" s="4">
        <f>K23*100%</f>
        <v>1</v>
      </c>
      <c r="N23" s="4">
        <f>I23*M23</f>
        <v>1.2</v>
      </c>
      <c r="O23" s="4">
        <f>K23*100%</f>
        <v>1</v>
      </c>
      <c r="P23" s="4">
        <f>I23*O23</f>
        <v>1.2</v>
      </c>
    </row>
    <row r="24" spans="1:16" ht="48" customHeight="1" x14ac:dyDescent="0.35">
      <c r="A24" s="4" t="s">
        <v>73</v>
      </c>
      <c r="B24" s="5" t="s">
        <v>74</v>
      </c>
      <c r="C24" s="4" t="s">
        <v>41</v>
      </c>
      <c r="D24" s="4" t="s">
        <v>42</v>
      </c>
      <c r="E24" s="4" t="s">
        <v>72</v>
      </c>
      <c r="F24" s="4">
        <v>1</v>
      </c>
      <c r="G24" s="4" t="s">
        <v>48</v>
      </c>
      <c r="H24" s="4">
        <v>100</v>
      </c>
      <c r="I24" s="4">
        <f>H24*1/100</f>
        <v>1</v>
      </c>
      <c r="J24" s="4">
        <f>F24*I24</f>
        <v>1</v>
      </c>
      <c r="K24" s="22">
        <f>F24*100%</f>
        <v>1</v>
      </c>
      <c r="L24" s="4">
        <f>I24*K24</f>
        <v>1</v>
      </c>
      <c r="M24" s="4">
        <f>K24*100%</f>
        <v>1</v>
      </c>
      <c r="N24" s="4">
        <f>I24*M24</f>
        <v>1</v>
      </c>
      <c r="O24" s="4">
        <f>K24*100%</f>
        <v>1</v>
      </c>
      <c r="P24" s="4">
        <f>I24*O24</f>
        <v>1</v>
      </c>
    </row>
    <row r="25" spans="1:16" ht="29.9" customHeight="1" x14ac:dyDescent="0.35">
      <c r="A25" s="3">
        <v>5</v>
      </c>
      <c r="B25" s="11" t="s">
        <v>75</v>
      </c>
      <c r="C25" s="12"/>
      <c r="D25" s="12"/>
      <c r="E25" s="13"/>
      <c r="F25" s="3">
        <v>0</v>
      </c>
      <c r="J25" s="3">
        <v>0</v>
      </c>
      <c r="K25" s="20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1:16" ht="29.9" customHeight="1" x14ac:dyDescent="0.35">
      <c r="A26" s="3">
        <v>6</v>
      </c>
      <c r="B26" s="11" t="s">
        <v>76</v>
      </c>
      <c r="C26" s="12"/>
      <c r="D26" s="12"/>
      <c r="E26" s="13"/>
      <c r="F26" s="3">
        <v>0</v>
      </c>
      <c r="J26" s="3">
        <v>0</v>
      </c>
      <c r="K26" s="20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</row>
    <row r="27" spans="1:16" ht="16.149999999999999" customHeight="1" x14ac:dyDescent="0.35">
      <c r="A27" s="3" t="s">
        <v>77</v>
      </c>
      <c r="B27" s="11" t="s">
        <v>78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</row>
    <row r="29" spans="1:16" ht="109.5" customHeight="1" x14ac:dyDescent="0.35">
      <c r="A29" s="16" t="s">
        <v>118</v>
      </c>
      <c r="B29" s="7"/>
      <c r="C29" s="7"/>
      <c r="G29" s="17" t="s">
        <v>116</v>
      </c>
      <c r="H29" s="17"/>
      <c r="I29" s="17"/>
      <c r="J29" s="17"/>
      <c r="K29" s="17"/>
      <c r="L29" s="17"/>
      <c r="M29" s="17"/>
      <c r="N29" s="17"/>
      <c r="O29" s="17"/>
      <c r="P29" s="17"/>
    </row>
    <row r="41" spans="5:5" ht="16.5" x14ac:dyDescent="0.35">
      <c r="E41" s="4"/>
    </row>
  </sheetData>
  <mergeCells count="28">
    <mergeCell ref="A29:C29"/>
    <mergeCell ref="B5:B6"/>
    <mergeCell ref="D5:D6"/>
    <mergeCell ref="B22:E22"/>
    <mergeCell ref="H5:H6"/>
    <mergeCell ref="G29:P29"/>
    <mergeCell ref="C5:C6"/>
    <mergeCell ref="B19:E19"/>
    <mergeCell ref="B25:E25"/>
    <mergeCell ref="O5:P5"/>
    <mergeCell ref="B27:P27"/>
    <mergeCell ref="B21:E21"/>
    <mergeCell ref="G5:G6"/>
    <mergeCell ref="B26:E26"/>
    <mergeCell ref="A2:B2"/>
    <mergeCell ref="J5:J6"/>
    <mergeCell ref="A3:P3"/>
    <mergeCell ref="E5:E6"/>
    <mergeCell ref="B9:E9"/>
    <mergeCell ref="K5:L5"/>
    <mergeCell ref="M5:N5"/>
    <mergeCell ref="A1:B1"/>
    <mergeCell ref="F5:F6"/>
    <mergeCell ref="G1:P1"/>
    <mergeCell ref="B8:P8"/>
    <mergeCell ref="A5:A6"/>
    <mergeCell ref="G2:P2"/>
    <mergeCell ref="I5:I6"/>
  </mergeCells>
  <pageMargins left="0.3" right="0.3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8"/>
  <sheetViews>
    <sheetView workbookViewId="0">
      <pane ySplit="7" topLeftCell="A8" activePane="bottomLeft" state="frozen"/>
      <selection pane="bottomLeft" activeCell="E28" sqref="E28:K28"/>
    </sheetView>
  </sheetViews>
  <sheetFormatPr defaultRowHeight="14.5" x14ac:dyDescent="0.35"/>
  <cols>
    <col min="1" max="1" width="7.81640625" customWidth="1"/>
    <col min="2" max="2" width="40.26953125" customWidth="1"/>
    <col min="3" max="3" width="16.453125" customWidth="1"/>
    <col min="4" max="4" width="19.81640625" customWidth="1"/>
    <col min="5" max="5" width="12.81640625" customWidth="1"/>
    <col min="6" max="6" width="10" customWidth="1"/>
    <col min="7" max="7" width="13" customWidth="1"/>
    <col min="8" max="8" width="11" customWidth="1"/>
    <col min="9" max="9" width="10.81640625" customWidth="1"/>
    <col min="10" max="10" width="8.453125" customWidth="1"/>
    <col min="11" max="11" width="20" customWidth="1"/>
  </cols>
  <sheetData>
    <row r="1" spans="1:11" ht="16.149999999999999" customHeight="1" x14ac:dyDescent="0.35">
      <c r="A1" s="6" t="s">
        <v>0</v>
      </c>
      <c r="B1" s="7"/>
      <c r="E1" s="10" t="s">
        <v>1</v>
      </c>
      <c r="F1" s="7"/>
      <c r="G1" s="7"/>
      <c r="H1" s="7"/>
      <c r="I1" s="7"/>
      <c r="J1" s="7"/>
      <c r="K1" s="7"/>
    </row>
    <row r="2" spans="1:11" ht="16.149999999999999" customHeight="1" x14ac:dyDescent="0.35">
      <c r="A2" s="14" t="s">
        <v>2</v>
      </c>
      <c r="B2" s="7"/>
      <c r="E2" s="10" t="s">
        <v>3</v>
      </c>
      <c r="F2" s="7"/>
      <c r="G2" s="7"/>
      <c r="H2" s="7"/>
      <c r="I2" s="7"/>
      <c r="J2" s="7"/>
      <c r="K2" s="7"/>
    </row>
    <row r="3" spans="1:11" ht="31.5" customHeight="1" x14ac:dyDescent="0.35">
      <c r="A3" s="15" t="s">
        <v>79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1" ht="15" customHeight="1" x14ac:dyDescent="0.35">
      <c r="A5" s="8" t="s">
        <v>5</v>
      </c>
      <c r="B5" s="8" t="s">
        <v>6</v>
      </c>
      <c r="C5" s="8" t="s">
        <v>7</v>
      </c>
      <c r="D5" s="8" t="s">
        <v>8</v>
      </c>
      <c r="E5" s="8" t="s">
        <v>80</v>
      </c>
      <c r="F5" s="8" t="s">
        <v>10</v>
      </c>
      <c r="G5" s="8" t="s">
        <v>81</v>
      </c>
      <c r="H5" s="8" t="s">
        <v>82</v>
      </c>
      <c r="I5" s="8" t="s">
        <v>12</v>
      </c>
      <c r="J5" s="8" t="s">
        <v>13</v>
      </c>
      <c r="K5" s="8" t="s">
        <v>83</v>
      </c>
    </row>
    <row r="6" spans="1:11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3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84</v>
      </c>
      <c r="J7" s="2" t="s">
        <v>85</v>
      </c>
      <c r="K7" s="2" t="s">
        <v>86</v>
      </c>
    </row>
    <row r="8" spans="1:11" ht="16.149999999999999" customHeight="1" x14ac:dyDescent="0.35">
      <c r="A8" s="3" t="s">
        <v>36</v>
      </c>
      <c r="B8" s="11" t="s">
        <v>87</v>
      </c>
      <c r="C8" s="12"/>
      <c r="D8" s="12"/>
      <c r="E8" s="12"/>
      <c r="F8" s="12"/>
      <c r="G8" s="12"/>
      <c r="H8" s="12"/>
      <c r="I8" s="12"/>
      <c r="J8" s="12"/>
      <c r="K8" s="13"/>
    </row>
    <row r="9" spans="1:11" ht="16.149999999999999" customHeight="1" x14ac:dyDescent="0.35">
      <c r="A9" s="3">
        <v>1</v>
      </c>
      <c r="B9" s="11" t="s">
        <v>38</v>
      </c>
      <c r="C9" s="12"/>
      <c r="D9" s="12"/>
      <c r="E9" s="12"/>
      <c r="F9" s="12"/>
      <c r="G9" s="12"/>
      <c r="H9" s="12"/>
      <c r="I9" s="12"/>
      <c r="J9" s="12"/>
      <c r="K9" s="13"/>
    </row>
    <row r="10" spans="1:11" ht="90" customHeight="1" x14ac:dyDescent="0.35">
      <c r="A10" s="4" t="s">
        <v>39</v>
      </c>
      <c r="B10" s="5" t="s">
        <v>88</v>
      </c>
      <c r="C10" s="4" t="s">
        <v>41</v>
      </c>
      <c r="D10" s="4" t="s">
        <v>42</v>
      </c>
      <c r="E10" s="4" t="s">
        <v>89</v>
      </c>
      <c r="F10" s="4">
        <v>4</v>
      </c>
      <c r="G10" s="4" t="s">
        <v>90</v>
      </c>
      <c r="H10" s="4">
        <v>10</v>
      </c>
      <c r="I10" s="4">
        <v>150</v>
      </c>
      <c r="J10" s="4">
        <v>1.5</v>
      </c>
      <c r="K10" s="5" t="s">
        <v>91</v>
      </c>
    </row>
    <row r="11" spans="1:11" ht="62.15" customHeight="1" x14ac:dyDescent="0.35">
      <c r="A11" s="4" t="s">
        <v>45</v>
      </c>
      <c r="B11" s="5" t="s">
        <v>92</v>
      </c>
      <c r="C11" s="4" t="s">
        <v>51</v>
      </c>
      <c r="D11" s="4" t="s">
        <v>42</v>
      </c>
      <c r="E11" s="4" t="s">
        <v>93</v>
      </c>
      <c r="F11" s="4">
        <v>2</v>
      </c>
      <c r="G11" s="4" t="s">
        <v>44</v>
      </c>
      <c r="H11" s="4">
        <v>10</v>
      </c>
      <c r="I11" s="4">
        <v>120</v>
      </c>
      <c r="J11" s="4">
        <v>1.2</v>
      </c>
      <c r="K11" s="5" t="s">
        <v>94</v>
      </c>
    </row>
    <row r="12" spans="1:11" ht="48" customHeight="1" x14ac:dyDescent="0.35">
      <c r="A12" s="4" t="s">
        <v>49</v>
      </c>
      <c r="B12" s="5" t="s">
        <v>95</v>
      </c>
      <c r="C12" s="4" t="s">
        <v>51</v>
      </c>
      <c r="D12" s="4" t="s">
        <v>42</v>
      </c>
      <c r="E12" s="4" t="s">
        <v>96</v>
      </c>
      <c r="F12" s="4">
        <v>1</v>
      </c>
      <c r="G12" s="4" t="s">
        <v>44</v>
      </c>
      <c r="H12" s="4">
        <v>10</v>
      </c>
      <c r="I12" s="4">
        <v>120</v>
      </c>
      <c r="J12" s="4">
        <v>1.2</v>
      </c>
      <c r="K12" s="5" t="s">
        <v>97</v>
      </c>
    </row>
    <row r="13" spans="1:11" ht="76" customHeight="1" x14ac:dyDescent="0.35">
      <c r="A13" s="4" t="s">
        <v>52</v>
      </c>
      <c r="B13" s="5" t="s">
        <v>98</v>
      </c>
      <c r="C13" s="4" t="s">
        <v>41</v>
      </c>
      <c r="D13" s="4" t="s">
        <v>42</v>
      </c>
      <c r="E13" s="4" t="s">
        <v>99</v>
      </c>
      <c r="F13" s="4">
        <v>2</v>
      </c>
      <c r="G13" s="4" t="s">
        <v>90</v>
      </c>
      <c r="H13" s="4">
        <v>10</v>
      </c>
      <c r="I13" s="4">
        <v>150</v>
      </c>
      <c r="J13" s="4">
        <v>1.5</v>
      </c>
      <c r="K13" s="5" t="s">
        <v>100</v>
      </c>
    </row>
    <row r="14" spans="1:11" ht="16.149999999999999" customHeight="1" x14ac:dyDescent="0.35">
      <c r="A14" s="3">
        <v>2</v>
      </c>
      <c r="B14" s="11" t="s">
        <v>63</v>
      </c>
      <c r="C14" s="12"/>
      <c r="D14" s="12"/>
      <c r="E14" s="12"/>
      <c r="F14" s="12"/>
      <c r="G14" s="12"/>
      <c r="H14" s="12"/>
      <c r="I14" s="12"/>
      <c r="J14" s="12"/>
      <c r="K14" s="13"/>
    </row>
    <row r="15" spans="1:11" ht="76" customHeight="1" x14ac:dyDescent="0.35">
      <c r="A15" s="4" t="s">
        <v>64</v>
      </c>
      <c r="B15" s="5" t="s">
        <v>101</v>
      </c>
      <c r="C15" s="4" t="s">
        <v>41</v>
      </c>
      <c r="D15" s="4" t="s">
        <v>42</v>
      </c>
      <c r="E15" s="4" t="s">
        <v>102</v>
      </c>
      <c r="F15" s="4">
        <v>1</v>
      </c>
      <c r="G15" s="4" t="s">
        <v>44</v>
      </c>
      <c r="H15" s="4">
        <v>10</v>
      </c>
      <c r="I15" s="4">
        <v>120</v>
      </c>
      <c r="J15" s="4">
        <v>1.2</v>
      </c>
      <c r="K15" s="5" t="s">
        <v>97</v>
      </c>
    </row>
    <row r="16" spans="1:11" ht="16.149999999999999" customHeight="1" x14ac:dyDescent="0.35">
      <c r="A16" s="3">
        <v>3</v>
      </c>
      <c r="B16" s="11" t="s">
        <v>68</v>
      </c>
      <c r="C16" s="12"/>
      <c r="D16" s="12"/>
      <c r="E16" s="12"/>
      <c r="F16" s="12"/>
      <c r="G16" s="12"/>
      <c r="H16" s="12"/>
      <c r="I16" s="12"/>
      <c r="J16" s="12"/>
      <c r="K16" s="13"/>
    </row>
    <row r="17" spans="1:11" ht="48" customHeight="1" x14ac:dyDescent="0.35">
      <c r="A17" s="4" t="s">
        <v>103</v>
      </c>
      <c r="B17" s="5" t="s">
        <v>104</v>
      </c>
      <c r="C17" s="4" t="s">
        <v>41</v>
      </c>
      <c r="D17" s="4" t="s">
        <v>42</v>
      </c>
      <c r="E17" s="4" t="s">
        <v>105</v>
      </c>
      <c r="F17" s="4">
        <v>1</v>
      </c>
      <c r="G17" s="4" t="s">
        <v>62</v>
      </c>
      <c r="H17" s="4">
        <v>10</v>
      </c>
      <c r="I17" s="4">
        <v>200</v>
      </c>
      <c r="J17" s="4">
        <v>2</v>
      </c>
      <c r="K17" s="5" t="s">
        <v>106</v>
      </c>
    </row>
    <row r="18" spans="1:11" ht="16.149999999999999" customHeight="1" x14ac:dyDescent="0.35">
      <c r="A18" s="3">
        <v>4</v>
      </c>
      <c r="B18" s="11" t="s">
        <v>69</v>
      </c>
      <c r="C18" s="12"/>
      <c r="D18" s="12"/>
      <c r="E18" s="12"/>
      <c r="F18" s="12"/>
      <c r="G18" s="12"/>
      <c r="H18" s="12"/>
      <c r="I18" s="12"/>
      <c r="J18" s="12"/>
      <c r="K18" s="13"/>
    </row>
    <row r="19" spans="1:11" ht="48" customHeight="1" x14ac:dyDescent="0.35">
      <c r="A19" s="4" t="s">
        <v>70</v>
      </c>
      <c r="B19" s="5" t="s">
        <v>107</v>
      </c>
      <c r="C19" s="4" t="s">
        <v>41</v>
      </c>
      <c r="D19" s="4" t="s">
        <v>42</v>
      </c>
      <c r="E19" s="4" t="s">
        <v>72</v>
      </c>
      <c r="F19" s="4">
        <v>1</v>
      </c>
      <c r="G19" s="4" t="s">
        <v>48</v>
      </c>
      <c r="H19" s="4">
        <v>10</v>
      </c>
      <c r="I19" s="4">
        <v>100</v>
      </c>
      <c r="J19" s="4">
        <v>1</v>
      </c>
      <c r="K19" s="5" t="s">
        <v>97</v>
      </c>
    </row>
    <row r="20" spans="1:11" ht="16.149999999999999" customHeight="1" x14ac:dyDescent="0.35">
      <c r="A20" s="3">
        <v>5</v>
      </c>
      <c r="B20" s="11" t="s">
        <v>75</v>
      </c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62.15" customHeight="1" x14ac:dyDescent="0.35">
      <c r="A21" s="4" t="s">
        <v>108</v>
      </c>
      <c r="B21" s="5" t="s">
        <v>109</v>
      </c>
      <c r="C21" s="4" t="s">
        <v>41</v>
      </c>
      <c r="D21" s="4" t="s">
        <v>42</v>
      </c>
      <c r="E21" s="4" t="s">
        <v>110</v>
      </c>
      <c r="F21" s="4">
        <v>1</v>
      </c>
      <c r="G21" s="4" t="s">
        <v>44</v>
      </c>
      <c r="H21" s="4">
        <v>10</v>
      </c>
      <c r="I21" s="4">
        <v>120</v>
      </c>
      <c r="J21" s="4">
        <v>1.2</v>
      </c>
      <c r="K21" s="5" t="s">
        <v>97</v>
      </c>
    </row>
    <row r="22" spans="1:11" ht="16.149999999999999" customHeight="1" x14ac:dyDescent="0.35">
      <c r="A22" s="3">
        <v>6</v>
      </c>
      <c r="B22" s="11" t="s">
        <v>76</v>
      </c>
      <c r="C22" s="12"/>
      <c r="D22" s="12"/>
      <c r="E22" s="12"/>
      <c r="F22" s="12"/>
      <c r="G22" s="12"/>
      <c r="H22" s="12"/>
      <c r="I22" s="12"/>
      <c r="J22" s="12"/>
      <c r="K22" s="13"/>
    </row>
    <row r="23" spans="1:11" ht="48" customHeight="1" x14ac:dyDescent="0.35">
      <c r="A23" s="4" t="s">
        <v>111</v>
      </c>
      <c r="B23" s="5" t="s">
        <v>112</v>
      </c>
      <c r="C23" s="4" t="s">
        <v>51</v>
      </c>
      <c r="D23" s="4" t="s">
        <v>42</v>
      </c>
      <c r="E23" s="4" t="s">
        <v>113</v>
      </c>
      <c r="F23" s="4">
        <v>2</v>
      </c>
      <c r="G23" s="4" t="s">
        <v>48</v>
      </c>
      <c r="H23" s="4">
        <v>10</v>
      </c>
      <c r="I23" s="4">
        <v>100</v>
      </c>
      <c r="J23" s="4">
        <v>1</v>
      </c>
      <c r="K23" s="5" t="s">
        <v>97</v>
      </c>
    </row>
    <row r="24" spans="1:11" ht="16.149999999999999" customHeight="1" x14ac:dyDescent="0.35">
      <c r="A24" s="3" t="s">
        <v>77</v>
      </c>
      <c r="B24" s="11" t="s">
        <v>114</v>
      </c>
      <c r="C24" s="12"/>
      <c r="D24" s="12"/>
      <c r="E24" s="12"/>
      <c r="F24" s="12"/>
      <c r="G24" s="12"/>
      <c r="H24" s="12"/>
      <c r="I24" s="12"/>
      <c r="J24" s="12"/>
      <c r="K24" s="13"/>
    </row>
    <row r="26" spans="1:11" ht="79.5" customHeight="1" x14ac:dyDescent="0.35">
      <c r="A26" s="18" t="s">
        <v>115</v>
      </c>
      <c r="B26" s="7"/>
      <c r="C26" s="7"/>
      <c r="D26" s="7"/>
      <c r="E26" s="7"/>
      <c r="F26" s="7"/>
      <c r="G26" s="7"/>
      <c r="H26" s="7"/>
      <c r="I26" s="7"/>
      <c r="J26" s="7"/>
      <c r="K26" s="7"/>
    </row>
    <row r="28" spans="1:11" ht="109.5" customHeight="1" x14ac:dyDescent="0.35">
      <c r="A28" s="16" t="s">
        <v>117</v>
      </c>
      <c r="B28" s="7"/>
      <c r="C28" s="7"/>
      <c r="D28" s="7"/>
      <c r="E28" s="17" t="s">
        <v>116</v>
      </c>
      <c r="F28" s="7"/>
      <c r="G28" s="7"/>
      <c r="H28" s="7"/>
      <c r="I28" s="7"/>
      <c r="J28" s="7"/>
      <c r="K28" s="7"/>
    </row>
  </sheetData>
  <mergeCells count="27">
    <mergeCell ref="B24:K24"/>
    <mergeCell ref="A28:D28"/>
    <mergeCell ref="B16:K16"/>
    <mergeCell ref="I5:I6"/>
    <mergeCell ref="A5:A6"/>
    <mergeCell ref="G5:G6"/>
    <mergeCell ref="B22:K22"/>
    <mergeCell ref="A26:K26"/>
    <mergeCell ref="B18:K18"/>
    <mergeCell ref="B5:B6"/>
    <mergeCell ref="D5:D6"/>
    <mergeCell ref="E28:K28"/>
    <mergeCell ref="H5:H6"/>
    <mergeCell ref="B8:K8"/>
    <mergeCell ref="J5:J6"/>
    <mergeCell ref="B14:K14"/>
    <mergeCell ref="E5:E6"/>
    <mergeCell ref="B9:K9"/>
    <mergeCell ref="A1:B1"/>
    <mergeCell ref="F5:F6"/>
    <mergeCell ref="B20:K20"/>
    <mergeCell ref="A2:B2"/>
    <mergeCell ref="A3:K3"/>
    <mergeCell ref="E1:K1"/>
    <mergeCell ref="E2:K2"/>
    <mergeCell ref="K5:K6"/>
    <mergeCell ref="C5:C6"/>
  </mergeCells>
  <pageMargins left="0.3" right="0.3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 tháng 9</vt:lpstr>
      <vt:lpstr>KH tháng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phuc Nguyen</cp:lastModifiedBy>
  <dcterms:created xsi:type="dcterms:W3CDTF">2026-09-21T09:25:49Z</dcterms:created>
  <dcterms:modified xsi:type="dcterms:W3CDTF">2026-09-28T17:04:55Z</dcterms:modified>
</cp:coreProperties>
</file>