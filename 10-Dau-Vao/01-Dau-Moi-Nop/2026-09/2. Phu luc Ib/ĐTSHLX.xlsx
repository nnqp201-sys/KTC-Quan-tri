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ASUS\Downloads\BC THANG 9\"/>
    </mc:Choice>
  </mc:AlternateContent>
  <xr:revisionPtr revIDLastSave="0" documentId="13_ncr:1_{19259FDE-C132-434D-AF7E-D99C3624281B}" xr6:coauthVersionLast="47" xr6:coauthVersionMax="47" xr10:uidLastSave="{00000000-0000-0000-0000-000000000000}"/>
  <bookViews>
    <workbookView xWindow="-108" yWindow="-108" windowWidth="23256" windowHeight="12456" activeTab="1" xr2:uid="{7E04179B-AE72-433D-A0F4-54C338E82316}"/>
  </bookViews>
  <sheets>
    <sheet name="Mẫu KH Quý" sheetId="2" r:id="rId1"/>
    <sheet name="Mẫu KH tháng" sheetId="1" r:id="rId2"/>
  </sheets>
  <definedNames>
    <definedName name="_xlnm.Print_Area" localSheetId="0">'Mẫu KH Quý'!$A$1:$K$43</definedName>
    <definedName name="_xlnm.Print_Area" localSheetId="1">'Mẫu KH tháng'!$A$1:$K$52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 r="J14" i="1" s="1"/>
  <c r="I13" i="1"/>
  <c r="J13" i="1" s="1"/>
  <c r="I12" i="1"/>
  <c r="J12" i="1" s="1"/>
  <c r="I18" i="1"/>
  <c r="J18" i="1" s="1"/>
  <c r="J17" i="1"/>
  <c r="I17" i="1"/>
  <c r="I22" i="1"/>
  <c r="J22" i="1" s="1"/>
  <c r="I21" i="1"/>
  <c r="J21" i="1" s="1"/>
  <c r="I19" i="1"/>
  <c r="J19" i="1" s="1"/>
  <c r="I20" i="1"/>
  <c r="J20" i="1" s="1"/>
  <c r="I11" i="1"/>
  <c r="J11" i="1" s="1"/>
  <c r="I15" i="1"/>
  <c r="J15" i="1" s="1"/>
  <c r="I16" i="1"/>
  <c r="J16" i="1" s="1"/>
  <c r="I41" i="2" l="1"/>
  <c r="J41" i="2" s="1"/>
  <c r="I40" i="2"/>
  <c r="J40" i="2" s="1"/>
  <c r="I39" i="2"/>
  <c r="J39" i="2" s="1"/>
  <c r="I37" i="2"/>
  <c r="J37" i="2" s="1"/>
  <c r="I36" i="2"/>
  <c r="J36" i="2" s="1"/>
  <c r="I34" i="2"/>
  <c r="J34" i="2" s="1"/>
  <c r="I33" i="2"/>
  <c r="J33" i="2" s="1"/>
  <c r="I32" i="2"/>
  <c r="J32" i="2" s="1"/>
  <c r="I31" i="2"/>
  <c r="J31" i="2" s="1"/>
  <c r="I30" i="2"/>
  <c r="J30" i="2" s="1"/>
  <c r="I29" i="2"/>
  <c r="J29" i="2" s="1"/>
  <c r="I27" i="2"/>
  <c r="J27" i="2" s="1"/>
  <c r="I26" i="2"/>
  <c r="J26" i="2" s="1"/>
  <c r="I25" i="2"/>
  <c r="J25" i="2" s="1"/>
  <c r="I24" i="2"/>
  <c r="J24" i="2" s="1"/>
  <c r="I23" i="2"/>
  <c r="J23" i="2" s="1"/>
  <c r="I22" i="2"/>
  <c r="J22" i="2" s="1"/>
  <c r="I20" i="2"/>
  <c r="J20" i="2" s="1"/>
  <c r="I19" i="2"/>
  <c r="J19" i="2" s="1"/>
  <c r="I17" i="2"/>
  <c r="J17" i="2" s="1"/>
  <c r="I16" i="2"/>
  <c r="J16" i="2" s="1"/>
  <c r="I14" i="2"/>
  <c r="J14" i="2" s="1"/>
  <c r="I13" i="2"/>
  <c r="J13" i="2" s="1"/>
  <c r="I12" i="2"/>
  <c r="J12" i="2" s="1"/>
  <c r="I11" i="2"/>
  <c r="J11" i="2" s="1"/>
  <c r="I50" i="1"/>
  <c r="J50" i="1" s="1"/>
  <c r="I49" i="1"/>
  <c r="J49" i="1" s="1"/>
  <c r="I48" i="1"/>
  <c r="J48" i="1" s="1"/>
  <c r="I46" i="1"/>
  <c r="J46" i="1" s="1"/>
  <c r="I45" i="1"/>
  <c r="J45" i="1" s="1"/>
  <c r="I43" i="1"/>
  <c r="J43" i="1" s="1"/>
  <c r="I42" i="1"/>
  <c r="J42" i="1" s="1"/>
  <c r="I41" i="1"/>
  <c r="J41" i="1" s="1"/>
  <c r="I40" i="1"/>
  <c r="J40" i="1" s="1"/>
  <c r="I39" i="1"/>
  <c r="J39" i="1" s="1"/>
  <c r="I38" i="1"/>
  <c r="J38" i="1" s="1"/>
  <c r="I36" i="1"/>
  <c r="J36" i="1" s="1"/>
  <c r="I35" i="1"/>
  <c r="J35" i="1" s="1"/>
  <c r="I34" i="1"/>
  <c r="J34" i="1" s="1"/>
  <c r="I33" i="1"/>
  <c r="J33" i="1" s="1"/>
  <c r="I32" i="1"/>
  <c r="J32" i="1" s="1"/>
  <c r="I31" i="1"/>
  <c r="J31" i="1" s="1"/>
  <c r="I29" i="1"/>
  <c r="J29" i="1" s="1"/>
  <c r="I28" i="1"/>
  <c r="J28" i="1" s="1"/>
  <c r="I26" i="1"/>
  <c r="J26" i="1" s="1"/>
  <c r="I25" i="1"/>
  <c r="J25" i="1" s="1"/>
  <c r="I23" i="1"/>
  <c r="J23" i="1" s="1"/>
  <c r="I10" i="1"/>
  <c r="J10" i="1" s="1"/>
</calcChain>
</file>

<file path=xl/sharedStrings.xml><?xml version="1.0" encoding="utf-8"?>
<sst xmlns="http://schemas.openxmlformats.org/spreadsheetml/2006/main" count="339" uniqueCount="114">
  <si>
    <t>TT</t>
  </si>
  <si>
    <t>NỘI DUNG CÔNG VIỆC</t>
  </si>
  <si>
    <t>Người trực tiếp chỉ đạo</t>
  </si>
  <si>
    <t>Thời gian hoàn thành</t>
  </si>
  <si>
    <t>Ghi chú</t>
  </si>
  <si>
    <t>I</t>
  </si>
  <si>
    <t xml:space="preserve">Trục (1) - Thực hiện mục tiêu phát triển Kinh tế - xã hội và nhiệm vụ chính trị được giao </t>
  </si>
  <si>
    <t>…</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</si>
  <si>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</si>
  <si>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</si>
  <si>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</si>
  <si>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</si>
  <si>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</si>
  <si>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</si>
  <si>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Các nhiệm vụ đột xuất, phát sinh ở Quý trước phải thực hiện sang Quý sau (nếu có)</t>
  </si>
  <si>
    <t>Số lượng</t>
  </si>
  <si>
    <t>(1)</t>
  </si>
  <si>
    <t>(2)</t>
  </si>
  <si>
    <t>(3)</t>
  </si>
  <si>
    <t>(4)</t>
  </si>
  <si>
    <t>(5)</t>
  </si>
  <si>
    <t>(6)</t>
  </si>
  <si>
    <t>(7)</t>
  </si>
  <si>
    <t>(8)</t>
  </si>
  <si>
    <t>CỘNG HÒA XÃ HỘI CHỦ NGHĨA VIỆT NAM</t>
  </si>
  <si>
    <t>Độc lập - Tự do - Hạnh phúc</t>
  </si>
  <si>
    <t>1.1</t>
  </si>
  <si>
    <t>1.2</t>
  </si>
  <si>
    <t>(9)</t>
  </si>
  <si>
    <t>TRƯỜNG CAO ĐẲNG KON TUM</t>
  </si>
  <si>
    <t>ĐƠN VỊ:….......</t>
  </si>
  <si>
    <t> Các nhiệm vụ theo kế hoạch (chương trình) công tác đã đề ra từ đầu năm</t>
  </si>
  <si>
    <t>Đơn vị chủ trì</t>
  </si>
  <si>
    <t>(10)</t>
  </si>
  <si>
    <r>
      <rPr>
        <b/>
        <sz val="12"/>
        <rFont val="Times New Roman"/>
        <family val="1"/>
      </rPr>
      <t>Ghi chú:</t>
    </r>
    <r>
      <rPr>
        <sz val="12"/>
        <rFont val="Times New Roman"/>
        <family val="1"/>
      </rPr>
      <t xml:space="preserve"> Mức độ công việc, gồm 4 mức: Thấp; Trung Bình; Cao; Khó, phức tạp và mang tính đột phá 
+ Mức độ thấp: Thường xuyên, nhiệm vụ chủ yếu là thống kê 
+ Mức độ trung bình: Thường xuyên, nhưng có tính thống kê, tổng hợp cao hơn tháng, tác động lớn hơn báo cáo hằng tháng 
+ Mức độ cao: Tổng hợp, phân tích, đánh giá số liệu, không quá khó và phức tạp 
+ Mức độ khó và phức tạp: Khó, phức tạp, tác động lớn, sâu rộng trong toàn Đảng</t>
    </r>
  </si>
  <si>
    <r>
      <rPr>
        <i/>
        <sz val="14"/>
        <rFont val="Times New Roman"/>
        <family val="1"/>
        <charset val="163"/>
      </rPr>
      <t>Quảng Ngãi, ngày…..tháng……năm………..</t>
    </r>
    <r>
      <rPr>
        <sz val="14"/>
        <rFont val="Times New Roman"/>
        <family val="1"/>
      </rPr>
      <t xml:space="preserve">
</t>
    </r>
    <r>
      <rPr>
        <b/>
        <sz val="14"/>
        <rFont val="Times New Roman"/>
        <family val="1"/>
      </rPr>
      <t xml:space="preserve">LÃNH ĐẠO KHOA/PHÒNG
</t>
    </r>
  </si>
  <si>
    <r>
      <rPr>
        <b/>
        <i/>
        <sz val="12"/>
        <rFont val="Times New Roman"/>
        <family val="1"/>
        <charset val="163"/>
      </rPr>
      <t xml:space="preserve">
Nơi nhận:</t>
    </r>
    <r>
      <rPr>
        <sz val="12"/>
        <rFont val="Times New Roman"/>
        <family val="1"/>
      </rPr>
      <t xml:space="preserve">
</t>
    </r>
    <r>
      <rPr>
        <sz val="11"/>
        <rFont val="Times New Roman"/>
        <family val="1"/>
        <charset val="163"/>
      </rPr>
      <t>- …..............;
- …..............;
- …..............;
- …..............;
- Lưu: …......</t>
    </r>
  </si>
  <si>
    <t>PHT Dương Văn Anh Dũng</t>
  </si>
  <si>
    <t>Hiệu trưởng</t>
  </si>
  <si>
    <t>PHT Huỳnh Văn Chung</t>
  </si>
  <si>
    <t>PHT Nguyễn Trung Hiếu</t>
  </si>
  <si>
    <t>1.3</t>
  </si>
  <si>
    <t>Phòng  TCCB&amp;CTHSSV</t>
  </si>
  <si>
    <t>Bí thư Đảng uỷ</t>
  </si>
  <si>
    <t>Phó Bí thư Đảng uỷ</t>
  </si>
  <si>
    <t>Uỷ viên BTV</t>
  </si>
  <si>
    <t>Chủ tịch Công đoàn</t>
  </si>
  <si>
    <t>Bí thư ĐTN</t>
  </si>
  <si>
    <t>Chủ tịch HSV</t>
  </si>
  <si>
    <t>Quyết định</t>
  </si>
  <si>
    <t>Trung bình</t>
  </si>
  <si>
    <t>Cao</t>
  </si>
  <si>
    <t>Khó và phức tạp</t>
  </si>
  <si>
    <t>Phòng TH-HC&amp;QT</t>
  </si>
  <si>
    <t>Phòng QLKHCN&amp;HTPT</t>
  </si>
  <si>
    <t>Phòng QLĐT&amp;BĐCL</t>
  </si>
  <si>
    <t>1.4</t>
  </si>
  <si>
    <t>Độ khó, mới, phức tạp; phạm vi tác
động</t>
  </si>
  <si>
    <t>Các nhiệm vụ đột xuất, phát sinh khác ngoài kế hoạch, từ tháng trước chuyển sang (nếu có)</t>
  </si>
  <si>
    <t>KẾ HOẠCH 
công tác Quý … năm 20…</t>
  </si>
  <si>
    <t>Sản phẩm/ công việc</t>
  </si>
  <si>
    <t>(11)</t>
  </si>
  <si>
    <t>Điểm chấm công việc</t>
  </si>
  <si>
    <t>Hệ số quy đổi</t>
  </si>
  <si>
    <t>Thấp</t>
  </si>
  <si>
    <t> Các nhiệm vụ theo kế hoạch (chương trình) công tác đã đề ra từ đầu quý</t>
  </si>
  <si>
    <t>Phụ lục Ia
MẪU KẾ HOẠCH  CÔNG TÁC  QUÝ CỦA TRƯỜNG CAO ĐẲNG KON TUM</t>
  </si>
  <si>
    <t>Đưa vào KH Trường</t>
  </si>
  <si>
    <t>Thường xuyên của đơn vị</t>
  </si>
  <si>
    <t>Độ khó, mới, phức tạp; phạm vi tác động</t>
  </si>
  <si>
    <t>Khoa ĐT&amp;SHLX</t>
  </si>
  <si>
    <t>Quyết định, biên bản</t>
  </si>
  <si>
    <t>Quyết định, báo cáo, kế hoạch</t>
  </si>
  <si>
    <t>Báo cáo</t>
  </si>
  <si>
    <t>Kế hoạch, đào tạo</t>
  </si>
  <si>
    <t>KHOA ĐT&amp;SHLX</t>
  </si>
  <si>
    <t>1.5</t>
  </si>
  <si>
    <t>1.6</t>
  </si>
  <si>
    <t>1.7</t>
  </si>
  <si>
    <t>1.8</t>
  </si>
  <si>
    <t>1.9</t>
  </si>
  <si>
    <t>1.10</t>
  </si>
  <si>
    <t>1.11</t>
  </si>
  <si>
    <t>Dự giờ nhà giáo để hợp đồng giảng dạy thực hành lái xe ô tô</t>
  </si>
  <si>
    <t>Kế hoạch</t>
  </si>
  <si>
    <t>Tăng cường giáo dục chính trị tư tưởng cho viên chức và người học.</t>
  </si>
  <si>
    <t>Bí thư chi bộ</t>
  </si>
  <si>
    <t>Giữ gìn đoàn kết, thống nhất nội bộ</t>
  </si>
  <si>
    <t>Nâng cao hiệu quả phối hợp công tác với các phòng, khoa</t>
  </si>
  <si>
    <r>
      <rPr>
        <i/>
        <sz val="14"/>
        <rFont val="Times New Roman"/>
        <family val="1"/>
        <charset val="163"/>
      </rPr>
      <t>Quảng Ngãi, ngày…..tháng……năm………..</t>
    </r>
    <r>
      <rPr>
        <sz val="14"/>
        <rFont val="Times New Roman"/>
        <family val="1"/>
      </rPr>
      <t xml:space="preserve">
</t>
    </r>
    <r>
      <rPr>
        <b/>
        <sz val="14"/>
        <rFont val="Times New Roman"/>
        <family val="1"/>
      </rPr>
      <t xml:space="preserve">LÃNH ĐẠO KHOA
</t>
    </r>
  </si>
  <si>
    <r>
      <rPr>
        <b/>
        <i/>
        <sz val="12"/>
        <rFont val="Times New Roman"/>
        <family val="1"/>
        <charset val="163"/>
      </rPr>
      <t xml:space="preserve">
Nơi nhận:</t>
    </r>
    <r>
      <rPr>
        <sz val="12"/>
        <rFont val="Times New Roman"/>
        <family val="1"/>
      </rPr>
      <t xml:space="preserve">
</t>
    </r>
    <r>
      <rPr>
        <sz val="11"/>
        <rFont val="Times New Roman"/>
        <family val="1"/>
        <charset val="163"/>
      </rPr>
      <t>- …..............;
- …..............;
- …..............;
- …..............;
- Lưu: ĐTSHLX;</t>
    </r>
  </si>
  <si>
    <t>Phần mềm</t>
  </si>
  <si>
    <t>Tham quan học tập kinh nghiệm tổ chức đào tạo lái xe mô tô hạng A của các đơn vị trong và ngoài tỉnh</t>
  </si>
  <si>
    <t>Triển khai sử dụng phần mềm mô phỏng</t>
  </si>
  <si>
    <t>Hồ sơ mở lớp và đào tạo lớp K9N Lái xe ô tô hạng B học xe chuyển số cơ khí (số sàn), khóa 60, năm 2026;</t>
  </si>
  <si>
    <t>Hồ sơ mở lớp và đào tạo lớp K9N Lái xe ô tô hạng B học xe chuyển số cơ khí (số sàn), khóa 61, năm 2026;</t>
  </si>
  <si>
    <t xml:space="preserve"> Hồ sơ mở lớp và đào tạo lớp K9N Lái xe ô tô hạng B học xe chuyển số cơ khí (số sàn), khóa 62, năm 2026;</t>
  </si>
  <si>
    <t>Hồ sơ mở lớp và đào tạo lớp K9N Lái xe ô tô hạng B học xe chuyển số tự động (bao gồm cả xe ô tô điện), khóa 19, năm 2026;</t>
  </si>
  <si>
    <t>Hồ sơ mở lớp và đào tạo lớp K9N Lái xe ô tô hạng B học xe chuyển số tự động (bao gồm cả xe ô tô điện), khóa 20, năm 2026;</t>
  </si>
  <si>
    <t>Hồ sơ mở lớp và đào tạo lớp K9N Lái xe ô tô hạng C1, khóa 6, năm 2026;</t>
  </si>
  <si>
    <t>Hồ sơ mở lớp và đào tạo lớp K9N Lái xe ô tô hạng C1, khóa 7, năm 2026;</t>
  </si>
  <si>
    <t>Phối hợp phòng CSGT công an tỉnh Quảng Ngãi tổ chức sát hạch cấp GPLX các lớp lái xe ô tô và mô tô trong tháng 10.</t>
  </si>
  <si>
    <t>Báo cáo đề nghị sát hạch cấp GPLX tháng 10 năm 2026</t>
  </si>
  <si>
    <t xml:space="preserve"> Hồ sơ mở lớp và đào tạo Lái xe mô tô hạng A1 khóa 133,134</t>
  </si>
  <si>
    <t>Hợp đồng xe tập lái và bổ sung nhà giáo giảng dạy thực hành các lớp lái xe ô tô;</t>
  </si>
  <si>
    <t>Nghiên cứu, đề xuất xây sân sát hạch bài thực hành số 2;</t>
  </si>
  <si>
    <t>Xây dựng định mức kinh tế kỹ thuật dùng trong đào tạo và sát hạch lái xe.</t>
  </si>
  <si>
    <t>1.12</t>
  </si>
  <si>
    <t>1.13</t>
  </si>
  <si>
    <t>1.14</t>
  </si>
  <si>
    <t>KẾ HOẠCH 
công tác tháng 10 năm 2026</t>
  </si>
  <si>
    <t>Quyết định, Hợp đồng</t>
  </si>
  <si>
    <t>Xây dựng quy trình kiểm tra hoàn thành khóa đào tạo</t>
  </si>
  <si>
    <t>Quy trình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</si>
</sst>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b/>
      <sz val="12"/>
      <color rgb="FF000000"/>
      <name val="Times New Roman"/>
      <family val="1"/>
    </font>
    <font>
      <sz val="12"/>
      <color rgb="FF000000"/>
      <name val="Times New Roman"/>
      <family val="1"/>
    </font>
    <font>
      <b/>
      <sz val="12"/>
      <color theme="1"/>
      <name val="Times New Roman"/>
      <family val="1"/>
    </font>
    <font>
      <sz val="12"/>
      <color theme="1"/>
      <name val="Calibri"/>
      <family val="2"/>
      <scheme val="minor"/>
    </font>
    <font>
      <b/>
      <sz val="13"/>
      <color theme="1"/>
      <name val="Times New Roman"/>
      <family val="1"/>
    </font>
    <font>
      <sz val="11"/>
      <name val="Calibri"/>
      <family val="2"/>
      <scheme val="minor"/>
    </font>
    <font>
      <b/>
      <sz val="12"/>
      <name val="Times New Roman"/>
      <family val="1"/>
    </font>
    <font>
      <sz val="12"/>
      <name val="Times New Roman"/>
      <family val="1"/>
    </font>
    <font>
      <sz val="14"/>
      <name val="Times New Roman"/>
      <family val="1"/>
    </font>
    <font>
      <b/>
      <sz val="14"/>
      <name val="Times New Roman"/>
      <family val="1"/>
    </font>
    <font>
      <sz val="12"/>
      <name val="Times New Roman"/>
      <family val="1"/>
      <charset val="163"/>
    </font>
    <font>
      <b/>
      <i/>
      <sz val="12"/>
      <name val="Times New Roman"/>
      <family val="1"/>
      <charset val="163"/>
    </font>
    <font>
      <sz val="11"/>
      <name val="Times New Roman"/>
      <family val="1"/>
      <charset val="163"/>
    </font>
    <font>
      <sz val="12"/>
      <name val="Calibri"/>
      <family val="2"/>
      <scheme val="minor"/>
    </font>
    <font>
      <sz val="13"/>
      <color theme="1"/>
      <name val="Times New Roman"/>
      <family val="1"/>
    </font>
    <font>
      <sz val="13"/>
      <color theme="1"/>
      <name val="Calibri"/>
      <family val="2"/>
      <scheme val="minor"/>
    </font>
    <font>
      <i/>
      <sz val="14"/>
      <name val="Times New Roman"/>
      <family val="1"/>
      <charset val="163"/>
    </font>
    <font>
      <b/>
      <sz val="14"/>
      <name val="Times New Roman"/>
      <family val="1"/>
      <charset val="163"/>
    </font>
    <font>
      <sz val="12"/>
      <color rgb="FF000000"/>
      <name val="Times New Roman"/>
      <family val="1"/>
      <charset val="163"/>
    </font>
    <font>
      <b/>
      <sz val="12"/>
      <color rgb="FF000000"/>
      <name val="Times New Roman"/>
      <family val="1"/>
      <charset val="163"/>
    </font>
    <font>
      <sz val="8"/>
      <name val="Calibri"/>
      <family val="2"/>
      <scheme val="minor"/>
    </font>
  </fonts>
  <fills count="2">
    <fill>
      <patternFill patternType="none"/>
    </fill>
    <fill>
      <patternFill patternType="gray125"/>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42">
    <xf numFmtId="0" fontId="0" fillId="0" borderId="0" xfId="0"/>
    <xf numFmtId="0" fontId="4" fillId="0" borderId="2" xfId="0" applyFont="1" applyBorder="1" applyAlignment="1">
      <alignment horizontal="center" vertical="center" wrapText="1"/>
    </xf>
    <xf numFmtId="0" fontId="4" fillId="0" borderId="2" xfId="0" applyFont="1" applyBorder="1" applyAlignment="1">
      <alignment vertical="center" wrapText="1"/>
    </xf>
    <xf numFmtId="0" fontId="5" fillId="0" borderId="2" xfId="0" applyFont="1" applyBorder="1" applyAlignment="1">
      <alignment vertical="center" wrapText="1"/>
    </xf>
    <xf numFmtId="0" fontId="5" fillId="0" borderId="2" xfId="0" applyFont="1" applyBorder="1" applyAlignment="1">
      <alignment horizontal="center" vertical="center" wrapText="1"/>
    </xf>
    <xf numFmtId="0" fontId="0" fillId="0" borderId="2" xfId="0" applyBorder="1"/>
    <xf numFmtId="0" fontId="4" fillId="0" borderId="2" xfId="0" quotePrefix="1" applyFont="1" applyBorder="1" applyAlignment="1">
      <alignment horizontal="center" vertical="center" wrapText="1"/>
    </xf>
    <xf numFmtId="0" fontId="7" fillId="0" borderId="0" xfId="0" applyFont="1"/>
    <xf numFmtId="0" fontId="6" fillId="0" borderId="0" xfId="0" applyFont="1" applyAlignment="1">
      <alignment vertical="center"/>
    </xf>
    <xf numFmtId="0" fontId="4" fillId="0" borderId="2" xfId="0" applyFont="1" applyBorder="1" applyAlignment="1">
      <alignment horizontal="center" vertical="center"/>
    </xf>
    <xf numFmtId="0" fontId="9" fillId="0" borderId="0" xfId="0" applyFont="1"/>
    <xf numFmtId="0" fontId="11" fillId="0" borderId="2" xfId="0" applyFont="1" applyBorder="1" applyAlignment="1">
      <alignment horizontal="center" vertical="center" wrapText="1"/>
    </xf>
    <xf numFmtId="0" fontId="14" fillId="0" borderId="0" xfId="0" applyFont="1" applyAlignment="1">
      <alignment horizontal="left" vertical="top" wrapText="1"/>
    </xf>
    <xf numFmtId="0" fontId="17" fillId="0" borderId="0" xfId="0" applyFont="1"/>
    <xf numFmtId="0" fontId="12" fillId="0" borderId="2" xfId="0" applyFont="1" applyBorder="1" applyAlignment="1">
      <alignment horizontal="center" vertical="center" wrapText="1"/>
    </xf>
    <xf numFmtId="0" fontId="22" fillId="0" borderId="2" xfId="0" applyFont="1" applyBorder="1" applyAlignment="1">
      <alignment horizontal="center" vertical="center" wrapText="1"/>
    </xf>
    <xf numFmtId="0" fontId="0" fillId="0" borderId="0" xfId="0" applyAlignment="1">
      <alignment wrapText="1"/>
    </xf>
    <xf numFmtId="0" fontId="7" fillId="0" borderId="0" xfId="0" applyFont="1" applyAlignment="1">
      <alignment vertical="center"/>
    </xf>
    <xf numFmtId="0" fontId="23" fillId="0" borderId="2" xfId="0" applyFont="1" applyBorder="1" applyAlignment="1">
      <alignment horizontal="center" vertical="center" wrapText="1"/>
    </xf>
    <xf numFmtId="0" fontId="14" fillId="0" borderId="2" xfId="0" applyFont="1" applyBorder="1" applyAlignment="1">
      <alignment vertical="center" wrapText="1"/>
    </xf>
    <xf numFmtId="0" fontId="14" fillId="0" borderId="2"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justify" vertical="center"/>
    </xf>
    <xf numFmtId="0" fontId="4" fillId="0" borderId="2" xfId="0" applyFont="1" applyBorder="1" applyAlignment="1">
      <alignment horizontal="center" vertical="center" wrapText="1"/>
    </xf>
    <xf numFmtId="0" fontId="21" fillId="0" borderId="0" xfId="0" applyFont="1" applyAlignment="1">
      <alignment horizontal="center" vertical="top" wrapText="1"/>
    </xf>
    <xf numFmtId="0" fontId="14" fillId="0" borderId="0" xfId="0" applyFont="1" applyAlignment="1">
      <alignment horizontal="left" vertical="top" wrapText="1"/>
    </xf>
    <xf numFmtId="0" fontId="4" fillId="0" borderId="2" xfId="0" applyFont="1" applyBorder="1" applyAlignment="1">
      <alignment vertical="center" wrapText="1"/>
    </xf>
    <xf numFmtId="0" fontId="4" fillId="0" borderId="2" xfId="0" applyFont="1" applyBorder="1" applyAlignment="1">
      <alignment horizontal="left" vertical="center"/>
    </xf>
    <xf numFmtId="0" fontId="11" fillId="0" borderId="3" xfId="0" applyFont="1" applyBorder="1" applyAlignment="1">
      <alignment horizontal="left" vertical="center" wrapText="1"/>
    </xf>
    <xf numFmtId="0" fontId="4" fillId="0" borderId="2" xfId="0" applyFont="1" applyBorder="1" applyAlignment="1">
      <alignment horizontal="left" vertical="center" wrapText="1"/>
    </xf>
    <xf numFmtId="0" fontId="18" fillId="0" borderId="0" xfId="0" applyFont="1" applyAlignment="1">
      <alignment horizontal="center"/>
    </xf>
    <xf numFmtId="0" fontId="19" fillId="0" borderId="0" xfId="0" applyFont="1" applyAlignment="1">
      <alignment horizontal="center"/>
    </xf>
    <xf numFmtId="0" fontId="8" fillId="0" borderId="0" xfId="0" applyFont="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xf>
    <xf numFmtId="0" fontId="10" fillId="0" borderId="2" xfId="0" applyFont="1" applyBorder="1" applyAlignment="1">
      <alignment horizontal="center" vertical="center" wrapText="1"/>
    </xf>
    <xf numFmtId="0" fontId="8" fillId="0" borderId="0" xfId="0" applyFont="1" applyAlignment="1">
      <alignment horizontal="center" wrapText="1"/>
    </xf>
    <xf numFmtId="0" fontId="3" fillId="0" borderId="1" xfId="0" applyFont="1" applyBorder="1" applyAlignment="1">
      <alignment horizontal="left" vertical="center"/>
    </xf>
    <xf numFmtId="0" fontId="1" fillId="0" borderId="0" xfId="0" applyFont="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vertical="center"/>
    </xf>
    <xf numFmtId="0" fontId="23"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718496</xdr:colOff>
      <xdr:row>3</xdr:row>
      <xdr:rowOff>19843</xdr:rowOff>
    </xdr:from>
    <xdr:to>
      <xdr:col>1</xdr:col>
      <xdr:colOff>1516355</xdr:colOff>
      <xdr:row>3</xdr:row>
      <xdr:rowOff>19843</xdr:rowOff>
    </xdr:to>
    <xdr:cxnSp macro="">
      <xdr:nvCxnSpPr>
        <xdr:cNvPr id="2" name="Straight Connector 1">
          <a:extLst>
            <a:ext uri="{FF2B5EF4-FFF2-40B4-BE49-F238E27FC236}">
              <a16:creationId xmlns:a16="http://schemas.microsoft.com/office/drawing/2014/main" id="{CEB0D8CA-916C-4409-A1C1-D570B1E66D2D}"/>
            </a:ext>
          </a:extLst>
        </xdr:cNvPr>
        <xdr:cNvCxnSpPr/>
      </xdr:nvCxnSpPr>
      <xdr:spPr>
        <a:xfrm>
          <a:off x="1178871" y="1067593"/>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1219878</xdr:colOff>
      <xdr:row>3</xdr:row>
      <xdr:rowOff>550675</xdr:rowOff>
    </xdr:from>
    <xdr:to>
      <xdr:col>4</xdr:col>
      <xdr:colOff>582706</xdr:colOff>
      <xdr:row>3</xdr:row>
      <xdr:rowOff>550675</xdr:rowOff>
    </xdr:to>
    <xdr:cxnSp macro="">
      <xdr:nvCxnSpPr>
        <xdr:cNvPr id="4" name="Straight Connector 3">
          <a:extLst>
            <a:ext uri="{FF2B5EF4-FFF2-40B4-BE49-F238E27FC236}">
              <a16:creationId xmlns:a16="http://schemas.microsoft.com/office/drawing/2014/main" id="{E57D7403-CA38-4E4D-9E1F-AA2F94BF2F9E}"/>
            </a:ext>
          </a:extLst>
        </xdr:cNvPr>
        <xdr:cNvCxnSpPr/>
      </xdr:nvCxnSpPr>
      <xdr:spPr>
        <a:xfrm>
          <a:off x="6004790" y="1604028"/>
          <a:ext cx="87562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968514</xdr:colOff>
      <xdr:row>0</xdr:row>
      <xdr:rowOff>492297</xdr:rowOff>
    </xdr:from>
    <xdr:to>
      <xdr:col>4</xdr:col>
      <xdr:colOff>924285</xdr:colOff>
      <xdr:row>0</xdr:row>
      <xdr:rowOff>492297</xdr:rowOff>
    </xdr:to>
    <xdr:cxnSp macro="">
      <xdr:nvCxnSpPr>
        <xdr:cNvPr id="5" name="Straight Connector 4">
          <a:extLst>
            <a:ext uri="{FF2B5EF4-FFF2-40B4-BE49-F238E27FC236}">
              <a16:creationId xmlns:a16="http://schemas.microsoft.com/office/drawing/2014/main" id="{0A631D56-2E4F-427E-B1D5-28DADBCB3D53}"/>
            </a:ext>
          </a:extLst>
        </xdr:cNvPr>
        <xdr:cNvCxnSpPr/>
      </xdr:nvCxnSpPr>
      <xdr:spPr>
        <a:xfrm>
          <a:off x="5753426" y="492297"/>
          <a:ext cx="146856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188314</xdr:colOff>
      <xdr:row>3</xdr:row>
      <xdr:rowOff>22545</xdr:rowOff>
    </xdr:from>
    <xdr:to>
      <xdr:col>8</xdr:col>
      <xdr:colOff>134470</xdr:colOff>
      <xdr:row>3</xdr:row>
      <xdr:rowOff>22545</xdr:rowOff>
    </xdr:to>
    <xdr:cxnSp macro="">
      <xdr:nvCxnSpPr>
        <xdr:cNvPr id="8" name="Straight Connector 7">
          <a:extLst>
            <a:ext uri="{FF2B5EF4-FFF2-40B4-BE49-F238E27FC236}">
              <a16:creationId xmlns:a16="http://schemas.microsoft.com/office/drawing/2014/main" id="{EE8684A5-8053-4583-9815-07B69CCFCA47}"/>
            </a:ext>
          </a:extLst>
        </xdr:cNvPr>
        <xdr:cNvCxnSpPr/>
      </xdr:nvCxnSpPr>
      <xdr:spPr>
        <a:xfrm>
          <a:off x="8547902" y="1075898"/>
          <a:ext cx="209768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726901</xdr:colOff>
      <xdr:row>2</xdr:row>
      <xdr:rowOff>35718</xdr:rowOff>
    </xdr:from>
    <xdr:to>
      <xdr:col>1</xdr:col>
      <xdr:colOff>1524760</xdr:colOff>
      <xdr:row>2</xdr:row>
      <xdr:rowOff>35718</xdr:rowOff>
    </xdr:to>
    <xdr:cxnSp macro="">
      <xdr:nvCxnSpPr>
        <xdr:cNvPr id="2" name="Straight Connector 1">
          <a:extLst>
            <a:ext uri="{FF2B5EF4-FFF2-40B4-BE49-F238E27FC236}">
              <a16:creationId xmlns:a16="http://schemas.microsoft.com/office/drawing/2014/main" id="{C84106FF-030C-484D-91E0-13935D3AC82E}"/>
            </a:ext>
          </a:extLst>
        </xdr:cNvPr>
        <xdr:cNvCxnSpPr/>
      </xdr:nvCxnSpPr>
      <xdr:spPr>
        <a:xfrm>
          <a:off x="1186342" y="1167512"/>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585153</xdr:colOff>
      <xdr:row>2</xdr:row>
      <xdr:rowOff>15913</xdr:rowOff>
    </xdr:from>
    <xdr:to>
      <xdr:col>7</xdr:col>
      <xdr:colOff>508907</xdr:colOff>
      <xdr:row>2</xdr:row>
      <xdr:rowOff>15913</xdr:rowOff>
    </xdr:to>
    <xdr:cxnSp macro="">
      <xdr:nvCxnSpPr>
        <xdr:cNvPr id="3" name="Straight Connector 2">
          <a:extLst>
            <a:ext uri="{FF2B5EF4-FFF2-40B4-BE49-F238E27FC236}">
              <a16:creationId xmlns:a16="http://schemas.microsoft.com/office/drawing/2014/main" id="{8DA3F0EA-A2EA-4136-800A-FE8E509630DA}"/>
            </a:ext>
          </a:extLst>
        </xdr:cNvPr>
        <xdr:cNvCxnSpPr/>
      </xdr:nvCxnSpPr>
      <xdr:spPr>
        <a:xfrm>
          <a:off x="6800896" y="614627"/>
          <a:ext cx="182875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967339</xdr:colOff>
      <xdr:row>2</xdr:row>
      <xdr:rowOff>533376</xdr:rowOff>
    </xdr:from>
    <xdr:to>
      <xdr:col>4</xdr:col>
      <xdr:colOff>804887</xdr:colOff>
      <xdr:row>2</xdr:row>
      <xdr:rowOff>533376</xdr:rowOff>
    </xdr:to>
    <xdr:cxnSp macro="">
      <xdr:nvCxnSpPr>
        <xdr:cNvPr id="6" name="Straight Connector 5">
          <a:extLst>
            <a:ext uri="{FF2B5EF4-FFF2-40B4-BE49-F238E27FC236}">
              <a16:creationId xmlns:a16="http://schemas.microsoft.com/office/drawing/2014/main" id="{96331044-2F4B-4153-AA26-332584C736E8}"/>
            </a:ext>
          </a:extLst>
        </xdr:cNvPr>
        <xdr:cNvCxnSpPr/>
      </xdr:nvCxnSpPr>
      <xdr:spPr>
        <a:xfrm>
          <a:off x="5661803" y="1689983"/>
          <a:ext cx="106219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76068-CA37-4E10-93AC-F1FEECC29AA3}">
  <dimension ref="A1:K43"/>
  <sheetViews>
    <sheetView view="pageBreakPreview" zoomScale="85" zoomScaleNormal="70" zoomScaleSheetLayoutView="85" workbookViewId="0">
      <selection activeCell="G6" sqref="G6:G7"/>
    </sheetView>
  </sheetViews>
  <sheetFormatPr defaultRowHeight="32.4" customHeight="1" x14ac:dyDescent="0.3"/>
  <cols>
    <col min="1" max="1" width="6" customWidth="1"/>
    <col min="2" max="2" width="40.21875" customWidth="1"/>
    <col min="3" max="3" width="16.44140625" customWidth="1"/>
    <col min="4" max="4" width="19.88671875" customWidth="1"/>
    <col min="5" max="5" width="12.88671875" customWidth="1"/>
    <col min="6" max="6" width="14.109375" customWidth="1"/>
    <col min="7" max="7" width="14.6640625" customWidth="1"/>
    <col min="8" max="8" width="13.6640625" customWidth="1"/>
    <col min="9" max="9" width="10.88671875" customWidth="1"/>
    <col min="10" max="10" width="8.33203125" customWidth="1"/>
    <col min="11" max="11" width="12.21875" customWidth="1"/>
  </cols>
  <sheetData>
    <row r="1" spans="1:11" ht="42.75" customHeight="1" x14ac:dyDescent="0.3">
      <c r="A1" s="33" t="s">
        <v>66</v>
      </c>
      <c r="B1" s="38"/>
      <c r="C1" s="38"/>
      <c r="D1" s="38"/>
      <c r="E1" s="38"/>
      <c r="F1" s="38"/>
      <c r="G1" s="38"/>
      <c r="H1" s="38"/>
      <c r="I1" s="38"/>
      <c r="J1" s="38"/>
      <c r="K1" s="38"/>
    </row>
    <row r="2" spans="1:11" s="7" customFormat="1" ht="21.75" customHeight="1" x14ac:dyDescent="0.3">
      <c r="A2" s="39" t="s">
        <v>29</v>
      </c>
      <c r="B2" s="40"/>
      <c r="C2" s="17"/>
      <c r="D2" s="17"/>
      <c r="E2" s="32" t="s">
        <v>24</v>
      </c>
      <c r="F2" s="32"/>
      <c r="G2" s="32"/>
      <c r="H2" s="32"/>
      <c r="I2" s="32"/>
      <c r="J2" s="32"/>
      <c r="K2" s="32"/>
    </row>
    <row r="3" spans="1:11" s="7" customFormat="1" ht="18.75" customHeight="1" x14ac:dyDescent="0.3">
      <c r="A3" s="32" t="s">
        <v>30</v>
      </c>
      <c r="B3" s="32"/>
      <c r="C3" s="8"/>
      <c r="D3" s="17"/>
      <c r="E3" s="33" t="s">
        <v>25</v>
      </c>
      <c r="F3" s="33"/>
      <c r="G3" s="33"/>
      <c r="H3" s="33"/>
      <c r="I3" s="33"/>
      <c r="J3" s="33"/>
      <c r="K3" s="33"/>
    </row>
    <row r="4" spans="1:11" ht="44.25" customHeight="1" x14ac:dyDescent="0.3">
      <c r="A4" s="33" t="s">
        <v>59</v>
      </c>
      <c r="B4" s="34"/>
      <c r="C4" s="34"/>
      <c r="D4" s="34"/>
      <c r="E4" s="34"/>
      <c r="F4" s="34"/>
      <c r="G4" s="34"/>
      <c r="H4" s="34"/>
      <c r="I4" s="34"/>
      <c r="J4" s="34"/>
      <c r="K4" s="34"/>
    </row>
    <row r="5" spans="1:11" ht="9" customHeight="1" x14ac:dyDescent="0.3">
      <c r="A5" s="37"/>
      <c r="B5" s="37"/>
      <c r="C5" s="37"/>
      <c r="D5" s="37"/>
      <c r="E5" s="37"/>
      <c r="F5" s="37"/>
      <c r="G5" s="37"/>
      <c r="H5" s="37"/>
      <c r="I5" s="37"/>
      <c r="J5" s="37"/>
      <c r="K5" s="37"/>
    </row>
    <row r="6" spans="1:11" ht="39.75" customHeight="1" x14ac:dyDescent="0.3">
      <c r="A6" s="23" t="s">
        <v>0</v>
      </c>
      <c r="B6" s="23" t="s">
        <v>1</v>
      </c>
      <c r="C6" s="23" t="s">
        <v>2</v>
      </c>
      <c r="D6" s="23" t="s">
        <v>32</v>
      </c>
      <c r="E6" s="23" t="s">
        <v>60</v>
      </c>
      <c r="F6" s="23" t="s">
        <v>15</v>
      </c>
      <c r="G6" s="41" t="s">
        <v>69</v>
      </c>
      <c r="H6" s="35" t="s">
        <v>3</v>
      </c>
      <c r="I6" s="35" t="s">
        <v>62</v>
      </c>
      <c r="J6" s="35" t="s">
        <v>63</v>
      </c>
      <c r="K6" s="23" t="s">
        <v>4</v>
      </c>
    </row>
    <row r="7" spans="1:11" ht="21.75" customHeight="1" x14ac:dyDescent="0.3">
      <c r="A7" s="23"/>
      <c r="B7" s="23"/>
      <c r="C7" s="23"/>
      <c r="D7" s="23"/>
      <c r="E7" s="23"/>
      <c r="F7" s="23"/>
      <c r="G7" s="41"/>
      <c r="H7" s="35"/>
      <c r="I7" s="35"/>
      <c r="J7" s="35"/>
      <c r="K7" s="23"/>
    </row>
    <row r="8" spans="1:11" ht="15.6" x14ac:dyDescent="0.3">
      <c r="A8" s="6" t="s">
        <v>16</v>
      </c>
      <c r="B8" s="6" t="s">
        <v>17</v>
      </c>
      <c r="C8" s="6" t="s">
        <v>18</v>
      </c>
      <c r="D8" s="6" t="s">
        <v>19</v>
      </c>
      <c r="E8" s="6" t="s">
        <v>20</v>
      </c>
      <c r="F8" s="6" t="s">
        <v>21</v>
      </c>
      <c r="G8" s="6" t="s">
        <v>22</v>
      </c>
      <c r="H8" s="6" t="s">
        <v>23</v>
      </c>
      <c r="I8" s="6" t="s">
        <v>28</v>
      </c>
      <c r="J8" s="6" t="s">
        <v>33</v>
      </c>
      <c r="K8" s="6" t="s">
        <v>61</v>
      </c>
    </row>
    <row r="9" spans="1:11" ht="31.5" customHeight="1" x14ac:dyDescent="0.3">
      <c r="A9" s="1" t="s">
        <v>5</v>
      </c>
      <c r="B9" s="26" t="s">
        <v>31</v>
      </c>
      <c r="C9" s="26"/>
      <c r="D9" s="26"/>
      <c r="E9" s="26"/>
      <c r="F9" s="26"/>
      <c r="G9" s="26"/>
      <c r="H9" s="26"/>
      <c r="I9" s="26"/>
      <c r="J9" s="26"/>
      <c r="K9" s="26"/>
    </row>
    <row r="10" spans="1:11" ht="25.5" customHeight="1" x14ac:dyDescent="0.3">
      <c r="A10" s="9">
        <v>1</v>
      </c>
      <c r="B10" s="27" t="s">
        <v>6</v>
      </c>
      <c r="C10" s="27"/>
      <c r="D10" s="27"/>
      <c r="E10" s="27"/>
      <c r="F10" s="27"/>
      <c r="G10" s="27"/>
      <c r="H10" s="27"/>
      <c r="I10" s="27"/>
      <c r="J10" s="27"/>
      <c r="K10" s="27"/>
    </row>
    <row r="11" spans="1:11" ht="84" customHeight="1" x14ac:dyDescent="0.3">
      <c r="A11" s="1" t="s">
        <v>26</v>
      </c>
      <c r="B11" s="3" t="s">
        <v>7</v>
      </c>
      <c r="C11" s="11" t="s">
        <v>38</v>
      </c>
      <c r="D11" s="11" t="s">
        <v>42</v>
      </c>
      <c r="E11" s="4" t="s">
        <v>49</v>
      </c>
      <c r="F11" s="1"/>
      <c r="G11" s="4" t="s">
        <v>52</v>
      </c>
      <c r="H11" s="1"/>
      <c r="I11" s="1">
        <f>IF(G11="Khó và phức tạp",200,IF(G11="Cao",150,IF(G11="Trungbình",120,100)))</f>
        <v>200</v>
      </c>
      <c r="J11" s="1">
        <f>I11*0.01</f>
        <v>2</v>
      </c>
      <c r="K11" s="18" t="s">
        <v>67</v>
      </c>
    </row>
    <row r="12" spans="1:11" ht="64.5" customHeight="1" x14ac:dyDescent="0.3">
      <c r="A12" s="1" t="s">
        <v>27</v>
      </c>
      <c r="B12" s="3" t="s">
        <v>7</v>
      </c>
      <c r="C12" s="14" t="s">
        <v>40</v>
      </c>
      <c r="D12" s="14" t="s">
        <v>53</v>
      </c>
      <c r="E12" s="15" t="s">
        <v>49</v>
      </c>
      <c r="F12" s="1"/>
      <c r="G12" s="4" t="s">
        <v>51</v>
      </c>
      <c r="H12" s="1"/>
      <c r="I12" s="1">
        <f t="shared" ref="I12:I14" si="0">IF(G12="Khó và phức tạp",200,IF(G12="Cao",150,IF(G12="Trungbình",120,100)))</f>
        <v>150</v>
      </c>
      <c r="J12" s="1">
        <f t="shared" ref="J12:J14" si="1">I12*0.01</f>
        <v>1.5</v>
      </c>
      <c r="K12" s="15" t="s">
        <v>68</v>
      </c>
    </row>
    <row r="13" spans="1:11" ht="36" x14ac:dyDescent="0.3">
      <c r="A13" s="1" t="s">
        <v>41</v>
      </c>
      <c r="B13" s="3" t="s">
        <v>7</v>
      </c>
      <c r="C13" s="14" t="s">
        <v>39</v>
      </c>
      <c r="D13" s="14" t="s">
        <v>54</v>
      </c>
      <c r="E13" s="15" t="s">
        <v>49</v>
      </c>
      <c r="F13" s="1"/>
      <c r="G13" s="4" t="s">
        <v>51</v>
      </c>
      <c r="H13" s="1"/>
      <c r="I13" s="1">
        <f t="shared" si="0"/>
        <v>150</v>
      </c>
      <c r="J13" s="1">
        <f t="shared" si="1"/>
        <v>1.5</v>
      </c>
      <c r="K13" s="1"/>
    </row>
    <row r="14" spans="1:11" ht="81" customHeight="1" x14ac:dyDescent="0.3">
      <c r="A14" s="1" t="s">
        <v>56</v>
      </c>
      <c r="B14" s="3" t="s">
        <v>7</v>
      </c>
      <c r="C14" s="14" t="s">
        <v>37</v>
      </c>
      <c r="D14" s="14" t="s">
        <v>55</v>
      </c>
      <c r="E14" s="15" t="s">
        <v>49</v>
      </c>
      <c r="F14" s="1"/>
      <c r="G14" s="4" t="s">
        <v>51</v>
      </c>
      <c r="H14" s="1"/>
      <c r="I14" s="1">
        <f t="shared" si="0"/>
        <v>150</v>
      </c>
      <c r="J14" s="1">
        <f t="shared" si="1"/>
        <v>1.5</v>
      </c>
      <c r="K14" s="18" t="s">
        <v>67</v>
      </c>
    </row>
    <row r="15" spans="1:11" ht="15.6" x14ac:dyDescent="0.3">
      <c r="A15" s="9">
        <v>2</v>
      </c>
      <c r="B15" s="27" t="s">
        <v>8</v>
      </c>
      <c r="C15" s="27"/>
      <c r="D15" s="27"/>
      <c r="E15" s="27"/>
      <c r="F15" s="27"/>
      <c r="G15" s="27"/>
      <c r="H15" s="27"/>
      <c r="I15" s="27"/>
      <c r="J15" s="27"/>
      <c r="K15" s="27"/>
    </row>
    <row r="16" spans="1:11" ht="36" x14ac:dyDescent="0.3">
      <c r="A16" s="1"/>
      <c r="B16" s="3" t="s">
        <v>7</v>
      </c>
      <c r="C16" s="14" t="s">
        <v>38</v>
      </c>
      <c r="D16" s="14" t="s">
        <v>42</v>
      </c>
      <c r="E16" s="15" t="s">
        <v>49</v>
      </c>
      <c r="F16" s="1"/>
      <c r="G16" s="4" t="s">
        <v>52</v>
      </c>
      <c r="H16" s="4"/>
      <c r="I16" s="1">
        <f t="shared" ref="I16:I17" si="2">IF(G16="Khó và phức tạp",200,IF(G16="Cao",150,IF(G16="Trungbình",120,100)))</f>
        <v>200</v>
      </c>
      <c r="J16" s="1">
        <f t="shared" ref="J16:J41" si="3">I16*0.01</f>
        <v>2</v>
      </c>
      <c r="K16" s="18" t="s">
        <v>67</v>
      </c>
    </row>
    <row r="17" spans="1:11" ht="46.8" x14ac:dyDescent="0.3">
      <c r="A17" s="1"/>
      <c r="B17" s="3" t="s">
        <v>7</v>
      </c>
      <c r="C17" s="14" t="s">
        <v>38</v>
      </c>
      <c r="D17" s="14" t="s">
        <v>55</v>
      </c>
      <c r="E17" s="15" t="s">
        <v>49</v>
      </c>
      <c r="F17" s="1"/>
      <c r="G17" s="4" t="s">
        <v>52</v>
      </c>
      <c r="H17" s="3"/>
      <c r="I17" s="1">
        <f t="shared" si="2"/>
        <v>200</v>
      </c>
      <c r="J17" s="1">
        <f t="shared" si="3"/>
        <v>2</v>
      </c>
      <c r="K17" s="15" t="s">
        <v>68</v>
      </c>
    </row>
    <row r="18" spans="1:11" ht="15.6" x14ac:dyDescent="0.3">
      <c r="A18" s="9">
        <v>3</v>
      </c>
      <c r="B18" s="27" t="s">
        <v>9</v>
      </c>
      <c r="C18" s="27"/>
      <c r="D18" s="27"/>
      <c r="E18" s="27"/>
      <c r="F18" s="27"/>
      <c r="G18" s="27"/>
      <c r="H18" s="27"/>
      <c r="I18" s="27"/>
      <c r="J18" s="27"/>
      <c r="K18" s="27"/>
    </row>
    <row r="19" spans="1:11" ht="36" x14ac:dyDescent="0.3">
      <c r="A19" s="1"/>
      <c r="B19" s="3" t="s">
        <v>7</v>
      </c>
      <c r="C19" s="14" t="s">
        <v>39</v>
      </c>
      <c r="D19" s="14" t="s">
        <v>54</v>
      </c>
      <c r="E19" s="15" t="s">
        <v>49</v>
      </c>
      <c r="F19" s="1"/>
      <c r="G19" s="4" t="s">
        <v>51</v>
      </c>
      <c r="H19" s="4"/>
      <c r="I19" s="1">
        <f t="shared" ref="I19:I20" si="4">IF(G19="Khó và phức tạp",200,IF(G19="Cao",150,IF(G19="Trungbình",120,100)))</f>
        <v>150</v>
      </c>
      <c r="J19" s="1">
        <f t="shared" si="3"/>
        <v>1.5</v>
      </c>
      <c r="K19" s="18" t="s">
        <v>67</v>
      </c>
    </row>
    <row r="20" spans="1:11" ht="54" x14ac:dyDescent="0.3">
      <c r="A20" s="1"/>
      <c r="B20" s="3" t="s">
        <v>7</v>
      </c>
      <c r="C20" s="14" t="s">
        <v>37</v>
      </c>
      <c r="D20" s="2"/>
      <c r="E20" s="2"/>
      <c r="F20" s="2"/>
      <c r="G20" s="3"/>
      <c r="H20" s="3"/>
      <c r="I20" s="1">
        <f t="shared" si="4"/>
        <v>100</v>
      </c>
      <c r="J20" s="1">
        <f t="shared" si="3"/>
        <v>1</v>
      </c>
      <c r="K20" s="15" t="s">
        <v>68</v>
      </c>
    </row>
    <row r="21" spans="1:11" s="16" customFormat="1" ht="15.6" x14ac:dyDescent="0.3">
      <c r="A21" s="1">
        <v>4</v>
      </c>
      <c r="B21" s="29" t="s">
        <v>10</v>
      </c>
      <c r="C21" s="29"/>
      <c r="D21" s="29"/>
      <c r="E21" s="29"/>
      <c r="F21" s="29"/>
      <c r="G21" s="29"/>
      <c r="H21" s="29"/>
      <c r="I21" s="29"/>
      <c r="J21" s="29"/>
      <c r="K21" s="29"/>
    </row>
    <row r="22" spans="1:11" ht="36" x14ac:dyDescent="0.3">
      <c r="A22" s="1"/>
      <c r="B22" s="3" t="s">
        <v>7</v>
      </c>
      <c r="C22" s="14" t="s">
        <v>43</v>
      </c>
      <c r="D22" s="14" t="s">
        <v>42</v>
      </c>
      <c r="E22" s="15" t="s">
        <v>49</v>
      </c>
      <c r="F22" s="1"/>
      <c r="G22" s="4" t="s">
        <v>52</v>
      </c>
      <c r="H22" s="4"/>
      <c r="I22" s="1">
        <f t="shared" ref="I22:I27" si="5">IF(G22="Khó và phức tạp",200,IF(G22="Cao",150,IF(G22="Trungbình",120,100)))</f>
        <v>200</v>
      </c>
      <c r="J22" s="1">
        <f t="shared" si="3"/>
        <v>2</v>
      </c>
      <c r="K22" s="18" t="s">
        <v>67</v>
      </c>
    </row>
    <row r="23" spans="1:11" ht="46.8" x14ac:dyDescent="0.3">
      <c r="A23" s="1"/>
      <c r="B23" s="3"/>
      <c r="C23" s="14" t="s">
        <v>44</v>
      </c>
      <c r="D23" s="14"/>
      <c r="E23" s="15" t="s">
        <v>49</v>
      </c>
      <c r="F23" s="1"/>
      <c r="G23" s="4" t="s">
        <v>52</v>
      </c>
      <c r="H23" s="4"/>
      <c r="I23" s="1">
        <f t="shared" si="5"/>
        <v>200</v>
      </c>
      <c r="J23" s="1">
        <f t="shared" si="3"/>
        <v>2</v>
      </c>
      <c r="K23" s="15" t="s">
        <v>68</v>
      </c>
    </row>
    <row r="24" spans="1:11" ht="31.2" x14ac:dyDescent="0.3">
      <c r="A24" s="1"/>
      <c r="B24" s="3"/>
      <c r="C24" s="14" t="s">
        <v>45</v>
      </c>
      <c r="D24" s="14"/>
      <c r="E24" s="15" t="s">
        <v>49</v>
      </c>
      <c r="F24" s="1"/>
      <c r="G24" s="4" t="s">
        <v>52</v>
      </c>
      <c r="H24" s="4"/>
      <c r="I24" s="1">
        <f t="shared" si="5"/>
        <v>200</v>
      </c>
      <c r="J24" s="1">
        <f t="shared" si="3"/>
        <v>2</v>
      </c>
      <c r="K24" s="18" t="s">
        <v>67</v>
      </c>
    </row>
    <row r="25" spans="1:11" ht="46.8" x14ac:dyDescent="0.3">
      <c r="A25" s="1"/>
      <c r="B25" s="3"/>
      <c r="C25" s="14" t="s">
        <v>46</v>
      </c>
      <c r="D25" s="14"/>
      <c r="E25" s="15" t="s">
        <v>49</v>
      </c>
      <c r="F25" s="1"/>
      <c r="G25" s="4" t="s">
        <v>52</v>
      </c>
      <c r="H25" s="4"/>
      <c r="I25" s="1">
        <f t="shared" si="5"/>
        <v>200</v>
      </c>
      <c r="J25" s="1">
        <f t="shared" si="3"/>
        <v>2</v>
      </c>
      <c r="K25" s="15" t="s">
        <v>68</v>
      </c>
    </row>
    <row r="26" spans="1:11" ht="31.2" x14ac:dyDescent="0.3">
      <c r="A26" s="1"/>
      <c r="B26" s="3"/>
      <c r="C26" s="14" t="s">
        <v>47</v>
      </c>
      <c r="D26" s="14"/>
      <c r="E26" s="15" t="s">
        <v>49</v>
      </c>
      <c r="F26" s="1"/>
      <c r="G26" s="4" t="s">
        <v>52</v>
      </c>
      <c r="H26" s="4"/>
      <c r="I26" s="1">
        <f t="shared" si="5"/>
        <v>200</v>
      </c>
      <c r="J26" s="1">
        <f t="shared" si="3"/>
        <v>2</v>
      </c>
      <c r="K26" s="18" t="s">
        <v>67</v>
      </c>
    </row>
    <row r="27" spans="1:11" ht="46.8" x14ac:dyDescent="0.3">
      <c r="A27" s="1"/>
      <c r="B27" s="3"/>
      <c r="C27" s="14" t="s">
        <v>48</v>
      </c>
      <c r="D27" s="14"/>
      <c r="E27" s="15" t="s">
        <v>49</v>
      </c>
      <c r="F27" s="1"/>
      <c r="G27" s="4" t="s">
        <v>52</v>
      </c>
      <c r="H27" s="4"/>
      <c r="I27" s="1">
        <f t="shared" si="5"/>
        <v>200</v>
      </c>
      <c r="J27" s="1">
        <f t="shared" si="3"/>
        <v>2</v>
      </c>
      <c r="K27" s="15" t="s">
        <v>68</v>
      </c>
    </row>
    <row r="28" spans="1:11" ht="15.6" x14ac:dyDescent="0.3">
      <c r="A28" s="9">
        <v>5</v>
      </c>
      <c r="B28" s="27" t="s">
        <v>11</v>
      </c>
      <c r="C28" s="27"/>
      <c r="D28" s="27"/>
      <c r="E28" s="27"/>
      <c r="F28" s="27"/>
      <c r="G28" s="27"/>
      <c r="H28" s="27"/>
      <c r="I28" s="27"/>
      <c r="J28" s="27"/>
      <c r="K28" s="27"/>
    </row>
    <row r="29" spans="1:11" ht="36" x14ac:dyDescent="0.3">
      <c r="A29" s="1"/>
      <c r="B29" s="3" t="s">
        <v>7</v>
      </c>
      <c r="C29" s="14" t="s">
        <v>43</v>
      </c>
      <c r="D29" s="14"/>
      <c r="E29" s="15" t="s">
        <v>49</v>
      </c>
      <c r="F29" s="1"/>
      <c r="G29" s="4" t="s">
        <v>52</v>
      </c>
      <c r="H29" s="4"/>
      <c r="I29" s="1">
        <f t="shared" ref="I29:I34" si="6">IF(G29="Khó và phức tạp",200,IF(G29="Cao",150,IF(G29="Trungbình",120,100)))</f>
        <v>200</v>
      </c>
      <c r="J29" s="1">
        <f t="shared" si="3"/>
        <v>2</v>
      </c>
      <c r="K29" s="18" t="s">
        <v>67</v>
      </c>
    </row>
    <row r="30" spans="1:11" ht="46.8" x14ac:dyDescent="0.3">
      <c r="A30" s="1"/>
      <c r="B30" s="3"/>
      <c r="C30" s="14" t="s">
        <v>44</v>
      </c>
      <c r="D30" s="14"/>
      <c r="E30" s="15" t="s">
        <v>49</v>
      </c>
      <c r="F30" s="1"/>
      <c r="G30" s="4" t="s">
        <v>51</v>
      </c>
      <c r="H30" s="4"/>
      <c r="I30" s="1">
        <f t="shared" si="6"/>
        <v>150</v>
      </c>
      <c r="J30" s="1">
        <f t="shared" si="3"/>
        <v>1.5</v>
      </c>
      <c r="K30" s="15" t="s">
        <v>68</v>
      </c>
    </row>
    <row r="31" spans="1:11" ht="31.2" x14ac:dyDescent="0.3">
      <c r="A31" s="1"/>
      <c r="B31" s="3"/>
      <c r="C31" s="14" t="s">
        <v>45</v>
      </c>
      <c r="D31" s="14"/>
      <c r="E31" s="15" t="s">
        <v>49</v>
      </c>
      <c r="F31" s="1"/>
      <c r="G31" s="4" t="s">
        <v>52</v>
      </c>
      <c r="H31" s="4"/>
      <c r="I31" s="1">
        <f t="shared" si="6"/>
        <v>200</v>
      </c>
      <c r="J31" s="1">
        <f t="shared" si="3"/>
        <v>2</v>
      </c>
      <c r="K31" s="18" t="s">
        <v>67</v>
      </c>
    </row>
    <row r="32" spans="1:11" ht="46.8" x14ac:dyDescent="0.3">
      <c r="A32" s="1"/>
      <c r="B32" s="3"/>
      <c r="C32" s="14" t="s">
        <v>46</v>
      </c>
      <c r="D32" s="14"/>
      <c r="E32" s="15" t="s">
        <v>49</v>
      </c>
      <c r="F32" s="1"/>
      <c r="G32" s="4" t="s">
        <v>50</v>
      </c>
      <c r="H32" s="4"/>
      <c r="I32" s="1">
        <f t="shared" si="6"/>
        <v>100</v>
      </c>
      <c r="J32" s="1">
        <f t="shared" si="3"/>
        <v>1</v>
      </c>
      <c r="K32" s="15" t="s">
        <v>68</v>
      </c>
    </row>
    <row r="33" spans="1:11" ht="31.2" x14ac:dyDescent="0.3">
      <c r="A33" s="1"/>
      <c r="B33" s="3"/>
      <c r="C33" s="14" t="s">
        <v>47</v>
      </c>
      <c r="D33" s="14"/>
      <c r="E33" s="15" t="s">
        <v>49</v>
      </c>
      <c r="F33" s="1"/>
      <c r="G33" s="4" t="s">
        <v>51</v>
      </c>
      <c r="H33" s="4"/>
      <c r="I33" s="1">
        <f t="shared" si="6"/>
        <v>150</v>
      </c>
      <c r="J33" s="1">
        <f t="shared" si="3"/>
        <v>1.5</v>
      </c>
      <c r="K33" s="18" t="s">
        <v>67</v>
      </c>
    </row>
    <row r="34" spans="1:11" ht="46.8" x14ac:dyDescent="0.3">
      <c r="A34" s="1"/>
      <c r="B34" s="3"/>
      <c r="C34" s="14" t="s">
        <v>48</v>
      </c>
      <c r="D34" s="14"/>
      <c r="E34" s="15" t="s">
        <v>49</v>
      </c>
      <c r="F34" s="1"/>
      <c r="G34" s="4" t="s">
        <v>64</v>
      </c>
      <c r="H34" s="4"/>
      <c r="I34" s="1">
        <f t="shared" si="6"/>
        <v>100</v>
      </c>
      <c r="J34" s="1">
        <f t="shared" si="3"/>
        <v>1</v>
      </c>
      <c r="K34" s="15" t="s">
        <v>68</v>
      </c>
    </row>
    <row r="35" spans="1:11" ht="15.6" x14ac:dyDescent="0.3">
      <c r="A35" s="9">
        <v>6</v>
      </c>
      <c r="B35" s="27" t="s">
        <v>12</v>
      </c>
      <c r="C35" s="27"/>
      <c r="D35" s="27"/>
      <c r="E35" s="27"/>
      <c r="F35" s="27"/>
      <c r="G35" s="27"/>
      <c r="H35" s="27"/>
      <c r="I35" s="27"/>
      <c r="J35" s="27"/>
      <c r="K35" s="27"/>
    </row>
    <row r="36" spans="1:11" ht="36" x14ac:dyDescent="0.3">
      <c r="A36" s="5"/>
      <c r="B36" s="3" t="s">
        <v>7</v>
      </c>
      <c r="C36" s="14" t="s">
        <v>43</v>
      </c>
      <c r="D36" s="14"/>
      <c r="E36" s="15" t="s">
        <v>49</v>
      </c>
      <c r="F36" s="1"/>
      <c r="G36" s="4" t="s">
        <v>52</v>
      </c>
      <c r="H36" s="4"/>
      <c r="I36" s="1">
        <f t="shared" ref="I36:I37" si="7">IF(G36="Khó và phức tạp",200,IF(G36="Cao",150,IF(G36="Trungbình",120,100)))</f>
        <v>200</v>
      </c>
      <c r="J36" s="1">
        <f t="shared" si="3"/>
        <v>2</v>
      </c>
      <c r="K36" s="18" t="s">
        <v>67</v>
      </c>
    </row>
    <row r="37" spans="1:11" ht="46.8" x14ac:dyDescent="0.3">
      <c r="A37" s="4"/>
      <c r="B37" s="3" t="s">
        <v>7</v>
      </c>
      <c r="C37" s="14" t="s">
        <v>44</v>
      </c>
      <c r="D37" s="14"/>
      <c r="E37" s="15" t="s">
        <v>49</v>
      </c>
      <c r="F37" s="1"/>
      <c r="G37" s="4" t="s">
        <v>52</v>
      </c>
      <c r="H37" s="4"/>
      <c r="I37" s="1">
        <f t="shared" si="7"/>
        <v>200</v>
      </c>
      <c r="J37" s="1">
        <f t="shared" si="3"/>
        <v>2</v>
      </c>
      <c r="K37" s="15" t="s">
        <v>68</v>
      </c>
    </row>
    <row r="38" spans="1:11" ht="15.6" x14ac:dyDescent="0.3">
      <c r="A38" s="9" t="s">
        <v>13</v>
      </c>
      <c r="B38" s="27" t="s">
        <v>14</v>
      </c>
      <c r="C38" s="27"/>
      <c r="D38" s="27"/>
      <c r="E38" s="27"/>
      <c r="F38" s="27"/>
      <c r="G38" s="27"/>
      <c r="H38" s="27"/>
      <c r="I38" s="27"/>
      <c r="J38" s="27"/>
      <c r="K38" s="27"/>
    </row>
    <row r="39" spans="1:11" ht="31.2" x14ac:dyDescent="0.3">
      <c r="A39" s="4">
        <v>1</v>
      </c>
      <c r="B39" s="3"/>
      <c r="C39" s="14" t="s">
        <v>38</v>
      </c>
      <c r="D39" s="14"/>
      <c r="E39" s="15" t="s">
        <v>49</v>
      </c>
      <c r="F39" s="1"/>
      <c r="G39" s="4" t="s">
        <v>52</v>
      </c>
      <c r="H39" s="4"/>
      <c r="I39" s="1">
        <f t="shared" ref="I39:I41" si="8">IF(G39="Khó và phức tạp",200,IF(G39="Cao",150,IF(G39="Trungbình",120,100)))</f>
        <v>200</v>
      </c>
      <c r="J39" s="1">
        <f t="shared" si="3"/>
        <v>2</v>
      </c>
      <c r="K39" s="18" t="s">
        <v>67</v>
      </c>
    </row>
    <row r="40" spans="1:11" ht="46.8" x14ac:dyDescent="0.3">
      <c r="A40" s="4">
        <v>2</v>
      </c>
      <c r="B40" s="3"/>
      <c r="C40" s="14" t="s">
        <v>43</v>
      </c>
      <c r="D40" s="14"/>
      <c r="E40" s="15" t="s">
        <v>49</v>
      </c>
      <c r="F40" s="1"/>
      <c r="G40" s="4" t="s">
        <v>52</v>
      </c>
      <c r="H40" s="4"/>
      <c r="I40" s="1">
        <f t="shared" si="8"/>
        <v>200</v>
      </c>
      <c r="J40" s="1">
        <f t="shared" si="3"/>
        <v>2</v>
      </c>
      <c r="K40" s="15" t="s">
        <v>68</v>
      </c>
    </row>
    <row r="41" spans="1:11" ht="36" x14ac:dyDescent="0.3">
      <c r="A41" s="4" t="s">
        <v>7</v>
      </c>
      <c r="B41" s="3"/>
      <c r="C41" s="14" t="s">
        <v>44</v>
      </c>
      <c r="D41" s="14"/>
      <c r="E41" s="15" t="s">
        <v>49</v>
      </c>
      <c r="F41" s="1"/>
      <c r="G41" s="4" t="s">
        <v>52</v>
      </c>
      <c r="H41" s="4"/>
      <c r="I41" s="1">
        <f t="shared" si="8"/>
        <v>200</v>
      </c>
      <c r="J41" s="1">
        <f t="shared" si="3"/>
        <v>2</v>
      </c>
      <c r="K41" s="4"/>
    </row>
    <row r="42" spans="1:11" s="10" customFormat="1" ht="119.25" customHeight="1" x14ac:dyDescent="0.3">
      <c r="B42" s="28" t="s">
        <v>34</v>
      </c>
      <c r="C42" s="28"/>
      <c r="D42" s="28"/>
      <c r="E42" s="28"/>
      <c r="F42" s="28"/>
      <c r="G42" s="28"/>
      <c r="H42" s="28"/>
      <c r="I42" s="28"/>
      <c r="J42" s="28"/>
      <c r="K42" s="28"/>
    </row>
    <row r="43" spans="1:11" s="13" customFormat="1" ht="133.5" customHeight="1" x14ac:dyDescent="0.3">
      <c r="A43" s="25" t="s">
        <v>36</v>
      </c>
      <c r="B43" s="25"/>
      <c r="C43" s="25"/>
      <c r="D43" s="12"/>
      <c r="F43" s="24" t="s">
        <v>35</v>
      </c>
      <c r="G43" s="24"/>
      <c r="H43" s="24"/>
      <c r="I43" s="24"/>
      <c r="J43" s="24"/>
      <c r="K43" s="24"/>
    </row>
  </sheetData>
  <mergeCells count="29">
    <mergeCell ref="B28:K28"/>
    <mergeCell ref="B35:K35"/>
    <mergeCell ref="B38:K38"/>
    <mergeCell ref="B42:K42"/>
    <mergeCell ref="H6:H7"/>
    <mergeCell ref="K6:K7"/>
    <mergeCell ref="B9:K9"/>
    <mergeCell ref="B10:K10"/>
    <mergeCell ref="B15:K15"/>
    <mergeCell ref="B18:K18"/>
    <mergeCell ref="B21:K21"/>
    <mergeCell ref="I6:I7"/>
    <mergeCell ref="J6:J7"/>
    <mergeCell ref="F43:K43"/>
    <mergeCell ref="A4:K4"/>
    <mergeCell ref="A1:K1"/>
    <mergeCell ref="A2:B2"/>
    <mergeCell ref="A3:B3"/>
    <mergeCell ref="E2:K2"/>
    <mergeCell ref="E3:K3"/>
    <mergeCell ref="A5:K5"/>
    <mergeCell ref="A6:A7"/>
    <mergeCell ref="B6:B7"/>
    <mergeCell ref="C6:C7"/>
    <mergeCell ref="D6:D7"/>
    <mergeCell ref="E6:E7"/>
    <mergeCell ref="F6:F7"/>
    <mergeCell ref="G6:G7"/>
    <mergeCell ref="A43:C43"/>
  </mergeCells>
  <conditionalFormatting sqref="C11">
    <cfRule type="dataBar" priority="1">
      <dataBar>
        <cfvo type="min"/>
        <cfvo type="max"/>
        <color rgb="FF638EC6"/>
      </dataBar>
      <extLst>
        <ext xmlns:x14="http://schemas.microsoft.com/office/spreadsheetml/2009/9/main" uri="{B025F937-C7B1-47D3-B67F-A62EFF666E3E}">
          <x14:id>{33EA57D2-DC82-4815-BB20-CC1C87740564}</x14:id>
        </ext>
      </extLst>
    </cfRule>
  </conditionalFormatting>
  <conditionalFormatting sqref="C12:C14">
    <cfRule type="dataBar" priority="10">
      <dataBar>
        <cfvo type="min"/>
        <cfvo type="max"/>
        <color rgb="FF638EC6"/>
      </dataBar>
      <extLst>
        <ext xmlns:x14="http://schemas.microsoft.com/office/spreadsheetml/2009/9/main" uri="{B025F937-C7B1-47D3-B67F-A62EFF666E3E}">
          <x14:id>{721A8620-2CEA-4C07-B1CE-0DBD1FBEA668}</x14:id>
        </ext>
      </extLst>
    </cfRule>
  </conditionalFormatting>
  <conditionalFormatting sqref="C16:C17">
    <cfRule type="dataBar" priority="9">
      <dataBar>
        <cfvo type="min"/>
        <cfvo type="max"/>
        <color rgb="FF638EC6"/>
      </dataBar>
      <extLst>
        <ext xmlns:x14="http://schemas.microsoft.com/office/spreadsheetml/2009/9/main" uri="{B025F937-C7B1-47D3-B67F-A62EFF666E3E}">
          <x14:id>{A80F9E88-A997-4E0E-A1BD-B43DA6B39DBD}</x14:id>
        </ext>
      </extLst>
    </cfRule>
  </conditionalFormatting>
  <conditionalFormatting sqref="C19">
    <cfRule type="dataBar" priority="8">
      <dataBar>
        <cfvo type="min"/>
        <cfvo type="max"/>
        <color rgb="FF638EC6"/>
      </dataBar>
      <extLst>
        <ext xmlns:x14="http://schemas.microsoft.com/office/spreadsheetml/2009/9/main" uri="{B025F937-C7B1-47D3-B67F-A62EFF666E3E}">
          <x14:id>{432AA6D4-22CD-4B59-A15A-51397F58FCFF}</x14:id>
        </ext>
      </extLst>
    </cfRule>
  </conditionalFormatting>
  <conditionalFormatting sqref="C20">
    <cfRule type="dataBar" priority="7">
      <dataBar>
        <cfvo type="min"/>
        <cfvo type="max"/>
        <color rgb="FF638EC6"/>
      </dataBar>
      <extLst>
        <ext xmlns:x14="http://schemas.microsoft.com/office/spreadsheetml/2009/9/main" uri="{B025F937-C7B1-47D3-B67F-A62EFF666E3E}">
          <x14:id>{DB9E3C13-6474-4E67-AA31-263F1FB3002C}</x14:id>
        </ext>
      </extLst>
    </cfRule>
  </conditionalFormatting>
  <conditionalFormatting sqref="C22:C27">
    <cfRule type="dataBar" priority="6">
      <dataBar>
        <cfvo type="min"/>
        <cfvo type="max"/>
        <color rgb="FF638EC6"/>
      </dataBar>
      <extLst>
        <ext xmlns:x14="http://schemas.microsoft.com/office/spreadsheetml/2009/9/main" uri="{B025F937-C7B1-47D3-B67F-A62EFF666E3E}">
          <x14:id>{72361B58-5DB6-497B-9212-A45CF5B2275B}</x14:id>
        </ext>
      </extLst>
    </cfRule>
  </conditionalFormatting>
  <conditionalFormatting sqref="C29">
    <cfRule type="dataBar" priority="4">
      <dataBar>
        <cfvo type="min"/>
        <cfvo type="max"/>
        <color rgb="FF638EC6"/>
      </dataBar>
      <extLst>
        <ext xmlns:x14="http://schemas.microsoft.com/office/spreadsheetml/2009/9/main" uri="{B025F937-C7B1-47D3-B67F-A62EFF666E3E}">
          <x14:id>{A2B42AC3-4B49-47E5-A850-B30CAF4B91EB}</x14:id>
        </ext>
      </extLst>
    </cfRule>
  </conditionalFormatting>
  <conditionalFormatting sqref="C30:C34">
    <cfRule type="dataBar" priority="5">
      <dataBar>
        <cfvo type="min"/>
        <cfvo type="max"/>
        <color rgb="FF638EC6"/>
      </dataBar>
      <extLst>
        <ext xmlns:x14="http://schemas.microsoft.com/office/spreadsheetml/2009/9/main" uri="{B025F937-C7B1-47D3-B67F-A62EFF666E3E}">
          <x14:id>{D2FAAD70-CD89-4DEE-B068-39097FF9E67E}</x14:id>
        </ext>
      </extLst>
    </cfRule>
  </conditionalFormatting>
  <conditionalFormatting sqref="C36:C37">
    <cfRule type="dataBar" priority="3">
      <dataBar>
        <cfvo type="min"/>
        <cfvo type="max"/>
        <color rgb="FF638EC6"/>
      </dataBar>
      <extLst>
        <ext xmlns:x14="http://schemas.microsoft.com/office/spreadsheetml/2009/9/main" uri="{B025F937-C7B1-47D3-B67F-A62EFF666E3E}">
          <x14:id>{5552EA7E-E964-407C-8C1D-C99B7E93E5B0}</x14:id>
        </ext>
      </extLst>
    </cfRule>
  </conditionalFormatting>
  <conditionalFormatting sqref="C39:C41">
    <cfRule type="dataBar" priority="2">
      <dataBar>
        <cfvo type="min"/>
        <cfvo type="max"/>
        <color rgb="FF638EC6"/>
      </dataBar>
      <extLst>
        <ext xmlns:x14="http://schemas.microsoft.com/office/spreadsheetml/2009/9/main" uri="{B025F937-C7B1-47D3-B67F-A62EFF666E3E}">
          <x14:id>{8508ABF8-2EDE-4C74-9EBB-80FF12442F50}</x14:id>
        </ext>
      </extLst>
    </cfRule>
  </conditionalFormatting>
  <dataValidations count="5">
    <dataValidation type="list" allowBlank="1" showInputMessage="1" sqref="G16:G17 G19 G22:G27 G29:G34 G36:G37 G39:G41 G11:G14" xr:uid="{C0E74563-52B6-410E-BB90-EEACD0B5DE34}">
      <formula1>"Thấp,Trung bình,Cao,Khó và phức tạp"</formula1>
    </dataValidation>
    <dataValidation type="list" allowBlank="1" showInputMessage="1" sqref="E36:E37 E16:E17 E19 E22:E27 E11:E14 E29:E34 E39:E41" xr:uid="{948F47A4-4AD8-47AC-9414-CB0F58839D6C}">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C39:C41 C16:C17 C19:C20 C22:C27 C29:C34 C36:C37 C11:C14" xr:uid="{CF5A5EA2-85E8-42E3-A2F3-5367FCB9658B}">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D39:D41 D16:D17 D19 D22:D27 D29:D34 D36:D37 D11:D14" xr:uid="{8FADD92A-3B4B-4B3B-8A19-9CF06425FE0F}">
      <formula1>"Phòng QLĐT&amp;BĐCL, Phòng TH-HC&amp;QT, Phòng QLKHCN&amp;HTPT, Phòng TC-KT, Phòng  TCCB&amp;CTHSSV, Khoa Sư phạm, Khoa CKHCB, Khoa KT&amp;NL, Khoa Y – Dược, Khoa ĐT&amp;SHLX, Khoa KT&amp;CN"</formula1>
    </dataValidation>
    <dataValidation allowBlank="1" showInputMessage="1" sqref="H36:K37 H29:K34 H11:K14 H16:K17 H19:K20 H22:K27 H39:K41" xr:uid="{FB959061-C5B3-4098-8DE6-C19569271444}"/>
  </dataValidations>
  <printOptions horizontalCentered="1"/>
  <pageMargins left="0.31496062992126" right="0.31496062992126" top="0.39370078740157499" bottom="0.39370078740157499" header="0.31496062992126" footer="0.31496062992126"/>
  <pageSetup paperSize="9" scale="75" orientation="landscape" r:id="rId1"/>
  <drawing r:id="rId2"/>
  <extLst>
    <ext xmlns:x14="http://schemas.microsoft.com/office/spreadsheetml/2009/9/main" uri="{78C0D931-6437-407d-A8EE-F0AAD7539E65}">
      <x14:conditionalFormattings>
        <x14:conditionalFormatting xmlns:xm="http://schemas.microsoft.com/office/excel/2006/main">
          <x14:cfRule type="dataBar" id="{33EA57D2-DC82-4815-BB20-CC1C87740564}">
            <x14:dataBar minLength="0" maxLength="100" gradient="0">
              <x14:cfvo type="autoMin"/>
              <x14:cfvo type="autoMax"/>
              <x14:negativeFillColor rgb="FFFF0000"/>
              <x14:axisColor rgb="FF000000"/>
            </x14:dataBar>
          </x14:cfRule>
          <xm:sqref>C11</xm:sqref>
        </x14:conditionalFormatting>
        <x14:conditionalFormatting xmlns:xm="http://schemas.microsoft.com/office/excel/2006/main">
          <x14:cfRule type="dataBar" id="{721A8620-2CEA-4C07-B1CE-0DBD1FBEA668}">
            <x14:dataBar minLength="0" maxLength="100" gradient="0">
              <x14:cfvo type="autoMin"/>
              <x14:cfvo type="autoMax"/>
              <x14:negativeFillColor rgb="FFFF0000"/>
              <x14:axisColor rgb="FF000000"/>
            </x14:dataBar>
          </x14:cfRule>
          <xm:sqref>C12:C14</xm:sqref>
        </x14:conditionalFormatting>
        <x14:conditionalFormatting xmlns:xm="http://schemas.microsoft.com/office/excel/2006/main">
          <x14:cfRule type="dataBar" id="{A80F9E88-A997-4E0E-A1BD-B43DA6B39DBD}">
            <x14:dataBar minLength="0" maxLength="100" gradient="0">
              <x14:cfvo type="autoMin"/>
              <x14:cfvo type="autoMax"/>
              <x14:negativeFillColor rgb="FFFF0000"/>
              <x14:axisColor rgb="FF000000"/>
            </x14:dataBar>
          </x14:cfRule>
          <xm:sqref>C16:C17</xm:sqref>
        </x14:conditionalFormatting>
        <x14:conditionalFormatting xmlns:xm="http://schemas.microsoft.com/office/excel/2006/main">
          <x14:cfRule type="dataBar" id="{432AA6D4-22CD-4B59-A15A-51397F58FCFF}">
            <x14:dataBar minLength="0" maxLength="100" gradient="0">
              <x14:cfvo type="autoMin"/>
              <x14:cfvo type="autoMax"/>
              <x14:negativeFillColor rgb="FFFF0000"/>
              <x14:axisColor rgb="FF000000"/>
            </x14:dataBar>
          </x14:cfRule>
          <xm:sqref>C19</xm:sqref>
        </x14:conditionalFormatting>
        <x14:conditionalFormatting xmlns:xm="http://schemas.microsoft.com/office/excel/2006/main">
          <x14:cfRule type="dataBar" id="{DB9E3C13-6474-4E67-AA31-263F1FB3002C}">
            <x14:dataBar minLength="0" maxLength="100" gradient="0">
              <x14:cfvo type="autoMin"/>
              <x14:cfvo type="autoMax"/>
              <x14:negativeFillColor rgb="FFFF0000"/>
              <x14:axisColor rgb="FF000000"/>
            </x14:dataBar>
          </x14:cfRule>
          <xm:sqref>C20</xm:sqref>
        </x14:conditionalFormatting>
        <x14:conditionalFormatting xmlns:xm="http://schemas.microsoft.com/office/excel/2006/main">
          <x14:cfRule type="dataBar" id="{72361B58-5DB6-497B-9212-A45CF5B2275B}">
            <x14:dataBar minLength="0" maxLength="100" gradient="0">
              <x14:cfvo type="autoMin"/>
              <x14:cfvo type="autoMax"/>
              <x14:negativeFillColor rgb="FFFF0000"/>
              <x14:axisColor rgb="FF000000"/>
            </x14:dataBar>
          </x14:cfRule>
          <xm:sqref>C22:C27</xm:sqref>
        </x14:conditionalFormatting>
        <x14:conditionalFormatting xmlns:xm="http://schemas.microsoft.com/office/excel/2006/main">
          <x14:cfRule type="dataBar" id="{A2B42AC3-4B49-47E5-A850-B30CAF4B91EB}">
            <x14:dataBar minLength="0" maxLength="100" gradient="0">
              <x14:cfvo type="autoMin"/>
              <x14:cfvo type="autoMax"/>
              <x14:negativeFillColor rgb="FFFF0000"/>
              <x14:axisColor rgb="FF000000"/>
            </x14:dataBar>
          </x14:cfRule>
          <xm:sqref>C29</xm:sqref>
        </x14:conditionalFormatting>
        <x14:conditionalFormatting xmlns:xm="http://schemas.microsoft.com/office/excel/2006/main">
          <x14:cfRule type="dataBar" id="{D2FAAD70-CD89-4DEE-B068-39097FF9E67E}">
            <x14:dataBar minLength="0" maxLength="100" gradient="0">
              <x14:cfvo type="autoMin"/>
              <x14:cfvo type="autoMax"/>
              <x14:negativeFillColor rgb="FFFF0000"/>
              <x14:axisColor rgb="FF000000"/>
            </x14:dataBar>
          </x14:cfRule>
          <xm:sqref>C30:C34</xm:sqref>
        </x14:conditionalFormatting>
        <x14:conditionalFormatting xmlns:xm="http://schemas.microsoft.com/office/excel/2006/main">
          <x14:cfRule type="dataBar" id="{5552EA7E-E964-407C-8C1D-C99B7E93E5B0}">
            <x14:dataBar minLength="0" maxLength="100" gradient="0">
              <x14:cfvo type="autoMin"/>
              <x14:cfvo type="autoMax"/>
              <x14:negativeFillColor rgb="FFFF0000"/>
              <x14:axisColor rgb="FF000000"/>
            </x14:dataBar>
          </x14:cfRule>
          <xm:sqref>C36:C37</xm:sqref>
        </x14:conditionalFormatting>
        <x14:conditionalFormatting xmlns:xm="http://schemas.microsoft.com/office/excel/2006/main">
          <x14:cfRule type="dataBar" id="{8508ABF8-2EDE-4C74-9EBB-80FF12442F50}">
            <x14:dataBar minLength="0" maxLength="100" gradient="0">
              <x14:cfvo type="autoMin"/>
              <x14:cfvo type="autoMax"/>
              <x14:negativeFillColor rgb="FFFF0000"/>
              <x14:axisColor rgb="FF000000"/>
            </x14:dataBar>
          </x14:cfRule>
          <xm:sqref>C39:C41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42E2-2B61-4B4F-A642-CBE7C4BEBB84}">
  <dimension ref="A1:K52"/>
  <sheetViews>
    <sheetView tabSelected="1" topLeftCell="A52" zoomScale="85" zoomScaleNormal="85" zoomScaleSheetLayoutView="70" workbookViewId="0">
      <selection activeCell="B24" sqref="B24:K24"/>
    </sheetView>
  </sheetViews>
  <sheetFormatPr defaultRowHeight="32.4" customHeight="1" x14ac:dyDescent="0.3"/>
  <cols>
    <col min="1" max="1" width="6" customWidth="1"/>
    <col min="2" max="2" width="39.109375" customWidth="1"/>
    <col min="3" max="3" width="16.44140625" customWidth="1"/>
    <col min="4" max="4" width="16.109375" customWidth="1"/>
    <col min="5" max="5" width="12.88671875" customWidth="1"/>
    <col min="6" max="6" width="14.109375" customWidth="1"/>
    <col min="7" max="8" width="13.6640625" customWidth="1"/>
    <col min="9" max="9" width="8.21875" customWidth="1"/>
    <col min="10" max="10" width="7.109375" customWidth="1"/>
    <col min="11" max="11" width="16.21875" customWidth="1"/>
  </cols>
  <sheetData>
    <row r="1" spans="1:11" s="7" customFormat="1" ht="28.5" customHeight="1" x14ac:dyDescent="0.35">
      <c r="A1" s="30" t="s">
        <v>29</v>
      </c>
      <c r="B1" s="31"/>
      <c r="D1" s="36" t="s">
        <v>24</v>
      </c>
      <c r="E1" s="36"/>
      <c r="F1" s="36"/>
      <c r="G1" s="36"/>
      <c r="H1" s="36"/>
      <c r="I1" s="36"/>
      <c r="J1" s="36"/>
      <c r="K1" s="36"/>
    </row>
    <row r="2" spans="1:11" s="7" customFormat="1" ht="18.75" customHeight="1" x14ac:dyDescent="0.3">
      <c r="A2" s="32" t="s">
        <v>75</v>
      </c>
      <c r="B2" s="32"/>
      <c r="C2" s="8"/>
      <c r="D2" s="33" t="s">
        <v>25</v>
      </c>
      <c r="E2" s="33"/>
      <c r="F2" s="33"/>
      <c r="G2" s="33"/>
      <c r="H2" s="33"/>
      <c r="I2" s="33"/>
      <c r="J2" s="33"/>
      <c r="K2" s="33"/>
    </row>
    <row r="3" spans="1:11" ht="44.25" customHeight="1" x14ac:dyDescent="0.3">
      <c r="A3" s="33" t="s">
        <v>110</v>
      </c>
      <c r="B3" s="34"/>
      <c r="C3" s="34"/>
      <c r="D3" s="34"/>
      <c r="E3" s="34"/>
      <c r="F3" s="34"/>
      <c r="G3" s="34"/>
      <c r="H3" s="34"/>
      <c r="I3" s="34"/>
      <c r="J3" s="34"/>
      <c r="K3" s="34"/>
    </row>
    <row r="4" spans="1:11" ht="9" customHeight="1" x14ac:dyDescent="0.3">
      <c r="A4" s="37"/>
      <c r="B4" s="37"/>
      <c r="C4" s="37"/>
      <c r="D4" s="37"/>
      <c r="E4" s="37"/>
      <c r="F4" s="37"/>
      <c r="G4" s="37"/>
      <c r="H4" s="37"/>
      <c r="I4" s="37"/>
      <c r="J4" s="37"/>
      <c r="K4" s="37"/>
    </row>
    <row r="5" spans="1:11" ht="21.9" customHeight="1" x14ac:dyDescent="0.3">
      <c r="A5" s="23" t="s">
        <v>0</v>
      </c>
      <c r="B5" s="23" t="s">
        <v>1</v>
      </c>
      <c r="C5" s="23" t="s">
        <v>2</v>
      </c>
      <c r="D5" s="23" t="s">
        <v>32</v>
      </c>
      <c r="E5" s="23" t="s">
        <v>60</v>
      </c>
      <c r="F5" s="23" t="s">
        <v>15</v>
      </c>
      <c r="G5" s="23" t="s">
        <v>57</v>
      </c>
      <c r="H5" s="35" t="s">
        <v>3</v>
      </c>
      <c r="I5" s="35" t="s">
        <v>62</v>
      </c>
      <c r="J5" s="35" t="s">
        <v>63</v>
      </c>
      <c r="K5" s="35" t="s">
        <v>4</v>
      </c>
    </row>
    <row r="6" spans="1:11" ht="63.75" customHeight="1" x14ac:dyDescent="0.3">
      <c r="A6" s="23"/>
      <c r="B6" s="23"/>
      <c r="C6" s="23"/>
      <c r="D6" s="23"/>
      <c r="E6" s="23"/>
      <c r="F6" s="23"/>
      <c r="G6" s="23"/>
      <c r="H6" s="35"/>
      <c r="I6" s="35"/>
      <c r="J6" s="35"/>
      <c r="K6" s="35"/>
    </row>
    <row r="7" spans="1:11" ht="15.6" x14ac:dyDescent="0.3">
      <c r="A7" s="6" t="s">
        <v>16</v>
      </c>
      <c r="B7" s="6" t="s">
        <v>17</v>
      </c>
      <c r="C7" s="6" t="s">
        <v>18</v>
      </c>
      <c r="D7" s="6" t="s">
        <v>19</v>
      </c>
      <c r="E7" s="6" t="s">
        <v>20</v>
      </c>
      <c r="F7" s="6" t="s">
        <v>21</v>
      </c>
      <c r="G7" s="6" t="s">
        <v>22</v>
      </c>
      <c r="H7" s="6" t="s">
        <v>23</v>
      </c>
      <c r="I7" s="6" t="s">
        <v>28</v>
      </c>
      <c r="J7" s="6" t="s">
        <v>33</v>
      </c>
      <c r="K7" s="6" t="s">
        <v>33</v>
      </c>
    </row>
    <row r="8" spans="1:11" ht="31.5" customHeight="1" x14ac:dyDescent="0.3">
      <c r="A8" s="1" t="s">
        <v>5</v>
      </c>
      <c r="B8" s="26" t="s">
        <v>65</v>
      </c>
      <c r="C8" s="26"/>
      <c r="D8" s="26"/>
      <c r="E8" s="26"/>
      <c r="F8" s="26"/>
      <c r="G8" s="26"/>
      <c r="H8" s="26"/>
      <c r="I8" s="26"/>
      <c r="J8" s="26"/>
      <c r="K8" s="26"/>
    </row>
    <row r="9" spans="1:11" ht="22.5" customHeight="1" x14ac:dyDescent="0.3">
      <c r="A9" s="9">
        <v>1</v>
      </c>
      <c r="B9" s="27" t="s">
        <v>6</v>
      </c>
      <c r="C9" s="27"/>
      <c r="D9" s="27"/>
      <c r="E9" s="27"/>
      <c r="F9" s="27"/>
      <c r="G9" s="27"/>
      <c r="H9" s="27"/>
      <c r="I9" s="27"/>
      <c r="J9" s="27"/>
      <c r="K9" s="27"/>
    </row>
    <row r="10" spans="1:11" ht="74.25" customHeight="1" x14ac:dyDescent="0.3">
      <c r="A10" s="1" t="s">
        <v>26</v>
      </c>
      <c r="B10" s="22" t="s">
        <v>94</v>
      </c>
      <c r="C10" s="20" t="s">
        <v>38</v>
      </c>
      <c r="D10" s="20" t="s">
        <v>70</v>
      </c>
      <c r="E10" s="20" t="s">
        <v>71</v>
      </c>
      <c r="F10" s="20">
        <v>3</v>
      </c>
      <c r="G10" s="20" t="s">
        <v>50</v>
      </c>
      <c r="H10" s="1"/>
      <c r="I10" s="1">
        <f>IF(G10="Khó và phức tạp",200,IF(G10="Cao",150,IF(G10="Trungbình",120,100)))</f>
        <v>100</v>
      </c>
      <c r="J10" s="1">
        <f>I10*0.01</f>
        <v>1</v>
      </c>
      <c r="K10" s="4" t="s">
        <v>68</v>
      </c>
    </row>
    <row r="11" spans="1:11" ht="74.25" customHeight="1" x14ac:dyDescent="0.3">
      <c r="A11" s="1" t="s">
        <v>27</v>
      </c>
      <c r="B11" s="22" t="s">
        <v>95</v>
      </c>
      <c r="C11" s="20" t="s">
        <v>37</v>
      </c>
      <c r="D11" s="20" t="s">
        <v>70</v>
      </c>
      <c r="E11" s="20" t="s">
        <v>72</v>
      </c>
      <c r="F11" s="20">
        <v>4</v>
      </c>
      <c r="G11" s="20" t="s">
        <v>50</v>
      </c>
      <c r="H11" s="1"/>
      <c r="I11" s="1">
        <f t="shared" ref="I11:I22" si="0">IF(G11="Khó và phức tạp",200,IF(G11="Cao",150,IF(G11="Trungbình",120,100)))</f>
        <v>100</v>
      </c>
      <c r="J11" s="1">
        <f t="shared" ref="J11:J22" si="1">I11*0.01</f>
        <v>1</v>
      </c>
      <c r="K11" s="4" t="s">
        <v>68</v>
      </c>
    </row>
    <row r="12" spans="1:11" ht="74.25" customHeight="1" x14ac:dyDescent="0.3">
      <c r="A12" s="1" t="s">
        <v>41</v>
      </c>
      <c r="B12" s="22" t="s">
        <v>96</v>
      </c>
      <c r="C12" s="20" t="s">
        <v>38</v>
      </c>
      <c r="D12" s="20" t="s">
        <v>70</v>
      </c>
      <c r="E12" s="20" t="s">
        <v>71</v>
      </c>
      <c r="F12" s="20">
        <v>3</v>
      </c>
      <c r="G12" s="20" t="s">
        <v>50</v>
      </c>
      <c r="H12" s="1"/>
      <c r="I12" s="1">
        <f t="shared" ref="I12:I14" si="2">IF(G12="Khó và phức tạp",200,IF(G12="Cao",150,IF(G12="Trungbình",120,100)))</f>
        <v>100</v>
      </c>
      <c r="J12" s="1">
        <f t="shared" ref="J12:J14" si="3">I12*0.01</f>
        <v>1</v>
      </c>
      <c r="K12" s="4" t="s">
        <v>68</v>
      </c>
    </row>
    <row r="13" spans="1:11" ht="74.25" customHeight="1" x14ac:dyDescent="0.3">
      <c r="A13" s="1" t="s">
        <v>56</v>
      </c>
      <c r="B13" s="22" t="s">
        <v>97</v>
      </c>
      <c r="C13" s="20" t="s">
        <v>37</v>
      </c>
      <c r="D13" s="20" t="s">
        <v>70</v>
      </c>
      <c r="E13" s="20" t="s">
        <v>72</v>
      </c>
      <c r="F13" s="20">
        <v>4</v>
      </c>
      <c r="G13" s="20" t="s">
        <v>50</v>
      </c>
      <c r="H13" s="1"/>
      <c r="I13" s="1">
        <f t="shared" si="2"/>
        <v>100</v>
      </c>
      <c r="J13" s="1">
        <f t="shared" si="3"/>
        <v>1</v>
      </c>
      <c r="K13" s="4" t="s">
        <v>68</v>
      </c>
    </row>
    <row r="14" spans="1:11" ht="74.25" customHeight="1" x14ac:dyDescent="0.3">
      <c r="A14" s="1" t="s">
        <v>76</v>
      </c>
      <c r="B14" s="22" t="s">
        <v>98</v>
      </c>
      <c r="C14" s="20" t="s">
        <v>38</v>
      </c>
      <c r="D14" s="20" t="s">
        <v>70</v>
      </c>
      <c r="E14" s="20" t="s">
        <v>71</v>
      </c>
      <c r="F14" s="20">
        <v>3</v>
      </c>
      <c r="G14" s="20" t="s">
        <v>50</v>
      </c>
      <c r="H14" s="1"/>
      <c r="I14" s="1">
        <f t="shared" si="2"/>
        <v>100</v>
      </c>
      <c r="J14" s="1">
        <f t="shared" si="3"/>
        <v>1</v>
      </c>
      <c r="K14" s="4" t="s">
        <v>68</v>
      </c>
    </row>
    <row r="15" spans="1:11" ht="74.25" customHeight="1" x14ac:dyDescent="0.3">
      <c r="A15" s="1" t="s">
        <v>77</v>
      </c>
      <c r="B15" s="22" t="s">
        <v>99</v>
      </c>
      <c r="C15" s="20" t="s">
        <v>38</v>
      </c>
      <c r="D15" s="20" t="s">
        <v>70</v>
      </c>
      <c r="E15" s="20" t="s">
        <v>71</v>
      </c>
      <c r="F15" s="20">
        <v>3</v>
      </c>
      <c r="G15" s="20" t="s">
        <v>50</v>
      </c>
      <c r="H15" s="1"/>
      <c r="I15" s="1">
        <f t="shared" si="0"/>
        <v>100</v>
      </c>
      <c r="J15" s="1">
        <f t="shared" si="1"/>
        <v>1</v>
      </c>
      <c r="K15" s="4" t="s">
        <v>68</v>
      </c>
    </row>
    <row r="16" spans="1:11" ht="74.25" customHeight="1" x14ac:dyDescent="0.3">
      <c r="A16" s="1" t="s">
        <v>78</v>
      </c>
      <c r="B16" s="22" t="s">
        <v>100</v>
      </c>
      <c r="C16" s="20" t="s">
        <v>37</v>
      </c>
      <c r="D16" s="20" t="s">
        <v>70</v>
      </c>
      <c r="E16" s="20" t="s">
        <v>72</v>
      </c>
      <c r="F16" s="20">
        <v>4</v>
      </c>
      <c r="G16" s="20" t="s">
        <v>50</v>
      </c>
      <c r="H16" s="1"/>
      <c r="I16" s="1">
        <f t="shared" si="0"/>
        <v>100</v>
      </c>
      <c r="J16" s="1">
        <f t="shared" si="1"/>
        <v>1</v>
      </c>
      <c r="K16" s="4" t="s">
        <v>68</v>
      </c>
    </row>
    <row r="17" spans="1:11" ht="74.25" customHeight="1" x14ac:dyDescent="0.3">
      <c r="A17" s="1" t="s">
        <v>79</v>
      </c>
      <c r="B17" s="22" t="s">
        <v>102</v>
      </c>
      <c r="C17" s="20" t="s">
        <v>37</v>
      </c>
      <c r="D17" s="20" t="s">
        <v>70</v>
      </c>
      <c r="E17" s="20" t="s">
        <v>73</v>
      </c>
      <c r="F17" s="20">
        <v>3</v>
      </c>
      <c r="G17" s="20" t="s">
        <v>50</v>
      </c>
      <c r="H17" s="1"/>
      <c r="I17" s="1">
        <f t="shared" ref="I17:I18" si="4">IF(G17="Khó và phức tạp",200,IF(G17="Cao",150,IF(G17="Trungbình",120,100)))</f>
        <v>100</v>
      </c>
      <c r="J17" s="1">
        <f t="shared" ref="J17:J18" si="5">I17*0.01</f>
        <v>1</v>
      </c>
      <c r="K17" s="4" t="s">
        <v>68</v>
      </c>
    </row>
    <row r="18" spans="1:11" ht="74.25" customHeight="1" x14ac:dyDescent="0.3">
      <c r="A18" s="1" t="s">
        <v>80</v>
      </c>
      <c r="B18" s="22" t="s">
        <v>101</v>
      </c>
      <c r="C18" s="20" t="s">
        <v>37</v>
      </c>
      <c r="D18" s="20" t="s">
        <v>70</v>
      </c>
      <c r="E18" s="20" t="s">
        <v>72</v>
      </c>
      <c r="F18" s="20">
        <v>4</v>
      </c>
      <c r="G18" s="20" t="s">
        <v>50</v>
      </c>
      <c r="H18" s="1"/>
      <c r="I18" s="1">
        <f t="shared" si="4"/>
        <v>100</v>
      </c>
      <c r="J18" s="1">
        <f t="shared" si="5"/>
        <v>1</v>
      </c>
      <c r="K18" s="4" t="s">
        <v>68</v>
      </c>
    </row>
    <row r="19" spans="1:11" ht="74.25" customHeight="1" x14ac:dyDescent="0.3">
      <c r="A19" s="1" t="s">
        <v>81</v>
      </c>
      <c r="B19" s="22" t="s">
        <v>103</v>
      </c>
      <c r="C19" s="20" t="s">
        <v>38</v>
      </c>
      <c r="D19" s="20" t="s">
        <v>70</v>
      </c>
      <c r="E19" s="20" t="s">
        <v>71</v>
      </c>
      <c r="F19" s="20">
        <v>3</v>
      </c>
      <c r="G19" s="20" t="s">
        <v>50</v>
      </c>
      <c r="H19" s="1"/>
      <c r="I19" s="1">
        <f t="shared" si="0"/>
        <v>100</v>
      </c>
      <c r="J19" s="1">
        <f t="shared" si="1"/>
        <v>1</v>
      </c>
      <c r="K19" s="4" t="s">
        <v>68</v>
      </c>
    </row>
    <row r="20" spans="1:11" ht="74.25" customHeight="1" x14ac:dyDescent="0.3">
      <c r="A20" s="1" t="s">
        <v>82</v>
      </c>
      <c r="B20" s="22" t="s">
        <v>104</v>
      </c>
      <c r="C20" s="20" t="s">
        <v>38</v>
      </c>
      <c r="D20" s="20" t="s">
        <v>70</v>
      </c>
      <c r="E20" s="20" t="s">
        <v>111</v>
      </c>
      <c r="F20" s="20">
        <v>6</v>
      </c>
      <c r="G20" s="20" t="s">
        <v>50</v>
      </c>
      <c r="H20" s="1"/>
      <c r="I20" s="1">
        <f t="shared" si="0"/>
        <v>100</v>
      </c>
      <c r="J20" s="1">
        <f t="shared" si="1"/>
        <v>1</v>
      </c>
      <c r="K20" s="4" t="s">
        <v>68</v>
      </c>
    </row>
    <row r="21" spans="1:11" ht="74.25" customHeight="1" x14ac:dyDescent="0.3">
      <c r="A21" s="1" t="s">
        <v>107</v>
      </c>
      <c r="B21" s="22" t="s">
        <v>105</v>
      </c>
      <c r="C21" s="20" t="s">
        <v>37</v>
      </c>
      <c r="D21" s="20" t="s">
        <v>70</v>
      </c>
      <c r="E21" s="20" t="s">
        <v>73</v>
      </c>
      <c r="F21" s="20">
        <v>1</v>
      </c>
      <c r="G21" s="20" t="s">
        <v>51</v>
      </c>
      <c r="H21" s="1"/>
      <c r="I21" s="1">
        <f t="shared" si="0"/>
        <v>150</v>
      </c>
      <c r="J21" s="1">
        <f t="shared" si="1"/>
        <v>1.5</v>
      </c>
      <c r="K21" s="4" t="s">
        <v>68</v>
      </c>
    </row>
    <row r="22" spans="1:11" ht="74.25" customHeight="1" x14ac:dyDescent="0.3">
      <c r="A22" s="1" t="s">
        <v>108</v>
      </c>
      <c r="B22" s="22" t="s">
        <v>106</v>
      </c>
      <c r="C22" s="20" t="s">
        <v>38</v>
      </c>
      <c r="D22" s="20" t="s">
        <v>70</v>
      </c>
      <c r="E22" s="20" t="s">
        <v>74</v>
      </c>
      <c r="F22" s="20">
        <v>6</v>
      </c>
      <c r="G22" s="20" t="s">
        <v>50</v>
      </c>
      <c r="H22" s="1"/>
      <c r="I22" s="1">
        <f t="shared" si="0"/>
        <v>100</v>
      </c>
      <c r="J22" s="1">
        <f t="shared" si="1"/>
        <v>1</v>
      </c>
      <c r="K22" s="4" t="s">
        <v>68</v>
      </c>
    </row>
    <row r="23" spans="1:11" ht="31.2" x14ac:dyDescent="0.3">
      <c r="A23" s="1" t="s">
        <v>109</v>
      </c>
      <c r="B23" s="3" t="s">
        <v>112</v>
      </c>
      <c r="C23" s="11" t="s">
        <v>37</v>
      </c>
      <c r="D23" s="20" t="s">
        <v>70</v>
      </c>
      <c r="E23" s="4" t="s">
        <v>113</v>
      </c>
      <c r="F23" s="1">
        <v>1</v>
      </c>
      <c r="G23" s="4" t="s">
        <v>51</v>
      </c>
      <c r="H23" s="1"/>
      <c r="I23" s="1">
        <f t="shared" ref="I23" si="6">IF(G23="Khó và phức tạp",200,IF(G23="Cao",150,IF(G23="Trungbình",120,100)))</f>
        <v>150</v>
      </c>
      <c r="J23" s="1">
        <f t="shared" ref="J23" si="7">I23*0.01</f>
        <v>1.5</v>
      </c>
      <c r="K23" s="18"/>
    </row>
    <row r="24" spans="1:11" ht="22.5" customHeight="1" x14ac:dyDescent="0.3">
      <c r="A24" s="9">
        <v>2</v>
      </c>
      <c r="B24" s="27" t="s">
        <v>8</v>
      </c>
      <c r="C24" s="27"/>
      <c r="D24" s="27"/>
      <c r="E24" s="27"/>
      <c r="F24" s="27"/>
      <c r="G24" s="27"/>
      <c r="H24" s="27"/>
      <c r="I24" s="27"/>
      <c r="J24" s="27"/>
      <c r="K24" s="27"/>
    </row>
    <row r="25" spans="1:11" ht="31.2" x14ac:dyDescent="0.3">
      <c r="A25" s="1"/>
      <c r="B25" s="21" t="s">
        <v>83</v>
      </c>
      <c r="C25" s="20" t="s">
        <v>37</v>
      </c>
      <c r="D25" s="20" t="s">
        <v>70</v>
      </c>
      <c r="E25" s="20" t="s">
        <v>84</v>
      </c>
      <c r="F25" s="20">
        <v>1</v>
      </c>
      <c r="G25" s="4" t="s">
        <v>50</v>
      </c>
      <c r="H25" s="4"/>
      <c r="I25" s="1">
        <f>IF(G25="Khó và phức tạp",200,IF(G25="Cao",150,IF(G25="Trungbình",120,100)))</f>
        <v>100</v>
      </c>
      <c r="J25" s="1">
        <f>I25*0.01</f>
        <v>1</v>
      </c>
      <c r="K25" s="15" t="s">
        <v>68</v>
      </c>
    </row>
    <row r="26" spans="1:11" ht="15.6" x14ac:dyDescent="0.3">
      <c r="A26" s="1"/>
      <c r="B26" s="3" t="s">
        <v>7</v>
      </c>
      <c r="C26" s="2"/>
      <c r="D26" s="2"/>
      <c r="E26" s="2"/>
      <c r="F26" s="2"/>
      <c r="G26" s="3"/>
      <c r="H26" s="3"/>
      <c r="I26" s="1">
        <f>IF(G26="Khó và phức tạp",200,IF(G26="Cao",150,IF(G26="Trungbình",120,100)))</f>
        <v>100</v>
      </c>
      <c r="J26" s="1">
        <f>I26*0.01</f>
        <v>1</v>
      </c>
      <c r="K26" s="15"/>
    </row>
    <row r="27" spans="1:11" ht="22.5" customHeight="1" x14ac:dyDescent="0.3">
      <c r="A27" s="9">
        <v>3</v>
      </c>
      <c r="B27" s="27" t="s">
        <v>9</v>
      </c>
      <c r="C27" s="27"/>
      <c r="D27" s="27"/>
      <c r="E27" s="27"/>
      <c r="F27" s="27"/>
      <c r="G27" s="27"/>
      <c r="H27" s="27"/>
      <c r="I27" s="27"/>
      <c r="J27" s="27"/>
      <c r="K27" s="27"/>
    </row>
    <row r="28" spans="1:11" ht="31.2" x14ac:dyDescent="0.3">
      <c r="A28" s="1"/>
      <c r="B28" s="3" t="s">
        <v>93</v>
      </c>
      <c r="C28" s="11" t="s">
        <v>38</v>
      </c>
      <c r="D28" s="11" t="s">
        <v>70</v>
      </c>
      <c r="E28" s="4" t="s">
        <v>91</v>
      </c>
      <c r="F28" s="1">
        <v>1</v>
      </c>
      <c r="G28" s="4" t="s">
        <v>52</v>
      </c>
      <c r="H28" s="4"/>
      <c r="I28" s="1">
        <f>IF(G28="Khó và phức tạp",200,IF(G28="Cao",150,IF(G28="Trungbình",120,100)))</f>
        <v>200</v>
      </c>
      <c r="J28" s="1">
        <f>I28*0.01</f>
        <v>2</v>
      </c>
      <c r="K28" s="18"/>
    </row>
    <row r="29" spans="1:11" ht="15.6" x14ac:dyDescent="0.3">
      <c r="A29" s="1"/>
      <c r="B29" s="3" t="s">
        <v>7</v>
      </c>
      <c r="C29" s="11"/>
      <c r="D29" s="11"/>
      <c r="E29" s="4"/>
      <c r="F29" s="1"/>
      <c r="G29" s="4"/>
      <c r="H29" s="3"/>
      <c r="I29" s="1">
        <f>IF(G29="Khó và phức tạp",200,IF(G29="Cao",150,IF(G29="Trungbình",120,100)))</f>
        <v>100</v>
      </c>
      <c r="J29" s="1">
        <f>I29*0.01</f>
        <v>1</v>
      </c>
      <c r="K29" s="15"/>
    </row>
    <row r="30" spans="1:11" ht="46.5" customHeight="1" x14ac:dyDescent="0.3">
      <c r="A30" s="9">
        <v>4</v>
      </c>
      <c r="B30" s="29" t="s">
        <v>10</v>
      </c>
      <c r="C30" s="29"/>
      <c r="D30" s="29"/>
      <c r="E30" s="29"/>
      <c r="F30" s="29"/>
      <c r="G30" s="29"/>
      <c r="H30" s="29"/>
      <c r="I30" s="29"/>
      <c r="J30" s="29"/>
      <c r="K30" s="29"/>
    </row>
    <row r="31" spans="1:11" ht="31.2" x14ac:dyDescent="0.3">
      <c r="A31" s="1"/>
      <c r="B31" s="3" t="s">
        <v>87</v>
      </c>
      <c r="C31" s="11" t="s">
        <v>86</v>
      </c>
      <c r="D31" s="11" t="s">
        <v>70</v>
      </c>
      <c r="E31" s="4"/>
      <c r="F31" s="1"/>
      <c r="G31" s="4" t="s">
        <v>52</v>
      </c>
      <c r="H31" s="4"/>
      <c r="I31" s="1">
        <f>IF(G31="Khó và phức tạp",200,IF(G31="Cao",150,IF(G31="Trungbình",120,100)))</f>
        <v>200</v>
      </c>
      <c r="J31" s="1">
        <f>I31*0.01</f>
        <v>2</v>
      </c>
      <c r="K31" s="15" t="s">
        <v>68</v>
      </c>
    </row>
    <row r="32" spans="1:11" ht="15.6" x14ac:dyDescent="0.3">
      <c r="A32" s="4"/>
      <c r="B32" s="3" t="s">
        <v>7</v>
      </c>
      <c r="C32" s="11"/>
      <c r="D32" s="11"/>
      <c r="E32" s="4"/>
      <c r="F32" s="1"/>
      <c r="G32" s="4"/>
      <c r="H32" s="4"/>
      <c r="I32" s="1">
        <f t="shared" ref="I32:I36" si="8">IF(G32="Khó và phức tạp",200,IF(G32="Cao",150,IF(G32="Trungbình",120,100)))</f>
        <v>100</v>
      </c>
      <c r="J32" s="1">
        <f t="shared" ref="J32:J50" si="9">I32*0.01</f>
        <v>1</v>
      </c>
      <c r="K32" s="15"/>
    </row>
    <row r="33" spans="1:11" ht="15.6" x14ac:dyDescent="0.3">
      <c r="A33" s="4"/>
      <c r="B33" s="3" t="s">
        <v>7</v>
      </c>
      <c r="C33" s="11"/>
      <c r="D33" s="11"/>
      <c r="E33" s="4"/>
      <c r="F33" s="1"/>
      <c r="G33" s="4"/>
      <c r="H33" s="4"/>
      <c r="I33" s="1">
        <f t="shared" si="8"/>
        <v>100</v>
      </c>
      <c r="J33" s="1">
        <f t="shared" si="9"/>
        <v>1</v>
      </c>
      <c r="K33" s="18"/>
    </row>
    <row r="34" spans="1:11" ht="15.6" x14ac:dyDescent="0.3">
      <c r="A34" s="4"/>
      <c r="B34" s="3" t="s">
        <v>7</v>
      </c>
      <c r="C34" s="11"/>
      <c r="D34" s="11"/>
      <c r="E34" s="4"/>
      <c r="F34" s="1"/>
      <c r="G34" s="4"/>
      <c r="H34" s="4"/>
      <c r="I34" s="1">
        <f t="shared" si="8"/>
        <v>100</v>
      </c>
      <c r="J34" s="1">
        <f t="shared" si="9"/>
        <v>1</v>
      </c>
      <c r="K34" s="15"/>
    </row>
    <row r="35" spans="1:11" ht="15.6" x14ac:dyDescent="0.3">
      <c r="A35" s="4"/>
      <c r="B35" s="3" t="s">
        <v>7</v>
      </c>
      <c r="C35" s="11"/>
      <c r="D35" s="11"/>
      <c r="E35" s="4"/>
      <c r="F35" s="1"/>
      <c r="G35" s="4"/>
      <c r="H35" s="4"/>
      <c r="I35" s="1">
        <f t="shared" si="8"/>
        <v>100</v>
      </c>
      <c r="J35" s="1">
        <f t="shared" si="9"/>
        <v>1</v>
      </c>
      <c r="K35" s="18"/>
    </row>
    <row r="36" spans="1:11" ht="15.6" x14ac:dyDescent="0.3">
      <c r="A36" s="4"/>
      <c r="B36" s="3" t="s">
        <v>7</v>
      </c>
      <c r="C36" s="11"/>
      <c r="D36" s="11"/>
      <c r="E36" s="4"/>
      <c r="F36" s="1"/>
      <c r="G36" s="4"/>
      <c r="H36" s="4"/>
      <c r="I36" s="1">
        <f t="shared" si="8"/>
        <v>100</v>
      </c>
      <c r="J36" s="1">
        <f t="shared" si="9"/>
        <v>1</v>
      </c>
      <c r="K36" s="15"/>
    </row>
    <row r="37" spans="1:11" ht="22.5" customHeight="1" x14ac:dyDescent="0.3">
      <c r="A37" s="9">
        <v>5</v>
      </c>
      <c r="B37" s="27" t="s">
        <v>11</v>
      </c>
      <c r="C37" s="27"/>
      <c r="D37" s="27"/>
      <c r="E37" s="27"/>
      <c r="F37" s="27"/>
      <c r="G37" s="27"/>
      <c r="H37" s="27"/>
      <c r="I37" s="27"/>
      <c r="J37" s="27"/>
      <c r="K37" s="27"/>
    </row>
    <row r="38" spans="1:11" ht="31.2" x14ac:dyDescent="0.3">
      <c r="A38" s="1"/>
      <c r="B38" s="19" t="s">
        <v>85</v>
      </c>
      <c r="C38" s="20" t="s">
        <v>38</v>
      </c>
      <c r="D38" s="20" t="s">
        <v>70</v>
      </c>
      <c r="E38" s="20"/>
      <c r="F38" s="20">
        <v>1</v>
      </c>
      <c r="G38" s="20" t="s">
        <v>64</v>
      </c>
      <c r="H38" s="4"/>
      <c r="I38" s="1">
        <f t="shared" ref="I38:I43" si="10">IF(G38="Khó và phức tạp",200,IF(G38="Cao",150,IF(G38="Trungbình",120,100)))</f>
        <v>100</v>
      </c>
      <c r="J38" s="1">
        <f t="shared" si="9"/>
        <v>1</v>
      </c>
      <c r="K38" s="15" t="s">
        <v>68</v>
      </c>
    </row>
    <row r="39" spans="1:11" ht="15.6" x14ac:dyDescent="0.3">
      <c r="A39" s="4"/>
      <c r="B39" s="3" t="s">
        <v>7</v>
      </c>
      <c r="C39" s="11"/>
      <c r="D39" s="11"/>
      <c r="E39" s="4"/>
      <c r="F39" s="1"/>
      <c r="G39" s="4"/>
      <c r="H39" s="4"/>
      <c r="I39" s="1">
        <f t="shared" si="10"/>
        <v>100</v>
      </c>
      <c r="J39" s="1">
        <f t="shared" si="9"/>
        <v>1</v>
      </c>
      <c r="K39" s="15"/>
    </row>
    <row r="40" spans="1:11" ht="15.6" x14ac:dyDescent="0.3">
      <c r="A40" s="4"/>
      <c r="B40" s="3" t="s">
        <v>7</v>
      </c>
      <c r="C40" s="11"/>
      <c r="D40" s="11"/>
      <c r="E40" s="4"/>
      <c r="F40" s="1"/>
      <c r="G40" s="4"/>
      <c r="H40" s="4"/>
      <c r="I40" s="1">
        <f t="shared" si="10"/>
        <v>100</v>
      </c>
      <c r="J40" s="1">
        <f t="shared" si="9"/>
        <v>1</v>
      </c>
      <c r="K40" s="18"/>
    </row>
    <row r="41" spans="1:11" ht="15.6" x14ac:dyDescent="0.3">
      <c r="A41" s="4"/>
      <c r="B41" s="3" t="s">
        <v>7</v>
      </c>
      <c r="C41" s="11"/>
      <c r="D41" s="11"/>
      <c r="E41" s="4"/>
      <c r="F41" s="1"/>
      <c r="G41" s="4"/>
      <c r="H41" s="4"/>
      <c r="I41" s="1">
        <f t="shared" si="10"/>
        <v>100</v>
      </c>
      <c r="J41" s="1">
        <f t="shared" si="9"/>
        <v>1</v>
      </c>
      <c r="K41" s="15"/>
    </row>
    <row r="42" spans="1:11" ht="15.6" x14ac:dyDescent="0.3">
      <c r="A42" s="4"/>
      <c r="B42" s="3" t="s">
        <v>7</v>
      </c>
      <c r="C42" s="11"/>
      <c r="D42" s="11"/>
      <c r="E42" s="4"/>
      <c r="F42" s="1"/>
      <c r="G42" s="4"/>
      <c r="H42" s="4"/>
      <c r="I42" s="1">
        <f t="shared" si="10"/>
        <v>100</v>
      </c>
      <c r="J42" s="1">
        <f t="shared" si="9"/>
        <v>1</v>
      </c>
      <c r="K42" s="18"/>
    </row>
    <row r="43" spans="1:11" ht="15.6" x14ac:dyDescent="0.3">
      <c r="A43" s="4"/>
      <c r="B43" s="3" t="s">
        <v>7</v>
      </c>
      <c r="C43" s="11"/>
      <c r="D43" s="11"/>
      <c r="E43" s="4"/>
      <c r="F43" s="1"/>
      <c r="G43" s="4"/>
      <c r="H43" s="4"/>
      <c r="I43" s="1">
        <f t="shared" si="10"/>
        <v>100</v>
      </c>
      <c r="J43" s="1">
        <f t="shared" si="9"/>
        <v>1</v>
      </c>
      <c r="K43" s="15"/>
    </row>
    <row r="44" spans="1:11" ht="22.5" customHeight="1" x14ac:dyDescent="0.3">
      <c r="A44" s="9">
        <v>6</v>
      </c>
      <c r="B44" s="27" t="s">
        <v>12</v>
      </c>
      <c r="C44" s="27"/>
      <c r="D44" s="27"/>
      <c r="E44" s="27"/>
      <c r="F44" s="27"/>
      <c r="G44" s="27"/>
      <c r="H44" s="27"/>
      <c r="I44" s="27"/>
      <c r="J44" s="27"/>
      <c r="K44" s="27"/>
    </row>
    <row r="45" spans="1:11" ht="31.2" x14ac:dyDescent="0.3">
      <c r="A45" s="1"/>
      <c r="B45" s="3" t="s">
        <v>88</v>
      </c>
      <c r="C45" s="11"/>
      <c r="D45" s="11"/>
      <c r="E45" s="4"/>
      <c r="F45" s="1"/>
      <c r="G45" s="4" t="s">
        <v>50</v>
      </c>
      <c r="H45" s="4"/>
      <c r="I45" s="1">
        <f t="shared" ref="I45:I46" si="11">IF(G45="Khó và phức tạp",200,IF(G45="Cao",150,IF(G45="Trungbình",120,100)))</f>
        <v>100</v>
      </c>
      <c r="J45" s="1">
        <f t="shared" si="9"/>
        <v>1</v>
      </c>
      <c r="K45" s="15" t="s">
        <v>68</v>
      </c>
    </row>
    <row r="46" spans="1:11" ht="46.8" x14ac:dyDescent="0.3">
      <c r="A46" s="4"/>
      <c r="B46" s="3" t="s">
        <v>92</v>
      </c>
      <c r="C46" s="11"/>
      <c r="D46" s="11"/>
      <c r="E46" s="4"/>
      <c r="F46" s="1"/>
      <c r="G46" s="4"/>
      <c r="H46" s="4"/>
      <c r="I46" s="1">
        <f t="shared" si="11"/>
        <v>100</v>
      </c>
      <c r="J46" s="1">
        <f t="shared" si="9"/>
        <v>1</v>
      </c>
      <c r="K46" s="15"/>
    </row>
    <row r="47" spans="1:11" ht="22.5" customHeight="1" x14ac:dyDescent="0.3">
      <c r="A47" s="9" t="s">
        <v>13</v>
      </c>
      <c r="B47" s="27" t="s">
        <v>58</v>
      </c>
      <c r="C47" s="27"/>
      <c r="D47" s="27"/>
      <c r="E47" s="27"/>
      <c r="F47" s="27"/>
      <c r="G47" s="27"/>
      <c r="H47" s="27"/>
      <c r="I47" s="27"/>
      <c r="J47" s="27"/>
      <c r="K47" s="27"/>
    </row>
    <row r="48" spans="1:11" ht="31.2" x14ac:dyDescent="0.3">
      <c r="A48" s="4">
        <v>1</v>
      </c>
      <c r="B48" s="3"/>
      <c r="C48" s="11"/>
      <c r="D48" s="11"/>
      <c r="E48" s="4"/>
      <c r="F48" s="1"/>
      <c r="G48" s="4"/>
      <c r="H48" s="4"/>
      <c r="I48" s="1">
        <f t="shared" ref="I48:I50" si="12">IF(G48="Khó và phức tạp",200,IF(G48="Cao",150,IF(G48="Trungbình",120,100)))</f>
        <v>100</v>
      </c>
      <c r="J48" s="1">
        <f t="shared" si="9"/>
        <v>1</v>
      </c>
      <c r="K48" s="18" t="s">
        <v>67</v>
      </c>
    </row>
    <row r="49" spans="1:11" ht="31.2" x14ac:dyDescent="0.3">
      <c r="A49" s="4">
        <v>2</v>
      </c>
      <c r="B49" s="3"/>
      <c r="C49" s="11"/>
      <c r="D49" s="11"/>
      <c r="E49" s="4"/>
      <c r="F49" s="1"/>
      <c r="G49" s="4"/>
      <c r="H49" s="4"/>
      <c r="I49" s="1">
        <f t="shared" si="12"/>
        <v>100</v>
      </c>
      <c r="J49" s="1">
        <f t="shared" si="9"/>
        <v>1</v>
      </c>
      <c r="K49" s="15" t="s">
        <v>68</v>
      </c>
    </row>
    <row r="50" spans="1:11" ht="15.6" x14ac:dyDescent="0.3">
      <c r="A50" s="4" t="s">
        <v>7</v>
      </c>
      <c r="B50" s="3"/>
      <c r="C50" s="11"/>
      <c r="D50" s="11"/>
      <c r="E50" s="4"/>
      <c r="F50" s="1"/>
      <c r="G50" s="4"/>
      <c r="H50" s="4"/>
      <c r="I50" s="1">
        <f t="shared" si="12"/>
        <v>100</v>
      </c>
      <c r="J50" s="1">
        <f t="shared" si="9"/>
        <v>1</v>
      </c>
      <c r="K50" s="4"/>
    </row>
    <row r="51" spans="1:11" s="10" customFormat="1" ht="119.25" customHeight="1" x14ac:dyDescent="0.3">
      <c r="B51" s="28" t="s">
        <v>34</v>
      </c>
      <c r="C51" s="28"/>
      <c r="D51" s="28"/>
      <c r="E51" s="28"/>
      <c r="F51" s="28"/>
      <c r="G51" s="28"/>
      <c r="H51" s="28"/>
      <c r="I51" s="28"/>
      <c r="J51" s="28"/>
      <c r="K51" s="28"/>
    </row>
    <row r="52" spans="1:11" s="13" customFormat="1" ht="132" customHeight="1" x14ac:dyDescent="0.3">
      <c r="A52" s="25" t="s">
        <v>90</v>
      </c>
      <c r="B52" s="25"/>
      <c r="C52" s="25"/>
      <c r="D52" s="12"/>
      <c r="G52" s="24" t="s">
        <v>89</v>
      </c>
      <c r="H52" s="24"/>
      <c r="I52" s="24"/>
      <c r="J52" s="24"/>
      <c r="K52" s="24"/>
    </row>
  </sheetData>
  <mergeCells count="28">
    <mergeCell ref="A1:B1"/>
    <mergeCell ref="A2:B2"/>
    <mergeCell ref="A3:K3"/>
    <mergeCell ref="K5:K6"/>
    <mergeCell ref="D1:K1"/>
    <mergeCell ref="D2:K2"/>
    <mergeCell ref="H5:H6"/>
    <mergeCell ref="B5:B6"/>
    <mergeCell ref="C5:C6"/>
    <mergeCell ref="D5:D6"/>
    <mergeCell ref="E5:E6"/>
    <mergeCell ref="A4:K4"/>
    <mergeCell ref="I5:I6"/>
    <mergeCell ref="J5:J6"/>
    <mergeCell ref="F5:F6"/>
    <mergeCell ref="G5:G6"/>
    <mergeCell ref="A5:A6"/>
    <mergeCell ref="G52:K52"/>
    <mergeCell ref="A52:C52"/>
    <mergeCell ref="B8:K8"/>
    <mergeCell ref="B47:K47"/>
    <mergeCell ref="B51:K51"/>
    <mergeCell ref="B9:K9"/>
    <mergeCell ref="B24:K24"/>
    <mergeCell ref="B27:K27"/>
    <mergeCell ref="B30:K30"/>
    <mergeCell ref="B37:K37"/>
    <mergeCell ref="B44:K44"/>
  </mergeCells>
  <phoneticPr fontId="24" type="noConversion"/>
  <conditionalFormatting sqref="C10:C11">
    <cfRule type="dataBar" priority="7">
      <dataBar>
        <cfvo type="min"/>
        <cfvo type="max"/>
        <color rgb="FF638EC6"/>
      </dataBar>
      <extLst>
        <ext xmlns:x14="http://schemas.microsoft.com/office/spreadsheetml/2009/9/main" uri="{B025F937-C7B1-47D3-B67F-A62EFF666E3E}">
          <x14:id>{28FBD931-DDFE-4798-A40A-37DDDF5EC16F}</x14:id>
        </ext>
      </extLst>
    </cfRule>
  </conditionalFormatting>
  <conditionalFormatting sqref="C12:C18">
    <cfRule type="dataBar" priority="6">
      <dataBar>
        <cfvo type="min"/>
        <cfvo type="max"/>
        <color rgb="FF638EC6"/>
      </dataBar>
      <extLst>
        <ext xmlns:x14="http://schemas.microsoft.com/office/spreadsheetml/2009/9/main" uri="{B025F937-C7B1-47D3-B67F-A62EFF666E3E}">
          <x14:id>{C1E33E53-E105-4504-BF65-7C5FA9BFB60D}</x14:id>
        </ext>
      </extLst>
    </cfRule>
  </conditionalFormatting>
  <conditionalFormatting sqref="C19:C21">
    <cfRule type="dataBar" priority="5">
      <dataBar>
        <cfvo type="min"/>
        <cfvo type="max"/>
        <color rgb="FF638EC6"/>
      </dataBar>
      <extLst>
        <ext xmlns:x14="http://schemas.microsoft.com/office/spreadsheetml/2009/9/main" uri="{B025F937-C7B1-47D3-B67F-A62EFF666E3E}">
          <x14:id>{5FA595F0-1626-4D3A-BAFC-D296A37073BB}</x14:id>
        </ext>
      </extLst>
    </cfRule>
  </conditionalFormatting>
  <conditionalFormatting sqref="C22">
    <cfRule type="dataBar" priority="4">
      <dataBar>
        <cfvo type="min"/>
        <cfvo type="max"/>
        <color rgb="FF638EC6"/>
      </dataBar>
      <extLst>
        <ext xmlns:x14="http://schemas.microsoft.com/office/spreadsheetml/2009/9/main" uri="{B025F937-C7B1-47D3-B67F-A62EFF666E3E}">
          <x14:id>{4CE899B5-FC82-445A-BADE-60C9422CB3AD}</x14:id>
        </ext>
      </extLst>
    </cfRule>
  </conditionalFormatting>
  <conditionalFormatting sqref="C23">
    <cfRule type="dataBar" priority="19">
      <dataBar>
        <cfvo type="min"/>
        <cfvo type="max"/>
        <color rgb="FF638EC6"/>
      </dataBar>
      <extLst>
        <ext xmlns:x14="http://schemas.microsoft.com/office/spreadsheetml/2009/9/main" uri="{B025F937-C7B1-47D3-B67F-A62EFF666E3E}">
          <x14:id>{503E23DC-A883-4E4A-9CEB-0585580125FE}</x14:id>
        </ext>
      </extLst>
    </cfRule>
  </conditionalFormatting>
  <conditionalFormatting sqref="C25">
    <cfRule type="dataBar" priority="3">
      <dataBar>
        <cfvo type="min"/>
        <cfvo type="max"/>
        <color rgb="FF638EC6"/>
      </dataBar>
      <extLst>
        <ext xmlns:x14="http://schemas.microsoft.com/office/spreadsheetml/2009/9/main" uri="{B025F937-C7B1-47D3-B67F-A62EFF666E3E}">
          <x14:id>{F56C93C4-1599-47F3-860A-402561F5F778}</x14:id>
        </ext>
      </extLst>
    </cfRule>
  </conditionalFormatting>
  <conditionalFormatting sqref="C28">
    <cfRule type="dataBar" priority="15">
      <dataBar>
        <cfvo type="min"/>
        <cfvo type="max"/>
        <color rgb="FF638EC6"/>
      </dataBar>
      <extLst>
        <ext xmlns:x14="http://schemas.microsoft.com/office/spreadsheetml/2009/9/main" uri="{B025F937-C7B1-47D3-B67F-A62EFF666E3E}">
          <x14:id>{053ED826-4A3B-4E29-9CF6-C5C888A31A9A}</x14:id>
        </ext>
      </extLst>
    </cfRule>
  </conditionalFormatting>
  <conditionalFormatting sqref="C29">
    <cfRule type="dataBar" priority="14">
      <dataBar>
        <cfvo type="min"/>
        <cfvo type="max"/>
        <color rgb="FF638EC6"/>
      </dataBar>
      <extLst>
        <ext xmlns:x14="http://schemas.microsoft.com/office/spreadsheetml/2009/9/main" uri="{B025F937-C7B1-47D3-B67F-A62EFF666E3E}">
          <x14:id>{C43A89B3-42DD-4279-AA99-7BDD08DBEF47}</x14:id>
        </ext>
      </extLst>
    </cfRule>
  </conditionalFormatting>
  <conditionalFormatting sqref="C31">
    <cfRule type="dataBar" priority="1">
      <dataBar>
        <cfvo type="min"/>
        <cfvo type="max"/>
        <color rgb="FF638EC6"/>
      </dataBar>
      <extLst>
        <ext xmlns:x14="http://schemas.microsoft.com/office/spreadsheetml/2009/9/main" uri="{B025F937-C7B1-47D3-B67F-A62EFF666E3E}">
          <x14:id>{CB86A94C-0966-4B15-988D-80B2F452A37A}</x14:id>
        </ext>
      </extLst>
    </cfRule>
  </conditionalFormatting>
  <conditionalFormatting sqref="C32:C36">
    <cfRule type="dataBar" priority="13">
      <dataBar>
        <cfvo type="min"/>
        <cfvo type="max"/>
        <color rgb="FF638EC6"/>
      </dataBar>
      <extLst>
        <ext xmlns:x14="http://schemas.microsoft.com/office/spreadsheetml/2009/9/main" uri="{B025F937-C7B1-47D3-B67F-A62EFF666E3E}">
          <x14:id>{43AE063F-6FBA-4145-8E96-3B15FC0C4DF2}</x14:id>
        </ext>
      </extLst>
    </cfRule>
  </conditionalFormatting>
  <conditionalFormatting sqref="C38">
    <cfRule type="dataBar" priority="2">
      <dataBar>
        <cfvo type="min"/>
        <cfvo type="max"/>
        <color rgb="FF638EC6"/>
      </dataBar>
      <extLst>
        <ext xmlns:x14="http://schemas.microsoft.com/office/spreadsheetml/2009/9/main" uri="{B025F937-C7B1-47D3-B67F-A62EFF666E3E}">
          <x14:id>{FCA432F4-35F4-420D-83D7-9F9A4D968810}</x14:id>
        </ext>
      </extLst>
    </cfRule>
  </conditionalFormatting>
  <conditionalFormatting sqref="C39:C43">
    <cfRule type="dataBar" priority="12">
      <dataBar>
        <cfvo type="min"/>
        <cfvo type="max"/>
        <color rgb="FF638EC6"/>
      </dataBar>
      <extLst>
        <ext xmlns:x14="http://schemas.microsoft.com/office/spreadsheetml/2009/9/main" uri="{B025F937-C7B1-47D3-B67F-A62EFF666E3E}">
          <x14:id>{03A9939A-9B3D-4529-BE0E-4E6837550A17}</x14:id>
        </ext>
      </extLst>
    </cfRule>
  </conditionalFormatting>
  <conditionalFormatting sqref="C45:C46">
    <cfRule type="dataBar" priority="11">
      <dataBar>
        <cfvo type="min"/>
        <cfvo type="max"/>
        <color rgb="FF638EC6"/>
      </dataBar>
      <extLst>
        <ext xmlns:x14="http://schemas.microsoft.com/office/spreadsheetml/2009/9/main" uri="{B025F937-C7B1-47D3-B67F-A62EFF666E3E}">
          <x14:id>{7E1987A0-3211-4AC2-801D-3D223C64AEAA}</x14:id>
        </ext>
      </extLst>
    </cfRule>
  </conditionalFormatting>
  <conditionalFormatting sqref="C48:C50">
    <cfRule type="dataBar" priority="10">
      <dataBar>
        <cfvo type="min"/>
        <cfvo type="max"/>
        <color rgb="FF638EC6"/>
      </dataBar>
      <extLst>
        <ext xmlns:x14="http://schemas.microsoft.com/office/spreadsheetml/2009/9/main" uri="{B025F937-C7B1-47D3-B67F-A62EFF666E3E}">
          <x14:id>{2EA7D65E-B8CA-499C-8421-2AC504B81EAC}</x14:id>
        </ext>
      </extLst>
    </cfRule>
  </conditionalFormatting>
  <dataValidations count="5">
    <dataValidation type="list" allowBlank="1" showInputMessage="1" sqref="D48:D50 D28:D29 D38:D43 D25 D45:D46 D31:D36 D10:D23" xr:uid="{723BBEA1-CDA5-4E90-B789-0CB64C257373}">
      <formula1>"Phòng QLĐT&amp;BĐCL, Phòng TH-HC&amp;QT, Phòng QLKHCN&amp;HTPT, Phòng TC-KT, Phòng  TCCB&amp;CTHSSV, Khoa Sư phạm, Khoa CKHCB, Khoa KT&amp;NL, Khoa Y – Dược, Khoa ĐT&amp;SHLX, Khoa KT&amp;CN"</formula1>
    </dataValidation>
    <dataValidation type="list" allowBlank="1" showInputMessage="1" sqref="C25 C28:C29 C38:C43 C48:C50 C45:C46 C31:C36 C10:C23" xr:uid="{9D67AEC4-2B59-40A3-9470-A85A768A8BE7}">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E48:E50 E28:E29 E39:E43 E45:E46 E31:E36 E23" xr:uid="{10414675-0940-4244-865E-D79A397278C2}">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G45:G46 G38:G43 G28:G29 G25 G48:G50 G31:G36 G10:G23" xr:uid="{242DABCC-F988-4BD7-A39A-B18DD09F67B5}">
      <formula1>"Thấp,Trung bình,Cao,Khó và phức tạp"</formula1>
    </dataValidation>
    <dataValidation allowBlank="1" showInputMessage="1" sqref="E38 H25:K26 H28:K29 E25 H38:K43 H48:K50 H31:K36 H45:K46 E10:E22 H10:K23" xr:uid="{7A6D0803-D5AA-4103-B723-48076D69A4E4}"/>
  </dataValidations>
  <printOptions horizontalCentered="1"/>
  <pageMargins left="0.31496062992126" right="0.31496062992126" top="0.39370078740157499" bottom="0.39370078740157499" header="0.31496062992126" footer="0.31496062992126"/>
  <pageSetup paperSize="9" scale="75" orientation="landscape" r:id="rId1"/>
  <drawing r:id="rId2"/>
  <extLst>
    <ext xmlns:x14="http://schemas.microsoft.com/office/spreadsheetml/2009/9/main" uri="{78C0D931-6437-407d-A8EE-F0AAD7539E65}">
      <x14:conditionalFormattings>
        <x14:conditionalFormatting xmlns:xm="http://schemas.microsoft.com/office/excel/2006/main">
          <x14:cfRule type="dataBar" id="{28FBD931-DDFE-4798-A40A-37DDDF5EC16F}">
            <x14:dataBar minLength="0" maxLength="100" gradient="0">
              <x14:cfvo type="autoMin"/>
              <x14:cfvo type="autoMax"/>
              <x14:negativeFillColor rgb="FFFF0000"/>
              <x14:axisColor rgb="FF000000"/>
            </x14:dataBar>
          </x14:cfRule>
          <xm:sqref>C10:C11</xm:sqref>
        </x14:conditionalFormatting>
        <x14:conditionalFormatting xmlns:xm="http://schemas.microsoft.com/office/excel/2006/main">
          <x14:cfRule type="dataBar" id="{C1E33E53-E105-4504-BF65-7C5FA9BFB60D}">
            <x14:dataBar minLength="0" maxLength="100" gradient="0">
              <x14:cfvo type="autoMin"/>
              <x14:cfvo type="autoMax"/>
              <x14:negativeFillColor rgb="FFFF0000"/>
              <x14:axisColor rgb="FF000000"/>
            </x14:dataBar>
          </x14:cfRule>
          <xm:sqref>C12:C18</xm:sqref>
        </x14:conditionalFormatting>
        <x14:conditionalFormatting xmlns:xm="http://schemas.microsoft.com/office/excel/2006/main">
          <x14:cfRule type="dataBar" id="{5FA595F0-1626-4D3A-BAFC-D296A37073BB}">
            <x14:dataBar minLength="0" maxLength="100" gradient="0">
              <x14:cfvo type="autoMin"/>
              <x14:cfvo type="autoMax"/>
              <x14:negativeFillColor rgb="FFFF0000"/>
              <x14:axisColor rgb="FF000000"/>
            </x14:dataBar>
          </x14:cfRule>
          <xm:sqref>C19:C21</xm:sqref>
        </x14:conditionalFormatting>
        <x14:conditionalFormatting xmlns:xm="http://schemas.microsoft.com/office/excel/2006/main">
          <x14:cfRule type="dataBar" id="{4CE899B5-FC82-445A-BADE-60C9422CB3AD}">
            <x14:dataBar minLength="0" maxLength="100" gradient="0">
              <x14:cfvo type="autoMin"/>
              <x14:cfvo type="autoMax"/>
              <x14:negativeFillColor rgb="FFFF0000"/>
              <x14:axisColor rgb="FF000000"/>
            </x14:dataBar>
          </x14:cfRule>
          <xm:sqref>C22</xm:sqref>
        </x14:conditionalFormatting>
        <x14:conditionalFormatting xmlns:xm="http://schemas.microsoft.com/office/excel/2006/main">
          <x14:cfRule type="dataBar" id="{503E23DC-A883-4E4A-9CEB-0585580125FE}">
            <x14:dataBar minLength="0" maxLength="100" gradient="0">
              <x14:cfvo type="autoMin"/>
              <x14:cfvo type="autoMax"/>
              <x14:negativeFillColor rgb="FFFF0000"/>
              <x14:axisColor rgb="FF000000"/>
            </x14:dataBar>
          </x14:cfRule>
          <xm:sqref>C23</xm:sqref>
        </x14:conditionalFormatting>
        <x14:conditionalFormatting xmlns:xm="http://schemas.microsoft.com/office/excel/2006/main">
          <x14:cfRule type="dataBar" id="{F56C93C4-1599-47F3-860A-402561F5F778}">
            <x14:dataBar minLength="0" maxLength="100" gradient="0">
              <x14:cfvo type="autoMin"/>
              <x14:cfvo type="autoMax"/>
              <x14:negativeFillColor rgb="FFFF0000"/>
              <x14:axisColor rgb="FF000000"/>
            </x14:dataBar>
          </x14:cfRule>
          <xm:sqref>C25</xm:sqref>
        </x14:conditionalFormatting>
        <x14:conditionalFormatting xmlns:xm="http://schemas.microsoft.com/office/excel/2006/main">
          <x14:cfRule type="dataBar" id="{053ED826-4A3B-4E29-9CF6-C5C888A31A9A}">
            <x14:dataBar minLength="0" maxLength="100" gradient="0">
              <x14:cfvo type="autoMin"/>
              <x14:cfvo type="autoMax"/>
              <x14:negativeFillColor rgb="FFFF0000"/>
              <x14:axisColor rgb="FF000000"/>
            </x14:dataBar>
          </x14:cfRule>
          <xm:sqref>C28</xm:sqref>
        </x14:conditionalFormatting>
        <x14:conditionalFormatting xmlns:xm="http://schemas.microsoft.com/office/excel/2006/main">
          <x14:cfRule type="dataBar" id="{C43A89B3-42DD-4279-AA99-7BDD08DBEF47}">
            <x14:dataBar minLength="0" maxLength="100" gradient="0">
              <x14:cfvo type="autoMin"/>
              <x14:cfvo type="autoMax"/>
              <x14:negativeFillColor rgb="FFFF0000"/>
              <x14:axisColor rgb="FF000000"/>
            </x14:dataBar>
          </x14:cfRule>
          <xm:sqref>C29</xm:sqref>
        </x14:conditionalFormatting>
        <x14:conditionalFormatting xmlns:xm="http://schemas.microsoft.com/office/excel/2006/main">
          <x14:cfRule type="dataBar" id="{CB86A94C-0966-4B15-988D-80B2F452A37A}">
            <x14:dataBar minLength="0" maxLength="100" gradient="0">
              <x14:cfvo type="autoMin"/>
              <x14:cfvo type="autoMax"/>
              <x14:negativeFillColor rgb="FFFF0000"/>
              <x14:axisColor rgb="FF000000"/>
            </x14:dataBar>
          </x14:cfRule>
          <xm:sqref>C31</xm:sqref>
        </x14:conditionalFormatting>
        <x14:conditionalFormatting xmlns:xm="http://schemas.microsoft.com/office/excel/2006/main">
          <x14:cfRule type="dataBar" id="{43AE063F-6FBA-4145-8E96-3B15FC0C4DF2}">
            <x14:dataBar minLength="0" maxLength="100" gradient="0">
              <x14:cfvo type="autoMin"/>
              <x14:cfvo type="autoMax"/>
              <x14:negativeFillColor rgb="FFFF0000"/>
              <x14:axisColor rgb="FF000000"/>
            </x14:dataBar>
          </x14:cfRule>
          <xm:sqref>C32:C36</xm:sqref>
        </x14:conditionalFormatting>
        <x14:conditionalFormatting xmlns:xm="http://schemas.microsoft.com/office/excel/2006/main">
          <x14:cfRule type="dataBar" id="{FCA432F4-35F4-420D-83D7-9F9A4D968810}">
            <x14:dataBar minLength="0" maxLength="100" gradient="0">
              <x14:cfvo type="autoMin"/>
              <x14:cfvo type="autoMax"/>
              <x14:negativeFillColor rgb="FFFF0000"/>
              <x14:axisColor rgb="FF000000"/>
            </x14:dataBar>
          </x14:cfRule>
          <xm:sqref>C38</xm:sqref>
        </x14:conditionalFormatting>
        <x14:conditionalFormatting xmlns:xm="http://schemas.microsoft.com/office/excel/2006/main">
          <x14:cfRule type="dataBar" id="{03A9939A-9B3D-4529-BE0E-4E6837550A17}">
            <x14:dataBar minLength="0" maxLength="100" gradient="0">
              <x14:cfvo type="autoMin"/>
              <x14:cfvo type="autoMax"/>
              <x14:negativeFillColor rgb="FFFF0000"/>
              <x14:axisColor rgb="FF000000"/>
            </x14:dataBar>
          </x14:cfRule>
          <xm:sqref>C39:C43</xm:sqref>
        </x14:conditionalFormatting>
        <x14:conditionalFormatting xmlns:xm="http://schemas.microsoft.com/office/excel/2006/main">
          <x14:cfRule type="dataBar" id="{7E1987A0-3211-4AC2-801D-3D223C64AEAA}">
            <x14:dataBar minLength="0" maxLength="100" gradient="0">
              <x14:cfvo type="autoMin"/>
              <x14:cfvo type="autoMax"/>
              <x14:negativeFillColor rgb="FFFF0000"/>
              <x14:axisColor rgb="FF000000"/>
            </x14:dataBar>
          </x14:cfRule>
          <xm:sqref>C45:C46</xm:sqref>
        </x14:conditionalFormatting>
        <x14:conditionalFormatting xmlns:xm="http://schemas.microsoft.com/office/excel/2006/main">
          <x14:cfRule type="dataBar" id="{2EA7D65E-B8CA-499C-8421-2AC504B81EAC}">
            <x14:dataBar minLength="0" maxLength="100" gradient="0">
              <x14:cfvo type="autoMin"/>
              <x14:cfvo type="autoMax"/>
              <x14:negativeFillColor rgb="FFFF0000"/>
              <x14:axisColor rgb="FF000000"/>
            </x14:dataBar>
          </x14:cfRule>
          <xm:sqref>C48:C50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Mẫu KH Quý</vt:lpstr>
      <vt:lpstr>Mẫu KH tháng</vt:lpstr>
      <vt:lpstr>'Mẫu KH Quý'!Print_Area</vt:lpstr>
      <vt:lpstr>'Mẫu KH tháng'!Print_Area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Tô Thành Công</cp:lastModifiedBy>
  <cp:lastPrinted>2026-06-25T01:37:08Z</cp:lastPrinted>
  <dcterms:created xsi:type="dcterms:W3CDTF">2026-05-27T07:08:41Z</dcterms:created>
  <dcterms:modified xsi:type="dcterms:W3CDTF">2026-09-20T04:30:44Z</dcterms:modified>
</cp:coreProperties>
</file>