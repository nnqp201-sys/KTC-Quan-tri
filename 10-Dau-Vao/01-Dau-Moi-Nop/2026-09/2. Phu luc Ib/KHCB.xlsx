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ktcceduvn-my.sharepoint.com/personal/khoacackhcb_cdkontum_edu_vn/Documents/2026-2027/KHCB-BC/Báo cáo kết quả tháng 9, kế hoạch tháng 10/"/>
    </mc:Choice>
  </mc:AlternateContent>
  <xr:revisionPtr revIDLastSave="427" documentId="13_ncr:1_{BB2B7002-E9C8-45F9-B1B0-CA3C0C4E0A00}" xr6:coauthVersionLast="47" xr6:coauthVersionMax="47" xr10:uidLastSave="{DD358846-A91F-4F27-83F7-A09B0830F442}"/>
  <bookViews>
    <workbookView xWindow="-110" yWindow="-110" windowWidth="19420" windowHeight="11500" xr2:uid="{7E04179B-AE72-433D-A0F4-54C338E82316}"/>
  </bookViews>
  <sheets>
    <sheet name="Mẫu KH tháng"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8" i="1" l="1"/>
  <c r="J18" i="1" s="1"/>
  <c r="I17" i="1"/>
  <c r="J17" i="1" s="1"/>
  <c r="J16" i="1" l="1"/>
  <c r="J15" i="1"/>
  <c r="J19" i="1" l="1"/>
  <c r="J21" i="1"/>
  <c r="I26" i="1" l="1"/>
  <c r="J26" i="1" s="1"/>
  <c r="I20" i="1" l="1"/>
  <c r="J20" i="1" s="1"/>
  <c r="I11" i="1" l="1"/>
  <c r="J11" i="1" s="1"/>
  <c r="I12" i="1"/>
  <c r="J12" i="1" s="1"/>
  <c r="I13" i="1"/>
  <c r="J13" i="1" s="1"/>
  <c r="I14" i="1"/>
  <c r="J14" i="1" s="1"/>
  <c r="I33" i="1"/>
  <c r="J33" i="1" s="1"/>
  <c r="I31" i="1"/>
  <c r="J31" i="1" s="1"/>
  <c r="I29" i="1"/>
  <c r="J29" i="1" s="1"/>
  <c r="I28" i="1"/>
  <c r="J28" i="1" s="1"/>
  <c r="I23" i="1"/>
  <c r="J23" i="1" s="1"/>
</calcChain>
</file>

<file path=xl/sharedStrings.xml><?xml version="1.0" encoding="utf-8"?>
<sst xmlns="http://schemas.openxmlformats.org/spreadsheetml/2006/main" count="123" uniqueCount="95">
  <si>
    <t>Phụ lục Ib
MẪU KẾ HOẠCH CÔNG TÁC THÁNG CỦA TRƯỜNG CAO ĐẲNG KON TUM</t>
  </si>
  <si>
    <t>TRƯỜNG CAO ĐẲNG KON TUM</t>
  </si>
  <si>
    <t>CỘNG HÒA XÃ HỘI CHỦ NGHĨA VIỆT NAM</t>
  </si>
  <si>
    <t>Độc lập - Tự do - Hạnh phúc</t>
  </si>
  <si>
    <t>TT</t>
  </si>
  <si>
    <t>NỘI DUNG CÔNG VIỆC</t>
  </si>
  <si>
    <t>Người trực tiếp chỉ đạo</t>
  </si>
  <si>
    <t>Đơn vị chủ trì</t>
  </si>
  <si>
    <t>Sản phẩm/ công việc</t>
  </si>
  <si>
    <t>Số lượng</t>
  </si>
  <si>
    <t>Độ khó, mới, phức tạp; phạm vi tác
động</t>
  </si>
  <si>
    <t>Thời gian hoàn thành</t>
  </si>
  <si>
    <t>Điểm chấm công việc</t>
  </si>
  <si>
    <t>Hệ số quy đổi</t>
  </si>
  <si>
    <t>Ghi chú</t>
  </si>
  <si>
    <t>(1)</t>
  </si>
  <si>
    <t>(2)</t>
  </si>
  <si>
    <t>(3)</t>
  </si>
  <si>
    <t>(4)</t>
  </si>
  <si>
    <t>(5)</t>
  </si>
  <si>
    <t>(6)</t>
  </si>
  <si>
    <t>(7)</t>
  </si>
  <si>
    <t>(8)</t>
  </si>
  <si>
    <t>(9)</t>
  </si>
  <si>
    <t>(10)</t>
  </si>
  <si>
    <t>I</t>
  </si>
  <si>
    <t> Các nhiệm vụ theo kế hoạch (chương trình) công tác đã đề ra từ đầu quý</t>
  </si>
  <si>
    <t xml:space="preserve">Trục (1) - Thực hiện mục tiêu phát triển Kinh tế - xã hội và nhiệm vụ chính trị được giao </t>
  </si>
  <si>
    <t>Nguyễn Thị Bích Hạnh</t>
  </si>
  <si>
    <t>Trung bình</t>
  </si>
  <si>
    <t>Báo cáo</t>
  </si>
  <si>
    <t>Nguyễn Hữu Hà</t>
  </si>
  <si>
    <t>Kế hoạch</t>
  </si>
  <si>
    <t>Khoa CKHCB</t>
  </si>
  <si>
    <t>PTK Hồ Thị Mai Lan</t>
  </si>
  <si>
    <t xml:space="preserve">Tổ Học liệu </t>
  </si>
  <si>
    <t>Bổ sung, cập nhật tài liệu số vào phần mềm quản lý thư viện</t>
  </si>
  <si>
    <t xml:space="preserve">Tài liệu số </t>
  </si>
  <si>
    <t>Theo thực tế</t>
  </si>
  <si>
    <t>Thường xuyên</t>
  </si>
  <si>
    <t>Phục vụ bạn đọc mượn, trả sách/tài liệu thư viện theo đúng quy định</t>
  </si>
  <si>
    <t>Lượt bạn đọc</t>
  </si>
  <si>
    <t>Thấp</t>
  </si>
  <si>
    <t>Giới thiệu sách trên Website thư viện</t>
  </si>
  <si>
    <t>Bài giới
thiệu sách</t>
  </si>
  <si>
    <t>Thường xuyên của đơn vị</t>
  </si>
  <si>
    <t>Phòng QLĐT&amp;BĐCL</t>
  </si>
  <si>
    <t>Trục (2) - Hoàn thiện thể chế, đẩy mạnh phân cấp, phân quyền gắn với kiểm tra, giám sát</t>
  </si>
  <si>
    <t>Hiệu trưởng</t>
  </si>
  <si>
    <t>Phòng  TCCB&amp;CTHSSV</t>
  </si>
  <si>
    <t>Quyết định, kế hoạch kiểm tra giám sát đảng viên</t>
  </si>
  <si>
    <t>Đảng viên</t>
  </si>
  <si>
    <t>KH, Quyết định</t>
  </si>
  <si>
    <t>Tháng 9</t>
  </si>
  <si>
    <t>Trục (3) - Thúc đẩy phát triển khoa học, công nghệ, đổi mới sáng tạo và chuyển đổi số</t>
  </si>
  <si>
    <t>Trục (4) - Xây dựng đảng và hệ thống chính trị trong sạch, vững mạnh; giữ gìn đoàn kết, thống nhất nội bộ; phòng, chống tham nhũng, lãng phí, tiêu cực</t>
  </si>
  <si>
    <t>Trục (5) - Phát triển văn hóa, con người, bảo đảm an sinh xã hội, nâng cao đời sống nhân dân</t>
  </si>
  <si>
    <t>Trục (6) - Củng cố quốc phòng, an ninh, giữ vững ổn định chính trị - xã hội, nâng cao hiệu quả đối ngoại và hội nhập quốc tế</t>
  </si>
  <si>
    <t>II</t>
  </si>
  <si>
    <t>Các nhiệm vụ đột xuất, phát sinh khác ngoài kế hoạch, từ tháng trước chuyển sang (nếu có)</t>
  </si>
  <si>
    <r>
      <rPr>
        <b/>
        <sz val="12"/>
        <rFont val="Times New Roman"/>
        <family val="1"/>
      </rPr>
      <t>Ghi chú:</t>
    </r>
    <r>
      <rPr>
        <sz val="12"/>
        <rFont val="Times New Roman"/>
        <family val="1"/>
      </rPr>
      <t xml:space="preserve"> Mức độ công việc, gồm 4 mức: Thấp; Trung Bình; Cao; Khó, phức tạp và mang tính đột phá 
+ Mức độ thấp: Thường xuyên, nhiệm vụ chủ yếu là thống kê 
+ Mức độ trung bình: Thường xuyên, nhưng có tính thống kê, tổng hợp cao hơn tháng, tác động lớn hơn báo cáo hằng tháng 
+ Mức độ cao: Tổng hợp, phân tích, đánh giá số liệu, không quá khó và phức tạp 
+ Mức độ khó và phức tạp: Khó, phức tạp, tác động lớn, sâu rộng trong toàn Đảng</t>
    </r>
  </si>
  <si>
    <t>Báo cáo kiểm tra, đôn đốc, theo dõi sĩ số, nền nếp lớp học của nhà giáo và học sinh, sinh viên</t>
  </si>
  <si>
    <t>LĐK, TBM</t>
  </si>
  <si>
    <t>hằng tuần</t>
  </si>
  <si>
    <t>Tham gia tập huấn, bồi dưỡng chuyên sâu về xây dựng học liệu số, bài giảng điện tử chuẩn SCORM/xAPI và khai thác LMS</t>
  </si>
  <si>
    <t>Lượt tham gia</t>
  </si>
  <si>
    <t>Theo dõi việc thực hiện quy tắc ứng xử nhà giáo.</t>
  </si>
  <si>
    <t>Trưởng khoa Nguyễn Hữu Hà</t>
  </si>
  <si>
    <t>Biên bản</t>
  </si>
  <si>
    <t>Chuẩn bị nội dung sinh hoạt chi bộ, công đoàn, đoàn thanh niên</t>
  </si>
  <si>
    <t>Chương trình</t>
  </si>
  <si>
    <t>Triển khai cuộc thi HSSV với ý tưởng khởi nghiệp cấp Khoa năm 2026</t>
  </si>
  <si>
    <t>PTK Nguyễn Thị Bích Hạnh</t>
  </si>
  <si>
    <t>Nhà giáo chủ nhiệm, HSSV Khoa</t>
  </si>
  <si>
    <t xml:space="preserve">Duy trì ổn định chính trị nội bộ, đảm bảo
an ninh trật tự trường học </t>
  </si>
  <si>
    <t>Giám sát</t>
  </si>
  <si>
    <t>Quảng Ngãi, ngày 14 tháng 9 năm 2026
TRƯỞNG KHOA</t>
  </si>
  <si>
    <r>
      <rPr>
        <b/>
        <sz val="11"/>
        <rFont val="Times New Roman"/>
        <family val="1"/>
      </rPr>
      <t>Nơi nhận:</t>
    </r>
    <r>
      <rPr>
        <sz val="11"/>
        <rFont val="Times New Roman"/>
        <family val="1"/>
      </rPr>
      <t xml:space="preserve">
- Lãnh đạo Trường;
- Phòng THHC&amp;QT;
- Lưu: KHCB.</t>
    </r>
  </si>
  <si>
    <t>KHOA CÁC KHOA HỌC CƠ BẢN</t>
  </si>
  <si>
    <t>KẾ HOẠCH 
công tác tháng 10 năm 2026</t>
  </si>
  <si>
    <t>Lãnh đạo Khoa</t>
  </si>
  <si>
    <t>Bộ ngân hàng câu hỏi</t>
  </si>
  <si>
    <t>Triển khai kế hoạch xây dựng, rà soát và cập nhật ngân hàng câu hỏi, năm học 2026 – 2027 của các bộ môn thuộc khoa các Khoa học cơ bản (Học kỳ I)</t>
  </si>
  <si>
    <t>Dự giờ chuyên môn nhà giáo, học kỳ I, năm học 2026- 2027</t>
  </si>
  <si>
    <t>Các bộ môn thuộc khoa</t>
  </si>
  <si>
    <t>Hồ sơ dự giờ</t>
  </si>
  <si>
    <t>Hoàn thành biên soạn giáo trình đào tạo ngành, nghề Tiếng Anh trình độ cao đẳng</t>
  </si>
  <si>
    <t>Giáo trình</t>
  </si>
  <si>
    <t>Khó và phức tạp</t>
  </si>
  <si>
    <t>Tháng 12/2026</t>
  </si>
  <si>
    <t>Xây dựng định mức vật tư thực hành các lớp K9C Công tác xã hội, K9C Tiếng Anh</t>
  </si>
  <si>
    <t>PTK Nguyễn Văn Lễ</t>
  </si>
  <si>
    <t>Bộ môn</t>
  </si>
  <si>
    <t>Bảng thống kê</t>
  </si>
  <si>
    <t>Tháng 10/2026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</si>
</sst>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sz val="14"/>
      <color theme="1"/>
      <name val="Times New Roman"/>
      <family val="1"/>
    </font>
    <font>
      <sz val="14"/>
      <color theme="1"/>
      <name val="Calibri"/>
      <family val="2"/>
      <scheme val="minor"/>
    </font>
    <font>
      <sz val="12"/>
      <color theme="1"/>
      <name val="Times New Roman"/>
      <family val="1"/>
    </font>
    <font>
      <b/>
      <sz val="12"/>
      <color rgb="FF000000"/>
      <name val="Times New Roman"/>
      <family val="1"/>
    </font>
    <font>
      <sz val="12"/>
      <color rgb="FF000000"/>
      <name val="Times New Roman"/>
      <family val="1"/>
    </font>
    <font>
      <b/>
      <sz val="12"/>
      <color theme="1"/>
      <name val="Times New Roman"/>
      <family val="1"/>
    </font>
    <font>
      <sz val="12"/>
      <color theme="1"/>
      <name val="Calibri"/>
      <family val="2"/>
      <scheme val="minor"/>
    </font>
    <font>
      <b/>
      <sz val="13"/>
      <color theme="1"/>
      <name val="Times New Roman"/>
      <family val="1"/>
    </font>
    <font>
      <sz val="11"/>
      <name val="Calibri"/>
      <family val="2"/>
      <scheme val="minor"/>
    </font>
    <font>
      <b/>
      <sz val="12"/>
      <name val="Times New Roman"/>
      <family val="1"/>
    </font>
    <font>
      <sz val="12"/>
      <name val="Times New Roman"/>
      <family val="1"/>
    </font>
    <font>
      <sz val="14"/>
      <name val="Times New Roman"/>
      <family val="1"/>
    </font>
    <font>
      <sz val="12"/>
      <name val="Times New Roman"/>
      <family val="1"/>
      <charset val="163"/>
    </font>
    <font>
      <sz val="13"/>
      <color theme="1"/>
      <name val="Times New Roman"/>
      <family val="1"/>
    </font>
    <font>
      <sz val="13"/>
      <color theme="1"/>
      <name val="Calibri"/>
      <family val="2"/>
      <scheme val="minor"/>
    </font>
    <font>
      <sz val="12"/>
      <color rgb="FF000000"/>
      <name val="Times New Roman"/>
      <family val="1"/>
      <charset val="163"/>
    </font>
    <font>
      <b/>
      <sz val="12"/>
      <color rgb="FF000000"/>
      <name val="Times New Roman"/>
      <family val="1"/>
      <charset val="163"/>
    </font>
    <font>
      <sz val="11"/>
      <name val="Times New Roman"/>
      <family val="1"/>
    </font>
    <font>
      <b/>
      <sz val="11"/>
      <name val="Times New Roman"/>
      <family val="1"/>
    </font>
  </fonts>
  <fills count="2">
    <fill>
      <patternFill patternType="none"/>
    </fill>
    <fill>
      <patternFill patternType="gray125"/>
    </fill>
  </fills>
  <borders count="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1">
    <xf numFmtId="0" fontId="0" fillId="0" borderId="0" xfId="0"/>
    <xf numFmtId="0" fontId="4" fillId="0" borderId="2" xfId="0" applyFont="1" applyBorder="1" applyAlignment="1">
      <alignment horizontal="center" vertical="center" wrapText="1"/>
    </xf>
    <xf numFmtId="0" fontId="5" fillId="0" borderId="2" xfId="0" applyFont="1" applyBorder="1" applyAlignment="1">
      <alignment vertical="center" wrapText="1"/>
    </xf>
    <xf numFmtId="0" fontId="5" fillId="0" borderId="2" xfId="0" applyFont="1" applyBorder="1" applyAlignment="1">
      <alignment horizontal="center" vertical="center" wrapText="1"/>
    </xf>
    <xf numFmtId="0" fontId="4" fillId="0" borderId="2" xfId="0" quotePrefix="1" applyFont="1" applyBorder="1" applyAlignment="1">
      <alignment horizontal="center" vertical="center" wrapText="1"/>
    </xf>
    <xf numFmtId="0" fontId="7" fillId="0" borderId="0" xfId="0" applyFont="1"/>
    <xf numFmtId="0" fontId="6" fillId="0" borderId="0" xfId="0" applyFont="1" applyAlignment="1">
      <alignment vertical="center"/>
    </xf>
    <xf numFmtId="0" fontId="4" fillId="0" borderId="2" xfId="0" applyFont="1" applyBorder="1" applyAlignment="1">
      <alignment horizontal="center" vertical="center"/>
    </xf>
    <xf numFmtId="0" fontId="9" fillId="0" borderId="0" xfId="0" applyFont="1"/>
    <xf numFmtId="0" fontId="11" fillId="0" borderId="2" xfId="0" applyFont="1" applyBorder="1" applyAlignment="1">
      <alignment horizontal="center" vertical="center" wrapText="1"/>
    </xf>
    <xf numFmtId="0" fontId="16" fillId="0" borderId="2" xfId="0" applyFont="1" applyBorder="1" applyAlignment="1">
      <alignment horizontal="center" vertical="center" wrapText="1"/>
    </xf>
    <xf numFmtId="0" fontId="17" fillId="0" borderId="2" xfId="0" applyFont="1" applyBorder="1" applyAlignment="1">
      <alignment horizontal="center" vertical="center" wrapText="1"/>
    </xf>
    <xf numFmtId="0" fontId="11" fillId="0" borderId="0" xfId="0" applyFont="1" applyAlignment="1">
      <alignment wrapText="1"/>
    </xf>
    <xf numFmtId="0" fontId="5" fillId="0" borderId="0" xfId="0" applyFont="1" applyAlignment="1">
      <alignment wrapText="1"/>
    </xf>
    <xf numFmtId="0" fontId="11" fillId="0" borderId="5" xfId="0" applyFont="1" applyBorder="1" applyAlignment="1">
      <alignment horizontal="center" vertical="center" wrapText="1"/>
    </xf>
    <xf numFmtId="0" fontId="11" fillId="0" borderId="2" xfId="0" applyFont="1" applyBorder="1" applyAlignment="1">
      <alignment horizontal="justify" vertical="center"/>
    </xf>
    <xf numFmtId="0" fontId="11" fillId="0" borderId="2" xfId="0" applyFont="1" applyBorder="1" applyAlignment="1">
      <alignment vertical="center" wrapText="1"/>
    </xf>
    <xf numFmtId="0" fontId="11" fillId="0" borderId="2" xfId="0" applyFont="1" applyBorder="1" applyAlignment="1">
      <alignment wrapText="1"/>
    </xf>
    <xf numFmtId="0" fontId="12" fillId="0" borderId="2" xfId="0" applyFont="1" applyBorder="1" applyAlignment="1">
      <alignment vertical="center" wrapText="1"/>
    </xf>
    <xf numFmtId="0" fontId="5" fillId="0" borderId="5" xfId="0" applyFont="1" applyBorder="1" applyAlignment="1">
      <alignment horizontal="center" vertical="center" wrapText="1"/>
    </xf>
    <xf numFmtId="0" fontId="4" fillId="0" borderId="7" xfId="0" applyFont="1" applyBorder="1" applyAlignment="1">
      <alignment horizontal="center" vertical="center" wrapText="1"/>
    </xf>
    <xf numFmtId="0" fontId="5" fillId="0" borderId="7" xfId="0" applyFont="1" applyBorder="1" applyAlignment="1">
      <alignment vertical="center" wrapText="1"/>
    </xf>
    <xf numFmtId="0" fontId="11" fillId="0" borderId="7" xfId="0" applyFont="1" applyBorder="1" applyAlignment="1">
      <alignment horizontal="center" vertical="center" wrapText="1"/>
    </xf>
    <xf numFmtId="0" fontId="5" fillId="0" borderId="7" xfId="0" applyFont="1" applyBorder="1" applyAlignment="1">
      <alignment horizontal="center" vertical="center" wrapText="1"/>
    </xf>
    <xf numFmtId="0" fontId="17" fillId="0" borderId="7" xfId="0" applyFont="1" applyBorder="1" applyAlignment="1">
      <alignment horizontal="center" vertical="center" wrapText="1"/>
    </xf>
    <xf numFmtId="0" fontId="7" fillId="0" borderId="2" xfId="0" applyFont="1" applyBorder="1"/>
    <xf numFmtId="0" fontId="13" fillId="0" borderId="2" xfId="0" applyFont="1" applyBorder="1" applyAlignment="1">
      <alignment vertical="center" wrapText="1"/>
    </xf>
    <xf numFmtId="14" fontId="11" fillId="0" borderId="2" xfId="0" applyNumberFormat="1" applyFont="1" applyBorder="1" applyAlignment="1">
      <alignment vertical="center" wrapText="1"/>
    </xf>
    <xf numFmtId="0" fontId="13" fillId="0" borderId="2" xfId="0" applyFont="1" applyBorder="1" applyAlignment="1">
      <alignment horizontal="center" vertical="center" wrapText="1"/>
    </xf>
    <xf numFmtId="0" fontId="5" fillId="0" borderId="5" xfId="0" applyFont="1" applyBorder="1" applyAlignment="1">
      <alignment horizontal="left" vertical="center" wrapText="1"/>
    </xf>
    <xf numFmtId="0" fontId="5" fillId="0" borderId="6"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4" xfId="0" applyFont="1" applyBorder="1" applyAlignment="1">
      <alignment horizontal="left" vertical="center" wrapText="1"/>
    </xf>
    <xf numFmtId="0" fontId="0" fillId="0" borderId="0" xfId="0" applyAlignment="1">
      <alignment vertical="center"/>
    </xf>
    <xf numFmtId="0" fontId="10" fillId="0" borderId="0" xfId="0" applyFont="1" applyAlignment="1">
      <alignment vertical="center" wrapText="1"/>
    </xf>
    <xf numFmtId="0" fontId="1" fillId="0" borderId="0" xfId="0" applyFont="1" applyAlignment="1">
      <alignment horizontal="center" vertical="center" wrapText="1"/>
    </xf>
    <xf numFmtId="0" fontId="1" fillId="0" borderId="0" xfId="0" applyFont="1" applyAlignment="1">
      <alignment horizontal="center" vertical="center"/>
    </xf>
    <xf numFmtId="0" fontId="4" fillId="0" borderId="2" xfId="0" applyFont="1" applyBorder="1" applyAlignment="1">
      <alignment horizontal="center" vertical="center" wrapText="1"/>
    </xf>
    <xf numFmtId="0" fontId="3" fillId="0" borderId="1" xfId="0" applyFont="1" applyBorder="1" applyAlignment="1">
      <alignment horizontal="left" vertical="center"/>
    </xf>
    <xf numFmtId="0" fontId="14" fillId="0" borderId="0" xfId="0" applyFont="1" applyAlignment="1">
      <alignment horizontal="center"/>
    </xf>
    <xf numFmtId="0" fontId="15" fillId="0" borderId="0" xfId="0" applyFont="1" applyAlignment="1">
      <alignment horizontal="center"/>
    </xf>
    <xf numFmtId="0" fontId="8" fillId="0" borderId="0" xfId="0" applyFont="1" applyAlignment="1">
      <alignment horizontal="center" vertical="center" wrapText="1"/>
    </xf>
    <xf numFmtId="0" fontId="2" fillId="0" borderId="0" xfId="0" applyFont="1" applyAlignment="1">
      <alignment horizontal="center" vertical="center"/>
    </xf>
    <xf numFmtId="0" fontId="10" fillId="0" borderId="2" xfId="0" applyFont="1" applyBorder="1" applyAlignment="1">
      <alignment horizontal="center" vertical="center" wrapText="1"/>
    </xf>
    <xf numFmtId="0" fontId="8" fillId="0" borderId="0" xfId="0" applyFont="1" applyAlignment="1">
      <alignment horizontal="center" wrapText="1"/>
    </xf>
    <xf numFmtId="0" fontId="4" fillId="0" borderId="2" xfId="0" applyFont="1" applyBorder="1" applyAlignment="1">
      <alignment vertical="center" wrapText="1"/>
    </xf>
    <xf numFmtId="0" fontId="18" fillId="0" borderId="0" xfId="0" applyFont="1" applyAlignment="1">
      <alignment horizontal="left" vertical="center" wrapText="1"/>
    </xf>
    <xf numFmtId="0" fontId="4" fillId="0" borderId="2" xfId="0" applyFont="1" applyBorder="1" applyAlignment="1">
      <alignment horizontal="left" vertical="center"/>
    </xf>
    <xf numFmtId="0" fontId="11" fillId="0" borderId="3" xfId="0" applyFont="1" applyBorder="1" applyAlignment="1">
      <alignment horizontal="left" vertical="center" wrapText="1"/>
    </xf>
    <xf numFmtId="0" fontId="4" fillId="0" borderId="2" xfId="0" applyFont="1" applyBorder="1" applyAlignment="1">
      <alignment horizontal="left" vertical="center" wrapText="1"/>
    </xf>
    <xf numFmtId="0" fontId="10" fillId="0" borderId="0" xfId="0" applyFont="1" applyAlignment="1">
      <alignment horizontal="center" vertical="center" wrapText="1"/>
    </xf>
    <xf numFmtId="0" fontId="7" fillId="0" borderId="2" xfId="0" applyFont="1" applyBorder="1" applyAlignment="1">
      <alignment horizontal="center" vertical="center"/>
    </xf>
    <xf numFmtId="14" fontId="7" fillId="0" borderId="2" xfId="0" applyNumberFormat="1" applyFont="1" applyBorder="1" applyAlignment="1">
      <alignment horizontal="center" vertical="center"/>
    </xf>
    <xf numFmtId="0" fontId="0" fillId="0" borderId="0" xfId="0" applyAlignment="1">
      <alignment horizontal="center"/>
    </xf>
    <xf numFmtId="0" fontId="0" fillId="0" borderId="0" xfId="0" applyAlignment="1">
      <alignment horizontal="center" vertical="center"/>
    </xf>
    <xf numFmtId="0" fontId="7" fillId="0" borderId="2" xfId="0" applyFont="1" applyBorder="1" applyAlignment="1">
      <alignment horizontal="center" vertical="center" wrapText="1"/>
    </xf>
    <xf numFmtId="0" fontId="7" fillId="0" borderId="2" xfId="0" applyFont="1" applyBorder="1" applyAlignment="1">
      <alignment horizontal="left" vertical="center" wrapText="1"/>
    </xf>
    <xf numFmtId="0" fontId="11" fillId="0" borderId="8" xfId="0" applyFont="1" applyBorder="1" applyAlignment="1">
      <alignment vertical="center" wrapText="1"/>
    </xf>
    <xf numFmtId="0" fontId="11" fillId="0" borderId="8" xfId="0" applyFont="1" applyBorder="1" applyAlignment="1">
      <alignment horizontal="center" vertical="center" wrapText="1"/>
    </xf>
    <xf numFmtId="0" fontId="11" fillId="0" borderId="8"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xdr:col>
      <xdr:colOff>726901</xdr:colOff>
      <xdr:row>3</xdr:row>
      <xdr:rowOff>35718</xdr:rowOff>
    </xdr:from>
    <xdr:to>
      <xdr:col>1</xdr:col>
      <xdr:colOff>1524760</xdr:colOff>
      <xdr:row>3</xdr:row>
      <xdr:rowOff>35718</xdr:rowOff>
    </xdr:to>
    <xdr:cxnSp macro="">
      <xdr:nvCxnSpPr>
        <xdr:cNvPr id="2" name="Straight Connector 1">
          <a:extLst>
            <a:ext uri="{FF2B5EF4-FFF2-40B4-BE49-F238E27FC236}">
              <a16:creationId xmlns:a16="http://schemas.microsoft.com/office/drawing/2014/main" id="{00000000-0008-0000-0000-000002000000}"/>
            </a:ext>
          </a:extLst>
        </xdr:cNvPr>
        <xdr:cNvCxnSpPr/>
      </xdr:nvCxnSpPr>
      <xdr:spPr>
        <a:xfrm>
          <a:off x="1186342" y="1167512"/>
          <a:ext cx="79785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661353</xdr:colOff>
      <xdr:row>3</xdr:row>
      <xdr:rowOff>59456</xdr:rowOff>
    </xdr:from>
    <xdr:to>
      <xdr:col>7</xdr:col>
      <xdr:colOff>585107</xdr:colOff>
      <xdr:row>3</xdr:row>
      <xdr:rowOff>59456</xdr:rowOff>
    </xdr:to>
    <xdr:cxnSp macro="">
      <xdr:nvCxnSpPr>
        <xdr:cNvPr id="3" name="Straight Connector 2">
          <a:extLst>
            <a:ext uri="{FF2B5EF4-FFF2-40B4-BE49-F238E27FC236}">
              <a16:creationId xmlns:a16="http://schemas.microsoft.com/office/drawing/2014/main" id="{00000000-0008-0000-0000-000003000000}"/>
            </a:ext>
          </a:extLst>
        </xdr:cNvPr>
        <xdr:cNvCxnSpPr/>
      </xdr:nvCxnSpPr>
      <xdr:spPr>
        <a:xfrm>
          <a:off x="7560174" y="1216063"/>
          <a:ext cx="2032862"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922205</xdr:colOff>
      <xdr:row>0</xdr:row>
      <xdr:rowOff>524204</xdr:rowOff>
    </xdr:from>
    <xdr:to>
      <xdr:col>5</xdr:col>
      <xdr:colOff>166997</xdr:colOff>
      <xdr:row>0</xdr:row>
      <xdr:rowOff>524204</xdr:rowOff>
    </xdr:to>
    <xdr:cxnSp macro="">
      <xdr:nvCxnSpPr>
        <xdr:cNvPr id="4" name="Straight Connector 3">
          <a:extLst>
            <a:ext uri="{FF2B5EF4-FFF2-40B4-BE49-F238E27FC236}">
              <a16:creationId xmlns:a16="http://schemas.microsoft.com/office/drawing/2014/main" id="{00000000-0008-0000-0000-000004000000}"/>
            </a:ext>
          </a:extLst>
        </xdr:cNvPr>
        <xdr:cNvCxnSpPr/>
      </xdr:nvCxnSpPr>
      <xdr:spPr>
        <a:xfrm>
          <a:off x="5616669" y="524204"/>
          <a:ext cx="144914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967339</xdr:colOff>
      <xdr:row>3</xdr:row>
      <xdr:rowOff>533376</xdr:rowOff>
    </xdr:from>
    <xdr:to>
      <xdr:col>4</xdr:col>
      <xdr:colOff>804887</xdr:colOff>
      <xdr:row>3</xdr:row>
      <xdr:rowOff>533376</xdr:rowOff>
    </xdr:to>
    <xdr:cxnSp macro="">
      <xdr:nvCxnSpPr>
        <xdr:cNvPr id="6" name="Straight Connector 5">
          <a:extLst>
            <a:ext uri="{FF2B5EF4-FFF2-40B4-BE49-F238E27FC236}">
              <a16:creationId xmlns:a16="http://schemas.microsoft.com/office/drawing/2014/main" id="{00000000-0008-0000-0000-000006000000}"/>
            </a:ext>
          </a:extLst>
        </xdr:cNvPr>
        <xdr:cNvCxnSpPr/>
      </xdr:nvCxnSpPr>
      <xdr:spPr>
        <a:xfrm>
          <a:off x="5661803" y="1689983"/>
          <a:ext cx="1062191"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mc:AlternateContent xmlns:mc="http://schemas.openxmlformats.org/markup-compatibility/2006">
    <mc:Choice xmlns:a14="http://schemas.microsoft.com/office/drawing/2010/main" Requires="a14">
      <xdr:twoCellAnchor>
        <xdr:from>
          <xdr:col>6</xdr:col>
          <xdr:colOff>6350</xdr:colOff>
          <xdr:row>38</xdr:row>
          <xdr:rowOff>552450</xdr:rowOff>
        </xdr:from>
        <xdr:to>
          <xdr:col>8</xdr:col>
          <xdr:colOff>139700</xdr:colOff>
          <xdr:row>41</xdr:row>
          <xdr:rowOff>196850</xdr:rowOff>
        </xdr:to>
        <xdr:sp macro="" textlink="">
          <xdr:nvSpPr>
            <xdr:cNvPr id="1033" name="Object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B42E2-2B61-4B4F-A642-CBE7C4BEBB84}">
  <dimension ref="A1:R42"/>
  <sheetViews>
    <sheetView tabSelected="1" topLeftCell="A36" zoomScale="70" zoomScaleNormal="70" zoomScaleSheetLayoutView="70" workbookViewId="0">
      <selection activeCell="Q19" sqref="Q19"/>
    </sheetView>
  </sheetViews>
  <sheetFormatPr defaultRowHeight="32.5" customHeight="1" x14ac:dyDescent="0.35"/>
  <cols>
    <col min="1" max="1" width="6" customWidth="1"/>
    <col min="2" max="2" width="39.1796875" customWidth="1"/>
    <col min="3" max="3" width="21.1796875" customWidth="1"/>
    <col min="4" max="4" width="16.1796875" customWidth="1"/>
    <col min="5" max="5" width="12.81640625" customWidth="1"/>
    <col min="6" max="6" width="14.1796875" style="54" customWidth="1"/>
    <col min="7" max="8" width="13.54296875" customWidth="1"/>
    <col min="9" max="9" width="8.26953125" customWidth="1"/>
    <col min="10" max="10" width="7.1796875" customWidth="1"/>
    <col min="11" max="11" width="16.26953125" customWidth="1"/>
  </cols>
  <sheetData>
    <row r="1" spans="1:11" ht="42.75" customHeight="1" x14ac:dyDescent="0.35">
      <c r="A1" s="36" t="s">
        <v>0</v>
      </c>
      <c r="B1" s="37"/>
      <c r="C1" s="37"/>
      <c r="D1" s="37"/>
      <c r="E1" s="37"/>
      <c r="F1" s="37"/>
      <c r="G1" s="37"/>
      <c r="H1" s="37"/>
      <c r="I1" s="37"/>
      <c r="J1" s="37"/>
      <c r="K1" s="37"/>
    </row>
    <row r="2" spans="1:11" s="5" customFormat="1" ht="28.5" customHeight="1" x14ac:dyDescent="0.4">
      <c r="A2" s="40" t="s">
        <v>1</v>
      </c>
      <c r="B2" s="41"/>
      <c r="D2" s="45" t="s">
        <v>2</v>
      </c>
      <c r="E2" s="45"/>
      <c r="F2" s="45"/>
      <c r="G2" s="45"/>
      <c r="H2" s="45"/>
      <c r="I2" s="45"/>
      <c r="J2" s="45"/>
      <c r="K2" s="45"/>
    </row>
    <row r="3" spans="1:11" s="5" customFormat="1" ht="18.75" customHeight="1" x14ac:dyDescent="0.35">
      <c r="A3" s="42" t="s">
        <v>78</v>
      </c>
      <c r="B3" s="42"/>
      <c r="C3" s="6"/>
      <c r="D3" s="36" t="s">
        <v>3</v>
      </c>
      <c r="E3" s="36"/>
      <c r="F3" s="36"/>
      <c r="G3" s="36"/>
      <c r="H3" s="36"/>
      <c r="I3" s="36"/>
      <c r="J3" s="36"/>
      <c r="K3" s="36"/>
    </row>
    <row r="4" spans="1:11" ht="44.25" customHeight="1" x14ac:dyDescent="0.35">
      <c r="A4" s="36" t="s">
        <v>79</v>
      </c>
      <c r="B4" s="43"/>
      <c r="C4" s="43"/>
      <c r="D4" s="43"/>
      <c r="E4" s="43"/>
      <c r="F4" s="43"/>
      <c r="G4" s="43"/>
      <c r="H4" s="43"/>
      <c r="I4" s="43"/>
      <c r="J4" s="43"/>
      <c r="K4" s="43"/>
    </row>
    <row r="5" spans="1:11" ht="9" customHeight="1" x14ac:dyDescent="0.35">
      <c r="A5" s="39"/>
      <c r="B5" s="39"/>
      <c r="C5" s="39"/>
      <c r="D5" s="39"/>
      <c r="E5" s="39"/>
      <c r="F5" s="39"/>
      <c r="G5" s="39"/>
      <c r="H5" s="39"/>
      <c r="I5" s="39"/>
      <c r="J5" s="39"/>
      <c r="K5" s="39"/>
    </row>
    <row r="6" spans="1:11" ht="22" customHeight="1" x14ac:dyDescent="0.35">
      <c r="A6" s="38" t="s">
        <v>4</v>
      </c>
      <c r="B6" s="38" t="s">
        <v>5</v>
      </c>
      <c r="C6" s="38" t="s">
        <v>6</v>
      </c>
      <c r="D6" s="38" t="s">
        <v>7</v>
      </c>
      <c r="E6" s="38" t="s">
        <v>8</v>
      </c>
      <c r="F6" s="38" t="s">
        <v>9</v>
      </c>
      <c r="G6" s="38" t="s">
        <v>10</v>
      </c>
      <c r="H6" s="44" t="s">
        <v>11</v>
      </c>
      <c r="I6" s="44" t="s">
        <v>12</v>
      </c>
      <c r="J6" s="44" t="s">
        <v>13</v>
      </c>
      <c r="K6" s="44" t="s">
        <v>14</v>
      </c>
    </row>
    <row r="7" spans="1:11" ht="63.75" customHeight="1" x14ac:dyDescent="0.35">
      <c r="A7" s="38"/>
      <c r="B7" s="38"/>
      <c r="C7" s="38"/>
      <c r="D7" s="38"/>
      <c r="E7" s="38"/>
      <c r="F7" s="38"/>
      <c r="G7" s="38"/>
      <c r="H7" s="44"/>
      <c r="I7" s="44"/>
      <c r="J7" s="44"/>
      <c r="K7" s="44"/>
    </row>
    <row r="8" spans="1:11" ht="15" x14ac:dyDescent="0.35">
      <c r="A8" s="4" t="s">
        <v>15</v>
      </c>
      <c r="B8" s="4" t="s">
        <v>16</v>
      </c>
      <c r="C8" s="4" t="s">
        <v>17</v>
      </c>
      <c r="D8" s="4" t="s">
        <v>18</v>
      </c>
      <c r="E8" s="4" t="s">
        <v>19</v>
      </c>
      <c r="F8" s="4" t="s">
        <v>20</v>
      </c>
      <c r="G8" s="4" t="s">
        <v>21</v>
      </c>
      <c r="H8" s="4" t="s">
        <v>22</v>
      </c>
      <c r="I8" s="4" t="s">
        <v>23</v>
      </c>
      <c r="J8" s="4" t="s">
        <v>24</v>
      </c>
      <c r="K8" s="4" t="s">
        <v>24</v>
      </c>
    </row>
    <row r="9" spans="1:11" ht="31.5" customHeight="1" x14ac:dyDescent="0.35">
      <c r="A9" s="1" t="s">
        <v>25</v>
      </c>
      <c r="B9" s="46" t="s">
        <v>26</v>
      </c>
      <c r="C9" s="46"/>
      <c r="D9" s="46"/>
      <c r="E9" s="46"/>
      <c r="F9" s="46"/>
      <c r="G9" s="46"/>
      <c r="H9" s="46"/>
      <c r="I9" s="46"/>
      <c r="J9" s="46"/>
      <c r="K9" s="46"/>
    </row>
    <row r="10" spans="1:11" ht="22.5" customHeight="1" x14ac:dyDescent="0.35">
      <c r="A10" s="7">
        <v>1</v>
      </c>
      <c r="B10" s="48" t="s">
        <v>27</v>
      </c>
      <c r="C10" s="48"/>
      <c r="D10" s="48"/>
      <c r="E10" s="48"/>
      <c r="F10" s="48"/>
      <c r="G10" s="48"/>
      <c r="H10" s="48"/>
      <c r="I10" s="48"/>
      <c r="J10" s="48"/>
      <c r="K10" s="48"/>
    </row>
    <row r="11" spans="1:11" ht="74.25" hidden="1" customHeight="1" x14ac:dyDescent="0.35">
      <c r="A11" s="1"/>
      <c r="B11" s="2"/>
      <c r="C11" s="9"/>
      <c r="D11" s="9"/>
      <c r="E11" s="3"/>
      <c r="F11" s="1"/>
      <c r="G11" s="3"/>
      <c r="H11" s="1"/>
      <c r="I11" s="1">
        <f t="shared" ref="I11:I14" si="0">IF(G11="Khó và phức tạp",200,IF(G11="Cao",150,IF(G11="Trungbình",120,100)))</f>
        <v>100</v>
      </c>
      <c r="J11" s="1">
        <f t="shared" ref="J11:J14" si="1">I11*0.01</f>
        <v>1</v>
      </c>
      <c r="K11" s="11"/>
    </row>
    <row r="12" spans="1:11" ht="74.150000000000006" hidden="1" customHeight="1" x14ac:dyDescent="0.35">
      <c r="A12" s="1"/>
      <c r="B12" s="2"/>
      <c r="C12" s="9"/>
      <c r="D12" s="9"/>
      <c r="E12" s="3"/>
      <c r="F12" s="1"/>
      <c r="G12" s="3"/>
      <c r="H12" s="1"/>
      <c r="I12" s="1">
        <f t="shared" si="0"/>
        <v>100</v>
      </c>
      <c r="J12" s="1">
        <f t="shared" si="1"/>
        <v>1</v>
      </c>
      <c r="K12" s="11"/>
    </row>
    <row r="13" spans="1:11" ht="74.150000000000006" hidden="1" customHeight="1" x14ac:dyDescent="0.35">
      <c r="A13" s="1"/>
      <c r="B13" s="2"/>
      <c r="C13" s="9"/>
      <c r="D13" s="9"/>
      <c r="E13" s="3"/>
      <c r="F13" s="1"/>
      <c r="G13" s="3"/>
      <c r="H13" s="1"/>
      <c r="I13" s="1">
        <f t="shared" si="0"/>
        <v>100</v>
      </c>
      <c r="J13" s="1">
        <f t="shared" si="1"/>
        <v>1</v>
      </c>
      <c r="K13" s="11"/>
    </row>
    <row r="14" spans="1:11" ht="74.150000000000006" hidden="1" customHeight="1" x14ac:dyDescent="0.35">
      <c r="A14" s="20"/>
      <c r="B14" s="21"/>
      <c r="C14" s="22"/>
      <c r="D14" s="22"/>
      <c r="E14" s="23"/>
      <c r="F14" s="20"/>
      <c r="G14" s="23"/>
      <c r="H14" s="20"/>
      <c r="I14" s="20">
        <f t="shared" si="0"/>
        <v>100</v>
      </c>
      <c r="J14" s="20">
        <f t="shared" si="1"/>
        <v>1</v>
      </c>
      <c r="K14" s="24"/>
    </row>
    <row r="15" spans="1:11" s="25" customFormat="1" ht="62" x14ac:dyDescent="0.35">
      <c r="A15" s="3">
        <v>1.1000000000000001</v>
      </c>
      <c r="B15" s="57" t="s">
        <v>82</v>
      </c>
      <c r="C15" s="30" t="s">
        <v>80</v>
      </c>
      <c r="D15" s="9" t="s">
        <v>46</v>
      </c>
      <c r="E15" s="56" t="s">
        <v>81</v>
      </c>
      <c r="F15" s="52">
        <v>4</v>
      </c>
      <c r="G15" s="3" t="s">
        <v>29</v>
      </c>
      <c r="H15" s="53">
        <v>46356</v>
      </c>
      <c r="I15" s="3">
        <v>100</v>
      </c>
      <c r="J15" s="52">
        <f>I15/100</f>
        <v>1</v>
      </c>
      <c r="K15" s="3"/>
    </row>
    <row r="16" spans="1:11" s="25" customFormat="1" ht="31" x14ac:dyDescent="0.35">
      <c r="A16" s="3">
        <v>1.2</v>
      </c>
      <c r="B16" s="57" t="s">
        <v>83</v>
      </c>
      <c r="C16" s="30" t="s">
        <v>80</v>
      </c>
      <c r="D16" s="56" t="s">
        <v>84</v>
      </c>
      <c r="E16" s="52" t="s">
        <v>85</v>
      </c>
      <c r="F16" s="52">
        <v>39</v>
      </c>
      <c r="G16" s="3" t="s">
        <v>29</v>
      </c>
      <c r="H16" s="53">
        <v>46386</v>
      </c>
      <c r="I16" s="3">
        <v>100</v>
      </c>
      <c r="J16" s="52">
        <f>I16/100</f>
        <v>1</v>
      </c>
      <c r="K16" s="3"/>
    </row>
    <row r="17" spans="1:18" s="25" customFormat="1" ht="31" x14ac:dyDescent="0.35">
      <c r="A17" s="3">
        <v>1.3</v>
      </c>
      <c r="B17" s="58" t="s">
        <v>86</v>
      </c>
      <c r="C17" s="60" t="s">
        <v>34</v>
      </c>
      <c r="D17" s="58" t="s">
        <v>46</v>
      </c>
      <c r="E17" s="58" t="s">
        <v>87</v>
      </c>
      <c r="F17" s="59">
        <v>17</v>
      </c>
      <c r="G17" s="58" t="s">
        <v>88</v>
      </c>
      <c r="H17" s="58" t="s">
        <v>89</v>
      </c>
      <c r="I17" s="59">
        <f t="shared" ref="I17" si="2">IF(G17="Khó và phức tạp",200,IF(G17="Cao",150,IF(G17="Trungbình",120,100)))</f>
        <v>200</v>
      </c>
      <c r="J17" s="59">
        <f t="shared" ref="J17:J18" si="3">I17*0.01</f>
        <v>2</v>
      </c>
      <c r="K17" s="3"/>
      <c r="N17" s="25">
        <v>1</v>
      </c>
    </row>
    <row r="18" spans="1:18" s="25" customFormat="1" ht="31" x14ac:dyDescent="0.35">
      <c r="A18" s="3">
        <v>1.4</v>
      </c>
      <c r="B18" s="58" t="s">
        <v>90</v>
      </c>
      <c r="C18" s="59" t="s">
        <v>91</v>
      </c>
      <c r="D18" s="58" t="s">
        <v>92</v>
      </c>
      <c r="E18" s="58" t="s">
        <v>93</v>
      </c>
      <c r="F18" s="59">
        <v>2</v>
      </c>
      <c r="G18" s="58" t="s">
        <v>29</v>
      </c>
      <c r="H18" s="58" t="s">
        <v>94</v>
      </c>
      <c r="I18" s="59">
        <f>IF(G18="Khó và phức tạp",200,IF(G18="Cao",150,IF(G18="Trungbình",120,100)))</f>
        <v>100</v>
      </c>
      <c r="J18" s="59">
        <f t="shared" si="3"/>
        <v>1</v>
      </c>
      <c r="K18" s="3"/>
    </row>
    <row r="19" spans="1:18" ht="34.5" customHeight="1" x14ac:dyDescent="0.35">
      <c r="A19" s="3">
        <v>1.5</v>
      </c>
      <c r="B19" s="29" t="s">
        <v>36</v>
      </c>
      <c r="C19" s="30" t="s">
        <v>34</v>
      </c>
      <c r="D19" s="30" t="s">
        <v>35</v>
      </c>
      <c r="E19" s="31" t="s">
        <v>37</v>
      </c>
      <c r="F19" s="14" t="s">
        <v>38</v>
      </c>
      <c r="G19" s="3" t="s">
        <v>29</v>
      </c>
      <c r="H19" s="32" t="s">
        <v>39</v>
      </c>
      <c r="I19" s="3">
        <v>120</v>
      </c>
      <c r="J19" s="3">
        <f>I19*0.01</f>
        <v>1.2</v>
      </c>
      <c r="K19" s="3"/>
    </row>
    <row r="20" spans="1:18" ht="31" x14ac:dyDescent="0.35">
      <c r="A20" s="3">
        <v>1.6</v>
      </c>
      <c r="B20" s="33" t="s">
        <v>40</v>
      </c>
      <c r="C20" s="19" t="s">
        <v>34</v>
      </c>
      <c r="D20" s="30" t="s">
        <v>35</v>
      </c>
      <c r="E20" s="31" t="s">
        <v>41</v>
      </c>
      <c r="F20" s="14" t="s">
        <v>38</v>
      </c>
      <c r="G20" s="32" t="s">
        <v>42</v>
      </c>
      <c r="H20" s="32" t="s">
        <v>39</v>
      </c>
      <c r="I20" s="3">
        <f>IF(G20="Khó và phức tạp",200,IF(G20="Cao",150,IF(G20="Trungbình",120,100)))</f>
        <v>100</v>
      </c>
      <c r="J20" s="3">
        <f>I20*0.01</f>
        <v>1</v>
      </c>
      <c r="K20" s="3"/>
    </row>
    <row r="21" spans="1:18" ht="31" x14ac:dyDescent="0.35">
      <c r="A21" s="3">
        <v>1.7</v>
      </c>
      <c r="B21" s="29" t="s">
        <v>43</v>
      </c>
      <c r="C21" s="30" t="s">
        <v>34</v>
      </c>
      <c r="D21" s="30" t="s">
        <v>35</v>
      </c>
      <c r="E21" s="31" t="s">
        <v>44</v>
      </c>
      <c r="F21" s="14">
        <v>3</v>
      </c>
      <c r="G21" s="3" t="s">
        <v>29</v>
      </c>
      <c r="H21" s="32" t="s">
        <v>39</v>
      </c>
      <c r="I21" s="3">
        <v>120</v>
      </c>
      <c r="J21" s="3">
        <f>I21*0.01</f>
        <v>1.2</v>
      </c>
      <c r="K21" s="3"/>
    </row>
    <row r="22" spans="1:18" ht="22.5" customHeight="1" x14ac:dyDescent="0.35">
      <c r="A22" s="7">
        <v>2</v>
      </c>
      <c r="B22" s="48" t="s">
        <v>47</v>
      </c>
      <c r="C22" s="48"/>
      <c r="D22" s="48"/>
      <c r="E22" s="48"/>
      <c r="F22" s="48"/>
      <c r="G22" s="48"/>
      <c r="H22" s="48"/>
      <c r="I22" s="48"/>
      <c r="J22" s="48"/>
      <c r="K22" s="48"/>
      <c r="R22">
        <v>1</v>
      </c>
    </row>
    <row r="23" spans="1:18" ht="46.5" x14ac:dyDescent="0.35">
      <c r="A23" s="3">
        <v>2.1</v>
      </c>
      <c r="B23" s="12" t="s">
        <v>61</v>
      </c>
      <c r="C23" s="9" t="s">
        <v>31</v>
      </c>
      <c r="D23" s="9" t="s">
        <v>62</v>
      </c>
      <c r="E23" s="3" t="s">
        <v>30</v>
      </c>
      <c r="F23" s="3">
        <v>4</v>
      </c>
      <c r="G23" s="3" t="s">
        <v>42</v>
      </c>
      <c r="H23" s="3" t="s">
        <v>63</v>
      </c>
      <c r="I23" s="3">
        <f>IF(G23="Khó và phức tạp",200,IF(G23="Cao",150,IF(G23="Trungbình",120,100)))</f>
        <v>100</v>
      </c>
      <c r="J23" s="3">
        <f>I23*0.01</f>
        <v>1</v>
      </c>
      <c r="K23" s="3"/>
    </row>
    <row r="24" spans="1:18" ht="31" x14ac:dyDescent="0.35">
      <c r="A24" s="3">
        <v>2.2000000000000002</v>
      </c>
      <c r="B24" s="2" t="s">
        <v>50</v>
      </c>
      <c r="C24" s="9" t="s">
        <v>28</v>
      </c>
      <c r="D24" s="9" t="s">
        <v>51</v>
      </c>
      <c r="E24" s="3" t="s">
        <v>52</v>
      </c>
      <c r="F24" s="3">
        <v>1</v>
      </c>
      <c r="G24" s="3" t="s">
        <v>29</v>
      </c>
      <c r="H24" s="3" t="s">
        <v>53</v>
      </c>
      <c r="I24" s="3">
        <v>100</v>
      </c>
      <c r="J24" s="3"/>
      <c r="K24" s="3"/>
    </row>
    <row r="25" spans="1:18" ht="22.5" customHeight="1" x14ac:dyDescent="0.35">
      <c r="A25" s="7">
        <v>3</v>
      </c>
      <c r="B25" s="48" t="s">
        <v>54</v>
      </c>
      <c r="C25" s="48"/>
      <c r="D25" s="48"/>
      <c r="E25" s="48"/>
      <c r="F25" s="48"/>
      <c r="G25" s="48"/>
      <c r="H25" s="48"/>
      <c r="I25" s="48"/>
      <c r="J25" s="48"/>
      <c r="K25" s="48"/>
    </row>
    <row r="26" spans="1:18" ht="46.5" x14ac:dyDescent="0.35">
      <c r="A26" s="3">
        <v>3.1</v>
      </c>
      <c r="B26" s="13" t="s">
        <v>64</v>
      </c>
      <c r="C26" s="9" t="s">
        <v>48</v>
      </c>
      <c r="D26" s="9" t="s">
        <v>46</v>
      </c>
      <c r="E26" s="3" t="s">
        <v>65</v>
      </c>
      <c r="F26" s="3">
        <v>29</v>
      </c>
      <c r="G26" s="3" t="s">
        <v>29</v>
      </c>
      <c r="H26" s="3"/>
      <c r="I26" s="3">
        <f t="shared" ref="I26" si="4">IF(G26="Khó và phức tạp",200,IF(G26="Cao",150,IF(G26="Trungbình",120,100)))</f>
        <v>100</v>
      </c>
      <c r="J26" s="3">
        <f t="shared" ref="J26" si="5">I26*0.01</f>
        <v>1</v>
      </c>
      <c r="K26" s="3"/>
    </row>
    <row r="27" spans="1:18" ht="46.5" customHeight="1" x14ac:dyDescent="0.35">
      <c r="A27" s="7">
        <v>4</v>
      </c>
      <c r="B27" s="50" t="s">
        <v>55</v>
      </c>
      <c r="C27" s="50"/>
      <c r="D27" s="50"/>
      <c r="E27" s="50"/>
      <c r="F27" s="50"/>
      <c r="G27" s="50"/>
      <c r="H27" s="50"/>
      <c r="I27" s="50"/>
      <c r="J27" s="50"/>
      <c r="K27" s="50"/>
    </row>
    <row r="28" spans="1:18" ht="46.5" x14ac:dyDescent="0.35">
      <c r="A28" s="3">
        <v>4.0999999999999996</v>
      </c>
      <c r="B28" s="15" t="s">
        <v>66</v>
      </c>
      <c r="C28" s="16" t="s">
        <v>67</v>
      </c>
      <c r="D28" s="16" t="s">
        <v>49</v>
      </c>
      <c r="E28" s="16" t="s">
        <v>68</v>
      </c>
      <c r="F28" s="9">
        <v>1</v>
      </c>
      <c r="G28" s="16" t="s">
        <v>42</v>
      </c>
      <c r="H28" s="3" t="s">
        <v>45</v>
      </c>
      <c r="I28" s="3">
        <f>IF(G28="Khó và phức tạp",200,IF(G28="Cao",150,IF(G28="Trungbình",120,100)))</f>
        <v>100</v>
      </c>
      <c r="J28" s="3">
        <f>I28*0.01</f>
        <v>1</v>
      </c>
      <c r="K28" s="11"/>
    </row>
    <row r="29" spans="1:18" ht="46.5" x14ac:dyDescent="0.35">
      <c r="A29" s="3">
        <v>4.2</v>
      </c>
      <c r="B29" s="17" t="s">
        <v>69</v>
      </c>
      <c r="C29" s="16" t="s">
        <v>67</v>
      </c>
      <c r="D29" s="16" t="s">
        <v>33</v>
      </c>
      <c r="E29" s="16" t="s">
        <v>70</v>
      </c>
      <c r="F29" s="9">
        <v>1</v>
      </c>
      <c r="G29" s="16" t="s">
        <v>42</v>
      </c>
      <c r="H29" s="3" t="s">
        <v>45</v>
      </c>
      <c r="I29" s="3">
        <f t="shared" ref="I29" si="6">IF(G29="Khó và phức tạp",200,IF(G29="Cao",150,IF(G29="Trungbình",120,100)))</f>
        <v>100</v>
      </c>
      <c r="J29" s="3">
        <f t="shared" ref="J29:J33" si="7">I29*0.01</f>
        <v>1</v>
      </c>
      <c r="K29" s="10"/>
    </row>
    <row r="30" spans="1:18" ht="22.5" customHeight="1" x14ac:dyDescent="0.35">
      <c r="A30" s="7">
        <v>5</v>
      </c>
      <c r="B30" s="48" t="s">
        <v>56</v>
      </c>
      <c r="C30" s="48"/>
      <c r="D30" s="48"/>
      <c r="E30" s="48"/>
      <c r="F30" s="48"/>
      <c r="G30" s="48"/>
      <c r="H30" s="48"/>
      <c r="I30" s="48"/>
      <c r="J30" s="48"/>
      <c r="K30" s="48"/>
    </row>
    <row r="31" spans="1:18" ht="46.5" x14ac:dyDescent="0.35">
      <c r="A31" s="9">
        <v>5.0999999999999996</v>
      </c>
      <c r="B31" s="16" t="s">
        <v>71</v>
      </c>
      <c r="C31" s="16" t="s">
        <v>72</v>
      </c>
      <c r="D31" s="16" t="s">
        <v>73</v>
      </c>
      <c r="E31" s="26" t="s">
        <v>32</v>
      </c>
      <c r="F31" s="9"/>
      <c r="G31" s="16" t="s">
        <v>29</v>
      </c>
      <c r="H31" s="27">
        <v>46305</v>
      </c>
      <c r="I31" s="9">
        <f>IF(G31="Khó và phức tạp",200,IF(G31="Cao",150,IF(G31="Trungbình",120,100)))</f>
        <v>100</v>
      </c>
      <c r="J31" s="9">
        <f t="shared" si="7"/>
        <v>1</v>
      </c>
      <c r="K31" s="28"/>
    </row>
    <row r="32" spans="1:18" ht="22.5" customHeight="1" x14ac:dyDescent="0.35">
      <c r="A32" s="7">
        <v>6</v>
      </c>
      <c r="B32" s="48" t="s">
        <v>57</v>
      </c>
      <c r="C32" s="48"/>
      <c r="D32" s="48"/>
      <c r="E32" s="48"/>
      <c r="F32" s="48"/>
      <c r="G32" s="48"/>
      <c r="H32" s="48"/>
      <c r="I32" s="48"/>
      <c r="J32" s="48"/>
      <c r="K32" s="48"/>
    </row>
    <row r="33" spans="1:16" ht="54" x14ac:dyDescent="0.35">
      <c r="A33" s="3">
        <v>6.1</v>
      </c>
      <c r="B33" s="2" t="s">
        <v>74</v>
      </c>
      <c r="C33" s="18" t="s">
        <v>48</v>
      </c>
      <c r="D33" s="18" t="s">
        <v>49</v>
      </c>
      <c r="E33" s="2" t="s">
        <v>75</v>
      </c>
      <c r="F33" s="3"/>
      <c r="G33" s="2" t="s">
        <v>29</v>
      </c>
      <c r="H33" s="3"/>
      <c r="I33" s="3">
        <f t="shared" ref="I33" si="8">IF(G33="Khó và phức tạp",200,IF(G33="Cao",150,IF(G33="Trungbình",120,100)))</f>
        <v>100</v>
      </c>
      <c r="J33" s="3">
        <f t="shared" si="7"/>
        <v>1</v>
      </c>
      <c r="K33" s="3"/>
    </row>
    <row r="34" spans="1:16" ht="22.5" customHeight="1" x14ac:dyDescent="0.35">
      <c r="A34" s="7" t="s">
        <v>58</v>
      </c>
      <c r="B34" s="48" t="s">
        <v>59</v>
      </c>
      <c r="C34" s="48"/>
      <c r="D34" s="48"/>
      <c r="E34" s="48"/>
      <c r="F34" s="48"/>
      <c r="G34" s="48"/>
      <c r="H34" s="48"/>
      <c r="I34" s="48"/>
      <c r="J34" s="48"/>
      <c r="K34" s="48"/>
    </row>
    <row r="35" spans="1:16" ht="15.5" x14ac:dyDescent="0.35">
      <c r="A35" s="3">
        <v>1</v>
      </c>
      <c r="B35" s="2"/>
      <c r="C35" s="9"/>
      <c r="D35" s="9"/>
      <c r="E35" s="3"/>
      <c r="F35" s="1"/>
      <c r="G35" s="3"/>
      <c r="H35" s="3"/>
      <c r="I35" s="1"/>
      <c r="J35" s="1"/>
      <c r="K35" s="11"/>
    </row>
    <row r="36" spans="1:16" ht="15.5" x14ac:dyDescent="0.35">
      <c r="A36" s="3"/>
      <c r="B36" s="2"/>
      <c r="C36" s="9"/>
      <c r="D36" s="9"/>
      <c r="E36" s="3"/>
      <c r="F36" s="1"/>
      <c r="G36" s="3"/>
      <c r="H36" s="3"/>
      <c r="I36" s="1"/>
      <c r="J36" s="1"/>
      <c r="K36" s="10"/>
    </row>
    <row r="37" spans="1:16" ht="15.5" x14ac:dyDescent="0.35">
      <c r="A37" s="3"/>
      <c r="B37" s="2"/>
      <c r="C37" s="9"/>
      <c r="D37" s="9"/>
      <c r="E37" s="3"/>
      <c r="F37" s="1"/>
      <c r="G37" s="3"/>
      <c r="H37" s="3"/>
      <c r="I37" s="1"/>
      <c r="J37" s="1"/>
      <c r="K37" s="3"/>
    </row>
    <row r="38" spans="1:16" s="8" customFormat="1" ht="119.25" customHeight="1" x14ac:dyDescent="0.35">
      <c r="B38" s="49" t="s">
        <v>60</v>
      </c>
      <c r="C38" s="49"/>
      <c r="D38" s="49"/>
      <c r="E38" s="49"/>
      <c r="F38" s="49"/>
      <c r="G38" s="49"/>
      <c r="H38" s="49"/>
      <c r="I38" s="49"/>
      <c r="J38" s="49"/>
      <c r="K38" s="49"/>
    </row>
    <row r="39" spans="1:16" ht="49.5" customHeight="1" x14ac:dyDescent="0.35">
      <c r="A39" s="47" t="s">
        <v>77</v>
      </c>
      <c r="B39" s="47"/>
      <c r="C39" s="47"/>
      <c r="D39" s="34"/>
      <c r="E39" s="51" t="s">
        <v>76</v>
      </c>
      <c r="F39" s="51"/>
      <c r="G39" s="51"/>
      <c r="H39" s="51"/>
      <c r="I39" s="51"/>
      <c r="J39" s="51"/>
      <c r="K39" s="51"/>
      <c r="L39" s="35"/>
      <c r="M39" s="35"/>
      <c r="N39" s="35"/>
      <c r="O39" s="35"/>
      <c r="P39" s="35"/>
    </row>
    <row r="40" spans="1:16" ht="15" customHeight="1" x14ac:dyDescent="0.35">
      <c r="A40" s="47"/>
      <c r="B40" s="47"/>
      <c r="C40" s="47"/>
      <c r="D40" s="34"/>
      <c r="E40" s="34"/>
      <c r="F40" s="55"/>
      <c r="G40" s="34"/>
      <c r="H40" s="34"/>
    </row>
    <row r="41" spans="1:16" ht="15" customHeight="1" x14ac:dyDescent="0.35">
      <c r="A41" s="47"/>
      <c r="B41" s="47"/>
      <c r="C41" s="47"/>
      <c r="D41" s="34"/>
      <c r="E41" s="34"/>
      <c r="F41" s="55"/>
      <c r="G41" s="34"/>
      <c r="H41" s="34"/>
    </row>
    <row r="42" spans="1:16" ht="48.65" customHeight="1" x14ac:dyDescent="0.35">
      <c r="A42" s="47"/>
      <c r="B42" s="47"/>
      <c r="C42" s="47"/>
      <c r="D42" s="34"/>
      <c r="E42" s="51" t="s">
        <v>31</v>
      </c>
      <c r="F42" s="51"/>
      <c r="G42" s="51"/>
      <c r="H42" s="51"/>
      <c r="I42" s="51"/>
      <c r="J42" s="51"/>
      <c r="K42" s="51"/>
      <c r="L42" s="35"/>
      <c r="M42" s="35"/>
      <c r="N42" s="35"/>
      <c r="O42" s="35"/>
      <c r="P42" s="35"/>
    </row>
  </sheetData>
  <mergeCells count="30">
    <mergeCell ref="I6:I7"/>
    <mergeCell ref="J6:J7"/>
    <mergeCell ref="B9:K9"/>
    <mergeCell ref="A39:C42"/>
    <mergeCell ref="B34:K34"/>
    <mergeCell ref="B38:K38"/>
    <mergeCell ref="B10:K10"/>
    <mergeCell ref="B22:K22"/>
    <mergeCell ref="B25:K25"/>
    <mergeCell ref="B27:K27"/>
    <mergeCell ref="B30:K30"/>
    <mergeCell ref="B32:K32"/>
    <mergeCell ref="E39:K39"/>
    <mergeCell ref="E42:K42"/>
    <mergeCell ref="A1:K1"/>
    <mergeCell ref="F6:F7"/>
    <mergeCell ref="G6:G7"/>
    <mergeCell ref="A6:A7"/>
    <mergeCell ref="B6:B7"/>
    <mergeCell ref="C6:C7"/>
    <mergeCell ref="D6:D7"/>
    <mergeCell ref="E6:E7"/>
    <mergeCell ref="A5:K5"/>
    <mergeCell ref="A2:B2"/>
    <mergeCell ref="A3:B3"/>
    <mergeCell ref="A4:K4"/>
    <mergeCell ref="K6:K7"/>
    <mergeCell ref="D2:K2"/>
    <mergeCell ref="D3:K3"/>
    <mergeCell ref="H6:H7"/>
  </mergeCells>
  <conditionalFormatting sqref="C11:C14">
    <cfRule type="dataBar" priority="32">
      <dataBar>
        <cfvo type="min"/>
        <cfvo type="max"/>
        <color rgb="FF638EC6"/>
      </dataBar>
      <extLst>
        <ext xmlns:x14="http://schemas.microsoft.com/office/spreadsheetml/2009/9/main" uri="{B025F937-C7B1-47D3-B67F-A62EFF666E3E}">
          <x14:id>{503E23DC-A883-4E4A-9CEB-0585580125FE}</x14:id>
        </ext>
      </extLst>
    </cfRule>
  </conditionalFormatting>
  <conditionalFormatting sqref="C23">
    <cfRule type="dataBar" priority="16">
      <dataBar>
        <cfvo type="min"/>
        <cfvo type="max"/>
        <color rgb="FF638EC6"/>
      </dataBar>
      <extLst>
        <ext xmlns:x14="http://schemas.microsoft.com/office/spreadsheetml/2009/9/main" uri="{B025F937-C7B1-47D3-B67F-A62EFF666E3E}">
          <x14:id>{7017E1B2-8C78-455D-9451-CE7221F31692}</x14:id>
        </ext>
      </extLst>
    </cfRule>
  </conditionalFormatting>
  <conditionalFormatting sqref="C24">
    <cfRule type="dataBar" priority="28">
      <dataBar>
        <cfvo type="min"/>
        <cfvo type="max"/>
        <color rgb="FF638EC6"/>
      </dataBar>
      <extLst>
        <ext xmlns:x14="http://schemas.microsoft.com/office/spreadsheetml/2009/9/main" uri="{B025F937-C7B1-47D3-B67F-A62EFF666E3E}">
          <x14:id>{CBD7B373-A4C1-41FB-A25C-F14BF1ED705A}</x14:id>
        </ext>
      </extLst>
    </cfRule>
  </conditionalFormatting>
  <conditionalFormatting sqref="C26">
    <cfRule type="dataBar" priority="15">
      <dataBar>
        <cfvo type="min"/>
        <cfvo type="max"/>
        <color rgb="FF638EC6"/>
      </dataBar>
      <extLst>
        <ext xmlns:x14="http://schemas.microsoft.com/office/spreadsheetml/2009/9/main" uri="{B025F937-C7B1-47D3-B67F-A62EFF666E3E}">
          <x14:id>{91700ECC-B2D9-4361-83AF-A4881B6078A8}</x14:id>
        </ext>
      </extLst>
    </cfRule>
  </conditionalFormatting>
  <conditionalFormatting sqref="C28">
    <cfRule type="dataBar" priority="12">
      <dataBar>
        <cfvo type="min"/>
        <cfvo type="max"/>
        <color rgb="FF638EC6"/>
      </dataBar>
      <extLst>
        <ext xmlns:x14="http://schemas.microsoft.com/office/spreadsheetml/2009/9/main" uri="{B025F937-C7B1-47D3-B67F-A62EFF666E3E}">
          <x14:id>{3ADF2771-9003-4836-91A5-B8D80B7D3F77}</x14:id>
        </ext>
      </extLst>
    </cfRule>
  </conditionalFormatting>
  <conditionalFormatting sqref="C29">
    <cfRule type="dataBar" priority="13">
      <dataBar>
        <cfvo type="min"/>
        <cfvo type="max"/>
        <color rgb="FF638EC6"/>
      </dataBar>
      <extLst>
        <ext xmlns:x14="http://schemas.microsoft.com/office/spreadsheetml/2009/9/main" uri="{B025F937-C7B1-47D3-B67F-A62EFF666E3E}">
          <x14:id>{C1D4BB8E-9C92-4971-AFE8-8B993D4CDA8D}</x14:id>
        </ext>
      </extLst>
    </cfRule>
  </conditionalFormatting>
  <conditionalFormatting sqref="C31">
    <cfRule type="dataBar" priority="11">
      <dataBar>
        <cfvo type="min"/>
        <cfvo type="max"/>
        <color rgb="FF638EC6"/>
      </dataBar>
      <extLst>
        <ext xmlns:x14="http://schemas.microsoft.com/office/spreadsheetml/2009/9/main" uri="{B025F937-C7B1-47D3-B67F-A62EFF666E3E}">
          <x14:id>{1B453D49-8B37-4AE9-BB1C-160BC279DF44}</x14:id>
        </ext>
      </extLst>
    </cfRule>
  </conditionalFormatting>
  <conditionalFormatting sqref="C33">
    <cfRule type="dataBar" priority="10">
      <dataBar>
        <cfvo type="min"/>
        <cfvo type="max"/>
        <color rgb="FF638EC6"/>
      </dataBar>
      <extLst>
        <ext xmlns:x14="http://schemas.microsoft.com/office/spreadsheetml/2009/9/main" uri="{B025F937-C7B1-47D3-B67F-A62EFF666E3E}">
          <x14:id>{17F4DF5D-9953-48C9-9579-4337C2E895E7}</x14:id>
        </ext>
      </extLst>
    </cfRule>
  </conditionalFormatting>
  <conditionalFormatting sqref="C35:C37">
    <cfRule type="dataBar" priority="19">
      <dataBar>
        <cfvo type="min"/>
        <cfvo type="max"/>
        <color rgb="FF638EC6"/>
      </dataBar>
      <extLst>
        <ext xmlns:x14="http://schemas.microsoft.com/office/spreadsheetml/2009/9/main" uri="{B025F937-C7B1-47D3-B67F-A62EFF666E3E}">
          <x14:id>{2EA7D65E-B8CA-499C-8421-2AC504B81EAC}</x14:id>
        </ext>
      </extLst>
    </cfRule>
  </conditionalFormatting>
  <conditionalFormatting sqref="C18">
    <cfRule type="dataBar" priority="1">
      <dataBar>
        <cfvo type="min"/>
        <cfvo type="max"/>
        <color rgb="FF638EC6"/>
      </dataBar>
      <extLst>
        <ext xmlns:x14="http://schemas.microsoft.com/office/spreadsheetml/2009/9/main" uri="{B025F937-C7B1-47D3-B67F-A62EFF666E3E}">
          <x14:id>{89F58843-61CF-41D5-A814-9761484409D0}</x14:id>
        </ext>
      </extLst>
    </cfRule>
  </conditionalFormatting>
  <dataValidations count="5">
    <dataValidation type="list" allowBlank="1" showInputMessage="1" sqref="D35:D37 D26 D23:D24 D28:D29 D33 D31 D11:D15 D18" xr:uid="{723BBEA1-CDA5-4E90-B789-0CB64C257373}">
      <formula1>"Phòng QLĐT&amp;BĐCL, Phòng TH-HC&amp;QT, Phòng QLKHCN&amp;HTPT, Phòng TC-KT, Phòng  TCCB&amp;CTHSSV, Khoa Sư phạm, Khoa CKHCB, Khoa KT&amp;NL, Khoa Y – Dược, Khoa ĐT&amp;SHLX, Khoa KT&amp;CN"</formula1>
    </dataValidation>
    <dataValidation type="list" allowBlank="1" showInputMessage="1" sqref="C28:C29 C26 C23:C24 C35:C37 C33 C11:C14 C31 C18" xr:uid="{9D67AEC4-2B59-40A3-9470-A85A768A8BE7}">
      <formula1>"Hiệu trưởng, PHT Nguyễn Trung Hiếu, PHT Huỳnh Văn Chung, PHT Dương Văn Anh Dũng, Bí thư Đảng uỷ, Phó Bí thư Đảng uỷ, Uỷ viên BTV, Chủ tịch Công đoàn, Bí thư ĐTN, Chủ tịch HSV"</formula1>
    </dataValidation>
    <dataValidation type="list" allowBlank="1" showInputMessage="1" sqref="E35:E37 E23:E24 E33 E29 E26 E11:E14 E31 E18" xr:uid="{10414675-0940-4244-865E-D79A397278C2}">
      <formula1>"Bảng thống kê,Báo cáo,Biên bản,Chương trình,Công văn,Đề án,Giấy mời,Hồ sơ chuyên môn,Hợp đồng,Hướng dẫn,Kế hoạch,Kết luận,Nghị quyết,Phiếu chuyển,Phiếu trình,Phương án,Quy chế,Quyết định,Tài liệu hướng dẫn,Thông báo,Tờ trình"</formula1>
    </dataValidation>
    <dataValidation type="list" allowBlank="1" showInputMessage="1" sqref="G28:G29 G33 G26 G23:G24 G35:G37 G21 G11:G16 G31 G18:G19" xr:uid="{242DABCC-F988-4BD7-A39A-B18DD09F67B5}">
      <formula1>"Thấp,Trung bình,Cao,Khó và phức tạp"</formula1>
    </dataValidation>
    <dataValidation allowBlank="1" showInputMessage="1" sqref="H28:K29 H26:K26 H23:K24 H35:K37 H33:K33 H31:K31 H11:K14 I19:J21 I15:I16 H17:J18 K15:K21" xr:uid="{7A6D0803-D5AA-4103-B723-48076D69A4E4}"/>
  </dataValidations>
  <pageMargins left="0.31496062992126" right="0.31496062992126" top="0.39370078740157499" bottom="0.39370078740157499" header="0.31496062992126" footer="0.31496062992126"/>
  <pageSetup paperSize="9" scale="50" orientation="portrait" r:id="rId1"/>
  <drawing r:id="rId2"/>
  <legacyDrawing r:id="rId3"/>
  <oleObjects>
    <mc:AlternateContent xmlns:mc="http://schemas.openxmlformats.org/markup-compatibility/2006">
      <mc:Choice Requires="x14">
        <oleObject progId="PBrush" shapeId="1033" r:id="rId4">
          <objectPr defaultSize="0" autoPict="0" r:id="rId5">
            <anchor moveWithCells="1" sizeWithCells="1">
              <from>
                <xdr:col>6</xdr:col>
                <xdr:colOff>6350</xdr:colOff>
                <xdr:row>38</xdr:row>
                <xdr:rowOff>552450</xdr:rowOff>
              </from>
              <to>
                <xdr:col>8</xdr:col>
                <xdr:colOff>139700</xdr:colOff>
                <xdr:row>41</xdr:row>
                <xdr:rowOff>196850</xdr:rowOff>
              </to>
            </anchor>
          </objectPr>
        </oleObject>
      </mc:Choice>
      <mc:Fallback>
        <oleObject progId="PBrush" shapeId="1033" r:id="rId4"/>
      </mc:Fallback>
    </mc:AlternateContent>
  </oleObjects>
  <extLst>
    <ext xmlns:x14="http://schemas.microsoft.com/office/spreadsheetml/2009/9/main" uri="{78C0D931-6437-407d-A8EE-F0AAD7539E65}">
      <x14:conditionalFormattings>
        <x14:conditionalFormatting xmlns:xm="http://schemas.microsoft.com/office/excel/2006/main">
          <x14:cfRule type="dataBar" id="{503E23DC-A883-4E4A-9CEB-0585580125FE}">
            <x14:dataBar minLength="0" maxLength="100" gradient="0">
              <x14:cfvo type="autoMin"/>
              <x14:cfvo type="autoMax"/>
              <x14:negativeFillColor rgb="FFFF0000"/>
              <x14:axisColor rgb="FF000000"/>
            </x14:dataBar>
          </x14:cfRule>
          <xm:sqref>C11:C14</xm:sqref>
        </x14:conditionalFormatting>
        <x14:conditionalFormatting xmlns:xm="http://schemas.microsoft.com/office/excel/2006/main">
          <x14:cfRule type="dataBar" id="{7017E1B2-8C78-455D-9451-CE7221F31692}">
            <x14:dataBar minLength="0" maxLength="100" gradient="0">
              <x14:cfvo type="autoMin"/>
              <x14:cfvo type="autoMax"/>
              <x14:negativeFillColor rgb="FFFF0000"/>
              <x14:axisColor rgb="FF000000"/>
            </x14:dataBar>
          </x14:cfRule>
          <xm:sqref>C23</xm:sqref>
        </x14:conditionalFormatting>
        <x14:conditionalFormatting xmlns:xm="http://schemas.microsoft.com/office/excel/2006/main">
          <x14:cfRule type="dataBar" id="{CBD7B373-A4C1-41FB-A25C-F14BF1ED705A}">
            <x14:dataBar minLength="0" maxLength="100" gradient="0">
              <x14:cfvo type="autoMin"/>
              <x14:cfvo type="autoMax"/>
              <x14:negativeFillColor rgb="FFFF0000"/>
              <x14:axisColor rgb="FF000000"/>
            </x14:dataBar>
          </x14:cfRule>
          <xm:sqref>C24</xm:sqref>
        </x14:conditionalFormatting>
        <x14:conditionalFormatting xmlns:xm="http://schemas.microsoft.com/office/excel/2006/main">
          <x14:cfRule type="dataBar" id="{91700ECC-B2D9-4361-83AF-A4881B6078A8}">
            <x14:dataBar minLength="0" maxLength="100" gradient="0">
              <x14:cfvo type="autoMin"/>
              <x14:cfvo type="autoMax"/>
              <x14:negativeFillColor rgb="FFFF0000"/>
              <x14:axisColor rgb="FF000000"/>
            </x14:dataBar>
          </x14:cfRule>
          <xm:sqref>C26</xm:sqref>
        </x14:conditionalFormatting>
        <x14:conditionalFormatting xmlns:xm="http://schemas.microsoft.com/office/excel/2006/main">
          <x14:cfRule type="dataBar" id="{3ADF2771-9003-4836-91A5-B8D80B7D3F77}">
            <x14:dataBar minLength="0" maxLength="100" gradient="0">
              <x14:cfvo type="autoMin"/>
              <x14:cfvo type="autoMax"/>
              <x14:negativeFillColor rgb="FFFF0000"/>
              <x14:axisColor rgb="FF000000"/>
            </x14:dataBar>
          </x14:cfRule>
          <xm:sqref>C28</xm:sqref>
        </x14:conditionalFormatting>
        <x14:conditionalFormatting xmlns:xm="http://schemas.microsoft.com/office/excel/2006/main">
          <x14:cfRule type="dataBar" id="{C1D4BB8E-9C92-4971-AFE8-8B993D4CDA8D}">
            <x14:dataBar minLength="0" maxLength="100" gradient="0">
              <x14:cfvo type="autoMin"/>
              <x14:cfvo type="autoMax"/>
              <x14:negativeFillColor rgb="FFFF0000"/>
              <x14:axisColor rgb="FF000000"/>
            </x14:dataBar>
          </x14:cfRule>
          <xm:sqref>C29</xm:sqref>
        </x14:conditionalFormatting>
        <x14:conditionalFormatting xmlns:xm="http://schemas.microsoft.com/office/excel/2006/main">
          <x14:cfRule type="dataBar" id="{1B453D49-8B37-4AE9-BB1C-160BC279DF44}">
            <x14:dataBar minLength="0" maxLength="100" gradient="0">
              <x14:cfvo type="autoMin"/>
              <x14:cfvo type="autoMax"/>
              <x14:negativeFillColor rgb="FFFF0000"/>
              <x14:axisColor rgb="FF000000"/>
            </x14:dataBar>
          </x14:cfRule>
          <xm:sqref>C31</xm:sqref>
        </x14:conditionalFormatting>
        <x14:conditionalFormatting xmlns:xm="http://schemas.microsoft.com/office/excel/2006/main">
          <x14:cfRule type="dataBar" id="{17F4DF5D-9953-48C9-9579-4337C2E895E7}">
            <x14:dataBar minLength="0" maxLength="100" gradient="0">
              <x14:cfvo type="autoMin"/>
              <x14:cfvo type="autoMax"/>
              <x14:negativeFillColor rgb="FFFF0000"/>
              <x14:axisColor rgb="FF000000"/>
            </x14:dataBar>
          </x14:cfRule>
          <xm:sqref>C33</xm:sqref>
        </x14:conditionalFormatting>
        <x14:conditionalFormatting xmlns:xm="http://schemas.microsoft.com/office/excel/2006/main">
          <x14:cfRule type="dataBar" id="{2EA7D65E-B8CA-499C-8421-2AC504B81EAC}">
            <x14:dataBar minLength="0" maxLength="100" gradient="0">
              <x14:cfvo type="autoMin"/>
              <x14:cfvo type="autoMax"/>
              <x14:negativeFillColor rgb="FFFF0000"/>
              <x14:axisColor rgb="FF000000"/>
            </x14:dataBar>
          </x14:cfRule>
          <xm:sqref>C35:C37</xm:sqref>
        </x14:conditionalFormatting>
        <x14:conditionalFormatting xmlns:xm="http://schemas.microsoft.com/office/excel/2006/main">
          <x14:cfRule type="dataBar" id="{89F58843-61CF-41D5-A814-9761484409D0}">
            <x14:dataBar minLength="0" maxLength="100" gradient="0">
              <x14:cfvo type="autoMin"/>
              <x14:cfvo type="autoMax"/>
              <x14:negativeFillColor rgb="FFFF0000"/>
              <x14:axisColor rgb="FF000000"/>
            </x14:dataBar>
          </x14:cfRule>
          <xm:sqref>C18</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Mẫu KH tháng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Quang Phuc</dc:creator>
  <cp:keywords/>
  <dc:description/>
  <cp:lastModifiedBy>Khoa các Khoa học cơ bản</cp:lastModifiedBy>
  <cp:revision/>
  <dcterms:created xsi:type="dcterms:W3CDTF">2026-05-27T07:08:41Z</dcterms:created>
  <dcterms:modified xsi:type="dcterms:W3CDTF">2026-09-15T07:20:52Z</dcterms:modified>
  <cp:category/>
  <cp:contentStatus/>
</cp:coreProperties>
</file>