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Roaming\VNPT Plugin\Files\FileTemp\"/>
    </mc:Choice>
  </mc:AlternateContent>
  <xr:revisionPtr revIDLastSave="0" documentId="13_ncr:1_{E58B8674-FFAC-4DA4-9295-1E795116DDBC}" xr6:coauthVersionLast="47" xr6:coauthVersionMax="47" xr10:uidLastSave="{00000000-0000-0000-0000-000000000000}"/>
  <bookViews>
    <workbookView xWindow="-120" yWindow="-120" windowWidth="20730" windowHeight="11160" xr2:uid="{7E04179B-AE72-433D-A0F4-54C338E82316}"/>
  </bookViews>
  <sheets>
    <sheet name="KH-T10" sheetId="1" r:id="rId1"/>
  </sheets>
  <definedNames>
    <definedName name="_xlnm.Print_Area" localSheetId="0">'KH-T10'!$A$1:$K$37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J16" i="1" s="1"/>
  <c r="I13" i="1"/>
  <c r="J13" i="1" s="1"/>
  <c r="I14" i="1"/>
  <c r="J14" i="1" s="1"/>
  <c r="I15" i="1"/>
  <c r="J15" i="1" s="1"/>
  <c r="I11" i="1"/>
  <c r="J11" i="1" s="1"/>
  <c r="I35" i="1"/>
  <c r="J35" i="1" s="1"/>
  <c r="I34" i="1"/>
  <c r="J34" i="1" s="1"/>
  <c r="I32" i="1"/>
  <c r="J32" i="1" s="1"/>
  <c r="I30" i="1"/>
  <c r="J30" i="1" s="1"/>
  <c r="I29" i="1"/>
  <c r="J29" i="1" s="1"/>
  <c r="I27" i="1"/>
  <c r="J27" i="1" s="1"/>
  <c r="I26" i="1"/>
  <c r="J26" i="1" s="1"/>
  <c r="I24" i="1"/>
  <c r="J24" i="1" s="1"/>
  <c r="I23" i="1"/>
  <c r="J23" i="1" s="1"/>
  <c r="I21" i="1"/>
  <c r="J21" i="1" s="1"/>
  <c r="I20" i="1"/>
  <c r="J20" i="1" s="1"/>
  <c r="I12" i="1"/>
  <c r="J12" i="1" s="1"/>
  <c r="I17" i="1"/>
  <c r="J17" i="1" s="1"/>
  <c r="I18" i="1"/>
  <c r="J18" i="1" s="1"/>
  <c r="I10" i="1"/>
  <c r="J10" i="1" s="1"/>
</calcChain>
</file>

<file path=xl/sharedStrings.xml><?xml version="1.0" encoding="utf-8"?>
<sst xmlns="http://schemas.openxmlformats.org/spreadsheetml/2006/main" count="194" uniqueCount="111">
  <si>
    <t>TT</t>
  </si>
  <si>
    <t>NỘI DUNG CÔNG VIỆC</t>
  </si>
  <si>
    <t>Người trực tiếp chỉ đạo</t>
  </si>
  <si>
    <t>Thời gian hoàn thành</t>
  </si>
  <si>
    <t>Ghi chú</t>
  </si>
  <si>
    <t>I</t>
  </si>
  <si>
    <t xml:space="preserve">Trục (1) - Thực hiện mục tiêu phát triển Kinh tế - xã hội và nhiệm vụ chính trị được giao </t>
  </si>
  <si>
    <t>Trục (2) - Hoàn thiện thể chế, đẩy mạnh phân cấp, phân quyền gắn với kiểm tra, giám sát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</si>
  <si>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</si>
  <si>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</si>
  <si>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</si>
  <si>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</si>
  <si>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II</t>
  </si>
  <si>
    <t>Số lượng</t>
  </si>
  <si>
    <t>(1)</t>
  </si>
  <si>
    <t>(2)</t>
  </si>
  <si>
    <t>(3)</t>
  </si>
  <si>
    <t>(4)</t>
  </si>
  <si>
    <t>(5)</t>
  </si>
  <si>
    <t>(6)</t>
  </si>
  <si>
    <t>(7)</t>
  </si>
  <si>
    <t>(8)</t>
  </si>
  <si>
    <t>CỘNG HÒA XÃ HỘI CHỦ NGHĨA VIỆT NAM</t>
  </si>
  <si>
    <t>Độc lập - Tự do - Hạnh phúc</t>
  </si>
  <si>
    <t>1.1</t>
  </si>
  <si>
    <t>1.2</t>
  </si>
  <si>
    <t>(9)</t>
  </si>
  <si>
    <t>TRƯỜNG CAO ĐẲNG KON TUM</t>
  </si>
  <si>
    <t>Đơn vị chủ trì</t>
  </si>
  <si>
    <t>(10)</t>
  </si>
  <si>
    <t>1.3</t>
  </si>
  <si>
    <t>Quyết định</t>
  </si>
  <si>
    <t>Trung bình</t>
  </si>
  <si>
    <t>Cao</t>
  </si>
  <si>
    <t>1.4</t>
  </si>
  <si>
    <t>Độ khó, mới, phức tạp; phạm vi tác
động</t>
  </si>
  <si>
    <t>Các nhiệm vụ đột xuất, phát sinh khác ngoài kế hoạch, từ tháng trước chuyển sang (nếu có)</t>
  </si>
  <si>
    <t>Sản phẩm/ công việc</t>
  </si>
  <si>
    <t>Điểm chấm công việc</t>
  </si>
  <si>
    <t>Hệ số quy đổi</t>
  </si>
  <si>
    <t> Các nhiệm vụ theo kế hoạch (chương trình) công tác đã đề ra từ đầu quý</t>
  </si>
  <si>
    <t>Đưa vào KH Trường</t>
  </si>
  <si>
    <t>Thường xuyên của đơn vị</t>
  </si>
  <si>
    <t>Rà soát tài sản thanh lý,Đề xuất sửa chữa trang thiết bị hư hỏng</t>
  </si>
  <si>
    <t>Lãnh đạo Khoa</t>
  </si>
  <si>
    <t>Phương án</t>
  </si>
  <si>
    <t>các bộ môn và NG QLX</t>
  </si>
  <si>
    <t xml:space="preserve">Giáo vụ Khoa, các bộ môn </t>
  </si>
  <si>
    <t>Tháng 9</t>
  </si>
  <si>
    <t>Bí thư Chi bộ</t>
  </si>
  <si>
    <t>Chi bộ khoa</t>
  </si>
  <si>
    <t>Báo cáo</t>
  </si>
  <si>
    <t>Tuyên truyền, quán triệt các văn bản, chỉ đạo của Đảng ủy, Lãnh đạo Trường tới đảng viên, nhà giáo Khoa</t>
  </si>
  <si>
    <t>Phó Bí thư Chi bộ</t>
  </si>
  <si>
    <t>Thông báo</t>
  </si>
  <si>
    <t>Tháng 10</t>
  </si>
  <si>
    <t>Triển khai hoạt động khởi nghiệp ĐMST năm 2026</t>
  </si>
  <si>
    <t>Các bộ môn, nhà giáo</t>
  </si>
  <si>
    <t>Bí thư Chi đoàn Khoa</t>
  </si>
  <si>
    <t>Đoàn viên, thanh niên Khoa</t>
  </si>
  <si>
    <t>Báo cáo kết quả</t>
  </si>
  <si>
    <t>Phối hợp doanh nghiệp xây dựng Kế hoạch tiếp nhận học sinh, sinh viên thực tập năm học 2026-2027</t>
  </si>
  <si>
    <t>Các bộ môn, nhà giáo, chủ nhiệm</t>
  </si>
  <si>
    <t>3.1</t>
  </si>
  <si>
    <t>3.2</t>
  </si>
  <si>
    <t>4.1</t>
  </si>
  <si>
    <t>4.2</t>
  </si>
  <si>
    <t xml:space="preserve">các bộ môn </t>
  </si>
  <si>
    <t>các bộ môn, nhà giáo</t>
  </si>
  <si>
    <t>Tổ chức sinh hoạt chuyên đề khoa học</t>
  </si>
  <si>
    <t>Kiểm tra, lưu trữ hồ sơ nhà giáo trên hệ thống ioffice (hồ sơ các lớp năm học 2025-2026) bảo đảm số hóa trong quản lý</t>
  </si>
  <si>
    <t>Giáo vụ Khoa</t>
  </si>
  <si>
    <t>Biên bản kiểm tra</t>
  </si>
  <si>
    <t>Triển khai thực hiện các quy định về đạo đức nhà giáo, văn hóa công sở</t>
  </si>
  <si>
    <t>Toàn thể viên chức, nhà giáo</t>
  </si>
  <si>
    <t>Báo cáo thực hiện</t>
  </si>
  <si>
    <t>2.1</t>
  </si>
  <si>
    <t>2.2</t>
  </si>
  <si>
    <t>KẾ HOẠCH 
công tác tháng 10 năm 2026</t>
  </si>
  <si>
    <t>KHOA KỸ THUẬT VÀ CÔNG NGHỆ</t>
  </si>
  <si>
    <t>triển khai Quy định quản lý sử dụng 
phòng xưởng thực hành, thí nghiệm.</t>
  </si>
  <si>
    <t>ban hành Quy chế đơn vị</t>
  </si>
  <si>
    <t xml:space="preserve">Xây dựng Quy trình xếp lịch giảng không để trống tiết   </t>
  </si>
  <si>
    <t>Tham gia hoạt động kỷ niệm chào mừng PNVN 20-10, hoạt động cộng đồng, phát triển trong kỷ nguyên mới</t>
  </si>
  <si>
    <t>6.1</t>
  </si>
  <si>
    <t xml:space="preserve">Giáo vụ Khoa, Chủ nhiệm lớp </t>
  </si>
  <si>
    <t>Kế hoạch</t>
  </si>
  <si>
    <t>Phối hợp triển khai tiếp sinh, nhập học thí sinh trúng tuyển trình độ cao đẳng, trung cấp, hệ chính quy năm học 2026-2027.(đợt tiếp theo)</t>
  </si>
  <si>
    <t>Triển khai hoạt động sinh viên đầu năm học 2026 - 2027</t>
  </si>
  <si>
    <t xml:space="preserve"> Chủ nhiệm lớp </t>
  </si>
  <si>
    <t>5.1</t>
  </si>
  <si>
    <t>5.2</t>
  </si>
  <si>
    <t>1.5</t>
  </si>
  <si>
    <t>Xây dựng Kế hoạch công tác cá nhân nhà giáo năm học 2026-2027</t>
  </si>
  <si>
    <t>Các bộ môn và nhà giáo</t>
  </si>
  <si>
    <t>Sinh hoạt Chi bộ khoa định kỳ tháng 10/2026</t>
  </si>
  <si>
    <t>Hoàn thiện tham mưu Kế hoạch vật tư giảng dạy các môn học mô đun học kỳ I, năm học 2026-2027 các lớp tuyển sinh năm 2026.</t>
  </si>
  <si>
    <t>Tham mưu đề xuất tách lớp giảng dạy năm học 2026-2027 các ngành, nghề thuộc bộ môn Điện - Điện tử và Công nghệ May.</t>
  </si>
  <si>
    <t>Xây dựng Kế hoạch đi học thực hành lớp K7C Công nghệ ô tô tại doanh nghiệp.</t>
  </si>
  <si>
    <t>Họp xét, kiểm tra điều kiện xét tốt nghiệp lớp K8C Công nghệ ô tô (VLVH).</t>
  </si>
  <si>
    <t>1.6</t>
  </si>
  <si>
    <t>1.7</t>
  </si>
  <si>
    <t>1.8</t>
  </si>
  <si>
    <t>1.9</t>
  </si>
  <si>
    <t>Thấp</t>
  </si>
  <si>
    <t>Đề xuất</t>
  </si>
  <si>
    <t>Thực hiện Thông báo hướng dẫn sử dụng trí tuệ nhân tạo để triển khai nhiệm vụ liên quan dạy và học</t>
  </si>
  <si>
    <t>Biên bản</t>
  </si>
  <si>
    <r>
      <rPr>
        <b/>
        <sz val="13"/>
        <rFont val="Times New Roman"/>
        <family val="1"/>
      </rPr>
      <t>Ghi chú:</t>
    </r>
    <r>
      <rPr>
        <sz val="13"/>
        <rFont val="Times New Roman"/>
        <family val="1"/>
      </rPr>
      <t xml:space="preserve"> Mức độ công việc, gồm 4 mức: Thấp; Trung Bình; Cao; Khó, phức tạp và mang tính đột phá 
+ Mức độ thấp: Thường xuyên, nhiệm vụ chủ yếu là thống kê 
+ Mức độ trung bình: Thường xuyên, nhưng có tính thống kê, tổng hợp cao hơn tháng, tác động lớn hơn báo cáo hằng tháng 
+ Mức độ cao: Tổng hợp, phân tích, đánh giá số liệu, không quá khó và phức tạp 
+ Mức độ khó và phức tạp: Khó, phức tạp, tác động lớn, sâu rộng trong toàn Đảng</t>
    </r>
  </si>
  <si>
    <r>
      <rPr>
        <b/>
        <i/>
        <sz val="13"/>
        <rFont val="Times New Roman"/>
        <family val="1"/>
      </rPr>
      <t xml:space="preserve">
Nơi nhận:</t>
    </r>
    <r>
      <rPr>
        <sz val="13"/>
        <rFont val="Times New Roman"/>
        <family val="1"/>
      </rPr>
      <t xml:space="preserve">
- Lãnh đạo Trường;
- Phòng Tổng hợp - Hành chính và Quản trị;
- Các bộ môn thuộc Khoa;
- Lưu: KTCN.</t>
    </r>
  </si>
  <si>
    <r>
      <rPr>
        <i/>
        <sz val="13"/>
        <rFont val="Times New Roman"/>
        <family val="1"/>
      </rPr>
      <t>Quảng Ngãi, ngày 14 tháng 9 năm 2026.</t>
    </r>
    <r>
      <rPr>
        <sz val="13"/>
        <rFont val="Times New Roman"/>
        <family val="1"/>
      </rPr>
      <t xml:space="preserve">
</t>
    </r>
    <r>
      <rPr>
        <b/>
        <sz val="13"/>
        <rFont val="Times New Roman"/>
        <family val="1"/>
      </rPr>
      <t>LÃNH ĐẠO KHOA
Nguyễn An Huấn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</si>
</sst>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726901</xdr:colOff>
      <xdr:row>2</xdr:row>
      <xdr:rowOff>35718</xdr:rowOff>
    </xdr:from>
    <xdr:to>
      <xdr:col>1</xdr:col>
      <xdr:colOff>1524760</xdr:colOff>
      <xdr:row>2</xdr:row>
      <xdr:rowOff>35718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84106FF-030C-484D-91E0-13935D3AC82E}"/>
            </a:ext>
          </a:extLst>
        </xdr:cNvPr>
        <xdr:cNvCxnSpPr/>
      </xdr:nvCxnSpPr>
      <xdr:spPr>
        <a:xfrm>
          <a:off x="1186342" y="1167512"/>
          <a:ext cx="7978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661353</xdr:colOff>
      <xdr:row>2</xdr:row>
      <xdr:rowOff>59456</xdr:rowOff>
    </xdr:from>
    <xdr:to>
      <xdr:col>7</xdr:col>
      <xdr:colOff>585107</xdr:colOff>
      <xdr:row>2</xdr:row>
      <xdr:rowOff>59456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A3F0EA-A2EA-4136-800A-FE8E509630DA}"/>
            </a:ext>
          </a:extLst>
        </xdr:cNvPr>
        <xdr:cNvCxnSpPr/>
      </xdr:nvCxnSpPr>
      <xdr:spPr>
        <a:xfrm>
          <a:off x="7560174" y="1216063"/>
          <a:ext cx="20328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967339</xdr:colOff>
      <xdr:row>2</xdr:row>
      <xdr:rowOff>533376</xdr:rowOff>
    </xdr:from>
    <xdr:to>
      <xdr:col>4</xdr:col>
      <xdr:colOff>804887</xdr:colOff>
      <xdr:row>2</xdr:row>
      <xdr:rowOff>533376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6331044-2F4B-4153-AA26-332584C736E8}"/>
            </a:ext>
          </a:extLst>
        </xdr:cNvPr>
        <xdr:cNvCxnSpPr/>
      </xdr:nvCxnSpPr>
      <xdr:spPr>
        <a:xfrm>
          <a:off x="5661803" y="1689983"/>
          <a:ext cx="106219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42E2-2B61-4B4F-A642-CBE7C4BEBB84}">
  <dimension ref="A1:K37"/>
  <sheetViews>
    <sheetView tabSelected="1" view="pageBreakPreview" topLeftCell="A36" zoomScaleNormal="70" zoomScaleSheetLayoutView="100" workbookViewId="0">
      <selection activeCell="P11" sqref="P11"/>
    </sheetView>
  </sheetViews>
  <sheetFormatPr defaultRowHeight="32.450000000000003" customHeight="1" x14ac:dyDescent="0.25"/>
  <cols>
    <col min="1" max="1" width="6" style="1" customWidth="1"/>
    <col min="2" max="2" width="39.140625" style="1" customWidth="1"/>
    <col min="3" max="3" width="16.42578125" style="1" customWidth="1"/>
    <col min="4" max="4" width="16.140625" style="1" customWidth="1"/>
    <col min="5" max="5" width="12.85546875" style="1" customWidth="1"/>
    <col min="6" max="6" width="14.140625" style="1" customWidth="1"/>
    <col min="7" max="8" width="13.5703125" style="1" customWidth="1"/>
    <col min="9" max="9" width="8.28515625" style="1" customWidth="1"/>
    <col min="10" max="10" width="7.140625" style="1" customWidth="1"/>
    <col min="11" max="11" width="16.28515625" style="1" customWidth="1"/>
    <col min="12" max="16384" width="9.140625" style="1"/>
  </cols>
  <sheetData>
    <row r="1" spans="1:11" ht="28.5" customHeight="1" x14ac:dyDescent="0.25">
      <c r="A1" s="23" t="s">
        <v>27</v>
      </c>
      <c r="B1" s="23"/>
      <c r="D1" s="27" t="s">
        <v>22</v>
      </c>
      <c r="E1" s="27"/>
      <c r="F1" s="27"/>
      <c r="G1" s="27"/>
      <c r="H1" s="27"/>
      <c r="I1" s="27"/>
      <c r="J1" s="27"/>
      <c r="K1" s="27"/>
    </row>
    <row r="2" spans="1:11" ht="18.75" customHeight="1" x14ac:dyDescent="0.25">
      <c r="A2" s="24" t="s">
        <v>79</v>
      </c>
      <c r="B2" s="24"/>
      <c r="C2" s="2"/>
      <c r="D2" s="24" t="s">
        <v>23</v>
      </c>
      <c r="E2" s="24"/>
      <c r="F2" s="24"/>
      <c r="G2" s="24"/>
      <c r="H2" s="24"/>
      <c r="I2" s="24"/>
      <c r="J2" s="24"/>
      <c r="K2" s="24"/>
    </row>
    <row r="3" spans="1:11" ht="44.25" customHeight="1" x14ac:dyDescent="0.25">
      <c r="A3" s="24" t="s">
        <v>78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9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21.95" customHeight="1" x14ac:dyDescent="0.25">
      <c r="A5" s="16" t="s">
        <v>0</v>
      </c>
      <c r="B5" s="16" t="s">
        <v>1</v>
      </c>
      <c r="C5" s="16" t="s">
        <v>2</v>
      </c>
      <c r="D5" s="16" t="s">
        <v>28</v>
      </c>
      <c r="E5" s="16" t="s">
        <v>37</v>
      </c>
      <c r="F5" s="16" t="s">
        <v>13</v>
      </c>
      <c r="G5" s="16" t="s">
        <v>35</v>
      </c>
      <c r="H5" s="26" t="s">
        <v>3</v>
      </c>
      <c r="I5" s="26" t="s">
        <v>38</v>
      </c>
      <c r="J5" s="26" t="s">
        <v>39</v>
      </c>
      <c r="K5" s="26" t="s">
        <v>4</v>
      </c>
    </row>
    <row r="6" spans="1:11" ht="63.75" customHeight="1" x14ac:dyDescent="0.25">
      <c r="A6" s="16"/>
      <c r="B6" s="16"/>
      <c r="C6" s="16"/>
      <c r="D6" s="16"/>
      <c r="E6" s="16"/>
      <c r="F6" s="16"/>
      <c r="G6" s="16"/>
      <c r="H6" s="26"/>
      <c r="I6" s="26"/>
      <c r="J6" s="26"/>
      <c r="K6" s="26"/>
    </row>
    <row r="7" spans="1:11" ht="16.5" x14ac:dyDescent="0.25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5" t="s">
        <v>26</v>
      </c>
      <c r="J7" s="5" t="s">
        <v>29</v>
      </c>
      <c r="K7" s="5" t="s">
        <v>29</v>
      </c>
    </row>
    <row r="8" spans="1:11" ht="31.5" customHeight="1" x14ac:dyDescent="0.25">
      <c r="A8" s="3" t="s">
        <v>5</v>
      </c>
      <c r="B8" s="19" t="s">
        <v>40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22.5" customHeight="1" x14ac:dyDescent="0.25">
      <c r="A9" s="6">
        <v>1</v>
      </c>
      <c r="B9" s="20" t="s">
        <v>6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74.25" customHeight="1" x14ac:dyDescent="0.25">
      <c r="A10" s="3" t="s">
        <v>24</v>
      </c>
      <c r="B10" s="7" t="s">
        <v>87</v>
      </c>
      <c r="C10" s="8" t="s">
        <v>44</v>
      </c>
      <c r="D10" s="8" t="s">
        <v>85</v>
      </c>
      <c r="E10" s="9" t="s">
        <v>86</v>
      </c>
      <c r="F10" s="3">
        <v>1</v>
      </c>
      <c r="G10" s="9" t="s">
        <v>32</v>
      </c>
      <c r="H10" s="3" t="s">
        <v>55</v>
      </c>
      <c r="I10" s="3">
        <f>IF(G10="Khó và phức tạp",200,IF(G10="Cao",150,IF(G10="Trungbình",120,100)))</f>
        <v>100</v>
      </c>
      <c r="J10" s="3">
        <f>I10*0.01</f>
        <v>1</v>
      </c>
      <c r="K10" s="3" t="s">
        <v>41</v>
      </c>
    </row>
    <row r="11" spans="1:11" ht="74.25" customHeight="1" x14ac:dyDescent="0.25">
      <c r="A11" s="3" t="s">
        <v>25</v>
      </c>
      <c r="B11" s="10" t="s">
        <v>93</v>
      </c>
      <c r="C11" s="8" t="s">
        <v>44</v>
      </c>
      <c r="D11" s="8" t="s">
        <v>94</v>
      </c>
      <c r="E11" s="9" t="s">
        <v>86</v>
      </c>
      <c r="F11" s="3">
        <v>1</v>
      </c>
      <c r="G11" s="9" t="s">
        <v>33</v>
      </c>
      <c r="H11" s="3" t="s">
        <v>55</v>
      </c>
      <c r="I11" s="3">
        <f>IF(G11="Khó và phức tạp",200,IF(G11="Cao",150,IF(G11="Trungbình",120,100)))</f>
        <v>150</v>
      </c>
      <c r="J11" s="3">
        <f>I11*0.01</f>
        <v>1.5</v>
      </c>
      <c r="K11" s="9" t="s">
        <v>41</v>
      </c>
    </row>
    <row r="12" spans="1:11" ht="49.5" x14ac:dyDescent="0.25">
      <c r="A12" s="3" t="s">
        <v>30</v>
      </c>
      <c r="B12" s="11" t="s">
        <v>106</v>
      </c>
      <c r="C12" s="8" t="s">
        <v>44</v>
      </c>
      <c r="D12" s="8" t="s">
        <v>68</v>
      </c>
      <c r="E12" s="9" t="s">
        <v>54</v>
      </c>
      <c r="F12" s="3">
        <v>1</v>
      </c>
      <c r="G12" s="9" t="s">
        <v>33</v>
      </c>
      <c r="H12" s="3" t="s">
        <v>55</v>
      </c>
      <c r="I12" s="3">
        <f t="shared" ref="I12:I18" si="0">IF(G12="Khó và phức tạp",200,IF(G12="Cao",150,IF(G12="Trungbình",120,100)))</f>
        <v>150</v>
      </c>
      <c r="J12" s="3">
        <f t="shared" ref="J12:J18" si="1">I12*0.01</f>
        <v>1.5</v>
      </c>
      <c r="K12" s="9" t="s">
        <v>42</v>
      </c>
    </row>
    <row r="13" spans="1:11" ht="66" x14ac:dyDescent="0.25">
      <c r="A13" s="3" t="s">
        <v>34</v>
      </c>
      <c r="B13" s="11" t="s">
        <v>96</v>
      </c>
      <c r="C13" s="8" t="s">
        <v>44</v>
      </c>
      <c r="D13" s="8" t="s">
        <v>47</v>
      </c>
      <c r="E13" s="9" t="s">
        <v>86</v>
      </c>
      <c r="F13" s="4">
        <v>1</v>
      </c>
      <c r="G13" s="8" t="s">
        <v>33</v>
      </c>
      <c r="H13" s="3" t="s">
        <v>55</v>
      </c>
      <c r="I13" s="3">
        <f t="shared" ref="I13:I15" si="2">IF(G13="Khó và phức tạp",200,IF(G13="Cao",150,IF(G13="Trungbình",120,100)))</f>
        <v>150</v>
      </c>
      <c r="J13" s="3">
        <f t="shared" ref="J13:J15" si="3">I13*0.01</f>
        <v>1.5</v>
      </c>
      <c r="K13" s="9" t="s">
        <v>42</v>
      </c>
    </row>
    <row r="14" spans="1:11" ht="66" x14ac:dyDescent="0.25">
      <c r="A14" s="3" t="s">
        <v>92</v>
      </c>
      <c r="B14" s="11" t="s">
        <v>97</v>
      </c>
      <c r="C14" s="8" t="s">
        <v>44</v>
      </c>
      <c r="D14" s="8" t="s">
        <v>47</v>
      </c>
      <c r="E14" s="9" t="s">
        <v>105</v>
      </c>
      <c r="F14" s="4">
        <v>1</v>
      </c>
      <c r="G14" s="8" t="s">
        <v>104</v>
      </c>
      <c r="H14" s="3" t="s">
        <v>55</v>
      </c>
      <c r="I14" s="3">
        <f t="shared" si="2"/>
        <v>100</v>
      </c>
      <c r="J14" s="3">
        <f t="shared" si="3"/>
        <v>1</v>
      </c>
      <c r="K14" s="9" t="s">
        <v>42</v>
      </c>
    </row>
    <row r="15" spans="1:11" ht="49.5" x14ac:dyDescent="0.25">
      <c r="A15" s="3" t="s">
        <v>100</v>
      </c>
      <c r="B15" s="11" t="s">
        <v>98</v>
      </c>
      <c r="C15" s="8" t="s">
        <v>44</v>
      </c>
      <c r="D15" s="8" t="s">
        <v>47</v>
      </c>
      <c r="E15" s="9" t="s">
        <v>86</v>
      </c>
      <c r="F15" s="4">
        <v>1</v>
      </c>
      <c r="G15" s="8" t="s">
        <v>33</v>
      </c>
      <c r="H15" s="3" t="s">
        <v>55</v>
      </c>
      <c r="I15" s="3">
        <f t="shared" si="2"/>
        <v>150</v>
      </c>
      <c r="J15" s="3">
        <f t="shared" si="3"/>
        <v>1.5</v>
      </c>
      <c r="K15" s="9" t="s">
        <v>41</v>
      </c>
    </row>
    <row r="16" spans="1:11" ht="49.5" x14ac:dyDescent="0.25">
      <c r="A16" s="3" t="s">
        <v>101</v>
      </c>
      <c r="B16" s="11" t="s">
        <v>99</v>
      </c>
      <c r="C16" s="8" t="s">
        <v>44</v>
      </c>
      <c r="D16" s="8" t="s">
        <v>47</v>
      </c>
      <c r="E16" s="9" t="s">
        <v>107</v>
      </c>
      <c r="F16" s="4">
        <v>1</v>
      </c>
      <c r="G16" s="8" t="s">
        <v>104</v>
      </c>
      <c r="H16" s="3" t="s">
        <v>55</v>
      </c>
      <c r="I16" s="3">
        <f t="shared" ref="I16" si="4">IF(G16="Khó và phức tạp",200,IF(G16="Cao",150,IF(G16="Trungbình",120,100)))</f>
        <v>100</v>
      </c>
      <c r="J16" s="3">
        <f t="shared" ref="J16" si="5">I16*0.01</f>
        <v>1</v>
      </c>
      <c r="K16" s="9" t="s">
        <v>42</v>
      </c>
    </row>
    <row r="17" spans="1:11" ht="33" x14ac:dyDescent="0.25">
      <c r="A17" s="3" t="s">
        <v>102</v>
      </c>
      <c r="B17" s="10" t="s">
        <v>43</v>
      </c>
      <c r="C17" s="8" t="s">
        <v>44</v>
      </c>
      <c r="D17" s="8" t="s">
        <v>46</v>
      </c>
      <c r="E17" s="9" t="s">
        <v>45</v>
      </c>
      <c r="F17" s="3">
        <v>1</v>
      </c>
      <c r="G17" s="9" t="s">
        <v>32</v>
      </c>
      <c r="H17" s="3" t="s">
        <v>55</v>
      </c>
      <c r="I17" s="3">
        <f t="shared" si="0"/>
        <v>100</v>
      </c>
      <c r="J17" s="3">
        <f t="shared" si="1"/>
        <v>1</v>
      </c>
      <c r="K17" s="9" t="s">
        <v>42</v>
      </c>
    </row>
    <row r="18" spans="1:11" ht="33" x14ac:dyDescent="0.25">
      <c r="A18" s="3" t="s">
        <v>103</v>
      </c>
      <c r="B18" s="11" t="s">
        <v>80</v>
      </c>
      <c r="C18" s="8" t="s">
        <v>44</v>
      </c>
      <c r="D18" s="8" t="s">
        <v>46</v>
      </c>
      <c r="E18" s="9" t="s">
        <v>45</v>
      </c>
      <c r="F18" s="3">
        <v>1</v>
      </c>
      <c r="G18" s="9" t="s">
        <v>32</v>
      </c>
      <c r="H18" s="3" t="s">
        <v>55</v>
      </c>
      <c r="I18" s="3">
        <f t="shared" si="0"/>
        <v>100</v>
      </c>
      <c r="J18" s="3">
        <f t="shared" si="1"/>
        <v>1</v>
      </c>
      <c r="K18" s="9" t="s">
        <v>42</v>
      </c>
    </row>
    <row r="19" spans="1:11" ht="22.5" customHeight="1" x14ac:dyDescent="0.25">
      <c r="A19" s="6">
        <v>2</v>
      </c>
      <c r="B19" s="20" t="s">
        <v>7</v>
      </c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66" x14ac:dyDescent="0.25">
      <c r="A20" s="3" t="s">
        <v>76</v>
      </c>
      <c r="B20" s="10" t="s">
        <v>70</v>
      </c>
      <c r="C20" s="8" t="s">
        <v>44</v>
      </c>
      <c r="D20" s="8" t="s">
        <v>71</v>
      </c>
      <c r="E20" s="9" t="s">
        <v>72</v>
      </c>
      <c r="F20" s="3">
        <v>1</v>
      </c>
      <c r="G20" s="8" t="s">
        <v>32</v>
      </c>
      <c r="H20" s="9"/>
      <c r="I20" s="3">
        <f>IF(G20="Khó và phức tạp",200,IF(G20="Cao",150,IF(G20="Trungbình",120,100)))</f>
        <v>100</v>
      </c>
      <c r="J20" s="3">
        <f>I20*0.01</f>
        <v>1</v>
      </c>
      <c r="K20" s="9" t="s">
        <v>42</v>
      </c>
    </row>
    <row r="21" spans="1:11" ht="33" x14ac:dyDescent="0.25">
      <c r="A21" s="3" t="s">
        <v>77</v>
      </c>
      <c r="B21" s="10" t="s">
        <v>73</v>
      </c>
      <c r="C21" s="8" t="s">
        <v>44</v>
      </c>
      <c r="D21" s="8" t="s">
        <v>74</v>
      </c>
      <c r="E21" s="9" t="s">
        <v>75</v>
      </c>
      <c r="F21" s="3">
        <v>1</v>
      </c>
      <c r="G21" s="8" t="s">
        <v>32</v>
      </c>
      <c r="H21" s="10"/>
      <c r="I21" s="3">
        <f>IF(G21="Khó và phức tạp",200,IF(G21="Cao",150,IF(G21="Trungbình",120,100)))</f>
        <v>100</v>
      </c>
      <c r="J21" s="3">
        <f>I21*0.01</f>
        <v>1</v>
      </c>
      <c r="K21" s="9" t="s">
        <v>42</v>
      </c>
    </row>
    <row r="22" spans="1:11" ht="22.5" customHeight="1" x14ac:dyDescent="0.25">
      <c r="A22" s="6">
        <v>3</v>
      </c>
      <c r="B22" s="20" t="s">
        <v>8</v>
      </c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33" x14ac:dyDescent="0.25">
      <c r="A23" s="3" t="s">
        <v>63</v>
      </c>
      <c r="B23" s="12" t="s">
        <v>69</v>
      </c>
      <c r="C23" s="8" t="s">
        <v>44</v>
      </c>
      <c r="D23" s="8" t="s">
        <v>67</v>
      </c>
      <c r="E23" s="9" t="s">
        <v>51</v>
      </c>
      <c r="F23" s="8">
        <v>1</v>
      </c>
      <c r="G23" s="9" t="s">
        <v>33</v>
      </c>
      <c r="H23" s="10" t="s">
        <v>55</v>
      </c>
      <c r="I23" s="3">
        <f>IF(G23="Khó và phức tạp",200,IF(G23="Cao",150,IF(G23="Trungbình",120,100)))</f>
        <v>150</v>
      </c>
      <c r="J23" s="3">
        <f>I23*0.01</f>
        <v>1.5</v>
      </c>
      <c r="K23" s="3" t="s">
        <v>41</v>
      </c>
    </row>
    <row r="24" spans="1:11" ht="33" x14ac:dyDescent="0.25">
      <c r="A24" s="3" t="s">
        <v>64</v>
      </c>
      <c r="B24" s="13" t="s">
        <v>56</v>
      </c>
      <c r="C24" s="8" t="s">
        <v>44</v>
      </c>
      <c r="D24" s="8" t="s">
        <v>57</v>
      </c>
      <c r="E24" s="9" t="s">
        <v>51</v>
      </c>
      <c r="F24" s="3">
        <v>1</v>
      </c>
      <c r="G24" s="9" t="s">
        <v>32</v>
      </c>
      <c r="H24" s="10" t="s">
        <v>55</v>
      </c>
      <c r="I24" s="3">
        <f>IF(G24="Khó và phức tạp",200,IF(G24="Cao",150,IF(G24="Trungbình",120,100)))</f>
        <v>100</v>
      </c>
      <c r="J24" s="3">
        <f>I24*0.01</f>
        <v>1</v>
      </c>
      <c r="K24" s="9" t="s">
        <v>42</v>
      </c>
    </row>
    <row r="25" spans="1:11" ht="46.5" customHeight="1" x14ac:dyDescent="0.25">
      <c r="A25" s="6">
        <v>4</v>
      </c>
      <c r="B25" s="22" t="s">
        <v>9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3" x14ac:dyDescent="0.25">
      <c r="A26" s="3" t="s">
        <v>65</v>
      </c>
      <c r="B26" s="10" t="s">
        <v>95</v>
      </c>
      <c r="C26" s="8" t="s">
        <v>49</v>
      </c>
      <c r="D26" s="8" t="s">
        <v>50</v>
      </c>
      <c r="E26" s="9" t="s">
        <v>51</v>
      </c>
      <c r="F26" s="4">
        <v>1</v>
      </c>
      <c r="G26" s="8" t="s">
        <v>32</v>
      </c>
      <c r="H26" s="3" t="s">
        <v>55</v>
      </c>
      <c r="I26" s="3">
        <f>IF(G26="Khó và phức tạp",200,IF(G26="Cao",150,IF(G26="Trungbình",120,100)))</f>
        <v>100</v>
      </c>
      <c r="J26" s="3">
        <f>I26*0.01</f>
        <v>1</v>
      </c>
      <c r="K26" s="9" t="s">
        <v>42</v>
      </c>
    </row>
    <row r="27" spans="1:11" ht="49.5" x14ac:dyDescent="0.25">
      <c r="A27" s="9" t="s">
        <v>66</v>
      </c>
      <c r="B27" s="10" t="s">
        <v>52</v>
      </c>
      <c r="C27" s="8" t="s">
        <v>53</v>
      </c>
      <c r="D27" s="8" t="s">
        <v>50</v>
      </c>
      <c r="E27" s="9" t="s">
        <v>54</v>
      </c>
      <c r="F27" s="4">
        <v>1</v>
      </c>
      <c r="G27" s="8" t="s">
        <v>32</v>
      </c>
      <c r="H27" s="3" t="s">
        <v>55</v>
      </c>
      <c r="I27" s="3">
        <f t="shared" ref="I27" si="6">IF(G27="Khó và phức tạp",200,IF(G27="Cao",150,IF(G27="Trungbình",120,100)))</f>
        <v>100</v>
      </c>
      <c r="J27" s="3">
        <f t="shared" ref="J27:J35" si="7">I27*0.01</f>
        <v>1</v>
      </c>
      <c r="K27" s="9" t="s">
        <v>42</v>
      </c>
    </row>
    <row r="28" spans="1:11" ht="22.5" customHeight="1" x14ac:dyDescent="0.25">
      <c r="A28" s="6">
        <v>5</v>
      </c>
      <c r="B28" s="20" t="s">
        <v>10</v>
      </c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33" x14ac:dyDescent="0.25">
      <c r="A29" s="3" t="s">
        <v>90</v>
      </c>
      <c r="B29" s="10" t="s">
        <v>88</v>
      </c>
      <c r="C29" s="8" t="s">
        <v>44</v>
      </c>
      <c r="D29" s="8" t="s">
        <v>89</v>
      </c>
      <c r="E29" s="9" t="s">
        <v>54</v>
      </c>
      <c r="F29" s="3">
        <v>1</v>
      </c>
      <c r="G29" s="9" t="s">
        <v>32</v>
      </c>
      <c r="H29" s="9"/>
      <c r="I29" s="3">
        <f t="shared" ref="I29:I30" si="8">IF(G29="Khó và phức tạp",200,IF(G29="Cao",150,IF(G29="Trungbình",120,100)))</f>
        <v>100</v>
      </c>
      <c r="J29" s="3">
        <f t="shared" si="7"/>
        <v>1</v>
      </c>
      <c r="K29" s="3" t="s">
        <v>41</v>
      </c>
    </row>
    <row r="30" spans="1:11" ht="49.5" x14ac:dyDescent="0.25">
      <c r="A30" s="9" t="s">
        <v>91</v>
      </c>
      <c r="B30" s="10" t="s">
        <v>83</v>
      </c>
      <c r="C30" s="8" t="s">
        <v>58</v>
      </c>
      <c r="D30" s="8" t="s">
        <v>59</v>
      </c>
      <c r="E30" s="9" t="s">
        <v>60</v>
      </c>
      <c r="F30" s="3">
        <v>1</v>
      </c>
      <c r="G30" s="8" t="s">
        <v>32</v>
      </c>
      <c r="H30" s="9" t="s">
        <v>55</v>
      </c>
      <c r="I30" s="3">
        <f t="shared" si="8"/>
        <v>100</v>
      </c>
      <c r="J30" s="3">
        <f t="shared" si="7"/>
        <v>1</v>
      </c>
      <c r="K30" s="9" t="s">
        <v>42</v>
      </c>
    </row>
    <row r="31" spans="1:11" ht="22.5" customHeight="1" x14ac:dyDescent="0.25">
      <c r="A31" s="6">
        <v>6</v>
      </c>
      <c r="B31" s="20" t="s">
        <v>11</v>
      </c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49.5" x14ac:dyDescent="0.25">
      <c r="A32" s="9" t="s">
        <v>84</v>
      </c>
      <c r="B32" s="10" t="s">
        <v>61</v>
      </c>
      <c r="C32" s="8" t="s">
        <v>44</v>
      </c>
      <c r="D32" s="8" t="s">
        <v>62</v>
      </c>
      <c r="E32" s="9" t="s">
        <v>51</v>
      </c>
      <c r="F32" s="3">
        <v>1</v>
      </c>
      <c r="G32" s="9" t="s">
        <v>32</v>
      </c>
      <c r="H32" s="9" t="s">
        <v>55</v>
      </c>
      <c r="I32" s="3">
        <f t="shared" ref="I32" si="9">IF(G32="Khó và phức tạp",200,IF(G32="Cao",150,IF(G32="Trungbình",120,100)))</f>
        <v>100</v>
      </c>
      <c r="J32" s="3">
        <f t="shared" si="7"/>
        <v>1</v>
      </c>
      <c r="K32" s="9" t="s">
        <v>42</v>
      </c>
    </row>
    <row r="33" spans="1:11" ht="22.5" customHeight="1" x14ac:dyDescent="0.25">
      <c r="A33" s="6" t="s">
        <v>12</v>
      </c>
      <c r="B33" s="20" t="s">
        <v>36</v>
      </c>
      <c r="C33" s="20"/>
      <c r="D33" s="20"/>
      <c r="E33" s="20"/>
      <c r="F33" s="20"/>
      <c r="G33" s="20"/>
      <c r="H33" s="20"/>
      <c r="I33" s="20"/>
      <c r="J33" s="20"/>
      <c r="K33" s="20"/>
    </row>
    <row r="34" spans="1:11" ht="33" x14ac:dyDescent="0.25">
      <c r="A34" s="9">
        <v>1</v>
      </c>
      <c r="B34" s="12" t="s">
        <v>81</v>
      </c>
      <c r="C34" s="8" t="s">
        <v>44</v>
      </c>
      <c r="D34" s="8" t="s">
        <v>47</v>
      </c>
      <c r="E34" s="9" t="s">
        <v>31</v>
      </c>
      <c r="F34" s="3">
        <v>1</v>
      </c>
      <c r="G34" s="9" t="s">
        <v>33</v>
      </c>
      <c r="H34" s="9" t="s">
        <v>48</v>
      </c>
      <c r="I34" s="3">
        <f t="shared" ref="I34:I35" si="10">IF(G34="Khó và phức tạp",200,IF(G34="Cao",150,IF(G34="Trungbình",120,100)))</f>
        <v>150</v>
      </c>
      <c r="J34" s="3">
        <f t="shared" si="7"/>
        <v>1.5</v>
      </c>
      <c r="K34" s="3" t="s">
        <v>41</v>
      </c>
    </row>
    <row r="35" spans="1:11" ht="33" x14ac:dyDescent="0.25">
      <c r="A35" s="9">
        <v>2</v>
      </c>
      <c r="B35" s="10" t="s">
        <v>82</v>
      </c>
      <c r="C35" s="8" t="s">
        <v>44</v>
      </c>
      <c r="D35" s="8" t="s">
        <v>47</v>
      </c>
      <c r="E35" s="9" t="s">
        <v>31</v>
      </c>
      <c r="F35" s="3">
        <v>1</v>
      </c>
      <c r="G35" s="9" t="s">
        <v>33</v>
      </c>
      <c r="H35" s="9"/>
      <c r="I35" s="3">
        <f t="shared" si="10"/>
        <v>150</v>
      </c>
      <c r="J35" s="3">
        <f t="shared" si="7"/>
        <v>1.5</v>
      </c>
      <c r="K35" s="9" t="s">
        <v>42</v>
      </c>
    </row>
    <row r="36" spans="1:11" s="14" customFormat="1" ht="119.25" customHeight="1" x14ac:dyDescent="0.25">
      <c r="B36" s="21" t="s">
        <v>108</v>
      </c>
      <c r="C36" s="21"/>
      <c r="D36" s="21"/>
      <c r="E36" s="21"/>
      <c r="F36" s="21"/>
      <c r="G36" s="21"/>
      <c r="H36" s="21"/>
      <c r="I36" s="21"/>
      <c r="J36" s="21"/>
      <c r="K36" s="21"/>
    </row>
    <row r="37" spans="1:11" s="14" customFormat="1" ht="132" customHeight="1" x14ac:dyDescent="0.25">
      <c r="A37" s="18" t="s">
        <v>109</v>
      </c>
      <c r="B37" s="18"/>
      <c r="C37" s="18"/>
      <c r="D37" s="15"/>
      <c r="G37" s="17" t="s">
        <v>110</v>
      </c>
      <c r="H37" s="17"/>
      <c r="I37" s="17"/>
      <c r="J37" s="17"/>
      <c r="K37" s="17"/>
    </row>
  </sheetData>
  <mergeCells count="28">
    <mergeCell ref="A1:B1"/>
    <mergeCell ref="A2:B2"/>
    <mergeCell ref="A3:K3"/>
    <mergeCell ref="K5:K6"/>
    <mergeCell ref="D1:K1"/>
    <mergeCell ref="D2:K2"/>
    <mergeCell ref="H5:H6"/>
    <mergeCell ref="B5:B6"/>
    <mergeCell ref="C5:C6"/>
    <mergeCell ref="D5:D6"/>
    <mergeCell ref="E5:E6"/>
    <mergeCell ref="A4:K4"/>
    <mergeCell ref="I5:I6"/>
    <mergeCell ref="J5:J6"/>
    <mergeCell ref="F5:F6"/>
    <mergeCell ref="G5:G6"/>
    <mergeCell ref="A5:A6"/>
    <mergeCell ref="G37:K37"/>
    <mergeCell ref="A37:C37"/>
    <mergeCell ref="B8:K8"/>
    <mergeCell ref="B33:K33"/>
    <mergeCell ref="B36:K36"/>
    <mergeCell ref="B9:K9"/>
    <mergeCell ref="B19:K19"/>
    <mergeCell ref="B22:K22"/>
    <mergeCell ref="B25:K25"/>
    <mergeCell ref="B28:K28"/>
    <mergeCell ref="B31:K31"/>
  </mergeCells>
  <phoneticPr fontId="3" type="noConversion"/>
  <conditionalFormatting sqref="C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{793199AE-14C8-4752-ABEA-CA2D9CC47B02}</x14:id>
        </ext>
      </extLst>
    </cfRule>
  </conditionalFormatting>
  <conditionalFormatting sqref="C17:C1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{8EBFF606-61B3-4647-BA96-856B9A4F565E}</x14:id>
        </ext>
      </extLst>
    </cfRule>
  </conditionalFormatting>
  <conditionalFormatting sqref="C20:C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{3634C9F5-F234-41B7-BDED-CA85DF122371}</x14:id>
        </ext>
      </extLst>
    </cfRule>
  </conditionalFormatting>
  <conditionalFormatting sqref="C23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{67993F29-222B-4343-B58D-12E07832FA1B}</x14:id>
        </ext>
      </extLst>
    </cfRule>
  </conditionalFormatting>
  <conditionalFormatting sqref="C2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{CD886DFF-EAE2-4A16-BBC6-6085C12DA2B4}</x14:id>
        </ext>
      </extLst>
    </cfRule>
  </conditionalFormatting>
  <conditionalFormatting sqref="C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{1E9AC9B9-D71D-47FC-AC57-07A1BC3BD292}</x14:id>
        </ext>
      </extLst>
    </cfRule>
  </conditionalFormatting>
  <conditionalFormatting sqref="C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{5C8249EA-BCCC-434C-8E9D-7E104D02C6D3}</x14:id>
        </ext>
      </extLst>
    </cfRule>
  </conditionalFormatting>
  <conditionalFormatting sqref="C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{BC97657F-7643-4C82-A534-C270D2AA5B28}</x14:id>
        </ext>
      </extLst>
    </cfRule>
  </conditionalFormatting>
  <conditionalFormatting sqref="C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{BAF126C4-B14D-4304-AE10-82477FA988CA}</x14:id>
        </ext>
      </extLst>
    </cfRule>
  </conditionalFormatting>
  <conditionalFormatting sqref="C34:C3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{D43FB21A-5434-4D83-826D-34F66BBF3370}</x14:id>
        </ext>
      </extLst>
    </cfRule>
  </conditionalFormatting>
  <dataValidations count="6">
    <dataValidation type="list" allowBlank="1" showInputMessage="1" sqref="E29 E24 E32 E34:E35 E12 E14 E16:E18" xr:uid="{10414675-0940-4244-865E-D79A397278C2}">
      <formula1>"Bảng thống kê,Báo cáo,Biên bản,Chương trình,Công văn,Đề án,Giấy mời,Hồ sơ chuyên môn,Hợp đồng,Hướng dẫn,Kế hoạch,Kết luận,Nghị quyết,Phiếu chuyển,Phiếu trình,Phương án,Quy chế,Quyết định,Tài liệu hướng dẫn,Thông báo,Tờ trình"</formula1>
    </dataValidation>
    <dataValidation type="list" allowBlank="1" showInputMessage="1" sqref="G26:G27 G32 G20:G21 G29:G30 G23:G24 G34:G35 G10:G18" xr:uid="{242DABCC-F988-4BD7-A39A-B18DD09F67B5}">
      <formula1>"Thấp,Trung bình,Cao,Khó và phức tạp"</formula1>
    </dataValidation>
    <dataValidation allowBlank="1" showInputMessage="1" sqref="H26:K27 H20:K21 H34:K35 H29:K30 H23:K24 H32:K32 H10:K18" xr:uid="{7A6D0803-D5AA-4103-B723-48076D69A4E4}"/>
    <dataValidation type="list" allowBlank="1" showInputMessage="1" sqref="D23:D24 D34:D35 D26:D27 D32 D30 D20:D21 D12 D17:D18" xr:uid="{7FB9408E-6C3A-463A-B089-EA6F86C46259}">
      <formula1>"Phòng QLĐT&amp;BĐCL,Phòng TH-HC&amp;QT,Phòng QLKHCN&amp;HTPT,Phòng TC-KT,Phòng  TCCB&amp;CTHSSV,Khoa Sư phạm,Khoa CKHCB,Khoa KT&amp;NL,Khoa Y – Dược,Khoa ĐT&amp;SHLX,Khoa KT&amp;CN"</formula1>
      <formula2>0</formula2>
    </dataValidation>
    <dataValidation type="list" allowBlank="1" showInputMessage="1" sqref="C23:C24 C34:C35 C26:C27 C32 C30 C20:C21 C12 C17:C18" xr:uid="{9BA8CB9B-59C0-45E0-8CDF-95C320DF41CA}">
      <formula1>"Hiệu trưởng,PHT Nguyễn Trung Hiếu,PHT Huỳnh Văn Chung,PHT Dương Văn Anh Dũng,Bí thư Đảng uỷ,Phó Bí thư Đảng uỷ,Uỷ viên BTV,Chủ tịch Công đoàn,Bí thư ĐTN,Chủ tịch HSV"</formula1>
      <formula2>0</formula2>
    </dataValidation>
    <dataValidation type="list" allowBlank="1" showInputMessage="1" sqref="E26:E27 E30 E23 E20:E21 E10:E11 E15 E13" xr:uid="{9C1C541B-1AAC-4FFC-AA35-19A339B53FE4}">
      <formula1>"Bảng thống kê,Báo cáo,Biên bản,Chương trình,Công văn,Đề án,Giấy mời,Hồ sơ chuyên môn,Hợp đồng,Hướng dẫn,Kế hoạch,Kết luận,Nghị quyết,Phiếu chuyển,Phiếu trình,Phương án,Quy chế,Quyết định,Tài liệu hướng dẫn,Thông báo,Tờ trình"</formula1>
      <formula2>0</formula2>
    </dataValidation>
  </dataValidations>
  <pageMargins left="0.31496062992126" right="0.31496062992126" top="0.39370078740157499" bottom="0.39370078740157499" header="0.31496062992126" footer="0.31496062992126"/>
  <pageSetup paperSize="9" scale="5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3199AE-14C8-4752-ABEA-CA2D9CC47B02}">
            <x14:dataBar axisPosition="none">
              <x14:cfvo type="min"/>
              <x14:cfvo type="max"/>
              <x14:negativeFillColor rgb="FF638EC6"/>
            </x14:dataBar>
          </x14:cfRule>
          <xm:sqref>C12</xm:sqref>
        </x14:conditionalFormatting>
        <x14:conditionalFormatting xmlns:xm="http://schemas.microsoft.com/office/excel/2006/main">
          <x14:cfRule type="dataBar" id="{8EBFF606-61B3-4647-BA96-856B9A4F565E}">
            <x14:dataBar axisPosition="none">
              <x14:cfvo type="min"/>
              <x14:cfvo type="max"/>
              <x14:negativeFillColor rgb="FF638EC6"/>
            </x14:dataBar>
          </x14:cfRule>
          <xm:sqref>C17:C18</xm:sqref>
        </x14:conditionalFormatting>
        <x14:conditionalFormatting xmlns:xm="http://schemas.microsoft.com/office/excel/2006/main">
          <x14:cfRule type="dataBar" id="{3634C9F5-F234-41B7-BDED-CA85DF122371}">
            <x14:dataBar axisPosition="none">
              <x14:cfvo type="min"/>
              <x14:cfvo type="max"/>
              <x14:negativeFillColor rgb="FF638EC6"/>
            </x14:dataBar>
          </x14:cfRule>
          <xm:sqref>C20:C21</xm:sqref>
        </x14:conditionalFormatting>
        <x14:conditionalFormatting xmlns:xm="http://schemas.microsoft.com/office/excel/2006/main">
          <x14:cfRule type="dataBar" id="{67993F29-222B-4343-B58D-12E07832FA1B}">
            <x14:dataBar axisPosition="none">
              <x14:cfvo type="min"/>
              <x14:cfvo type="max"/>
              <x14:negativeFillColor rgb="FF638EC6"/>
            </x14:dataBar>
          </x14:cfRule>
          <xm:sqref>C23</xm:sqref>
        </x14:conditionalFormatting>
        <x14:conditionalFormatting xmlns:xm="http://schemas.microsoft.com/office/excel/2006/main">
          <x14:cfRule type="dataBar" id="{CD886DFF-EAE2-4A16-BBC6-6085C12DA2B4}">
            <x14:dataBar axisPosition="none">
              <x14:cfvo type="min"/>
              <x14:cfvo type="max"/>
              <x14:negativeFillColor rgb="FF638EC6"/>
            </x14:dataBar>
          </x14:cfRule>
          <xm:sqref>C24</xm:sqref>
        </x14:conditionalFormatting>
        <x14:conditionalFormatting xmlns:xm="http://schemas.microsoft.com/office/excel/2006/main">
          <x14:cfRule type="dataBar" id="{1E9AC9B9-D71D-47FC-AC57-07A1BC3BD292}">
            <x14:dataBar axisPosition="none">
              <x14:cfvo type="min"/>
              <x14:cfvo type="max"/>
              <x14:negativeFillColor rgb="FF638EC6"/>
            </x14:dataBar>
          </x14:cfRule>
          <xm:sqref>C26</xm:sqref>
        </x14:conditionalFormatting>
        <x14:conditionalFormatting xmlns:xm="http://schemas.microsoft.com/office/excel/2006/main">
          <x14:cfRule type="dataBar" id="{5C8249EA-BCCC-434C-8E9D-7E104D02C6D3}">
            <x14:dataBar axisPosition="none">
              <x14:cfvo type="min"/>
              <x14:cfvo type="max"/>
              <x14:negativeFillColor rgb="FF638EC6"/>
            </x14:dataBar>
          </x14:cfRule>
          <xm:sqref>C27</xm:sqref>
        </x14:conditionalFormatting>
        <x14:conditionalFormatting xmlns:xm="http://schemas.microsoft.com/office/excel/2006/main">
          <x14:cfRule type="dataBar" id="{BC97657F-7643-4C82-A534-C270D2AA5B28}">
            <x14:dataBar axisPosition="none">
              <x14:cfvo type="min"/>
              <x14:cfvo type="max"/>
              <x14:negativeFillColor rgb="FF638EC6"/>
            </x14:dataBar>
          </x14:cfRule>
          <xm:sqref>C30</xm:sqref>
        </x14:conditionalFormatting>
        <x14:conditionalFormatting xmlns:xm="http://schemas.microsoft.com/office/excel/2006/main">
          <x14:cfRule type="dataBar" id="{BAF126C4-B14D-4304-AE10-82477FA988CA}">
            <x14:dataBar axisPosition="none">
              <x14:cfvo type="min"/>
              <x14:cfvo type="max"/>
              <x14:negativeFillColor rgb="FF638EC6"/>
            </x14:dataBar>
          </x14:cfRule>
          <xm:sqref>C32</xm:sqref>
        </x14:conditionalFormatting>
        <x14:conditionalFormatting xmlns:xm="http://schemas.microsoft.com/office/excel/2006/main">
          <x14:cfRule type="dataBar" id="{D43FB21A-5434-4D83-826D-34F66BBF3370}">
            <x14:dataBar axisPosition="none">
              <x14:cfvo type="min"/>
              <x14:cfvo type="max"/>
              <x14:negativeFillColor rgb="FF638EC6"/>
            </x14:dataBar>
          </x14:cfRule>
          <xm:sqref>C34:C35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KH-T10</vt:lpstr>
      <vt:lpstr>'KH-T10'!Print_Area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Phuc</dc:creator>
  <cp:lastModifiedBy>Administrator</cp:lastModifiedBy>
  <cp:lastPrinted>2026-06-25T01:37:08Z</cp:lastPrinted>
  <dcterms:created xsi:type="dcterms:W3CDTF">2026-05-27T07:08:41Z</dcterms:created>
  <dcterms:modified xsi:type="dcterms:W3CDTF">2026-09-14T00:06:07Z</dcterms:modified>
</cp:coreProperties>
</file>