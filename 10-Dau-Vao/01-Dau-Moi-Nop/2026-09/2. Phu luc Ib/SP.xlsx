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10.2026\2. Phu luc Ia, Ib\"/>
    </mc:Choice>
  </mc:AlternateContent>
  <xr:revisionPtr revIDLastSave="0" documentId="13_ncr:1_{69DD301C-FF35-4B67-90BB-C9DBF3E07702}" xr6:coauthVersionLast="47" xr6:coauthVersionMax="47" xr10:uidLastSave="{00000000-0000-0000-0000-000000000000}"/>
  <bookViews>
    <workbookView xWindow="-110" yWindow="-110" windowWidth="19420" windowHeight="11500" xr2:uid="{7E04179B-AE72-433D-A0F4-54C338E82316}"/>
  </bookViews>
  <sheets>
    <sheet name="Mẫu KH thá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J20" i="1"/>
  <c r="I21" i="1"/>
  <c r="J21" i="1" s="1"/>
  <c r="I17" i="1"/>
  <c r="J17" i="1" s="1"/>
  <c r="J16" i="1" l="1"/>
  <c r="J15" i="1"/>
  <c r="I11" i="1" l="1"/>
  <c r="J11" i="1" s="1"/>
  <c r="I12" i="1"/>
  <c r="J12" i="1" s="1"/>
  <c r="I13" i="1"/>
  <c r="J13" i="1" s="1"/>
  <c r="I14" i="1"/>
  <c r="J14" i="1" s="1"/>
  <c r="I19" i="1"/>
  <c r="J19" i="1" s="1"/>
</calcChain>
</file>

<file path=xl/sharedStrings.xml><?xml version="1.0" encoding="utf-8"?>
<sst xmlns="http://schemas.openxmlformats.org/spreadsheetml/2006/main" count="77" uniqueCount="58">
  <si>
    <t>Phụ lục Ib
MẪU KẾ HOẠCH CÔNG TÁC THÁNG CỦA TRƯỜNG CAO ĐẲNG KON TUM</t>
  </si>
  <si>
    <t>TRƯỜNG CAO ĐẲNG KON TUM</t>
  </si>
  <si>
    <t>CỘNG HÒA XÃ HỘI CHỦ NGHĨA VIỆT NAM</t>
  </si>
  <si>
    <t>Độc lập - Tự do - Hạnh phúc</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</si>
  <si>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</si>
  <si>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</si>
  <si>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</si>
  <si>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</si>
  <si>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</si>
  <si>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</si>
  <si>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</si>
  <si>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</si>
  <si>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</si>
  <si>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</si>
  <si>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</si>
  <si>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</si>
  <si>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</si>
  <si>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</si>
  <si>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</si>
  <si>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</si>
  <si>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</si>
  <si>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</si>
  <si>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</si>
  <si>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</si>
  <si>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</si>
  <si>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I</t>
  </si>
  <si>
    <t> Các nhiệm vụ theo kế hoạch (chương trình) công tác đã đề ra từ đầu quý</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</si>
  <si>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</si>
  <si>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</si>
  <si>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</si>
  <si>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</si>
  <si>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</si>
  <si>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</si>
  <si>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</si>
  <si>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từ tháng trước chuyển sang (nếu có)</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</si>
  <si>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</si>
  <si>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Quảng Ngãi, ngày 14 tháng 9 năm 2026
TRƯỞNG KHOA</t>
  </si>
  <si>
    <r>
      <rPr>
        <b/>
        <sz val="11"/>
        <rFont val="Times New Roman"/>
        <family val="1"/>
      </rPr>
      <t>Nơi nhận:</t>
    </r>
    <r>
      <rPr>
        <sz val="11"/>
        <rFont val="Times New Roman"/>
        <family val="1"/>
      </rPr>
      <t xml:space="preserve">
- Lãnh đạo Trường;
- Phòng THHC&amp;QT;
- Lưu: KHCB.</t>
    </r>
  </si>
  <si>
    <t>KẾ HOẠCH 
công tác tháng 10 năm 2026</t>
  </si>
  <si>
    <t>Khó và phức tạp</t>
  </si>
  <si>
    <t>Tháng 10/2026</t>
  </si>
  <si>
    <t>KHOA SƯ PHẠM</t>
  </si>
  <si>
    <t>Xây dựng và triển khai kế hoạch báo cáo tập huấn thực tập Sư phạm năm 2 cho các lớp K7C</t>
  </si>
  <si>
    <t>PHT Dương Văn Anh Dũng</t>
  </si>
  <si>
    <t>Khoa Sư phạm</t>
  </si>
  <si>
    <t xml:space="preserve">Kế hoạch </t>
  </si>
  <si>
    <t>Xây dựng kế hoạch, tổ chức biên soạn chương trình, tài liệu bồi dưỡng theo tiêu chuẩn chức danh nghề nghiệp cho giáo viên mầm non theo Thông tư số 28/2026 của Bộ Giáo dục và Đào tạo</t>
  </si>
  <si>
    <t xml:space="preserve">Kế hoạch; chương trình và tài liệu bồi dưỡng </t>
  </si>
  <si>
    <t>Phối hợp với Phòng QLĐT&amp;BĐCL và các đơn vị thuộc Trường triển khai đánh giá chương trình Giáo dục Mầm non chu kỳ 2</t>
  </si>
  <si>
    <t>Hồ sơ, tài liệu và các nội dung phục vụ đánh giá chương trình Giáo dục Mầm non chu kỳ 2</t>
  </si>
  <si>
    <t>Quý IV/2026</t>
  </si>
  <si>
    <r>
      <t>Triển khai kế hoạch và chuẩn bị chuyên đề “</t>
    </r>
    <r>
      <rPr>
        <sz val="12"/>
        <color rgb="FF000000"/>
        <rFont val="Times New Roman"/>
        <family val="1"/>
      </rPr>
      <t>Ứng dụng AI trong đổi mới phương pháp giảng dạy và kiểm tra, đánh giá theo đặc thù môn học” để báo cáo sinh hoạt chuyên đề bộ môn.</t>
    </r>
  </si>
  <si>
    <t>Kế hoạch hoạt động năm học của cá nhân thuộc bộ môn được hoàn thiện, phê duyệt và triển khai thực hiện</t>
  </si>
  <si>
    <t>đầu tháng 10/2026.</t>
  </si>
  <si>
    <r>
      <t>Triển khai kế hoạch và chuẩn bị chuyên đề “</t>
    </r>
    <r>
      <rPr>
        <sz val="12"/>
        <color rgb="FF000000"/>
        <rFont val="Times New Roman"/>
        <family val="1"/>
      </rPr>
      <t>Chuyển đổi số trong Giáo dục Mầm non: Cơ hội và thách thức đối với sinh viên sư phạm” để báo cáo sinh hoạt chuyên đề bộ môn.</t>
    </r>
  </si>
  <si>
    <t>Báo cáo/tổng hợp các hạn chế, tồn tại và đề xuất biện pháp sửa chữa, khắc phục</t>
  </si>
  <si>
    <t>cuối tháng 10/2026.</t>
  </si>
  <si>
    <r>
      <t>Hoàn thiện hồ sơ để phối hợp các đơn vị thuộc Trường xét tốt nghiệp cho SV 3 lớp K6C hình thức đào tạo thường xuyên</t>
    </r>
    <r>
      <rPr>
        <sz val="12"/>
        <color rgb="FF00000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</si>
</sst>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sz val="12"/>
      <name val="Times New Roman"/>
      <family val="1"/>
      <charset val="163"/>
    </font>
    <font>
      <sz val="13"/>
      <color theme="1"/>
      <name val="Times New Roman"/>
      <family val="1"/>
    </font>
    <font>
      <sz val="13"/>
      <color theme="1"/>
      <name val="Calibri"/>
      <family val="2"/>
      <scheme val="minor"/>
    </font>
    <font>
      <sz val="12"/>
      <color rgb="FF000000"/>
      <name val="Times New Roman"/>
      <family val="1"/>
      <charset val="163"/>
    </font>
    <font>
      <b/>
      <sz val="12"/>
      <color rgb="FF000000"/>
      <name val="Times New Roman"/>
      <family val="1"/>
      <charset val="163"/>
    </font>
    <font>
      <sz val="11"/>
      <name val="Times New Roman"/>
      <family val="1"/>
    </font>
    <font>
      <b/>
      <sz val="11"/>
      <name val="Times New Roman"/>
      <family val="1"/>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5" fillId="0" borderId="0" xfId="0" applyFont="1" applyAlignment="1">
      <alignment wrapText="1"/>
    </xf>
    <xf numFmtId="0" fontId="11" fillId="0" borderId="2" xfId="0" applyFont="1" applyBorder="1" applyAlignment="1">
      <alignment horizontal="justify" vertical="center"/>
    </xf>
    <xf numFmtId="0" fontId="11" fillId="0" borderId="2" xfId="0" applyFont="1" applyBorder="1" applyAlignment="1">
      <alignment vertical="center" wrapText="1"/>
    </xf>
    <xf numFmtId="0" fontId="11" fillId="0" borderId="2" xfId="0" applyFont="1" applyBorder="1" applyAlignment="1">
      <alignment wrapText="1"/>
    </xf>
    <xf numFmtId="0" fontId="12" fillId="0" borderId="2" xfId="0" applyFont="1" applyBorder="1" applyAlignment="1">
      <alignment vertical="center" wrapText="1"/>
    </xf>
    <xf numFmtId="0" fontId="4" fillId="0" borderId="4" xfId="0" applyFont="1" applyBorder="1" applyAlignment="1">
      <alignment horizontal="center" vertical="center" wrapText="1"/>
    </xf>
    <xf numFmtId="0" fontId="5" fillId="0" borderId="4" xfId="0" applyFont="1" applyBorder="1" applyAlignment="1">
      <alignment vertical="center" wrapText="1"/>
    </xf>
    <xf numFmtId="0" fontId="11" fillId="0" borderId="4" xfId="0" applyFont="1" applyBorder="1" applyAlignment="1">
      <alignment horizontal="center" vertical="center" wrapText="1"/>
    </xf>
    <xf numFmtId="0" fontId="5"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7" fillId="0" borderId="2" xfId="0" applyFont="1" applyBorder="1"/>
    <xf numFmtId="0" fontId="13" fillId="0" borderId="2" xfId="0" applyFont="1" applyBorder="1" applyAlignment="1">
      <alignment vertical="center" wrapText="1"/>
    </xf>
    <xf numFmtId="14" fontId="11" fillId="0" borderId="2" xfId="0" applyNumberFormat="1" applyFont="1" applyBorder="1" applyAlignment="1">
      <alignment vertical="center" wrapText="1"/>
    </xf>
    <xf numFmtId="0" fontId="13" fillId="0" borderId="2" xfId="0" applyFont="1" applyBorder="1" applyAlignment="1">
      <alignment horizontal="center" vertical="center" wrapText="1"/>
    </xf>
    <xf numFmtId="0" fontId="0" fillId="0" borderId="0" xfId="0" applyAlignment="1">
      <alignment vertical="center"/>
    </xf>
    <xf numFmtId="0" fontId="10" fillId="0" borderId="0" xfId="0" applyFont="1" applyAlignment="1">
      <alignment vertical="center" wrapText="1"/>
    </xf>
    <xf numFmtId="0" fontId="7" fillId="0" borderId="2"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1"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4" fillId="0" borderId="2" xfId="0" applyFont="1" applyBorder="1" applyAlignment="1">
      <alignment vertical="center" wrapText="1"/>
    </xf>
    <xf numFmtId="0" fontId="18" fillId="0" borderId="0" xfId="0" applyFont="1" applyAlignment="1">
      <alignment horizontal="lef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0"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4" fillId="0" borderId="0" xfId="0" applyFont="1" applyAlignment="1">
      <alignment horizontal="center"/>
    </xf>
    <xf numFmtId="0" fontId="15" fillId="0" borderId="0" xfId="0" applyFont="1" applyAlignment="1">
      <alignment horizontal="center"/>
    </xf>
    <xf numFmtId="0" fontId="8"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wrapText="1"/>
    </xf>
    <xf numFmtId="0" fontId="3" fillId="0" borderId="6" xfId="0" applyFont="1" applyBorder="1" applyAlignment="1">
      <alignment horizontal="justify" vertical="center" wrapText="1"/>
    </xf>
    <xf numFmtId="0" fontId="3" fillId="0" borderId="7" xfId="0" applyFont="1" applyBorder="1" applyAlignment="1">
      <alignment horizontal="center" vertical="center" wrapText="1"/>
    </xf>
    <xf numFmtId="0" fontId="5" fillId="0" borderId="7" xfId="0" applyFont="1" applyBorder="1" applyAlignment="1">
      <alignment horizontal="center" vertical="center" wrapText="1"/>
    </xf>
    <xf numFmtId="0" fontId="3" fillId="0" borderId="8" xfId="0" applyFont="1" applyBorder="1" applyAlignment="1">
      <alignment horizontal="justify" vertical="center" wrapText="1"/>
    </xf>
    <xf numFmtId="0" fontId="3" fillId="0" borderId="9" xfId="0" applyFont="1" applyBorder="1" applyAlignment="1">
      <alignment horizontal="center" vertical="center" wrapText="1"/>
    </xf>
    <xf numFmtId="0" fontId="5"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R39"/>
  <sheetViews>
    <sheetView tabSelected="1" zoomScale="70" zoomScaleNormal="70" zoomScaleSheetLayoutView="70" workbookViewId="0">
      <selection activeCell="H42" sqref="H42"/>
    </sheetView>
  </sheetViews>
  <sheetFormatPr defaultRowHeight="32.5" customHeight="1" x14ac:dyDescent="0.35"/>
  <cols>
    <col min="1" max="1" width="6" customWidth="1"/>
    <col min="2" max="2" width="39.1796875" customWidth="1"/>
    <col min="3" max="3" width="21.1796875" customWidth="1"/>
    <col min="4" max="4" width="16.1796875" customWidth="1"/>
    <col min="5" max="5" width="12.81640625" customWidth="1"/>
    <col min="6" max="6" width="14.1796875" style="29" customWidth="1"/>
    <col min="7" max="8" width="13.54296875" customWidth="1"/>
    <col min="9" max="9" width="8.26953125" customWidth="1"/>
    <col min="10" max="10" width="7.1796875" customWidth="1"/>
    <col min="11" max="11" width="16.26953125" customWidth="1"/>
  </cols>
  <sheetData>
    <row r="1" spans="1:11" ht="42.75" customHeight="1" x14ac:dyDescent="0.35">
      <c r="A1" s="39" t="s">
        <v>0</v>
      </c>
      <c r="B1" s="40"/>
      <c r="C1" s="40"/>
      <c r="D1" s="40"/>
      <c r="E1" s="40"/>
      <c r="F1" s="40"/>
      <c r="G1" s="40"/>
      <c r="H1" s="40"/>
      <c r="I1" s="40"/>
      <c r="J1" s="40"/>
      <c r="K1" s="40"/>
    </row>
    <row r="2" spans="1:11" s="5" customFormat="1" ht="28.5" customHeight="1" x14ac:dyDescent="0.4">
      <c r="A2" s="43" t="s">
        <v>1</v>
      </c>
      <c r="B2" s="44"/>
      <c r="D2" s="47" t="s">
        <v>2</v>
      </c>
      <c r="E2" s="47"/>
      <c r="F2" s="47"/>
      <c r="G2" s="47"/>
      <c r="H2" s="47"/>
      <c r="I2" s="47"/>
      <c r="J2" s="47"/>
      <c r="K2" s="47"/>
    </row>
    <row r="3" spans="1:11" s="5" customFormat="1" ht="18.75" customHeight="1" x14ac:dyDescent="0.35">
      <c r="A3" s="45" t="s">
        <v>41</v>
      </c>
      <c r="B3" s="45"/>
      <c r="C3" s="6"/>
      <c r="D3" s="39" t="s">
        <v>3</v>
      </c>
      <c r="E3" s="39"/>
      <c r="F3" s="39"/>
      <c r="G3" s="39"/>
      <c r="H3" s="39"/>
      <c r="I3" s="39"/>
      <c r="J3" s="39"/>
      <c r="K3" s="39"/>
    </row>
    <row r="4" spans="1:11" ht="44.25" customHeight="1" x14ac:dyDescent="0.35">
      <c r="A4" s="39" t="s">
        <v>38</v>
      </c>
      <c r="B4" s="46"/>
      <c r="C4" s="46"/>
      <c r="D4" s="46"/>
      <c r="E4" s="46"/>
      <c r="F4" s="46"/>
      <c r="G4" s="46"/>
      <c r="H4" s="46"/>
      <c r="I4" s="46"/>
      <c r="J4" s="46"/>
      <c r="K4" s="46"/>
    </row>
    <row r="5" spans="1:11" ht="9" customHeight="1" x14ac:dyDescent="0.35">
      <c r="A5" s="42"/>
      <c r="B5" s="42"/>
      <c r="C5" s="42"/>
      <c r="D5" s="42"/>
      <c r="E5" s="42"/>
      <c r="F5" s="42"/>
      <c r="G5" s="42"/>
      <c r="H5" s="42"/>
      <c r="I5" s="42"/>
      <c r="J5" s="42"/>
      <c r="K5" s="42"/>
    </row>
    <row r="6" spans="1:11" ht="22" customHeight="1" x14ac:dyDescent="0.35">
      <c r="A6" s="41" t="s">
        <v>4</v>
      </c>
      <c r="B6" s="41" t="s">
        <v>5</v>
      </c>
      <c r="C6" s="41" t="s">
        <v>6</v>
      </c>
      <c r="D6" s="41" t="s">
        <v>7</v>
      </c>
      <c r="E6" s="41" t="s">
        <v>8</v>
      </c>
      <c r="F6" s="41" t="s">
        <v>9</v>
      </c>
      <c r="G6" s="41" t="s">
        <v>10</v>
      </c>
      <c r="H6" s="32" t="s">
        <v>11</v>
      </c>
      <c r="I6" s="32" t="s">
        <v>12</v>
      </c>
      <c r="J6" s="32" t="s">
        <v>13</v>
      </c>
      <c r="K6" s="32" t="s">
        <v>14</v>
      </c>
    </row>
    <row r="7" spans="1:11" ht="63.75" customHeight="1" x14ac:dyDescent="0.35">
      <c r="A7" s="41"/>
      <c r="B7" s="41"/>
      <c r="C7" s="41"/>
      <c r="D7" s="41"/>
      <c r="E7" s="41"/>
      <c r="F7" s="41"/>
      <c r="G7" s="41"/>
      <c r="H7" s="32"/>
      <c r="I7" s="32"/>
      <c r="J7" s="32"/>
      <c r="K7" s="32"/>
    </row>
    <row r="8" spans="1:11" ht="15" x14ac:dyDescent="0.35">
      <c r="A8" s="4" t="s">
        <v>15</v>
      </c>
      <c r="B8" s="4" t="s">
        <v>16</v>
      </c>
      <c r="C8" s="4" t="s">
        <v>17</v>
      </c>
      <c r="D8" s="4" t="s">
        <v>18</v>
      </c>
      <c r="E8" s="4" t="s">
        <v>19</v>
      </c>
      <c r="F8" s="4" t="s">
        <v>20</v>
      </c>
      <c r="G8" s="4" t="s">
        <v>21</v>
      </c>
      <c r="H8" s="4" t="s">
        <v>22</v>
      </c>
      <c r="I8" s="4" t="s">
        <v>23</v>
      </c>
      <c r="J8" s="4" t="s">
        <v>24</v>
      </c>
      <c r="K8" s="4" t="s">
        <v>24</v>
      </c>
    </row>
    <row r="9" spans="1:11" ht="31.5" customHeight="1" x14ac:dyDescent="0.35">
      <c r="A9" s="1" t="s">
        <v>25</v>
      </c>
      <c r="B9" s="33" t="s">
        <v>26</v>
      </c>
      <c r="C9" s="33"/>
      <c r="D9" s="33"/>
      <c r="E9" s="33"/>
      <c r="F9" s="33"/>
      <c r="G9" s="33"/>
      <c r="H9" s="33"/>
      <c r="I9" s="33"/>
      <c r="J9" s="33"/>
      <c r="K9" s="33"/>
    </row>
    <row r="10" spans="1:11" ht="22.5" customHeight="1" thickBot="1" x14ac:dyDescent="0.4">
      <c r="A10" s="7">
        <v>1</v>
      </c>
      <c r="B10" s="35" t="s">
        <v>27</v>
      </c>
      <c r="C10" s="35"/>
      <c r="D10" s="35"/>
      <c r="E10" s="35"/>
      <c r="F10" s="35"/>
      <c r="G10" s="35"/>
      <c r="H10" s="35"/>
      <c r="I10" s="35"/>
      <c r="J10" s="35"/>
      <c r="K10" s="35"/>
    </row>
    <row r="11" spans="1:11" ht="74.25" hidden="1" customHeight="1" x14ac:dyDescent="0.35">
      <c r="A11" s="1"/>
      <c r="B11" s="2"/>
      <c r="C11" s="9"/>
      <c r="D11" s="9"/>
      <c r="E11" s="3"/>
      <c r="F11" s="1"/>
      <c r="G11" s="3"/>
      <c r="H11" s="1"/>
      <c r="I11" s="1">
        <f t="shared" ref="I11:I14" si="0">IF(G11="Khó và phức tạp",200,IF(G11="Cao",150,IF(G11="Trungbình",120,100)))</f>
        <v>100</v>
      </c>
      <c r="J11" s="1">
        <f t="shared" ref="J11:J14" si="1">I11*0.01</f>
        <v>1</v>
      </c>
      <c r="K11" s="11"/>
    </row>
    <row r="12" spans="1:11" ht="74.150000000000006" hidden="1" customHeight="1" x14ac:dyDescent="0.35">
      <c r="A12" s="1"/>
      <c r="B12" s="2"/>
      <c r="C12" s="9"/>
      <c r="D12" s="9"/>
      <c r="E12" s="3"/>
      <c r="F12" s="1"/>
      <c r="G12" s="3"/>
      <c r="H12" s="1"/>
      <c r="I12" s="1">
        <f t="shared" si="0"/>
        <v>100</v>
      </c>
      <c r="J12" s="1">
        <f t="shared" si="1"/>
        <v>1</v>
      </c>
      <c r="K12" s="11"/>
    </row>
    <row r="13" spans="1:11" ht="74.150000000000006" hidden="1" customHeight="1" x14ac:dyDescent="0.35">
      <c r="A13" s="1"/>
      <c r="B13" s="2"/>
      <c r="C13" s="9"/>
      <c r="D13" s="9"/>
      <c r="E13" s="3"/>
      <c r="F13" s="1"/>
      <c r="G13" s="3"/>
      <c r="H13" s="1"/>
      <c r="I13" s="1">
        <f t="shared" si="0"/>
        <v>100</v>
      </c>
      <c r="J13" s="1">
        <f t="shared" si="1"/>
        <v>1</v>
      </c>
      <c r="K13" s="11"/>
    </row>
    <row r="14" spans="1:11" ht="74.150000000000006" hidden="1" customHeight="1" x14ac:dyDescent="0.35">
      <c r="A14" s="17"/>
      <c r="B14" s="18"/>
      <c r="C14" s="19"/>
      <c r="D14" s="19"/>
      <c r="E14" s="20"/>
      <c r="F14" s="17"/>
      <c r="G14" s="20"/>
      <c r="H14" s="17"/>
      <c r="I14" s="17">
        <f t="shared" si="0"/>
        <v>100</v>
      </c>
      <c r="J14" s="17">
        <f t="shared" si="1"/>
        <v>1</v>
      </c>
      <c r="K14" s="21"/>
    </row>
    <row r="15" spans="1:11" s="22" customFormat="1" ht="47" thickBot="1" x14ac:dyDescent="0.4">
      <c r="A15" s="3">
        <v>1.1000000000000001</v>
      </c>
      <c r="B15" s="48" t="s">
        <v>42</v>
      </c>
      <c r="C15" s="49" t="s">
        <v>43</v>
      </c>
      <c r="D15" s="49" t="s">
        <v>44</v>
      </c>
      <c r="E15" s="49" t="s">
        <v>45</v>
      </c>
      <c r="F15" s="50">
        <v>5</v>
      </c>
      <c r="G15" s="49" t="s">
        <v>39</v>
      </c>
      <c r="H15" s="49" t="s">
        <v>40</v>
      </c>
      <c r="I15" s="3">
        <v>100</v>
      </c>
      <c r="J15" s="28">
        <f>I15/100</f>
        <v>1</v>
      </c>
      <c r="K15" s="3"/>
    </row>
    <row r="16" spans="1:11" s="22" customFormat="1" ht="78" thickBot="1" x14ac:dyDescent="0.4">
      <c r="A16" s="3">
        <v>1.2</v>
      </c>
      <c r="B16" s="51" t="s">
        <v>46</v>
      </c>
      <c r="C16" s="52" t="s">
        <v>43</v>
      </c>
      <c r="D16" s="52" t="s">
        <v>44</v>
      </c>
      <c r="E16" s="52" t="s">
        <v>47</v>
      </c>
      <c r="F16" s="53">
        <v>1</v>
      </c>
      <c r="G16" s="52" t="s">
        <v>39</v>
      </c>
      <c r="H16" s="52" t="s">
        <v>40</v>
      </c>
      <c r="I16" s="3">
        <v>100</v>
      </c>
      <c r="J16" s="28">
        <f>I16/100</f>
        <v>1</v>
      </c>
      <c r="K16" s="3"/>
    </row>
    <row r="17" spans="1:18" s="22" customFormat="1" ht="124.5" thickBot="1" x14ac:dyDescent="0.4">
      <c r="A17" s="3">
        <v>1.3</v>
      </c>
      <c r="B17" s="51" t="s">
        <v>48</v>
      </c>
      <c r="C17" s="52" t="s">
        <v>43</v>
      </c>
      <c r="D17" s="52" t="s">
        <v>44</v>
      </c>
      <c r="E17" s="52" t="s">
        <v>49</v>
      </c>
      <c r="F17" s="53">
        <v>1</v>
      </c>
      <c r="G17" s="52" t="s">
        <v>39</v>
      </c>
      <c r="H17" s="52" t="s">
        <v>50</v>
      </c>
      <c r="I17" s="31">
        <f t="shared" ref="I17" si="2">IF(G17="Khó và phức tạp",200,IF(G17="Cao",150,IF(G17="Trungbình",120,100)))</f>
        <v>200</v>
      </c>
      <c r="J17" s="31">
        <f t="shared" ref="J17" si="3">I17*0.01</f>
        <v>2</v>
      </c>
      <c r="K17" s="3"/>
      <c r="N17" s="22">
        <v>1</v>
      </c>
    </row>
    <row r="18" spans="1:18" ht="22.5" customHeight="1" thickBot="1" x14ac:dyDescent="0.4">
      <c r="A18" s="7">
        <v>2</v>
      </c>
      <c r="B18" s="35" t="s">
        <v>28</v>
      </c>
      <c r="C18" s="35"/>
      <c r="D18" s="35"/>
      <c r="E18" s="35"/>
      <c r="F18" s="35"/>
      <c r="G18" s="35"/>
      <c r="H18" s="35"/>
      <c r="I18" s="35"/>
      <c r="J18" s="35"/>
      <c r="K18" s="35"/>
      <c r="R18">
        <v>1</v>
      </c>
    </row>
    <row r="19" spans="1:18" ht="155.5" thickBot="1" x14ac:dyDescent="0.4">
      <c r="A19" s="3">
        <v>2.1</v>
      </c>
      <c r="B19" s="48" t="s">
        <v>51</v>
      </c>
      <c r="C19" s="49" t="s">
        <v>43</v>
      </c>
      <c r="D19" s="49" t="s">
        <v>44</v>
      </c>
      <c r="E19" s="49" t="s">
        <v>52</v>
      </c>
      <c r="F19" s="50">
        <v>1</v>
      </c>
      <c r="G19" s="49" t="s">
        <v>39</v>
      </c>
      <c r="H19" s="50" t="s">
        <v>53</v>
      </c>
      <c r="I19" s="3">
        <f>IF(G19="Khó và phức tạp",200,IF(G19="Cao",150,IF(G19="Trungbình",120,100)))</f>
        <v>200</v>
      </c>
      <c r="J19" s="3">
        <f>I19*0.01</f>
        <v>2</v>
      </c>
      <c r="K19" s="3"/>
    </row>
    <row r="20" spans="1:18" ht="109" thickBot="1" x14ac:dyDescent="0.4">
      <c r="A20" s="3">
        <v>2.2000000000000002</v>
      </c>
      <c r="B20" s="51" t="s">
        <v>54</v>
      </c>
      <c r="C20" s="52" t="s">
        <v>43</v>
      </c>
      <c r="D20" s="52" t="s">
        <v>44</v>
      </c>
      <c r="E20" s="52" t="s">
        <v>55</v>
      </c>
      <c r="F20" s="53">
        <v>1</v>
      </c>
      <c r="G20" s="49" t="s">
        <v>39</v>
      </c>
      <c r="H20" s="53" t="s">
        <v>56</v>
      </c>
      <c r="I20" s="3">
        <f t="shared" ref="I20:I21" si="4">IF(G20="Khó và phức tạp",200,IF(G20="Cao",150,IF(G20="Trungbình",120,100)))</f>
        <v>200</v>
      </c>
      <c r="J20" s="3">
        <f t="shared" ref="J20:J21" si="5">I20*0.01</f>
        <v>2</v>
      </c>
      <c r="K20" s="3"/>
    </row>
    <row r="21" spans="1:18" ht="109" thickBot="1" x14ac:dyDescent="0.4">
      <c r="A21" s="3"/>
      <c r="B21" s="51" t="s">
        <v>57</v>
      </c>
      <c r="C21" s="52" t="s">
        <v>43</v>
      </c>
      <c r="D21" s="52" t="s">
        <v>44</v>
      </c>
      <c r="E21" s="52" t="s">
        <v>55</v>
      </c>
      <c r="F21" s="53">
        <v>1</v>
      </c>
      <c r="G21" s="49" t="s">
        <v>39</v>
      </c>
      <c r="H21" s="53" t="s">
        <v>56</v>
      </c>
      <c r="I21" s="3">
        <f t="shared" si="4"/>
        <v>200</v>
      </c>
      <c r="J21" s="3">
        <f t="shared" si="5"/>
        <v>2</v>
      </c>
      <c r="K21" s="3"/>
    </row>
    <row r="22" spans="1:18" ht="22.5" customHeight="1" x14ac:dyDescent="0.35">
      <c r="A22" s="7">
        <v>3</v>
      </c>
      <c r="B22" s="35" t="s">
        <v>29</v>
      </c>
      <c r="C22" s="35"/>
      <c r="D22" s="35"/>
      <c r="E22" s="35"/>
      <c r="F22" s="35"/>
      <c r="G22" s="35"/>
      <c r="H22" s="35"/>
      <c r="I22" s="35"/>
      <c r="J22" s="35"/>
      <c r="K22" s="35"/>
    </row>
    <row r="23" spans="1:18" ht="15.5" x14ac:dyDescent="0.35">
      <c r="A23" s="3"/>
      <c r="B23" s="12"/>
      <c r="C23" s="9"/>
      <c r="D23" s="9"/>
      <c r="E23" s="3"/>
      <c r="F23" s="3"/>
      <c r="G23" s="3"/>
      <c r="H23" s="3"/>
      <c r="I23" s="3"/>
      <c r="J23" s="3"/>
      <c r="K23" s="3"/>
    </row>
    <row r="24" spans="1:18" ht="46.5" customHeight="1" x14ac:dyDescent="0.35">
      <c r="A24" s="7">
        <v>4</v>
      </c>
      <c r="B24" s="37" t="s">
        <v>30</v>
      </c>
      <c r="C24" s="37"/>
      <c r="D24" s="37"/>
      <c r="E24" s="37"/>
      <c r="F24" s="37"/>
      <c r="G24" s="37"/>
      <c r="H24" s="37"/>
      <c r="I24" s="37"/>
      <c r="J24" s="37"/>
      <c r="K24" s="37"/>
    </row>
    <row r="25" spans="1:18" ht="15.5" x14ac:dyDescent="0.35">
      <c r="A25" s="3"/>
      <c r="B25" s="13"/>
      <c r="C25" s="14"/>
      <c r="D25" s="14"/>
      <c r="E25" s="14"/>
      <c r="F25" s="9"/>
      <c r="G25" s="14"/>
      <c r="H25" s="3"/>
      <c r="I25" s="3"/>
      <c r="J25" s="3"/>
      <c r="K25" s="11"/>
    </row>
    <row r="26" spans="1:18" ht="15.5" x14ac:dyDescent="0.35">
      <c r="A26" s="3"/>
      <c r="B26" s="15"/>
      <c r="C26" s="14"/>
      <c r="D26" s="14"/>
      <c r="E26" s="14"/>
      <c r="F26" s="9"/>
      <c r="G26" s="14"/>
      <c r="H26" s="3"/>
      <c r="I26" s="3"/>
      <c r="J26" s="3"/>
      <c r="K26" s="10"/>
    </row>
    <row r="27" spans="1:18" ht="22.5" customHeight="1" x14ac:dyDescent="0.35">
      <c r="A27" s="7">
        <v>5</v>
      </c>
      <c r="B27" s="35" t="s">
        <v>31</v>
      </c>
      <c r="C27" s="35"/>
      <c r="D27" s="35"/>
      <c r="E27" s="35"/>
      <c r="F27" s="35"/>
      <c r="G27" s="35"/>
      <c r="H27" s="35"/>
      <c r="I27" s="35"/>
      <c r="J27" s="35"/>
      <c r="K27" s="35"/>
    </row>
    <row r="28" spans="1:18" ht="15.5" x14ac:dyDescent="0.35">
      <c r="A28" s="9"/>
      <c r="B28" s="14"/>
      <c r="C28" s="14"/>
      <c r="D28" s="14"/>
      <c r="E28" s="23"/>
      <c r="F28" s="9"/>
      <c r="G28" s="14"/>
      <c r="H28" s="24"/>
      <c r="I28" s="9"/>
      <c r="J28" s="9"/>
      <c r="K28" s="25"/>
    </row>
    <row r="29" spans="1:18" ht="22.5" customHeight="1" x14ac:dyDescent="0.35">
      <c r="A29" s="7">
        <v>6</v>
      </c>
      <c r="B29" s="35" t="s">
        <v>32</v>
      </c>
      <c r="C29" s="35"/>
      <c r="D29" s="35"/>
      <c r="E29" s="35"/>
      <c r="F29" s="35"/>
      <c r="G29" s="35"/>
      <c r="H29" s="35"/>
      <c r="I29" s="35"/>
      <c r="J29" s="35"/>
      <c r="K29" s="35"/>
    </row>
    <row r="30" spans="1:18" ht="18" x14ac:dyDescent="0.35">
      <c r="A30" s="3"/>
      <c r="B30" s="2"/>
      <c r="C30" s="16"/>
      <c r="D30" s="16"/>
      <c r="E30" s="2"/>
      <c r="F30" s="3"/>
      <c r="G30" s="2"/>
      <c r="H30" s="3"/>
      <c r="I30" s="3"/>
      <c r="J30" s="3"/>
      <c r="K30" s="3"/>
    </row>
    <row r="31" spans="1:18" ht="22.5" customHeight="1" x14ac:dyDescent="0.35">
      <c r="A31" s="7" t="s">
        <v>33</v>
      </c>
      <c r="B31" s="35" t="s">
        <v>34</v>
      </c>
      <c r="C31" s="35"/>
      <c r="D31" s="35"/>
      <c r="E31" s="35"/>
      <c r="F31" s="35"/>
      <c r="G31" s="35"/>
      <c r="H31" s="35"/>
      <c r="I31" s="35"/>
      <c r="J31" s="35"/>
      <c r="K31" s="35"/>
    </row>
    <row r="32" spans="1:18" ht="15.5" x14ac:dyDescent="0.35">
      <c r="A32" s="3">
        <v>1</v>
      </c>
      <c r="B32" s="2"/>
      <c r="C32" s="9"/>
      <c r="D32" s="9"/>
      <c r="E32" s="3"/>
      <c r="F32" s="1"/>
      <c r="G32" s="3"/>
      <c r="H32" s="3"/>
      <c r="I32" s="1"/>
      <c r="J32" s="1"/>
      <c r="K32" s="11"/>
    </row>
    <row r="33" spans="1:16" ht="15.5" x14ac:dyDescent="0.35">
      <c r="A33" s="3"/>
      <c r="B33" s="2"/>
      <c r="C33" s="9"/>
      <c r="D33" s="9"/>
      <c r="E33" s="3"/>
      <c r="F33" s="1"/>
      <c r="G33" s="3"/>
      <c r="H33" s="3"/>
      <c r="I33" s="1"/>
      <c r="J33" s="1"/>
      <c r="K33" s="10"/>
    </row>
    <row r="34" spans="1:16" ht="15.5" x14ac:dyDescent="0.35">
      <c r="A34" s="3"/>
      <c r="B34" s="2"/>
      <c r="C34" s="9"/>
      <c r="D34" s="9"/>
      <c r="E34" s="3"/>
      <c r="F34" s="1"/>
      <c r="G34" s="3"/>
      <c r="H34" s="3"/>
      <c r="I34" s="1"/>
      <c r="J34" s="1"/>
      <c r="K34" s="3"/>
    </row>
    <row r="35" spans="1:16" s="8" customFormat="1" ht="119.25" customHeight="1" x14ac:dyDescent="0.35">
      <c r="B35" s="36" t="s">
        <v>35</v>
      </c>
      <c r="C35" s="36"/>
      <c r="D35" s="36"/>
      <c r="E35" s="36"/>
      <c r="F35" s="36"/>
      <c r="G35" s="36"/>
      <c r="H35" s="36"/>
      <c r="I35" s="36"/>
      <c r="J35" s="36"/>
      <c r="K35" s="36"/>
    </row>
    <row r="36" spans="1:16" ht="49.5" customHeight="1" x14ac:dyDescent="0.35">
      <c r="A36" s="34" t="s">
        <v>37</v>
      </c>
      <c r="B36" s="34"/>
      <c r="C36" s="34"/>
      <c r="D36" s="26"/>
      <c r="E36" s="38" t="s">
        <v>36</v>
      </c>
      <c r="F36" s="38"/>
      <c r="G36" s="38"/>
      <c r="H36" s="38"/>
      <c r="I36" s="38"/>
      <c r="J36" s="38"/>
      <c r="K36" s="38"/>
      <c r="L36" s="27"/>
      <c r="M36" s="27"/>
      <c r="N36" s="27"/>
      <c r="O36" s="27"/>
      <c r="P36" s="27"/>
    </row>
    <row r="37" spans="1:16" ht="15" customHeight="1" x14ac:dyDescent="0.35">
      <c r="A37" s="34"/>
      <c r="B37" s="34"/>
      <c r="C37" s="34"/>
      <c r="D37" s="26"/>
      <c r="E37" s="26"/>
      <c r="F37" s="30"/>
      <c r="G37" s="26"/>
      <c r="H37" s="26"/>
    </row>
    <row r="38" spans="1:16" ht="15" customHeight="1" x14ac:dyDescent="0.35">
      <c r="A38" s="34"/>
      <c r="B38" s="34"/>
      <c r="C38" s="34"/>
      <c r="D38" s="26"/>
      <c r="E38" s="26"/>
      <c r="F38" s="30"/>
      <c r="G38" s="26"/>
      <c r="H38" s="26"/>
    </row>
    <row r="39" spans="1:16" ht="48.65" customHeight="1" x14ac:dyDescent="0.35">
      <c r="A39" s="34"/>
      <c r="B39" s="34"/>
      <c r="C39" s="34"/>
      <c r="D39" s="26"/>
      <c r="E39" s="38"/>
      <c r="F39" s="38"/>
      <c r="G39" s="38"/>
      <c r="H39" s="38"/>
      <c r="I39" s="38"/>
      <c r="J39" s="38"/>
      <c r="K39" s="38"/>
      <c r="L39" s="27"/>
      <c r="M39" s="27"/>
      <c r="N39" s="27"/>
      <c r="O39" s="27"/>
      <c r="P39" s="27"/>
    </row>
  </sheetData>
  <mergeCells count="30">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 ref="I6:I7"/>
    <mergeCell ref="J6:J7"/>
    <mergeCell ref="B9:K9"/>
    <mergeCell ref="A36:C39"/>
    <mergeCell ref="B31:K31"/>
    <mergeCell ref="B35:K35"/>
    <mergeCell ref="B10:K10"/>
    <mergeCell ref="B18:K18"/>
    <mergeCell ref="B22:K22"/>
    <mergeCell ref="B24:K24"/>
    <mergeCell ref="B27:K27"/>
    <mergeCell ref="B29:K29"/>
    <mergeCell ref="E36:K36"/>
    <mergeCell ref="E39:K39"/>
  </mergeCells>
  <conditionalFormatting sqref="C11:C14">
    <cfRule type="dataBar" priority="32">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3">
    <cfRule type="dataBar" priority="15">
      <dataBar>
        <cfvo type="min"/>
        <cfvo type="max"/>
        <color rgb="FF638EC6"/>
      </dataBar>
      <extLst>
        <ext xmlns:x14="http://schemas.microsoft.com/office/spreadsheetml/2009/9/main" uri="{B025F937-C7B1-47D3-B67F-A62EFF666E3E}">
          <x14:id>{91700ECC-B2D9-4361-83AF-A4881B6078A8}</x14:id>
        </ext>
      </extLst>
    </cfRule>
  </conditionalFormatting>
  <conditionalFormatting sqref="C25">
    <cfRule type="dataBar" priority="12">
      <dataBar>
        <cfvo type="min"/>
        <cfvo type="max"/>
        <color rgb="FF638EC6"/>
      </dataBar>
      <extLst>
        <ext xmlns:x14="http://schemas.microsoft.com/office/spreadsheetml/2009/9/main" uri="{B025F937-C7B1-47D3-B67F-A62EFF666E3E}">
          <x14:id>{3ADF2771-9003-4836-91A5-B8D80B7D3F77}</x14:id>
        </ext>
      </extLst>
    </cfRule>
  </conditionalFormatting>
  <conditionalFormatting sqref="C26">
    <cfRule type="dataBar" priority="13">
      <dataBar>
        <cfvo type="min"/>
        <cfvo type="max"/>
        <color rgb="FF638EC6"/>
      </dataBar>
      <extLst>
        <ext xmlns:x14="http://schemas.microsoft.com/office/spreadsheetml/2009/9/main" uri="{B025F937-C7B1-47D3-B67F-A62EFF666E3E}">
          <x14:id>{C1D4BB8E-9C92-4971-AFE8-8B993D4CDA8D}</x14:id>
        </ext>
      </extLst>
    </cfRule>
  </conditionalFormatting>
  <conditionalFormatting sqref="C28">
    <cfRule type="dataBar" priority="11">
      <dataBar>
        <cfvo type="min"/>
        <cfvo type="max"/>
        <color rgb="FF638EC6"/>
      </dataBar>
      <extLst>
        <ext xmlns:x14="http://schemas.microsoft.com/office/spreadsheetml/2009/9/main" uri="{B025F937-C7B1-47D3-B67F-A62EFF666E3E}">
          <x14:id>{1B453D49-8B37-4AE9-BB1C-160BC279DF44}</x14:id>
        </ext>
      </extLst>
    </cfRule>
  </conditionalFormatting>
  <conditionalFormatting sqref="C30">
    <cfRule type="dataBar" priority="10">
      <dataBar>
        <cfvo type="min"/>
        <cfvo type="max"/>
        <color rgb="FF638EC6"/>
      </dataBar>
      <extLst>
        <ext xmlns:x14="http://schemas.microsoft.com/office/spreadsheetml/2009/9/main" uri="{B025F937-C7B1-47D3-B67F-A62EFF666E3E}">
          <x14:id>{17F4DF5D-9953-48C9-9579-4337C2E895E7}</x14:id>
        </ext>
      </extLst>
    </cfRule>
  </conditionalFormatting>
  <conditionalFormatting sqref="C32:C34">
    <cfRule type="dataBar" priority="19">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32:D34 D23 D11:D14 D25:D26 D30 D28"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5:C26 C23 C28 C32:C34 C30 C11:C14"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2:E34 E28 E30 E26 E23 E11:E14"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5:G26 G30 G23 G11:G14 G32:G34 G28" xr:uid="{242DABCC-F988-4BD7-A39A-B18DD09F67B5}">
      <formula1>"Thấp,Trung bình,Cao,Khó và phức tạp"</formula1>
    </dataValidation>
    <dataValidation allowBlank="1" showInputMessage="1" sqref="H25:K26 H23:K23 I17:J17 H32:K34 H30:K30 H28:K28 H11:K14 I15:I16 K15:K17 I19:K21" xr:uid="{7A6D0803-D5AA-4103-B723-48076D69A4E4}"/>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91700ECC-B2D9-4361-83AF-A4881B6078A8}">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3ADF2771-9003-4836-91A5-B8D80B7D3F77}">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C1D4BB8E-9C92-4971-AFE8-8B993D4CDA8D}">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1B453D49-8B37-4AE9-BB1C-160BC279DF44}">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17F4DF5D-9953-48C9-9579-4337C2E895E7}">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C32:C34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KH tháng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Quang Phuc</dc:creator>
  <cp:keywords/>
  <dc:description/>
  <cp:lastModifiedBy>phuc Nguyen</cp:lastModifiedBy>
  <cp:revision/>
  <dcterms:created xsi:type="dcterms:W3CDTF">2026-05-27T07:08:41Z</dcterms:created>
  <dcterms:modified xsi:type="dcterms:W3CDTF">2026-09-21T02:07:06Z</dcterms:modified>
  <cp:category/>
  <cp:contentStatus/>
</cp:coreProperties>
</file>