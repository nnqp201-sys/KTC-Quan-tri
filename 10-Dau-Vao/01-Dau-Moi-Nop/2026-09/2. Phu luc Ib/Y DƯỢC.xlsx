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Vinh\My Folders\Baocao_Congvan_GiayMoi\BaoCaoThang\Nam_2026\"/>
    </mc:Choice>
  </mc:AlternateContent>
  <xr:revisionPtr revIDLastSave="0" documentId="13_ncr:1_{75AAC726-EFBA-4554-AAAE-BFD51AC36EC3}" xr6:coauthVersionLast="47" xr6:coauthVersionMax="47" xr10:uidLastSave="{00000000-0000-0000-0000-000000000000}"/>
  <bookViews>
    <workbookView xWindow="-110" yWindow="-110" windowWidth="19420" windowHeight="10300" activeTab="1" xr2:uid="{7E04179B-AE72-433D-A0F4-54C338E82316}"/>
  </bookViews>
  <sheets>
    <sheet name="Mẫu KH Quý" sheetId="2" r:id="rId1"/>
    <sheet name="Mẫu KH tháng" sheetId="1" r:id="rId2"/>
  </sheets>
  <definedNames>
    <definedName name="_xlnm.Print_Area" localSheetId="0">'Mẫu KH Quý'!$A$1:$K$43</definedName>
    <definedName name="_xlnm.Print_Area" localSheetId="1">'Mẫu KH tháng'!$A$1:$K$36</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28" i="1" l="1"/>
  <c r="J28" i="1" s="1"/>
  <c r="I27" i="1"/>
  <c r="J27" i="1" s="1"/>
  <c r="I26" i="1"/>
  <c r="J26" i="1" s="1"/>
  <c r="I25" i="1"/>
  <c r="J25" i="1" s="1"/>
  <c r="I21" i="1"/>
  <c r="J21" i="1" s="1"/>
  <c r="I20" i="1"/>
  <c r="J20" i="1" s="1"/>
  <c r="I10" i="1"/>
  <c r="J10" i="1" s="1"/>
  <c r="I15" i="1"/>
  <c r="J15" i="1" s="1"/>
  <c r="I14" i="1"/>
  <c r="J14" i="1" s="1"/>
  <c r="I41" i="2"/>
  <c r="J41" i="2" s="1"/>
  <c r="I40" i="2"/>
  <c r="J40" i="2" s="1"/>
  <c r="I39" i="2"/>
  <c r="J39" i="2" s="1"/>
  <c r="I37" i="2"/>
  <c r="J37" i="2" s="1"/>
  <c r="I36" i="2"/>
  <c r="J36" i="2" s="1"/>
  <c r="I34" i="2"/>
  <c r="J34" i="2" s="1"/>
  <c r="I33" i="2"/>
  <c r="J33" i="2" s="1"/>
  <c r="I32" i="2"/>
  <c r="J32" i="2" s="1"/>
  <c r="I31" i="2"/>
  <c r="J31" i="2" s="1"/>
  <c r="I30" i="2"/>
  <c r="J30" i="2" s="1"/>
  <c r="I29" i="2"/>
  <c r="J29" i="2" s="1"/>
  <c r="I27" i="2"/>
  <c r="J27" i="2" s="1"/>
  <c r="I26" i="2"/>
  <c r="J26" i="2" s="1"/>
  <c r="I25" i="2"/>
  <c r="J25" i="2" s="1"/>
  <c r="I24" i="2"/>
  <c r="J24" i="2" s="1"/>
  <c r="I23" i="2"/>
  <c r="J23" i="2" s="1"/>
  <c r="I22" i="2"/>
  <c r="J22" i="2" s="1"/>
  <c r="I20" i="2"/>
  <c r="J20" i="2" s="1"/>
  <c r="I19" i="2"/>
  <c r="J19" i="2" s="1"/>
  <c r="I17" i="2"/>
  <c r="J17" i="2" s="1"/>
  <c r="I16" i="2"/>
  <c r="J16" i="2" s="1"/>
  <c r="I14" i="2"/>
  <c r="J14" i="2" s="1"/>
  <c r="I13" i="2"/>
  <c r="J13" i="2" s="1"/>
  <c r="I12" i="2"/>
  <c r="J12" i="2" s="1"/>
  <c r="I11" i="2"/>
  <c r="J11" i="2" s="1"/>
  <c r="I34" i="1"/>
  <c r="J34" i="1" s="1"/>
  <c r="I33" i="1"/>
  <c r="J33" i="1" s="1"/>
  <c r="I32" i="1"/>
  <c r="J32" i="1" s="1"/>
  <c r="I30" i="1"/>
  <c r="J30" i="1" s="1"/>
  <c r="I23" i="1"/>
  <c r="J23" i="1" s="1"/>
  <c r="I18" i="1"/>
  <c r="J18" i="1" s="1"/>
  <c r="I12" i="1"/>
  <c r="J12" i="1" s="1"/>
  <c r="I13" i="1"/>
  <c r="J13" i="1" s="1"/>
  <c r="I16" i="1"/>
  <c r="J16" i="1" s="1"/>
  <c r="I11" i="1"/>
  <c r="J11" i="1" s="1"/>
</calcChain>
</file>

<file path=xl/sharedStrings.xml><?xml version="1.0" encoding="utf-8"?>
<sst xmlns="http://schemas.openxmlformats.org/spreadsheetml/2006/main" count="291" uniqueCount="108">
  <si>
    <t>TT</t>
  </si>
  <si>
    <t>NỘI DUNG CÔNG VIỆC</t>
  </si>
  <si>
    <t>Người trực tiếp chỉ đạo</t>
  </si>
  <si>
    <t>Thời gian hoàn thành</t>
  </si>
  <si>
    <t>Ghi chú</t>
  </si>
  <si>
    <t>I</t>
  </si>
  <si>
    <t xml:space="preserve">Trục (1) - Thực hiện mục tiêu phát triển Kinh tế - xã hội và nhiệm vụ chính trị được giao </t>
  </si>
  <si>
    <t>…</t>
  </si>
  <si>
    <t>Trục (2) - Hoàn thiện thể chế, đẩy mạnh phân cấp, phân quyền gắn với kiểm tra, giám sát</t>
  </si>
  <si>
    <t>Trục (3) - Thúc đẩy phát triển khoa học, công nghệ, đổi mới sáng tạo và chuyển đổi số</t>
  </si>
  <si>
    <t>Trục (4) - Xây dựng đảng và hệ thống chính trị trong sạch, vững mạnh; giữ gìn đoàn kết, thống nhất nội bộ; phòng, chống tham nhũng, lãng phí, tiêu cực</t>
  </si>
  <si>
    <t>Trục (5) - Phát triển văn hóa, con người, bảo đảm an sinh xã hội, nâng cao đời sống nhân dân</t>
  </si>
  <si>
    <t>Trục (6) - Củng cố quốc phòng, an ninh, giữ vững ổn định chính trị - xã hội, nâng cao hiệu quả đối ngoại và hội nhập quốc tế</t>
  </si>
  <si>
    <t>II</t>
  </si>
  <si>
    <t>Các nhiệm vụ đột xuất, phát sinh ở Quý trước phải thực hiện sang Quý sau (nếu có)</t>
  </si>
  <si>
    <t>Số lượng</t>
  </si>
  <si>
    <t>(1)</t>
  </si>
  <si>
    <t>(2)</t>
  </si>
  <si>
    <t>(3)</t>
  </si>
  <si>
    <t>(4)</t>
  </si>
  <si>
    <t>(5)</t>
  </si>
  <si>
    <t>(6)</t>
  </si>
  <si>
    <t>(7)</t>
  </si>
  <si>
    <t>(8)</t>
  </si>
  <si>
    <t>CỘNG HÒA XÃ HỘI CHỦ NGHĨA VIỆT NAM</t>
  </si>
  <si>
    <t>Độc lập - Tự do - Hạnh phúc</t>
  </si>
  <si>
    <t>1.1</t>
  </si>
  <si>
    <t>1.2</t>
  </si>
  <si>
    <t>(9)</t>
  </si>
  <si>
    <t>TRƯỜNG CAO ĐẲNG KON TUM</t>
  </si>
  <si>
    <t>ĐƠN VỊ:….......</t>
  </si>
  <si>
    <t> Các nhiệm vụ theo kế hoạch (chương trình) công tác đã đề ra từ đầu năm</t>
  </si>
  <si>
    <t>Đơn vị chủ trì</t>
  </si>
  <si>
    <t>(10)</t>
  </si>
  <si>
    <r>
      <rPr>
        <b/>
        <sz val="12"/>
        <rFont val="Times New Roman"/>
        <family val="1"/>
      </rPr>
      <t>Ghi chú:</t>
    </r>
    <r>
      <rPr>
        <sz val="12"/>
        <rFont val="Times New Roman"/>
        <family val="1"/>
      </rPr>
      <t xml:space="preserve"> Mức độ công việc, gồm 4 mức: Thấp; Trung Bình; Cao; Khó, phức tạp và mang tính đột phá 
+ Mức độ thấp: Thường xuyên, nhiệm vụ chủ yếu là thống kê 
+ Mức độ trung bình: Thường xuyên, nhưng có tính thống kê, tổng hợp cao hơn tháng, tác động lớn hơn báo cáo hằng tháng 
+ Mức độ cao: Tổng hợp, phân tích, đánh giá số liệu, không quá khó và phức tạp 
+ Mức độ khó và phức tạp: Khó, phức tạp, tác động lớn, sâu rộng trong toàn Đảng</t>
    </r>
  </si>
  <si>
    <r>
      <rPr>
        <i/>
        <sz val="14"/>
        <rFont val="Times New Roman"/>
        <family val="1"/>
        <charset val="163"/>
      </rPr>
      <t>Quảng Ngãi, ngày…..tháng……năm………..</t>
    </r>
    <r>
      <rPr>
        <sz val="14"/>
        <rFont val="Times New Roman"/>
        <family val="1"/>
      </rPr>
      <t xml:space="preserve">
</t>
    </r>
    <r>
      <rPr>
        <b/>
        <sz val="14"/>
        <rFont val="Times New Roman"/>
        <family val="1"/>
      </rPr>
      <t xml:space="preserve">LÃNH ĐẠO KHOA/PHÒNG
</t>
    </r>
  </si>
  <si>
    <r>
      <rPr>
        <b/>
        <i/>
        <sz val="12"/>
        <rFont val="Times New Roman"/>
        <family val="1"/>
        <charset val="163"/>
      </rPr>
      <t xml:space="preserve">
Nơi nhận:</t>
    </r>
    <r>
      <rPr>
        <sz val="12"/>
        <rFont val="Times New Roman"/>
        <family val="1"/>
      </rPr>
      <t xml:space="preserve">
</t>
    </r>
    <r>
      <rPr>
        <sz val="11"/>
        <rFont val="Times New Roman"/>
        <family val="1"/>
        <charset val="163"/>
      </rPr>
      <t>- …..............;
- …..............;
- …..............;
- …..............;
- Lưu: …......</t>
    </r>
  </si>
  <si>
    <t>PHT Dương Văn Anh Dũng</t>
  </si>
  <si>
    <t>Hiệu trưởng</t>
  </si>
  <si>
    <t>PHT Huỳnh Văn Chung</t>
  </si>
  <si>
    <t>PHT Nguyễn Trung Hiếu</t>
  </si>
  <si>
    <t>1.3</t>
  </si>
  <si>
    <t>Phòng  TCCB&amp;CTHSSV</t>
  </si>
  <si>
    <t>Bí thư Đảng uỷ</t>
  </si>
  <si>
    <t>Phó Bí thư Đảng uỷ</t>
  </si>
  <si>
    <t>Uỷ viên BTV</t>
  </si>
  <si>
    <t>Chủ tịch Công đoàn</t>
  </si>
  <si>
    <t>Bí thư ĐTN</t>
  </si>
  <si>
    <t>Chủ tịch HSV</t>
  </si>
  <si>
    <t>Quyết định</t>
  </si>
  <si>
    <t>Trung bình</t>
  </si>
  <si>
    <t>Cao</t>
  </si>
  <si>
    <t>Khó và phức tạp</t>
  </si>
  <si>
    <t>Phòng TH-HC&amp;QT</t>
  </si>
  <si>
    <t>Phòng QLKHCN&amp;HTPT</t>
  </si>
  <si>
    <t>Phòng QLĐT&amp;BĐCL</t>
  </si>
  <si>
    <t>1.4</t>
  </si>
  <si>
    <t>Độ khó, mới, phức tạp; phạm vi tác
động</t>
  </si>
  <si>
    <t>Các nhiệm vụ đột xuất, phát sinh khác ngoài kế hoạch, từ tháng trước chuyển sang (nếu có)</t>
  </si>
  <si>
    <t>KẾ HOẠCH 
công tác Quý … năm 20…</t>
  </si>
  <si>
    <t>Sản phẩm/ công việc</t>
  </si>
  <si>
    <t>(11)</t>
  </si>
  <si>
    <t>Điểm chấm công việc</t>
  </si>
  <si>
    <t>Hệ số quy đổi</t>
  </si>
  <si>
    <t>Thấp</t>
  </si>
  <si>
    <t> Các nhiệm vụ theo kế hoạch (chương trình) công tác đã đề ra từ đầu quý</t>
  </si>
  <si>
    <t>Phụ lục Ia
MẪU KẾ HOẠCH  CÔNG TÁC  QUÝ CỦA TRƯỜNG CAO ĐẲNG KON TUM</t>
  </si>
  <si>
    <t>Đưa vào KH Trường</t>
  </si>
  <si>
    <t>Thường xuyên của đơn vị</t>
  </si>
  <si>
    <t>Độ khó, mới, phức tạp; phạm vi tác động</t>
  </si>
  <si>
    <t>KHOA Y - DƯỢC</t>
  </si>
  <si>
    <t>Trưởng khoa</t>
  </si>
  <si>
    <t>Nhà giáo</t>
  </si>
  <si>
    <t>Kế hoạch</t>
  </si>
  <si>
    <t>Giáo vụ khoa</t>
  </si>
  <si>
    <t>Biên bản</t>
  </si>
  <si>
    <t>Ban biên soạn</t>
  </si>
  <si>
    <t>cao</t>
  </si>
  <si>
    <t>thấp</t>
  </si>
  <si>
    <t>Danh sách</t>
  </si>
  <si>
    <t>6.1.</t>
  </si>
  <si>
    <r>
      <rPr>
        <b/>
        <i/>
        <sz val="12"/>
        <rFont val="Times New Roman"/>
        <family val="1"/>
        <charset val="163"/>
      </rPr>
      <t xml:space="preserve">
Nơi nhận:</t>
    </r>
    <r>
      <rPr>
        <sz val="12"/>
        <rFont val="Times New Roman"/>
        <family val="1"/>
      </rPr>
      <t xml:space="preserve">
</t>
    </r>
    <r>
      <rPr>
        <sz val="11"/>
        <rFont val="Times New Roman"/>
        <family val="1"/>
        <charset val="163"/>
      </rPr>
      <t>- Lãnh đạo Trường;
- Phòng TH-HC và QT;
- Các bộ môn;
- Lưu: KYD.</t>
    </r>
  </si>
  <si>
    <t>Các Bộ môn</t>
  </si>
  <si>
    <t>Hồ sơ tuyển sinh</t>
  </si>
  <si>
    <t>Nhân viên y tế</t>
  </si>
  <si>
    <t>Các khoa thuộc trường</t>
  </si>
  <si>
    <t>Thực hiện các biện pháp bảo đảm an toàn cho sinh viên trong quá trình học tại trường</t>
  </si>
  <si>
    <t>Tham mưu kế hoạch đào tạo thực hành toàn khóa, năm học 2026 – 2027 các lớp K9C tuyển sinh năm 2026</t>
  </si>
  <si>
    <t>KẾ HOẠCH 
công tác tháng 10 năm 2026</t>
  </si>
  <si>
    <t>Tiếp tục công tác tuyển sinh, phấn đấu đạt 80% chỉ tiêu năm 2026</t>
  </si>
  <si>
    <t>Tham mưu kế hoạch đào tạo thực hành toàn khóa, năm học 2026 – 2027 các lớp K9C, tuyển sinh năm 2026</t>
  </si>
  <si>
    <t>Tham mưu Kế hoạch và Quyết định cử nhà giáo tham gia thực hành, thực tập tại doanh nghiệp</t>
  </si>
  <si>
    <t>Kế hoạch, Quyết định</t>
  </si>
  <si>
    <t>Tham mưu hợp đồng nguyên tắc trong đào tạo thực hành đối với các lớp K9C.</t>
  </si>
  <si>
    <t>Tham mưu kế hoạch khám sức khỏe cho sinh viên các lớp tuyển sinh năm 2026.</t>
  </si>
  <si>
    <t>Xét rèn luyện học kỳ II, năm học 2025 – 2026 cho sinh viên các lớp</t>
  </si>
  <si>
    <t>Nhà giáo chủ nhiệm lớp</t>
  </si>
  <si>
    <t>Báo cáo và làm việc với Đoàn kiểm tra theo Quyết định 1337/QĐ-CĐKT ngày 01/6/2026 (Kế hoạch số 566/KH-CĐKT ngày 05/6/2026, Thông báo số 688/TB-CĐKT ngày 12/6/2026)</t>
  </si>
  <si>
    <t>Báo cáo</t>
  </si>
  <si>
    <t>Cử toàn thể nhà giáo tham gia tập huấn sử dụng phần mềm E-Learning (LMS) trong giảng dạy trực tuyến theo quy định chung của nhà trường.</t>
  </si>
  <si>
    <t>Yêu cầu toàn bộ nhà giáo sử dụng công cụ trí tuệ nhân tạo để xây dựng Kế hoạch bài giảng (lý thuyết, thực hành, tích hợp) theo Thông báo số 1006/TB-CĐKT ngày 03/6/2026</t>
  </si>
  <si>
    <t>Thường xuyên</t>
  </si>
  <si>
    <t>Tham dự các Hội nghị trực tuyến nghiên cứu, học tập, quán triệt và triển khai thực hiện Nghị quyết Hội nghị lần thứ ba, Ban Chấp hành Trung ương Đảng khóa XIV</t>
  </si>
  <si>
    <t xml:space="preserve">Lập danh sách sinh viên có hoàn cảnh khó khăn gửi nhà trường để triển khai bếp ăn sinh viên theo Quyết định 1673/QĐ-CĐKT ngày 28/07/2026 của Hiệu trưởng Trường Cao đẳng kon Tum phê duyệt Phương án triển khai thực hiện “Bếp ăn tập trung và Bếp ăn từ thiện” cho sinh viên </t>
  </si>
  <si>
    <t>Đề xuất danh sách sinh viên có hoàn cảnh khó khăn nhận học bổng “Tầm vóc Việt”</t>
  </si>
  <si>
    <t>Lập danh sách và các thủ tục kèm theo cho sinh viên K9C chuyển đổi điểm đầu năm học theo nhu cầu và quy định của nhà trường</t>
  </si>
  <si>
    <t>Lập danh sách sinh viên hưởng các chế độ theo quy định của nhà nước</t>
  </si>
  <si>
    <r>
      <rPr>
        <i/>
        <sz val="14"/>
        <rFont val="Times New Roman"/>
        <family val="1"/>
        <charset val="163"/>
      </rPr>
      <t>Quảng Ngãi, ngày 14 tháng 9 năm 2026</t>
    </r>
    <r>
      <rPr>
        <sz val="14"/>
        <rFont val="Times New Roman"/>
        <family val="1"/>
      </rPr>
      <t xml:space="preserve">
</t>
    </r>
    <r>
      <rPr>
        <b/>
        <sz val="14"/>
        <rFont val="Times New Roman"/>
        <family val="1"/>
      </rPr>
      <t xml:space="preserve">TRƯỞNG KHOA
Lê Thành Vinh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</si>
</sst>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b/>
      <sz val="14"/>
      <color theme="1"/>
      <name val="Times New Roman"/>
      <family val="1"/>
    </font>
    <font>
      <sz val="14"/>
      <color theme="1"/>
      <name val="Calibri"/>
      <family val="2"/>
      <scheme val="minor"/>
    </font>
    <font>
      <sz val="12"/>
      <color theme="1"/>
      <name val="Times New Roman"/>
      <family val="1"/>
    </font>
    <font>
      <b/>
      <sz val="12"/>
      <color rgb="FF000000"/>
      <name val="Times New Roman"/>
      <family val="1"/>
    </font>
    <font>
      <sz val="12"/>
      <color rgb="FF000000"/>
      <name val="Times New Roman"/>
      <family val="1"/>
    </font>
    <font>
      <b/>
      <sz val="12"/>
      <color theme="1"/>
      <name val="Times New Roman"/>
      <family val="1"/>
    </font>
    <font>
      <sz val="12"/>
      <color theme="1"/>
      <name val="Calibri"/>
      <family val="2"/>
      <scheme val="minor"/>
    </font>
    <font>
      <b/>
      <sz val="13"/>
      <color theme="1"/>
      <name val="Times New Roman"/>
      <family val="1"/>
    </font>
    <font>
      <sz val="11"/>
      <name val="Calibri"/>
      <family val="2"/>
      <scheme val="minor"/>
    </font>
    <font>
      <b/>
      <sz val="12"/>
      <name val="Times New Roman"/>
      <family val="1"/>
    </font>
    <font>
      <sz val="12"/>
      <name val="Times New Roman"/>
      <family val="1"/>
    </font>
    <font>
      <sz val="14"/>
      <name val="Times New Roman"/>
      <family val="1"/>
    </font>
    <font>
      <b/>
      <sz val="14"/>
      <name val="Times New Roman"/>
      <family val="1"/>
    </font>
    <font>
      <sz val="12"/>
      <name val="Times New Roman"/>
      <family val="1"/>
      <charset val="163"/>
    </font>
    <font>
      <b/>
      <i/>
      <sz val="12"/>
      <name val="Times New Roman"/>
      <family val="1"/>
      <charset val="163"/>
    </font>
    <font>
      <sz val="11"/>
      <name val="Times New Roman"/>
      <family val="1"/>
      <charset val="163"/>
    </font>
    <font>
      <sz val="12"/>
      <name val="Calibri"/>
      <family val="2"/>
      <scheme val="minor"/>
    </font>
    <font>
      <sz val="13"/>
      <color theme="1"/>
      <name val="Times New Roman"/>
      <family val="1"/>
    </font>
    <font>
      <sz val="13"/>
      <color theme="1"/>
      <name val="Calibri"/>
      <family val="2"/>
      <scheme val="minor"/>
    </font>
    <font>
      <i/>
      <sz val="14"/>
      <name val="Times New Roman"/>
      <family val="1"/>
      <charset val="163"/>
    </font>
    <font>
      <b/>
      <sz val="14"/>
      <name val="Times New Roman"/>
      <family val="1"/>
      <charset val="163"/>
    </font>
    <font>
      <sz val="12"/>
      <color rgb="FF000000"/>
      <name val="Times New Roman"/>
      <family val="1"/>
      <charset val="163"/>
    </font>
    <font>
      <b/>
      <sz val="12"/>
      <color rgb="FF000000"/>
      <name val="Times New Roman"/>
      <family val="1"/>
      <charset val="163"/>
    </font>
  </fonts>
  <fills count="2">
    <fill>
      <patternFill patternType="none"/>
    </fill>
    <fill>
      <patternFill patternType="gray125"/>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1">
    <xf numFmtId="0" fontId="0" fillId="0" borderId="0"/>
  </cellStyleXfs>
  <cellXfs count="42">
    <xf numFmtId="0" fontId="0" fillId="0" borderId="0" xfId="0"/>
    <xf numFmtId="0" fontId="4" fillId="0" borderId="2" xfId="0" applyFont="1" applyBorder="1" applyAlignment="1">
      <alignment horizontal="center" vertical="center" wrapText="1"/>
    </xf>
    <xf numFmtId="0" fontId="4" fillId="0" borderId="2" xfId="0" applyFont="1" applyBorder="1" applyAlignment="1">
      <alignment vertical="center" wrapText="1"/>
    </xf>
    <xf numFmtId="0" fontId="5" fillId="0" borderId="2" xfId="0" applyFont="1" applyBorder="1" applyAlignment="1">
      <alignment vertical="center" wrapText="1"/>
    </xf>
    <xf numFmtId="0" fontId="5" fillId="0" borderId="2" xfId="0" applyFont="1" applyBorder="1" applyAlignment="1">
      <alignment horizontal="center" vertical="center" wrapText="1"/>
    </xf>
    <xf numFmtId="0" fontId="0" fillId="0" borderId="2" xfId="0" applyBorder="1"/>
    <xf numFmtId="0" fontId="4" fillId="0" borderId="2" xfId="0" quotePrefix="1" applyFont="1" applyBorder="1" applyAlignment="1">
      <alignment horizontal="center" vertical="center" wrapText="1"/>
    </xf>
    <xf numFmtId="0" fontId="7" fillId="0" borderId="0" xfId="0" applyFont="1"/>
    <xf numFmtId="0" fontId="6" fillId="0" borderId="0" xfId="0" applyFont="1" applyAlignment="1">
      <alignment vertical="center"/>
    </xf>
    <xf numFmtId="0" fontId="4" fillId="0" borderId="2" xfId="0" applyFont="1" applyBorder="1" applyAlignment="1">
      <alignment horizontal="center" vertical="center"/>
    </xf>
    <xf numFmtId="0" fontId="9" fillId="0" borderId="0" xfId="0" applyFont="1"/>
    <xf numFmtId="0" fontId="11" fillId="0" borderId="2" xfId="0" applyFont="1" applyBorder="1" applyAlignment="1">
      <alignment horizontal="center" vertical="center" wrapText="1"/>
    </xf>
    <xf numFmtId="0" fontId="14" fillId="0" borderId="0" xfId="0" applyFont="1" applyAlignment="1">
      <alignment horizontal="left" vertical="top" wrapText="1"/>
    </xf>
    <xf numFmtId="0" fontId="17" fillId="0" borderId="0" xfId="0" applyFont="1"/>
    <xf numFmtId="0" fontId="12" fillId="0" borderId="2" xfId="0" applyFont="1" applyBorder="1" applyAlignment="1">
      <alignment horizontal="center" vertical="center" wrapText="1"/>
    </xf>
    <xf numFmtId="0" fontId="22" fillId="0" borderId="2" xfId="0" applyFont="1" applyBorder="1" applyAlignment="1">
      <alignment horizontal="center" vertical="center" wrapText="1"/>
    </xf>
    <xf numFmtId="0" fontId="0" fillId="0" borderId="0" xfId="0" applyAlignment="1">
      <alignment wrapText="1"/>
    </xf>
    <xf numFmtId="0" fontId="7" fillId="0" borderId="0" xfId="0" applyFont="1" applyAlignment="1">
      <alignment vertical="center"/>
    </xf>
    <xf numFmtId="0" fontId="23" fillId="0" borderId="2" xfId="0" applyFont="1" applyBorder="1" applyAlignment="1">
      <alignment horizontal="center" vertical="center" wrapText="1"/>
    </xf>
    <xf numFmtId="0" fontId="4" fillId="0" borderId="2" xfId="0" applyFont="1" applyBorder="1" applyAlignment="1">
      <alignment horizontal="left" vertical="center"/>
    </xf>
    <xf numFmtId="14" fontId="5" fillId="0" borderId="2" xfId="0" applyNumberFormat="1" applyFont="1" applyBorder="1" applyAlignment="1">
      <alignment horizontal="center" vertical="center" wrapText="1"/>
    </xf>
    <xf numFmtId="0" fontId="3" fillId="0" borderId="0" xfId="0" applyFont="1" applyAlignment="1">
      <alignment horizontal="justify" vertical="center"/>
    </xf>
    <xf numFmtId="0" fontId="3" fillId="0" borderId="1" xfId="0" applyFont="1" applyBorder="1" applyAlignment="1">
      <alignment horizontal="left" vertical="center"/>
    </xf>
    <xf numFmtId="0" fontId="18" fillId="0" borderId="0" xfId="0" applyFont="1" applyAlignment="1">
      <alignment horizontal="center"/>
    </xf>
    <xf numFmtId="0" fontId="19" fillId="0" borderId="0" xfId="0" applyFont="1" applyAlignment="1">
      <alignment horizontal="center"/>
    </xf>
    <xf numFmtId="0" fontId="8" fillId="0" borderId="0" xfId="0" applyFont="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xf>
    <xf numFmtId="0" fontId="10" fillId="0" borderId="2" xfId="0" applyFont="1" applyBorder="1" applyAlignment="1">
      <alignment horizontal="center" vertical="center" wrapText="1"/>
    </xf>
    <xf numFmtId="0" fontId="8" fillId="0" borderId="0" xfId="0" applyFont="1" applyAlignment="1">
      <alignment horizontal="center" wrapText="1"/>
    </xf>
    <xf numFmtId="0" fontId="4" fillId="0" borderId="2" xfId="0" applyFont="1" applyBorder="1" applyAlignment="1">
      <alignment horizontal="center" vertical="center" wrapText="1"/>
    </xf>
    <xf numFmtId="0" fontId="21" fillId="0" borderId="0" xfId="0" applyFont="1" applyAlignment="1">
      <alignment horizontal="center" vertical="top" wrapText="1"/>
    </xf>
    <xf numFmtId="0" fontId="14" fillId="0" borderId="0" xfId="0" applyFont="1" applyAlignment="1">
      <alignment horizontal="left" vertical="top" wrapText="1"/>
    </xf>
    <xf numFmtId="0" fontId="4" fillId="0" borderId="2" xfId="0" applyFont="1" applyBorder="1" applyAlignment="1">
      <alignment vertical="center" wrapText="1"/>
    </xf>
    <xf numFmtId="0" fontId="4" fillId="0" borderId="2" xfId="0" applyFont="1" applyBorder="1" applyAlignment="1">
      <alignment horizontal="left" vertical="center"/>
    </xf>
    <xf numFmtId="0" fontId="11" fillId="0" borderId="3" xfId="0" applyFont="1" applyBorder="1" applyAlignment="1">
      <alignment horizontal="left" vertical="center" wrapText="1"/>
    </xf>
    <xf numFmtId="0" fontId="4" fillId="0" borderId="2" xfId="0" applyFont="1" applyBorder="1" applyAlignment="1">
      <alignment horizontal="left" vertical="center" wrapText="1"/>
    </xf>
    <xf numFmtId="0" fontId="1" fillId="0" borderId="0" xfId="0" applyFont="1" applyAlignment="1">
      <alignment horizontal="center" vertical="center"/>
    </xf>
    <xf numFmtId="0" fontId="18" fillId="0" borderId="0" xfId="0" applyFont="1" applyAlignment="1">
      <alignment horizontal="center" vertical="center"/>
    </xf>
    <xf numFmtId="0" fontId="19" fillId="0" borderId="0" xfId="0" applyFont="1" applyAlignment="1">
      <alignment horizontal="center" vertical="center"/>
    </xf>
    <xf numFmtId="0" fontId="23" fillId="0" borderId="2" xfId="0" applyFont="1" applyBorder="1" applyAlignment="1">
      <alignment horizontal="center" vertical="center" wrapText="1"/>
    </xf>
    <xf numFmtId="0" fontId="5" fillId="0" borderId="2"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718496</xdr:colOff>
      <xdr:row>3</xdr:row>
      <xdr:rowOff>19843</xdr:rowOff>
    </xdr:from>
    <xdr:to>
      <xdr:col>1</xdr:col>
      <xdr:colOff>1516355</xdr:colOff>
      <xdr:row>3</xdr:row>
      <xdr:rowOff>19843</xdr:rowOff>
    </xdr:to>
    <xdr:cxnSp macro="">
      <xdr:nvCxnSpPr>
        <xdr:cNvPr id="2" name="Straight Connector 1">
          <a:extLst>
            <a:ext uri="{FF2B5EF4-FFF2-40B4-BE49-F238E27FC236}">
              <a16:creationId xmlns:a16="http://schemas.microsoft.com/office/drawing/2014/main" id="{CEB0D8CA-916C-4409-A1C1-D570B1E66D2D}"/>
            </a:ext>
          </a:extLst>
        </xdr:cNvPr>
        <xdr:cNvCxnSpPr/>
      </xdr:nvCxnSpPr>
      <xdr:spPr>
        <a:xfrm>
          <a:off x="1178871" y="1067593"/>
          <a:ext cx="79785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1219878</xdr:colOff>
      <xdr:row>3</xdr:row>
      <xdr:rowOff>550675</xdr:rowOff>
    </xdr:from>
    <xdr:to>
      <xdr:col>4</xdr:col>
      <xdr:colOff>582706</xdr:colOff>
      <xdr:row>3</xdr:row>
      <xdr:rowOff>550675</xdr:rowOff>
    </xdr:to>
    <xdr:cxnSp macro="">
      <xdr:nvCxnSpPr>
        <xdr:cNvPr id="4" name="Straight Connector 3">
          <a:extLst>
            <a:ext uri="{FF2B5EF4-FFF2-40B4-BE49-F238E27FC236}">
              <a16:creationId xmlns:a16="http://schemas.microsoft.com/office/drawing/2014/main" id="{E57D7403-CA38-4E4D-9E1F-AA2F94BF2F9E}"/>
            </a:ext>
          </a:extLst>
        </xdr:cNvPr>
        <xdr:cNvCxnSpPr/>
      </xdr:nvCxnSpPr>
      <xdr:spPr>
        <a:xfrm>
          <a:off x="6004790" y="1604028"/>
          <a:ext cx="875622"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968514</xdr:colOff>
      <xdr:row>0</xdr:row>
      <xdr:rowOff>492297</xdr:rowOff>
    </xdr:from>
    <xdr:to>
      <xdr:col>4</xdr:col>
      <xdr:colOff>924285</xdr:colOff>
      <xdr:row>0</xdr:row>
      <xdr:rowOff>492297</xdr:rowOff>
    </xdr:to>
    <xdr:cxnSp macro="">
      <xdr:nvCxnSpPr>
        <xdr:cNvPr id="5" name="Straight Connector 4">
          <a:extLst>
            <a:ext uri="{FF2B5EF4-FFF2-40B4-BE49-F238E27FC236}">
              <a16:creationId xmlns:a16="http://schemas.microsoft.com/office/drawing/2014/main" id="{0A631D56-2E4F-427E-B1D5-28DADBCB3D53}"/>
            </a:ext>
          </a:extLst>
        </xdr:cNvPr>
        <xdr:cNvCxnSpPr/>
      </xdr:nvCxnSpPr>
      <xdr:spPr>
        <a:xfrm>
          <a:off x="5753426" y="492297"/>
          <a:ext cx="146856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188314</xdr:colOff>
      <xdr:row>3</xdr:row>
      <xdr:rowOff>22545</xdr:rowOff>
    </xdr:from>
    <xdr:to>
      <xdr:col>8</xdr:col>
      <xdr:colOff>134470</xdr:colOff>
      <xdr:row>3</xdr:row>
      <xdr:rowOff>22545</xdr:rowOff>
    </xdr:to>
    <xdr:cxnSp macro="">
      <xdr:nvCxnSpPr>
        <xdr:cNvPr id="8" name="Straight Connector 7">
          <a:extLst>
            <a:ext uri="{FF2B5EF4-FFF2-40B4-BE49-F238E27FC236}">
              <a16:creationId xmlns:a16="http://schemas.microsoft.com/office/drawing/2014/main" id="{EE8684A5-8053-4583-9815-07B69CCFCA47}"/>
            </a:ext>
          </a:extLst>
        </xdr:cNvPr>
        <xdr:cNvCxnSpPr/>
      </xdr:nvCxnSpPr>
      <xdr:spPr>
        <a:xfrm>
          <a:off x="8547902" y="1075898"/>
          <a:ext cx="2097686"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726901</xdr:colOff>
      <xdr:row>2</xdr:row>
      <xdr:rowOff>35718</xdr:rowOff>
    </xdr:from>
    <xdr:to>
      <xdr:col>1</xdr:col>
      <xdr:colOff>1524760</xdr:colOff>
      <xdr:row>2</xdr:row>
      <xdr:rowOff>35718</xdr:rowOff>
    </xdr:to>
    <xdr:cxnSp macro="">
      <xdr:nvCxnSpPr>
        <xdr:cNvPr id="2" name="Straight Connector 1">
          <a:extLst>
            <a:ext uri="{FF2B5EF4-FFF2-40B4-BE49-F238E27FC236}">
              <a16:creationId xmlns:a16="http://schemas.microsoft.com/office/drawing/2014/main" id="{C84106FF-030C-484D-91E0-13935D3AC82E}"/>
            </a:ext>
          </a:extLst>
        </xdr:cNvPr>
        <xdr:cNvCxnSpPr/>
      </xdr:nvCxnSpPr>
      <xdr:spPr>
        <a:xfrm>
          <a:off x="1186342" y="1167512"/>
          <a:ext cx="79785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661353</xdr:colOff>
      <xdr:row>2</xdr:row>
      <xdr:rowOff>59456</xdr:rowOff>
    </xdr:from>
    <xdr:to>
      <xdr:col>7</xdr:col>
      <xdr:colOff>585107</xdr:colOff>
      <xdr:row>2</xdr:row>
      <xdr:rowOff>59456</xdr:rowOff>
    </xdr:to>
    <xdr:cxnSp macro="">
      <xdr:nvCxnSpPr>
        <xdr:cNvPr id="3" name="Straight Connector 2">
          <a:extLst>
            <a:ext uri="{FF2B5EF4-FFF2-40B4-BE49-F238E27FC236}">
              <a16:creationId xmlns:a16="http://schemas.microsoft.com/office/drawing/2014/main" id="{8DA3F0EA-A2EA-4136-800A-FE8E509630DA}"/>
            </a:ext>
          </a:extLst>
        </xdr:cNvPr>
        <xdr:cNvCxnSpPr/>
      </xdr:nvCxnSpPr>
      <xdr:spPr>
        <a:xfrm>
          <a:off x="7560174" y="1216063"/>
          <a:ext cx="2032862"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892633</xdr:colOff>
      <xdr:row>2</xdr:row>
      <xdr:rowOff>533376</xdr:rowOff>
    </xdr:from>
    <xdr:to>
      <xdr:col>4</xdr:col>
      <xdr:colOff>730181</xdr:colOff>
      <xdr:row>2</xdr:row>
      <xdr:rowOff>533376</xdr:rowOff>
    </xdr:to>
    <xdr:cxnSp macro="">
      <xdr:nvCxnSpPr>
        <xdr:cNvPr id="6" name="Straight Connector 5">
          <a:extLst>
            <a:ext uri="{FF2B5EF4-FFF2-40B4-BE49-F238E27FC236}">
              <a16:creationId xmlns:a16="http://schemas.microsoft.com/office/drawing/2014/main" id="{96331044-2F4B-4153-AA26-332584C736E8}"/>
            </a:ext>
          </a:extLst>
        </xdr:cNvPr>
        <xdr:cNvCxnSpPr/>
      </xdr:nvCxnSpPr>
      <xdr:spPr>
        <a:xfrm>
          <a:off x="5195692" y="981611"/>
          <a:ext cx="958136"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410882</xdr:colOff>
      <xdr:row>35</xdr:row>
      <xdr:rowOff>575235</xdr:rowOff>
    </xdr:from>
    <xdr:to>
      <xdr:col>9</xdr:col>
      <xdr:colOff>193861</xdr:colOff>
      <xdr:row>35</xdr:row>
      <xdr:rowOff>1032435</xdr:rowOff>
    </xdr:to>
    <xdr:pic>
      <xdr:nvPicPr>
        <xdr:cNvPr id="5" name="Picture 5" descr="C:\Users\LE THANH VINH\Desktop\Chu ky dien tu Khoa Y\Chu ky dien tu Khoa Y\cks_Thanh Vinh.png">
          <a:extLst>
            <a:ext uri="{FF2B5EF4-FFF2-40B4-BE49-F238E27FC236}">
              <a16:creationId xmlns:a16="http://schemas.microsoft.com/office/drawing/2014/main" id="{6AA6D103-01C0-4854-B4BC-E3818BD930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680823" y="14687176"/>
          <a:ext cx="13144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76068-CA37-4E10-93AC-F1FEECC29AA3}">
  <dimension ref="A1:K43"/>
  <sheetViews>
    <sheetView view="pageBreakPreview" zoomScale="85" zoomScaleNormal="70" zoomScaleSheetLayoutView="85" workbookViewId="0">
      <selection activeCell="G6" sqref="G6:G7"/>
    </sheetView>
  </sheetViews>
  <sheetFormatPr defaultRowHeight="32.5" customHeight="1" x14ac:dyDescent="0.35"/>
  <cols>
    <col min="1" max="1" width="6" customWidth="1"/>
    <col min="2" max="2" width="40.26953125" customWidth="1"/>
    <col min="3" max="3" width="16.453125" customWidth="1"/>
    <col min="4" max="4" width="19.90625" customWidth="1"/>
    <col min="5" max="5" width="12.90625" customWidth="1"/>
    <col min="6" max="6" width="14.08984375" customWidth="1"/>
    <col min="7" max="7" width="14.6328125" customWidth="1"/>
    <col min="8" max="8" width="13.6328125" customWidth="1"/>
    <col min="9" max="9" width="10.90625" customWidth="1"/>
    <col min="10" max="10" width="8.36328125" customWidth="1"/>
    <col min="11" max="11" width="12.26953125" customWidth="1"/>
  </cols>
  <sheetData>
    <row r="1" spans="1:11" ht="42.75" customHeight="1" x14ac:dyDescent="0.35">
      <c r="A1" s="26" t="s">
        <v>66</v>
      </c>
      <c r="B1" s="37"/>
      <c r="C1" s="37"/>
      <c r="D1" s="37"/>
      <c r="E1" s="37"/>
      <c r="F1" s="37"/>
      <c r="G1" s="37"/>
      <c r="H1" s="37"/>
      <c r="I1" s="37"/>
      <c r="J1" s="37"/>
      <c r="K1" s="37"/>
    </row>
    <row r="2" spans="1:11" s="7" customFormat="1" ht="21.75" customHeight="1" x14ac:dyDescent="0.35">
      <c r="A2" s="38" t="s">
        <v>29</v>
      </c>
      <c r="B2" s="39"/>
      <c r="C2" s="17"/>
      <c r="D2" s="17"/>
      <c r="E2" s="25" t="s">
        <v>24</v>
      </c>
      <c r="F2" s="25"/>
      <c r="G2" s="25"/>
      <c r="H2" s="25"/>
      <c r="I2" s="25"/>
      <c r="J2" s="25"/>
      <c r="K2" s="25"/>
    </row>
    <row r="3" spans="1:11" s="7" customFormat="1" ht="18.75" customHeight="1" x14ac:dyDescent="0.35">
      <c r="A3" s="25" t="s">
        <v>30</v>
      </c>
      <c r="B3" s="25"/>
      <c r="C3" s="8"/>
      <c r="D3" s="17"/>
      <c r="E3" s="26" t="s">
        <v>25</v>
      </c>
      <c r="F3" s="26"/>
      <c r="G3" s="26"/>
      <c r="H3" s="26"/>
      <c r="I3" s="26"/>
      <c r="J3" s="26"/>
      <c r="K3" s="26"/>
    </row>
    <row r="4" spans="1:11" ht="44.25" customHeight="1" x14ac:dyDescent="0.35">
      <c r="A4" s="26" t="s">
        <v>59</v>
      </c>
      <c r="B4" s="27"/>
      <c r="C4" s="27"/>
      <c r="D4" s="27"/>
      <c r="E4" s="27"/>
      <c r="F4" s="27"/>
      <c r="G4" s="27"/>
      <c r="H4" s="27"/>
      <c r="I4" s="27"/>
      <c r="J4" s="27"/>
      <c r="K4" s="27"/>
    </row>
    <row r="5" spans="1:11" ht="9" customHeight="1" x14ac:dyDescent="0.35">
      <c r="A5" s="22"/>
      <c r="B5" s="22"/>
      <c r="C5" s="22"/>
      <c r="D5" s="22"/>
      <c r="E5" s="22"/>
      <c r="F5" s="22"/>
      <c r="G5" s="22"/>
      <c r="H5" s="22"/>
      <c r="I5" s="22"/>
      <c r="J5" s="22"/>
      <c r="K5" s="22"/>
    </row>
    <row r="6" spans="1:11" ht="39.75" customHeight="1" x14ac:dyDescent="0.35">
      <c r="A6" s="30" t="s">
        <v>0</v>
      </c>
      <c r="B6" s="30" t="s">
        <v>1</v>
      </c>
      <c r="C6" s="30" t="s">
        <v>2</v>
      </c>
      <c r="D6" s="30" t="s">
        <v>32</v>
      </c>
      <c r="E6" s="30" t="s">
        <v>60</v>
      </c>
      <c r="F6" s="30" t="s">
        <v>15</v>
      </c>
      <c r="G6" s="40" t="s">
        <v>69</v>
      </c>
      <c r="H6" s="28" t="s">
        <v>3</v>
      </c>
      <c r="I6" s="28" t="s">
        <v>62</v>
      </c>
      <c r="J6" s="28" t="s">
        <v>63</v>
      </c>
      <c r="K6" s="30" t="s">
        <v>4</v>
      </c>
    </row>
    <row r="7" spans="1:11" ht="21.75" customHeight="1" x14ac:dyDescent="0.35">
      <c r="A7" s="30"/>
      <c r="B7" s="30"/>
      <c r="C7" s="30"/>
      <c r="D7" s="30"/>
      <c r="E7" s="30"/>
      <c r="F7" s="30"/>
      <c r="G7" s="40"/>
      <c r="H7" s="28"/>
      <c r="I7" s="28"/>
      <c r="J7" s="28"/>
      <c r="K7" s="30"/>
    </row>
    <row r="8" spans="1:11" ht="15" x14ac:dyDescent="0.35">
      <c r="A8" s="6" t="s">
        <v>16</v>
      </c>
      <c r="B8" s="6" t="s">
        <v>17</v>
      </c>
      <c r="C8" s="6" t="s">
        <v>18</v>
      </c>
      <c r="D8" s="6" t="s">
        <v>19</v>
      </c>
      <c r="E8" s="6" t="s">
        <v>20</v>
      </c>
      <c r="F8" s="6" t="s">
        <v>21</v>
      </c>
      <c r="G8" s="6" t="s">
        <v>22</v>
      </c>
      <c r="H8" s="6" t="s">
        <v>23</v>
      </c>
      <c r="I8" s="6" t="s">
        <v>28</v>
      </c>
      <c r="J8" s="6" t="s">
        <v>33</v>
      </c>
      <c r="K8" s="6" t="s">
        <v>61</v>
      </c>
    </row>
    <row r="9" spans="1:11" ht="31.5" customHeight="1" x14ac:dyDescent="0.35">
      <c r="A9" s="1" t="s">
        <v>5</v>
      </c>
      <c r="B9" s="33" t="s">
        <v>31</v>
      </c>
      <c r="C9" s="33"/>
      <c r="D9" s="33"/>
      <c r="E9" s="33"/>
      <c r="F9" s="33"/>
      <c r="G9" s="33"/>
      <c r="H9" s="33"/>
      <c r="I9" s="33"/>
      <c r="J9" s="33"/>
      <c r="K9" s="33"/>
    </row>
    <row r="10" spans="1:11" ht="25.5" customHeight="1" x14ac:dyDescent="0.35">
      <c r="A10" s="9">
        <v>1</v>
      </c>
      <c r="B10" s="34" t="s">
        <v>6</v>
      </c>
      <c r="C10" s="34"/>
      <c r="D10" s="34"/>
      <c r="E10" s="34"/>
      <c r="F10" s="34"/>
      <c r="G10" s="34"/>
      <c r="H10" s="34"/>
      <c r="I10" s="34"/>
      <c r="J10" s="34"/>
      <c r="K10" s="34"/>
    </row>
    <row r="11" spans="1:11" ht="84" customHeight="1" x14ac:dyDescent="0.35">
      <c r="A11" s="1" t="s">
        <v>26</v>
      </c>
      <c r="B11" s="3" t="s">
        <v>7</v>
      </c>
      <c r="C11" s="11" t="s">
        <v>38</v>
      </c>
      <c r="D11" s="11" t="s">
        <v>42</v>
      </c>
      <c r="E11" s="4" t="s">
        <v>49</v>
      </c>
      <c r="F11" s="1"/>
      <c r="G11" s="4" t="s">
        <v>52</v>
      </c>
      <c r="H11" s="1"/>
      <c r="I11" s="1">
        <f>IF(G11="Khó và phức tạp",200,IF(G11="Cao",150,IF(G11="Trungbình",120,100)))</f>
        <v>200</v>
      </c>
      <c r="J11" s="1">
        <f>I11*0.01</f>
        <v>2</v>
      </c>
      <c r="K11" s="18" t="s">
        <v>67</v>
      </c>
    </row>
    <row r="12" spans="1:11" ht="64.5" customHeight="1" x14ac:dyDescent="0.35">
      <c r="A12" s="1" t="s">
        <v>27</v>
      </c>
      <c r="B12" s="3" t="s">
        <v>7</v>
      </c>
      <c r="C12" s="14" t="s">
        <v>40</v>
      </c>
      <c r="D12" s="14" t="s">
        <v>53</v>
      </c>
      <c r="E12" s="15" t="s">
        <v>49</v>
      </c>
      <c r="F12" s="1"/>
      <c r="G12" s="4" t="s">
        <v>51</v>
      </c>
      <c r="H12" s="1"/>
      <c r="I12" s="1">
        <f t="shared" ref="I12:I14" si="0">IF(G12="Khó và phức tạp",200,IF(G12="Cao",150,IF(G12="Trungbình",120,100)))</f>
        <v>150</v>
      </c>
      <c r="J12" s="1">
        <f t="shared" ref="J12:J14" si="1">I12*0.01</f>
        <v>1.5</v>
      </c>
      <c r="K12" s="15" t="s">
        <v>68</v>
      </c>
    </row>
    <row r="13" spans="1:11" ht="36" x14ac:dyDescent="0.35">
      <c r="A13" s="1" t="s">
        <v>41</v>
      </c>
      <c r="B13" s="3" t="s">
        <v>7</v>
      </c>
      <c r="C13" s="14" t="s">
        <v>39</v>
      </c>
      <c r="D13" s="14" t="s">
        <v>54</v>
      </c>
      <c r="E13" s="15" t="s">
        <v>49</v>
      </c>
      <c r="F13" s="1"/>
      <c r="G13" s="4" t="s">
        <v>51</v>
      </c>
      <c r="H13" s="1"/>
      <c r="I13" s="1">
        <f t="shared" si="0"/>
        <v>150</v>
      </c>
      <c r="J13" s="1">
        <f t="shared" si="1"/>
        <v>1.5</v>
      </c>
      <c r="K13" s="1"/>
    </row>
    <row r="14" spans="1:11" ht="81" customHeight="1" x14ac:dyDescent="0.35">
      <c r="A14" s="1" t="s">
        <v>56</v>
      </c>
      <c r="B14" s="3" t="s">
        <v>7</v>
      </c>
      <c r="C14" s="14" t="s">
        <v>37</v>
      </c>
      <c r="D14" s="14" t="s">
        <v>55</v>
      </c>
      <c r="E14" s="15" t="s">
        <v>49</v>
      </c>
      <c r="F14" s="1"/>
      <c r="G14" s="4" t="s">
        <v>51</v>
      </c>
      <c r="H14" s="1"/>
      <c r="I14" s="1">
        <f t="shared" si="0"/>
        <v>150</v>
      </c>
      <c r="J14" s="1">
        <f t="shared" si="1"/>
        <v>1.5</v>
      </c>
      <c r="K14" s="18" t="s">
        <v>67</v>
      </c>
    </row>
    <row r="15" spans="1:11" ht="15" x14ac:dyDescent="0.35">
      <c r="A15" s="9">
        <v>2</v>
      </c>
      <c r="B15" s="34" t="s">
        <v>8</v>
      </c>
      <c r="C15" s="34"/>
      <c r="D15" s="34"/>
      <c r="E15" s="34"/>
      <c r="F15" s="34"/>
      <c r="G15" s="34"/>
      <c r="H15" s="34"/>
      <c r="I15" s="34"/>
      <c r="J15" s="34"/>
      <c r="K15" s="34"/>
    </row>
    <row r="16" spans="1:11" ht="36" x14ac:dyDescent="0.35">
      <c r="A16" s="1"/>
      <c r="B16" s="3" t="s">
        <v>7</v>
      </c>
      <c r="C16" s="14" t="s">
        <v>38</v>
      </c>
      <c r="D16" s="14" t="s">
        <v>42</v>
      </c>
      <c r="E16" s="15" t="s">
        <v>49</v>
      </c>
      <c r="F16" s="1"/>
      <c r="G16" s="4" t="s">
        <v>52</v>
      </c>
      <c r="H16" s="4"/>
      <c r="I16" s="1">
        <f t="shared" ref="I16:I17" si="2">IF(G16="Khó và phức tạp",200,IF(G16="Cao",150,IF(G16="Trungbình",120,100)))</f>
        <v>200</v>
      </c>
      <c r="J16" s="1">
        <f t="shared" ref="J16:J41" si="3">I16*0.01</f>
        <v>2</v>
      </c>
      <c r="K16" s="18" t="s">
        <v>67</v>
      </c>
    </row>
    <row r="17" spans="1:11" ht="46.5" x14ac:dyDescent="0.35">
      <c r="A17" s="1"/>
      <c r="B17" s="3" t="s">
        <v>7</v>
      </c>
      <c r="C17" s="14" t="s">
        <v>38</v>
      </c>
      <c r="D17" s="14" t="s">
        <v>55</v>
      </c>
      <c r="E17" s="15" t="s">
        <v>49</v>
      </c>
      <c r="F17" s="1"/>
      <c r="G17" s="4" t="s">
        <v>52</v>
      </c>
      <c r="H17" s="3"/>
      <c r="I17" s="1">
        <f t="shared" si="2"/>
        <v>200</v>
      </c>
      <c r="J17" s="1">
        <f t="shared" si="3"/>
        <v>2</v>
      </c>
      <c r="K17" s="15" t="s">
        <v>68</v>
      </c>
    </row>
    <row r="18" spans="1:11" ht="15" x14ac:dyDescent="0.35">
      <c r="A18" s="9">
        <v>3</v>
      </c>
      <c r="B18" s="34" t="s">
        <v>9</v>
      </c>
      <c r="C18" s="34"/>
      <c r="D18" s="34"/>
      <c r="E18" s="34"/>
      <c r="F18" s="34"/>
      <c r="G18" s="34"/>
      <c r="H18" s="34"/>
      <c r="I18" s="34"/>
      <c r="J18" s="34"/>
      <c r="K18" s="34"/>
    </row>
    <row r="19" spans="1:11" ht="36" x14ac:dyDescent="0.35">
      <c r="A19" s="1"/>
      <c r="B19" s="3" t="s">
        <v>7</v>
      </c>
      <c r="C19" s="14" t="s">
        <v>39</v>
      </c>
      <c r="D19" s="14" t="s">
        <v>54</v>
      </c>
      <c r="E19" s="15" t="s">
        <v>49</v>
      </c>
      <c r="F19" s="1"/>
      <c r="G19" s="4" t="s">
        <v>51</v>
      </c>
      <c r="H19" s="4"/>
      <c r="I19" s="1">
        <f t="shared" ref="I19:I20" si="4">IF(G19="Khó và phức tạp",200,IF(G19="Cao",150,IF(G19="Trungbình",120,100)))</f>
        <v>150</v>
      </c>
      <c r="J19" s="1">
        <f t="shared" si="3"/>
        <v>1.5</v>
      </c>
      <c r="K19" s="18" t="s">
        <v>67</v>
      </c>
    </row>
    <row r="20" spans="1:11" ht="46.5" x14ac:dyDescent="0.35">
      <c r="A20" s="1"/>
      <c r="B20" s="3" t="s">
        <v>7</v>
      </c>
      <c r="C20" s="14" t="s">
        <v>37</v>
      </c>
      <c r="D20" s="2"/>
      <c r="E20" s="2"/>
      <c r="F20" s="2"/>
      <c r="G20" s="3"/>
      <c r="H20" s="3"/>
      <c r="I20" s="1">
        <f t="shared" si="4"/>
        <v>100</v>
      </c>
      <c r="J20" s="1">
        <f t="shared" si="3"/>
        <v>1</v>
      </c>
      <c r="K20" s="15" t="s">
        <v>68</v>
      </c>
    </row>
    <row r="21" spans="1:11" s="16" customFormat="1" ht="15" x14ac:dyDescent="0.35">
      <c r="A21" s="1">
        <v>4</v>
      </c>
      <c r="B21" s="36" t="s">
        <v>10</v>
      </c>
      <c r="C21" s="36"/>
      <c r="D21" s="36"/>
      <c r="E21" s="36"/>
      <c r="F21" s="36"/>
      <c r="G21" s="36"/>
      <c r="H21" s="36"/>
      <c r="I21" s="36"/>
      <c r="J21" s="36"/>
      <c r="K21" s="36"/>
    </row>
    <row r="22" spans="1:11" ht="36" x14ac:dyDescent="0.35">
      <c r="A22" s="1"/>
      <c r="B22" s="3" t="s">
        <v>7</v>
      </c>
      <c r="C22" s="14" t="s">
        <v>43</v>
      </c>
      <c r="D22" s="14" t="s">
        <v>42</v>
      </c>
      <c r="E22" s="15" t="s">
        <v>49</v>
      </c>
      <c r="F22" s="1"/>
      <c r="G22" s="4" t="s">
        <v>52</v>
      </c>
      <c r="H22" s="4"/>
      <c r="I22" s="1">
        <f t="shared" ref="I22:I27" si="5">IF(G22="Khó và phức tạp",200,IF(G22="Cao",150,IF(G22="Trungbình",120,100)))</f>
        <v>200</v>
      </c>
      <c r="J22" s="1">
        <f t="shared" si="3"/>
        <v>2</v>
      </c>
      <c r="K22" s="18" t="s">
        <v>67</v>
      </c>
    </row>
    <row r="23" spans="1:11" ht="46.5" x14ac:dyDescent="0.35">
      <c r="A23" s="1"/>
      <c r="B23" s="3"/>
      <c r="C23" s="14" t="s">
        <v>44</v>
      </c>
      <c r="D23" s="14"/>
      <c r="E23" s="15" t="s">
        <v>49</v>
      </c>
      <c r="F23" s="1"/>
      <c r="G23" s="4" t="s">
        <v>52</v>
      </c>
      <c r="H23" s="4"/>
      <c r="I23" s="1">
        <f t="shared" si="5"/>
        <v>200</v>
      </c>
      <c r="J23" s="1">
        <f t="shared" si="3"/>
        <v>2</v>
      </c>
      <c r="K23" s="15" t="s">
        <v>68</v>
      </c>
    </row>
    <row r="24" spans="1:11" ht="31" x14ac:dyDescent="0.35">
      <c r="A24" s="1"/>
      <c r="B24" s="3"/>
      <c r="C24" s="14" t="s">
        <v>45</v>
      </c>
      <c r="D24" s="14"/>
      <c r="E24" s="15" t="s">
        <v>49</v>
      </c>
      <c r="F24" s="1"/>
      <c r="G24" s="4" t="s">
        <v>52</v>
      </c>
      <c r="H24" s="4"/>
      <c r="I24" s="1">
        <f t="shared" si="5"/>
        <v>200</v>
      </c>
      <c r="J24" s="1">
        <f t="shared" si="3"/>
        <v>2</v>
      </c>
      <c r="K24" s="18" t="s">
        <v>67</v>
      </c>
    </row>
    <row r="25" spans="1:11" ht="46.5" x14ac:dyDescent="0.35">
      <c r="A25" s="1"/>
      <c r="B25" s="3"/>
      <c r="C25" s="14" t="s">
        <v>46</v>
      </c>
      <c r="D25" s="14"/>
      <c r="E25" s="15" t="s">
        <v>49</v>
      </c>
      <c r="F25" s="1"/>
      <c r="G25" s="4" t="s">
        <v>52</v>
      </c>
      <c r="H25" s="4"/>
      <c r="I25" s="1">
        <f t="shared" si="5"/>
        <v>200</v>
      </c>
      <c r="J25" s="1">
        <f t="shared" si="3"/>
        <v>2</v>
      </c>
      <c r="K25" s="15" t="s">
        <v>68</v>
      </c>
    </row>
    <row r="26" spans="1:11" ht="31" x14ac:dyDescent="0.35">
      <c r="A26" s="1"/>
      <c r="B26" s="3"/>
      <c r="C26" s="14" t="s">
        <v>47</v>
      </c>
      <c r="D26" s="14"/>
      <c r="E26" s="15" t="s">
        <v>49</v>
      </c>
      <c r="F26" s="1"/>
      <c r="G26" s="4" t="s">
        <v>52</v>
      </c>
      <c r="H26" s="4"/>
      <c r="I26" s="1">
        <f t="shared" si="5"/>
        <v>200</v>
      </c>
      <c r="J26" s="1">
        <f t="shared" si="3"/>
        <v>2</v>
      </c>
      <c r="K26" s="18" t="s">
        <v>67</v>
      </c>
    </row>
    <row r="27" spans="1:11" ht="46.5" x14ac:dyDescent="0.35">
      <c r="A27" s="1"/>
      <c r="B27" s="3"/>
      <c r="C27" s="14" t="s">
        <v>48</v>
      </c>
      <c r="D27" s="14"/>
      <c r="E27" s="15" t="s">
        <v>49</v>
      </c>
      <c r="F27" s="1"/>
      <c r="G27" s="4" t="s">
        <v>52</v>
      </c>
      <c r="H27" s="4"/>
      <c r="I27" s="1">
        <f t="shared" si="5"/>
        <v>200</v>
      </c>
      <c r="J27" s="1">
        <f t="shared" si="3"/>
        <v>2</v>
      </c>
      <c r="K27" s="15" t="s">
        <v>68</v>
      </c>
    </row>
    <row r="28" spans="1:11" ht="15" x14ac:dyDescent="0.35">
      <c r="A28" s="9">
        <v>5</v>
      </c>
      <c r="B28" s="34" t="s">
        <v>11</v>
      </c>
      <c r="C28" s="34"/>
      <c r="D28" s="34"/>
      <c r="E28" s="34"/>
      <c r="F28" s="34"/>
      <c r="G28" s="34"/>
      <c r="H28" s="34"/>
      <c r="I28" s="34"/>
      <c r="J28" s="34"/>
      <c r="K28" s="34"/>
    </row>
    <row r="29" spans="1:11" ht="36" x14ac:dyDescent="0.35">
      <c r="A29" s="1"/>
      <c r="B29" s="3" t="s">
        <v>7</v>
      </c>
      <c r="C29" s="14" t="s">
        <v>43</v>
      </c>
      <c r="D29" s="14"/>
      <c r="E29" s="15" t="s">
        <v>49</v>
      </c>
      <c r="F29" s="1"/>
      <c r="G29" s="4" t="s">
        <v>52</v>
      </c>
      <c r="H29" s="4"/>
      <c r="I29" s="1">
        <f t="shared" ref="I29:I34" si="6">IF(G29="Khó và phức tạp",200,IF(G29="Cao",150,IF(G29="Trungbình",120,100)))</f>
        <v>200</v>
      </c>
      <c r="J29" s="1">
        <f t="shared" si="3"/>
        <v>2</v>
      </c>
      <c r="K29" s="18" t="s">
        <v>67</v>
      </c>
    </row>
    <row r="30" spans="1:11" ht="46.5" x14ac:dyDescent="0.35">
      <c r="A30" s="1"/>
      <c r="B30" s="3"/>
      <c r="C30" s="14" t="s">
        <v>44</v>
      </c>
      <c r="D30" s="14"/>
      <c r="E30" s="15" t="s">
        <v>49</v>
      </c>
      <c r="F30" s="1"/>
      <c r="G30" s="4" t="s">
        <v>51</v>
      </c>
      <c r="H30" s="4"/>
      <c r="I30" s="1">
        <f t="shared" si="6"/>
        <v>150</v>
      </c>
      <c r="J30" s="1">
        <f t="shared" si="3"/>
        <v>1.5</v>
      </c>
      <c r="K30" s="15" t="s">
        <v>68</v>
      </c>
    </row>
    <row r="31" spans="1:11" ht="31" x14ac:dyDescent="0.35">
      <c r="A31" s="1"/>
      <c r="B31" s="3"/>
      <c r="C31" s="14" t="s">
        <v>45</v>
      </c>
      <c r="D31" s="14"/>
      <c r="E31" s="15" t="s">
        <v>49</v>
      </c>
      <c r="F31" s="1"/>
      <c r="G31" s="4" t="s">
        <v>52</v>
      </c>
      <c r="H31" s="4"/>
      <c r="I31" s="1">
        <f t="shared" si="6"/>
        <v>200</v>
      </c>
      <c r="J31" s="1">
        <f t="shared" si="3"/>
        <v>2</v>
      </c>
      <c r="K31" s="18" t="s">
        <v>67</v>
      </c>
    </row>
    <row r="32" spans="1:11" ht="46.5" x14ac:dyDescent="0.35">
      <c r="A32" s="1"/>
      <c r="B32" s="3"/>
      <c r="C32" s="14" t="s">
        <v>46</v>
      </c>
      <c r="D32" s="14"/>
      <c r="E32" s="15" t="s">
        <v>49</v>
      </c>
      <c r="F32" s="1"/>
      <c r="G32" s="4" t="s">
        <v>50</v>
      </c>
      <c r="H32" s="4"/>
      <c r="I32" s="1">
        <f t="shared" si="6"/>
        <v>100</v>
      </c>
      <c r="J32" s="1">
        <f t="shared" si="3"/>
        <v>1</v>
      </c>
      <c r="K32" s="15" t="s">
        <v>68</v>
      </c>
    </row>
    <row r="33" spans="1:11" ht="30" x14ac:dyDescent="0.35">
      <c r="A33" s="1"/>
      <c r="B33" s="3"/>
      <c r="C33" s="14" t="s">
        <v>47</v>
      </c>
      <c r="D33" s="14"/>
      <c r="E33" s="15" t="s">
        <v>49</v>
      </c>
      <c r="F33" s="1"/>
      <c r="G33" s="4" t="s">
        <v>51</v>
      </c>
      <c r="H33" s="4"/>
      <c r="I33" s="1">
        <f t="shared" si="6"/>
        <v>150</v>
      </c>
      <c r="J33" s="1">
        <f t="shared" si="3"/>
        <v>1.5</v>
      </c>
      <c r="K33" s="18" t="s">
        <v>67</v>
      </c>
    </row>
    <row r="34" spans="1:11" ht="46.5" x14ac:dyDescent="0.35">
      <c r="A34" s="1"/>
      <c r="B34" s="3"/>
      <c r="C34" s="14" t="s">
        <v>48</v>
      </c>
      <c r="D34" s="14"/>
      <c r="E34" s="15" t="s">
        <v>49</v>
      </c>
      <c r="F34" s="1"/>
      <c r="G34" s="4" t="s">
        <v>64</v>
      </c>
      <c r="H34" s="4"/>
      <c r="I34" s="1">
        <f t="shared" si="6"/>
        <v>100</v>
      </c>
      <c r="J34" s="1">
        <f t="shared" si="3"/>
        <v>1</v>
      </c>
      <c r="K34" s="15" t="s">
        <v>68</v>
      </c>
    </row>
    <row r="35" spans="1:11" ht="15" x14ac:dyDescent="0.35">
      <c r="A35" s="9">
        <v>6</v>
      </c>
      <c r="B35" s="34" t="s">
        <v>12</v>
      </c>
      <c r="C35" s="34"/>
      <c r="D35" s="34"/>
      <c r="E35" s="34"/>
      <c r="F35" s="34"/>
      <c r="G35" s="34"/>
      <c r="H35" s="34"/>
      <c r="I35" s="34"/>
      <c r="J35" s="34"/>
      <c r="K35" s="34"/>
    </row>
    <row r="36" spans="1:11" ht="36" x14ac:dyDescent="0.35">
      <c r="A36" s="5"/>
      <c r="B36" s="3" t="s">
        <v>7</v>
      </c>
      <c r="C36" s="14" t="s">
        <v>43</v>
      </c>
      <c r="D36" s="14"/>
      <c r="E36" s="15" t="s">
        <v>49</v>
      </c>
      <c r="F36" s="1"/>
      <c r="G36" s="4" t="s">
        <v>52</v>
      </c>
      <c r="H36" s="4"/>
      <c r="I36" s="1">
        <f t="shared" ref="I36:I37" si="7">IF(G36="Khó và phức tạp",200,IF(G36="Cao",150,IF(G36="Trungbình",120,100)))</f>
        <v>200</v>
      </c>
      <c r="J36" s="1">
        <f t="shared" si="3"/>
        <v>2</v>
      </c>
      <c r="K36" s="18" t="s">
        <v>67</v>
      </c>
    </row>
    <row r="37" spans="1:11" ht="46.5" x14ac:dyDescent="0.35">
      <c r="A37" s="4"/>
      <c r="B37" s="3" t="s">
        <v>7</v>
      </c>
      <c r="C37" s="14" t="s">
        <v>44</v>
      </c>
      <c r="D37" s="14"/>
      <c r="E37" s="15" t="s">
        <v>49</v>
      </c>
      <c r="F37" s="1"/>
      <c r="G37" s="4" t="s">
        <v>52</v>
      </c>
      <c r="H37" s="4"/>
      <c r="I37" s="1">
        <f t="shared" si="7"/>
        <v>200</v>
      </c>
      <c r="J37" s="1">
        <f t="shared" si="3"/>
        <v>2</v>
      </c>
      <c r="K37" s="15" t="s">
        <v>68</v>
      </c>
    </row>
    <row r="38" spans="1:11" ht="15" x14ac:dyDescent="0.35">
      <c r="A38" s="9" t="s">
        <v>13</v>
      </c>
      <c r="B38" s="34" t="s">
        <v>14</v>
      </c>
      <c r="C38" s="34"/>
      <c r="D38" s="34"/>
      <c r="E38" s="34"/>
      <c r="F38" s="34"/>
      <c r="G38" s="34"/>
      <c r="H38" s="34"/>
      <c r="I38" s="34"/>
      <c r="J38" s="34"/>
      <c r="K38" s="34"/>
    </row>
    <row r="39" spans="1:11" ht="31" x14ac:dyDescent="0.35">
      <c r="A39" s="4">
        <v>1</v>
      </c>
      <c r="B39" s="3"/>
      <c r="C39" s="14" t="s">
        <v>38</v>
      </c>
      <c r="D39" s="14"/>
      <c r="E39" s="15" t="s">
        <v>49</v>
      </c>
      <c r="F39" s="1"/>
      <c r="G39" s="4" t="s">
        <v>52</v>
      </c>
      <c r="H39" s="4"/>
      <c r="I39" s="1">
        <f t="shared" ref="I39:I41" si="8">IF(G39="Khó và phức tạp",200,IF(G39="Cao",150,IF(G39="Trungbình",120,100)))</f>
        <v>200</v>
      </c>
      <c r="J39" s="1">
        <f t="shared" si="3"/>
        <v>2</v>
      </c>
      <c r="K39" s="18" t="s">
        <v>67</v>
      </c>
    </row>
    <row r="40" spans="1:11" ht="46.5" x14ac:dyDescent="0.35">
      <c r="A40" s="4">
        <v>2</v>
      </c>
      <c r="B40" s="3"/>
      <c r="C40" s="14" t="s">
        <v>43</v>
      </c>
      <c r="D40" s="14"/>
      <c r="E40" s="15" t="s">
        <v>49</v>
      </c>
      <c r="F40" s="1"/>
      <c r="G40" s="4" t="s">
        <v>52</v>
      </c>
      <c r="H40" s="4"/>
      <c r="I40" s="1">
        <f t="shared" si="8"/>
        <v>200</v>
      </c>
      <c r="J40" s="1">
        <f t="shared" si="3"/>
        <v>2</v>
      </c>
      <c r="K40" s="15" t="s">
        <v>68</v>
      </c>
    </row>
    <row r="41" spans="1:11" ht="36" x14ac:dyDescent="0.35">
      <c r="A41" s="4" t="s">
        <v>7</v>
      </c>
      <c r="B41" s="3"/>
      <c r="C41" s="14" t="s">
        <v>44</v>
      </c>
      <c r="D41" s="14"/>
      <c r="E41" s="15" t="s">
        <v>49</v>
      </c>
      <c r="F41" s="1"/>
      <c r="G41" s="4" t="s">
        <v>52</v>
      </c>
      <c r="H41" s="4"/>
      <c r="I41" s="1">
        <f t="shared" si="8"/>
        <v>200</v>
      </c>
      <c r="J41" s="1">
        <f t="shared" si="3"/>
        <v>2</v>
      </c>
      <c r="K41" s="4"/>
    </row>
    <row r="42" spans="1:11" s="10" customFormat="1" ht="119.25" customHeight="1" x14ac:dyDescent="0.35">
      <c r="B42" s="35" t="s">
        <v>34</v>
      </c>
      <c r="C42" s="35"/>
      <c r="D42" s="35"/>
      <c r="E42" s="35"/>
      <c r="F42" s="35"/>
      <c r="G42" s="35"/>
      <c r="H42" s="35"/>
      <c r="I42" s="35"/>
      <c r="J42" s="35"/>
      <c r="K42" s="35"/>
    </row>
    <row r="43" spans="1:11" s="13" customFormat="1" ht="133.5" customHeight="1" x14ac:dyDescent="0.35">
      <c r="A43" s="32" t="s">
        <v>36</v>
      </c>
      <c r="B43" s="32"/>
      <c r="C43" s="32"/>
      <c r="D43" s="12"/>
      <c r="F43" s="31" t="s">
        <v>35</v>
      </c>
      <c r="G43" s="31"/>
      <c r="H43" s="31"/>
      <c r="I43" s="31"/>
      <c r="J43" s="31"/>
      <c r="K43" s="31"/>
    </row>
  </sheetData>
  <mergeCells count="29">
    <mergeCell ref="F43:K43"/>
    <mergeCell ref="A4:K4"/>
    <mergeCell ref="A1:K1"/>
    <mergeCell ref="A2:B2"/>
    <mergeCell ref="A3:B3"/>
    <mergeCell ref="E2:K2"/>
    <mergeCell ref="E3:K3"/>
    <mergeCell ref="A5:K5"/>
    <mergeCell ref="A6:A7"/>
    <mergeCell ref="B6:B7"/>
    <mergeCell ref="C6:C7"/>
    <mergeCell ref="D6:D7"/>
    <mergeCell ref="E6:E7"/>
    <mergeCell ref="F6:F7"/>
    <mergeCell ref="G6:G7"/>
    <mergeCell ref="A43:C43"/>
    <mergeCell ref="B28:K28"/>
    <mergeCell ref="B35:K35"/>
    <mergeCell ref="B38:K38"/>
    <mergeCell ref="B42:K42"/>
    <mergeCell ref="H6:H7"/>
    <mergeCell ref="K6:K7"/>
    <mergeCell ref="B9:K9"/>
    <mergeCell ref="B10:K10"/>
    <mergeCell ref="B15:K15"/>
    <mergeCell ref="B18:K18"/>
    <mergeCell ref="B21:K21"/>
    <mergeCell ref="I6:I7"/>
    <mergeCell ref="J6:J7"/>
  </mergeCells>
  <conditionalFormatting sqref="C11">
    <cfRule type="dataBar" priority="1">
      <dataBar>
        <cfvo type="min"/>
        <cfvo type="max"/>
        <color rgb="FF638EC6"/>
      </dataBar>
      <extLst>
        <ext xmlns:x14="http://schemas.microsoft.com/office/spreadsheetml/2009/9/main" uri="{B025F937-C7B1-47D3-B67F-A62EFF666E3E}">
          <x14:id>{33EA57D2-DC82-4815-BB20-CC1C87740564}</x14:id>
        </ext>
      </extLst>
    </cfRule>
  </conditionalFormatting>
  <conditionalFormatting sqref="C12:C14">
    <cfRule type="dataBar" priority="10">
      <dataBar>
        <cfvo type="min"/>
        <cfvo type="max"/>
        <color rgb="FF638EC6"/>
      </dataBar>
      <extLst>
        <ext xmlns:x14="http://schemas.microsoft.com/office/spreadsheetml/2009/9/main" uri="{B025F937-C7B1-47D3-B67F-A62EFF666E3E}">
          <x14:id>{721A8620-2CEA-4C07-B1CE-0DBD1FBEA668}</x14:id>
        </ext>
      </extLst>
    </cfRule>
  </conditionalFormatting>
  <conditionalFormatting sqref="C16:C17">
    <cfRule type="dataBar" priority="9">
      <dataBar>
        <cfvo type="min"/>
        <cfvo type="max"/>
        <color rgb="FF638EC6"/>
      </dataBar>
      <extLst>
        <ext xmlns:x14="http://schemas.microsoft.com/office/spreadsheetml/2009/9/main" uri="{B025F937-C7B1-47D3-B67F-A62EFF666E3E}">
          <x14:id>{A80F9E88-A997-4E0E-A1BD-B43DA6B39DBD}</x14:id>
        </ext>
      </extLst>
    </cfRule>
  </conditionalFormatting>
  <conditionalFormatting sqref="C19">
    <cfRule type="dataBar" priority="8">
      <dataBar>
        <cfvo type="min"/>
        <cfvo type="max"/>
        <color rgb="FF638EC6"/>
      </dataBar>
      <extLst>
        <ext xmlns:x14="http://schemas.microsoft.com/office/spreadsheetml/2009/9/main" uri="{B025F937-C7B1-47D3-B67F-A62EFF666E3E}">
          <x14:id>{432AA6D4-22CD-4B59-A15A-51397F58FCFF}</x14:id>
        </ext>
      </extLst>
    </cfRule>
  </conditionalFormatting>
  <conditionalFormatting sqref="C20">
    <cfRule type="dataBar" priority="7">
      <dataBar>
        <cfvo type="min"/>
        <cfvo type="max"/>
        <color rgb="FF638EC6"/>
      </dataBar>
      <extLst>
        <ext xmlns:x14="http://schemas.microsoft.com/office/spreadsheetml/2009/9/main" uri="{B025F937-C7B1-47D3-B67F-A62EFF666E3E}">
          <x14:id>{DB9E3C13-6474-4E67-AA31-263F1FB3002C}</x14:id>
        </ext>
      </extLst>
    </cfRule>
  </conditionalFormatting>
  <conditionalFormatting sqref="C22:C27">
    <cfRule type="dataBar" priority="6">
      <dataBar>
        <cfvo type="min"/>
        <cfvo type="max"/>
        <color rgb="FF638EC6"/>
      </dataBar>
      <extLst>
        <ext xmlns:x14="http://schemas.microsoft.com/office/spreadsheetml/2009/9/main" uri="{B025F937-C7B1-47D3-B67F-A62EFF666E3E}">
          <x14:id>{72361B58-5DB6-497B-9212-A45CF5B2275B}</x14:id>
        </ext>
      </extLst>
    </cfRule>
  </conditionalFormatting>
  <conditionalFormatting sqref="C29">
    <cfRule type="dataBar" priority="4">
      <dataBar>
        <cfvo type="min"/>
        <cfvo type="max"/>
        <color rgb="FF638EC6"/>
      </dataBar>
      <extLst>
        <ext xmlns:x14="http://schemas.microsoft.com/office/spreadsheetml/2009/9/main" uri="{B025F937-C7B1-47D3-B67F-A62EFF666E3E}">
          <x14:id>{A2B42AC3-4B49-47E5-A850-B30CAF4B91EB}</x14:id>
        </ext>
      </extLst>
    </cfRule>
  </conditionalFormatting>
  <conditionalFormatting sqref="C30:C34">
    <cfRule type="dataBar" priority="5">
      <dataBar>
        <cfvo type="min"/>
        <cfvo type="max"/>
        <color rgb="FF638EC6"/>
      </dataBar>
      <extLst>
        <ext xmlns:x14="http://schemas.microsoft.com/office/spreadsheetml/2009/9/main" uri="{B025F937-C7B1-47D3-B67F-A62EFF666E3E}">
          <x14:id>{D2FAAD70-CD89-4DEE-B068-39097FF9E67E}</x14:id>
        </ext>
      </extLst>
    </cfRule>
  </conditionalFormatting>
  <conditionalFormatting sqref="C36:C37">
    <cfRule type="dataBar" priority="3">
      <dataBar>
        <cfvo type="min"/>
        <cfvo type="max"/>
        <color rgb="FF638EC6"/>
      </dataBar>
      <extLst>
        <ext xmlns:x14="http://schemas.microsoft.com/office/spreadsheetml/2009/9/main" uri="{B025F937-C7B1-47D3-B67F-A62EFF666E3E}">
          <x14:id>{5552EA7E-E964-407C-8C1D-C99B7E93E5B0}</x14:id>
        </ext>
      </extLst>
    </cfRule>
  </conditionalFormatting>
  <conditionalFormatting sqref="C39:C41">
    <cfRule type="dataBar" priority="2">
      <dataBar>
        <cfvo type="min"/>
        <cfvo type="max"/>
        <color rgb="FF638EC6"/>
      </dataBar>
      <extLst>
        <ext xmlns:x14="http://schemas.microsoft.com/office/spreadsheetml/2009/9/main" uri="{B025F937-C7B1-47D3-B67F-A62EFF666E3E}">
          <x14:id>{8508ABF8-2EDE-4C74-9EBB-80FF12442F50}</x14:id>
        </ext>
      </extLst>
    </cfRule>
  </conditionalFormatting>
  <dataValidations count="5">
    <dataValidation type="list" allowBlank="1" showInputMessage="1" sqref="G16:G17 G19 G22:G27 G29:G34 G36:G37 G39:G41 G11:G14" xr:uid="{C0E74563-52B6-410E-BB90-EEACD0B5DE34}">
      <formula1>"Thấp,Trung bình,Cao,Khó và phức tạp"</formula1>
    </dataValidation>
    <dataValidation type="list" allowBlank="1" showInputMessage="1" sqref="E36:E37 E16:E17 E19 E22:E27 E11:E14 E29:E34 E39:E41" xr:uid="{948F47A4-4AD8-47AC-9414-CB0F58839D6C}">
      <formula1>"Bảng thống kê,Báo cáo,Biên bản,Chương trình,Công văn,Đề án,Giấy mời,Hồ sơ chuyên môn,Hợp đồng,Hướng dẫn,Kế hoạch,Kết luận,Nghị quyết,Phiếu chuyển,Phiếu trình,Phương án,Quy chế,Quyết định,Tài liệu hướng dẫn,Thông báo,Tờ trình"</formula1>
    </dataValidation>
    <dataValidation type="list" allowBlank="1" showInputMessage="1" sqref="C39:C41 C16:C17 C19:C20 C22:C27 C29:C34 C36:C37 C11:C14" xr:uid="{CF5A5EA2-85E8-42E3-A2F3-5367FCB9658B}">
      <formula1>"Hiệu trưởng, PHT Nguyễn Trung Hiếu, PHT Huỳnh Văn Chung, PHT Dương Văn Anh Dũng, Bí thư Đảng uỷ, Phó Bí thư Đảng uỷ, Uỷ viên BTV, Chủ tịch Công đoàn, Bí thư ĐTN, Chủ tịch HSV"</formula1>
    </dataValidation>
    <dataValidation type="list" allowBlank="1" showInputMessage="1" sqref="D39:D41 D16:D17 D19 D22:D27 D29:D34 D36:D37 D11:D14" xr:uid="{8FADD92A-3B4B-4B3B-8A19-9CF06425FE0F}">
      <formula1>"Phòng QLĐT&amp;BĐCL, Phòng TH-HC&amp;QT, Phòng QLKHCN&amp;HTPT, Phòng TC-KT, Phòng  TCCB&amp;CTHSSV, Khoa Sư phạm, Khoa CKHCB, Khoa KT&amp;NL, Khoa Y – Dược, Khoa ĐT&amp;SHLX, Khoa KT&amp;CN"</formula1>
    </dataValidation>
    <dataValidation allowBlank="1" showInputMessage="1" sqref="H36:K37 H29:K34 H11:K14 H16:K17 H19:K20 H22:K27 H39:K41" xr:uid="{FB959061-C5B3-4098-8DE6-C19569271444}"/>
  </dataValidations>
  <printOptions horizontalCentered="1"/>
  <pageMargins left="0.31496062992126" right="0.31496062992126" top="0.39370078740157499" bottom="0.39370078740157499" header="0.31496062992126" footer="0.31496062992126"/>
  <pageSetup paperSize="9" scale="75" orientation="landscape" r:id="rId1"/>
  <drawing r:id="rId2"/>
  <extLst>
    <ext xmlns:x14="http://schemas.microsoft.com/office/spreadsheetml/2009/9/main" uri="{78C0D931-6437-407d-A8EE-F0AAD7539E65}">
      <x14:conditionalFormattings>
        <x14:conditionalFormatting xmlns:xm="http://schemas.microsoft.com/office/excel/2006/main">
          <x14:cfRule type="dataBar" id="{33EA57D2-DC82-4815-BB20-CC1C87740564}">
            <x14:dataBar minLength="0" maxLength="100" gradient="0">
              <x14:cfvo type="autoMin"/>
              <x14:cfvo type="autoMax"/>
              <x14:negativeFillColor rgb="FFFF0000"/>
              <x14:axisColor rgb="FF000000"/>
            </x14:dataBar>
          </x14:cfRule>
          <xm:sqref>C11</xm:sqref>
        </x14:conditionalFormatting>
        <x14:conditionalFormatting xmlns:xm="http://schemas.microsoft.com/office/excel/2006/main">
          <x14:cfRule type="dataBar" id="{721A8620-2CEA-4C07-B1CE-0DBD1FBEA668}">
            <x14:dataBar minLength="0" maxLength="100" gradient="0">
              <x14:cfvo type="autoMin"/>
              <x14:cfvo type="autoMax"/>
              <x14:negativeFillColor rgb="FFFF0000"/>
              <x14:axisColor rgb="FF000000"/>
            </x14:dataBar>
          </x14:cfRule>
          <xm:sqref>C12:C14</xm:sqref>
        </x14:conditionalFormatting>
        <x14:conditionalFormatting xmlns:xm="http://schemas.microsoft.com/office/excel/2006/main">
          <x14:cfRule type="dataBar" id="{A80F9E88-A997-4E0E-A1BD-B43DA6B39DBD}">
            <x14:dataBar minLength="0" maxLength="100" gradient="0">
              <x14:cfvo type="autoMin"/>
              <x14:cfvo type="autoMax"/>
              <x14:negativeFillColor rgb="FFFF0000"/>
              <x14:axisColor rgb="FF000000"/>
            </x14:dataBar>
          </x14:cfRule>
          <xm:sqref>C16:C17</xm:sqref>
        </x14:conditionalFormatting>
        <x14:conditionalFormatting xmlns:xm="http://schemas.microsoft.com/office/excel/2006/main">
          <x14:cfRule type="dataBar" id="{432AA6D4-22CD-4B59-A15A-51397F58FCFF}">
            <x14:dataBar minLength="0" maxLength="100" gradient="0">
              <x14:cfvo type="autoMin"/>
              <x14:cfvo type="autoMax"/>
              <x14:negativeFillColor rgb="FFFF0000"/>
              <x14:axisColor rgb="FF000000"/>
            </x14:dataBar>
          </x14:cfRule>
          <xm:sqref>C19</xm:sqref>
        </x14:conditionalFormatting>
        <x14:conditionalFormatting xmlns:xm="http://schemas.microsoft.com/office/excel/2006/main">
          <x14:cfRule type="dataBar" id="{DB9E3C13-6474-4E67-AA31-263F1FB3002C}">
            <x14:dataBar minLength="0" maxLength="100" gradient="0">
              <x14:cfvo type="autoMin"/>
              <x14:cfvo type="autoMax"/>
              <x14:negativeFillColor rgb="FFFF0000"/>
              <x14:axisColor rgb="FF000000"/>
            </x14:dataBar>
          </x14:cfRule>
          <xm:sqref>C20</xm:sqref>
        </x14:conditionalFormatting>
        <x14:conditionalFormatting xmlns:xm="http://schemas.microsoft.com/office/excel/2006/main">
          <x14:cfRule type="dataBar" id="{72361B58-5DB6-497B-9212-A45CF5B2275B}">
            <x14:dataBar minLength="0" maxLength="100" gradient="0">
              <x14:cfvo type="autoMin"/>
              <x14:cfvo type="autoMax"/>
              <x14:negativeFillColor rgb="FFFF0000"/>
              <x14:axisColor rgb="FF000000"/>
            </x14:dataBar>
          </x14:cfRule>
          <xm:sqref>C22:C27</xm:sqref>
        </x14:conditionalFormatting>
        <x14:conditionalFormatting xmlns:xm="http://schemas.microsoft.com/office/excel/2006/main">
          <x14:cfRule type="dataBar" id="{A2B42AC3-4B49-47E5-A850-B30CAF4B91EB}">
            <x14:dataBar minLength="0" maxLength="100" gradient="0">
              <x14:cfvo type="autoMin"/>
              <x14:cfvo type="autoMax"/>
              <x14:negativeFillColor rgb="FFFF0000"/>
              <x14:axisColor rgb="FF000000"/>
            </x14:dataBar>
          </x14:cfRule>
          <xm:sqref>C29</xm:sqref>
        </x14:conditionalFormatting>
        <x14:conditionalFormatting xmlns:xm="http://schemas.microsoft.com/office/excel/2006/main">
          <x14:cfRule type="dataBar" id="{D2FAAD70-CD89-4DEE-B068-39097FF9E67E}">
            <x14:dataBar minLength="0" maxLength="100" gradient="0">
              <x14:cfvo type="autoMin"/>
              <x14:cfvo type="autoMax"/>
              <x14:negativeFillColor rgb="FFFF0000"/>
              <x14:axisColor rgb="FF000000"/>
            </x14:dataBar>
          </x14:cfRule>
          <xm:sqref>C30:C34</xm:sqref>
        </x14:conditionalFormatting>
        <x14:conditionalFormatting xmlns:xm="http://schemas.microsoft.com/office/excel/2006/main">
          <x14:cfRule type="dataBar" id="{5552EA7E-E964-407C-8C1D-C99B7E93E5B0}">
            <x14:dataBar minLength="0" maxLength="100" gradient="0">
              <x14:cfvo type="autoMin"/>
              <x14:cfvo type="autoMax"/>
              <x14:negativeFillColor rgb="FFFF0000"/>
              <x14:axisColor rgb="FF000000"/>
            </x14:dataBar>
          </x14:cfRule>
          <xm:sqref>C36:C37</xm:sqref>
        </x14:conditionalFormatting>
        <x14:conditionalFormatting xmlns:xm="http://schemas.microsoft.com/office/excel/2006/main">
          <x14:cfRule type="dataBar" id="{8508ABF8-2EDE-4C74-9EBB-80FF12442F50}">
            <x14:dataBar minLength="0" maxLength="100" gradient="0">
              <x14:cfvo type="autoMin"/>
              <x14:cfvo type="autoMax"/>
              <x14:negativeFillColor rgb="FFFF0000"/>
              <x14:axisColor rgb="FF000000"/>
            </x14:dataBar>
          </x14:cfRule>
          <xm:sqref>C39:C41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B42E2-2B61-4B4F-A642-CBE7C4BEBB84}">
  <dimension ref="A1:K36"/>
  <sheetViews>
    <sheetView tabSelected="1" topLeftCell="A33" zoomScale="85" zoomScaleNormal="85" zoomScaleSheetLayoutView="70" workbookViewId="0">
      <selection activeCell="F36" sqref="F36"/>
    </sheetView>
  </sheetViews>
  <sheetFormatPr defaultRowHeight="32.5" customHeight="1" x14ac:dyDescent="0.35"/>
  <cols>
    <col min="1" max="1" width="6" customWidth="1"/>
    <col min="2" max="2" width="39.08984375" customWidth="1"/>
    <col min="3" max="3" width="16.453125" customWidth="1"/>
    <col min="4" max="4" width="16.08984375" customWidth="1"/>
    <col min="5" max="5" width="12.90625" customWidth="1"/>
    <col min="6" max="6" width="14.08984375" customWidth="1"/>
    <col min="7" max="8" width="13.6328125" customWidth="1"/>
    <col min="9" max="9" width="8.26953125" customWidth="1"/>
    <col min="10" max="10" width="7.08984375" customWidth="1"/>
    <col min="11" max="11" width="16.26953125" customWidth="1"/>
  </cols>
  <sheetData>
    <row r="1" spans="1:11" s="7" customFormat="1" ht="17" x14ac:dyDescent="0.4">
      <c r="A1" s="23" t="s">
        <v>29</v>
      </c>
      <c r="B1" s="24"/>
      <c r="D1" s="29" t="s">
        <v>24</v>
      </c>
      <c r="E1" s="29"/>
      <c r="F1" s="29"/>
      <c r="G1" s="29"/>
      <c r="H1" s="29"/>
      <c r="I1" s="29"/>
      <c r="J1" s="29"/>
      <c r="K1" s="29"/>
    </row>
    <row r="2" spans="1:11" s="7" customFormat="1" ht="18.75" customHeight="1" x14ac:dyDescent="0.35">
      <c r="A2" s="25" t="s">
        <v>70</v>
      </c>
      <c r="B2" s="25"/>
      <c r="C2" s="8"/>
      <c r="D2" s="26" t="s">
        <v>25</v>
      </c>
      <c r="E2" s="26"/>
      <c r="F2" s="26"/>
      <c r="G2" s="26"/>
      <c r="H2" s="26"/>
      <c r="I2" s="26"/>
      <c r="J2" s="26"/>
      <c r="K2" s="26"/>
    </row>
    <row r="3" spans="1:11" ht="44.25" customHeight="1" x14ac:dyDescent="0.35">
      <c r="A3" s="26" t="s">
        <v>88</v>
      </c>
      <c r="B3" s="27"/>
      <c r="C3" s="27"/>
      <c r="D3" s="27"/>
      <c r="E3" s="27"/>
      <c r="F3" s="27"/>
      <c r="G3" s="27"/>
      <c r="H3" s="27"/>
      <c r="I3" s="27"/>
      <c r="J3" s="27"/>
      <c r="K3" s="27"/>
    </row>
    <row r="4" spans="1:11" ht="9" customHeight="1" x14ac:dyDescent="0.35">
      <c r="A4" s="22"/>
      <c r="B4" s="22"/>
      <c r="C4" s="22"/>
      <c r="D4" s="22"/>
      <c r="E4" s="22"/>
      <c r="F4" s="22"/>
      <c r="G4" s="22"/>
      <c r="H4" s="22"/>
      <c r="I4" s="22"/>
      <c r="J4" s="22"/>
      <c r="K4" s="22"/>
    </row>
    <row r="5" spans="1:11" ht="22" customHeight="1" x14ac:dyDescent="0.35">
      <c r="A5" s="30" t="s">
        <v>0</v>
      </c>
      <c r="B5" s="30" t="s">
        <v>1</v>
      </c>
      <c r="C5" s="30" t="s">
        <v>2</v>
      </c>
      <c r="D5" s="30" t="s">
        <v>32</v>
      </c>
      <c r="E5" s="30" t="s">
        <v>60</v>
      </c>
      <c r="F5" s="30" t="s">
        <v>15</v>
      </c>
      <c r="G5" s="30" t="s">
        <v>57</v>
      </c>
      <c r="H5" s="28" t="s">
        <v>3</v>
      </c>
      <c r="I5" s="28" t="s">
        <v>62</v>
      </c>
      <c r="J5" s="28" t="s">
        <v>63</v>
      </c>
      <c r="K5" s="28" t="s">
        <v>4</v>
      </c>
    </row>
    <row r="6" spans="1:11" ht="63.75" customHeight="1" x14ac:dyDescent="0.35">
      <c r="A6" s="30"/>
      <c r="B6" s="30"/>
      <c r="C6" s="30"/>
      <c r="D6" s="30"/>
      <c r="E6" s="30"/>
      <c r="F6" s="30"/>
      <c r="G6" s="30"/>
      <c r="H6" s="28"/>
      <c r="I6" s="28"/>
      <c r="J6" s="28"/>
      <c r="K6" s="28"/>
    </row>
    <row r="7" spans="1:11" ht="15" x14ac:dyDescent="0.35">
      <c r="A7" s="6" t="s">
        <v>16</v>
      </c>
      <c r="B7" s="6" t="s">
        <v>17</v>
      </c>
      <c r="C7" s="6" t="s">
        <v>18</v>
      </c>
      <c r="D7" s="6" t="s">
        <v>19</v>
      </c>
      <c r="E7" s="6" t="s">
        <v>20</v>
      </c>
      <c r="F7" s="6" t="s">
        <v>21</v>
      </c>
      <c r="G7" s="6" t="s">
        <v>22</v>
      </c>
      <c r="H7" s="6" t="s">
        <v>23</v>
      </c>
      <c r="I7" s="6" t="s">
        <v>28</v>
      </c>
      <c r="J7" s="6" t="s">
        <v>33</v>
      </c>
      <c r="K7" s="6" t="s">
        <v>33</v>
      </c>
    </row>
    <row r="8" spans="1:11" ht="31.5" customHeight="1" x14ac:dyDescent="0.35">
      <c r="A8" s="1" t="s">
        <v>5</v>
      </c>
      <c r="B8" s="33" t="s">
        <v>65</v>
      </c>
      <c r="C8" s="33"/>
      <c r="D8" s="33"/>
      <c r="E8" s="33"/>
      <c r="F8" s="33"/>
      <c r="G8" s="33"/>
      <c r="H8" s="33"/>
      <c r="I8" s="33"/>
      <c r="J8" s="33"/>
      <c r="K8" s="33"/>
    </row>
    <row r="9" spans="1:11" ht="22.5" customHeight="1" x14ac:dyDescent="0.35">
      <c r="A9" s="9">
        <v>1</v>
      </c>
      <c r="B9" s="34" t="s">
        <v>6</v>
      </c>
      <c r="C9" s="34"/>
      <c r="D9" s="34"/>
      <c r="E9" s="34"/>
      <c r="F9" s="34"/>
      <c r="G9" s="34"/>
      <c r="H9" s="34"/>
      <c r="I9" s="34"/>
      <c r="J9" s="34"/>
      <c r="K9" s="34"/>
    </row>
    <row r="10" spans="1:11" ht="31" x14ac:dyDescent="0.35">
      <c r="A10" s="4" t="s">
        <v>26</v>
      </c>
      <c r="B10" s="3" t="s">
        <v>89</v>
      </c>
      <c r="C10" s="11" t="s">
        <v>71</v>
      </c>
      <c r="D10" s="11" t="s">
        <v>72</v>
      </c>
      <c r="E10" s="4" t="s">
        <v>83</v>
      </c>
      <c r="F10" s="4">
        <v>10</v>
      </c>
      <c r="G10" s="4" t="s">
        <v>50</v>
      </c>
      <c r="H10" s="20">
        <v>46310</v>
      </c>
      <c r="I10" s="4">
        <f>IF(G10="Khó và phức tạp",200,IF(G10="Cao",150,IF(G10="Trungbình",120,100)))</f>
        <v>100</v>
      </c>
      <c r="J10" s="4">
        <f>I10*0.01</f>
        <v>1</v>
      </c>
      <c r="K10" s="19"/>
    </row>
    <row r="11" spans="1:11" ht="46.5" x14ac:dyDescent="0.35">
      <c r="A11" s="4" t="s">
        <v>27</v>
      </c>
      <c r="B11" s="3" t="s">
        <v>90</v>
      </c>
      <c r="C11" s="11" t="s">
        <v>71</v>
      </c>
      <c r="D11" s="11" t="s">
        <v>74</v>
      </c>
      <c r="E11" s="4" t="s">
        <v>73</v>
      </c>
      <c r="F11" s="4">
        <v>4</v>
      </c>
      <c r="G11" s="4" t="s">
        <v>51</v>
      </c>
      <c r="H11" s="20">
        <v>46287</v>
      </c>
      <c r="I11" s="4">
        <f>IF(G11="Khó và phức tạp",200,IF(G11="Cao",150,IF(G11="Trungbình",120,100)))</f>
        <v>150</v>
      </c>
      <c r="J11" s="4">
        <f>I11*0.01</f>
        <v>1.5</v>
      </c>
      <c r="K11" s="4"/>
    </row>
    <row r="12" spans="1:11" ht="46.5" x14ac:dyDescent="0.35">
      <c r="A12" s="4" t="s">
        <v>41</v>
      </c>
      <c r="B12" s="3" t="s">
        <v>91</v>
      </c>
      <c r="C12" s="11" t="s">
        <v>71</v>
      </c>
      <c r="D12" s="11" t="s">
        <v>74</v>
      </c>
      <c r="E12" s="4" t="s">
        <v>92</v>
      </c>
      <c r="F12" s="4">
        <v>2</v>
      </c>
      <c r="G12" s="4" t="s">
        <v>51</v>
      </c>
      <c r="H12" s="20">
        <v>46288</v>
      </c>
      <c r="I12" s="4">
        <f t="shared" ref="I12:I16" si="0">IF(G12="Khó và phức tạp",200,IF(G12="Cao",150,IF(G12="Trungbình",120,100)))</f>
        <v>150</v>
      </c>
      <c r="J12" s="4">
        <f t="shared" ref="J12:J16" si="1">I12*0.01</f>
        <v>1.5</v>
      </c>
      <c r="K12" s="4"/>
    </row>
    <row r="13" spans="1:11" ht="31" x14ac:dyDescent="0.35">
      <c r="A13" s="4">
        <v>1.4</v>
      </c>
      <c r="B13" s="3" t="s">
        <v>93</v>
      </c>
      <c r="C13" s="11" t="s">
        <v>71</v>
      </c>
      <c r="D13" s="11" t="s">
        <v>76</v>
      </c>
      <c r="E13" s="4" t="s">
        <v>49</v>
      </c>
      <c r="F13" s="4">
        <v>4</v>
      </c>
      <c r="G13" s="4" t="s">
        <v>52</v>
      </c>
      <c r="H13" s="20">
        <v>46285</v>
      </c>
      <c r="I13" s="4">
        <f t="shared" si="0"/>
        <v>200</v>
      </c>
      <c r="J13" s="4">
        <f t="shared" si="1"/>
        <v>2</v>
      </c>
      <c r="K13" s="4"/>
    </row>
    <row r="14" spans="1:11" ht="46.5" x14ac:dyDescent="0.35">
      <c r="A14" s="4">
        <v>1.5</v>
      </c>
      <c r="B14" s="3" t="s">
        <v>87</v>
      </c>
      <c r="C14" s="11" t="s">
        <v>74</v>
      </c>
      <c r="D14" s="11" t="s">
        <v>82</v>
      </c>
      <c r="E14" s="4" t="s">
        <v>73</v>
      </c>
      <c r="F14" s="4">
        <v>1</v>
      </c>
      <c r="G14" s="4" t="s">
        <v>77</v>
      </c>
      <c r="H14" s="20">
        <v>46270</v>
      </c>
      <c r="I14" s="4">
        <f t="shared" ref="I14" si="2">IF(G14="Khó và phức tạp",200,IF(G14="Cao",150,IF(G14="Trungbình",120,100)))</f>
        <v>150</v>
      </c>
      <c r="J14" s="4">
        <f t="shared" ref="J14" si="3">I14*0.01</f>
        <v>1.5</v>
      </c>
      <c r="K14" s="4"/>
    </row>
    <row r="15" spans="1:11" ht="31" x14ac:dyDescent="0.35">
      <c r="A15" s="4">
        <v>1.6</v>
      </c>
      <c r="B15" s="3" t="s">
        <v>94</v>
      </c>
      <c r="C15" s="11" t="s">
        <v>84</v>
      </c>
      <c r="D15" s="11" t="s">
        <v>85</v>
      </c>
      <c r="E15" s="4" t="s">
        <v>73</v>
      </c>
      <c r="F15" s="4">
        <v>1</v>
      </c>
      <c r="G15" s="4" t="s">
        <v>77</v>
      </c>
      <c r="H15" s="20">
        <v>46310</v>
      </c>
      <c r="I15" s="4">
        <f t="shared" ref="I15" si="4">IF(G15="Khó và phức tạp",200,IF(G15="Cao",150,IF(G15="Trungbình",120,100)))</f>
        <v>150</v>
      </c>
      <c r="J15" s="4">
        <f t="shared" ref="J15" si="5">I15*0.01</f>
        <v>1.5</v>
      </c>
      <c r="K15" s="4"/>
    </row>
    <row r="16" spans="1:11" ht="31" x14ac:dyDescent="0.35">
      <c r="A16" s="4">
        <v>1.7</v>
      </c>
      <c r="B16" s="3" t="s">
        <v>95</v>
      </c>
      <c r="C16" s="11" t="s">
        <v>74</v>
      </c>
      <c r="D16" s="11" t="s">
        <v>96</v>
      </c>
      <c r="E16" s="4" t="s">
        <v>75</v>
      </c>
      <c r="F16" s="4">
        <v>8</v>
      </c>
      <c r="G16" s="4" t="s">
        <v>77</v>
      </c>
      <c r="H16" s="20">
        <v>46285</v>
      </c>
      <c r="I16" s="4">
        <f t="shared" si="0"/>
        <v>150</v>
      </c>
      <c r="J16" s="4">
        <f t="shared" si="1"/>
        <v>1.5</v>
      </c>
      <c r="K16" s="4" t="s">
        <v>67</v>
      </c>
    </row>
    <row r="17" spans="1:11" ht="22.5" customHeight="1" x14ac:dyDescent="0.35">
      <c r="A17" s="9">
        <v>2</v>
      </c>
      <c r="B17" s="34" t="s">
        <v>8</v>
      </c>
      <c r="C17" s="34"/>
      <c r="D17" s="34"/>
      <c r="E17" s="34"/>
      <c r="F17" s="34"/>
      <c r="G17" s="34"/>
      <c r="H17" s="34"/>
      <c r="I17" s="34"/>
      <c r="J17" s="34"/>
      <c r="K17" s="34"/>
    </row>
    <row r="18" spans="1:11" ht="77.5" x14ac:dyDescent="0.35">
      <c r="A18" s="4">
        <v>2.1</v>
      </c>
      <c r="B18" s="3" t="s">
        <v>97</v>
      </c>
      <c r="C18" s="11" t="s">
        <v>71</v>
      </c>
      <c r="D18" s="11" t="s">
        <v>74</v>
      </c>
      <c r="E18" s="4" t="s">
        <v>98</v>
      </c>
      <c r="F18" s="4">
        <v>1</v>
      </c>
      <c r="G18" s="4" t="s">
        <v>51</v>
      </c>
      <c r="H18" s="20">
        <v>46291</v>
      </c>
      <c r="I18" s="4">
        <f>IF(G18="Khó và phức tạp",200,IF(G18="Cao",150,IF(G18="Trungbình",120,100)))</f>
        <v>150</v>
      </c>
      <c r="J18" s="4">
        <f>I18*0.01</f>
        <v>1.5</v>
      </c>
      <c r="K18" s="4"/>
    </row>
    <row r="19" spans="1:11" ht="22.5" customHeight="1" x14ac:dyDescent="0.35">
      <c r="A19" s="9">
        <v>3</v>
      </c>
      <c r="B19" s="34" t="s">
        <v>9</v>
      </c>
      <c r="C19" s="34"/>
      <c r="D19" s="34"/>
      <c r="E19" s="34"/>
      <c r="F19" s="34"/>
      <c r="G19" s="34"/>
      <c r="H19" s="34"/>
      <c r="I19" s="34"/>
      <c r="J19" s="34"/>
      <c r="K19" s="34"/>
    </row>
    <row r="20" spans="1:11" ht="62" x14ac:dyDescent="0.35">
      <c r="A20" s="41">
        <v>3.1</v>
      </c>
      <c r="B20" s="3" t="s">
        <v>99</v>
      </c>
      <c r="C20" s="11" t="s">
        <v>71</v>
      </c>
      <c r="D20" s="11" t="s">
        <v>72</v>
      </c>
      <c r="E20" s="4" t="s">
        <v>79</v>
      </c>
      <c r="F20" s="4">
        <v>19</v>
      </c>
      <c r="G20" s="4" t="s">
        <v>78</v>
      </c>
      <c r="H20" s="20">
        <v>47380</v>
      </c>
      <c r="I20" s="4">
        <f>IF(G20="Khó và phức tạp",200,IF(G20="Cao",150,IF(G20="Trungbình",120,100)))</f>
        <v>100</v>
      </c>
      <c r="J20" s="4">
        <f>I20*0.01</f>
        <v>1</v>
      </c>
      <c r="K20" s="4"/>
    </row>
    <row r="21" spans="1:11" ht="77.5" x14ac:dyDescent="0.35">
      <c r="A21" s="41">
        <v>3.2</v>
      </c>
      <c r="B21" s="3" t="s">
        <v>100</v>
      </c>
      <c r="C21" s="11" t="s">
        <v>71</v>
      </c>
      <c r="D21" s="11" t="s">
        <v>72</v>
      </c>
      <c r="E21" s="4" t="s">
        <v>79</v>
      </c>
      <c r="F21" s="4">
        <v>19</v>
      </c>
      <c r="G21" s="4" t="s">
        <v>64</v>
      </c>
      <c r="H21" s="20" t="s">
        <v>101</v>
      </c>
      <c r="I21" s="4">
        <f>IF(G21="Khó và phức tạp",200,IF(G21="Cao",150,IF(G21="Trungbình",120,100)))</f>
        <v>100</v>
      </c>
      <c r="J21" s="4">
        <f>I21*0.01</f>
        <v>1</v>
      </c>
      <c r="K21" s="4"/>
    </row>
    <row r="22" spans="1:11" ht="46.5" customHeight="1" x14ac:dyDescent="0.35">
      <c r="A22" s="9">
        <v>4</v>
      </c>
      <c r="B22" s="36" t="s">
        <v>10</v>
      </c>
      <c r="C22" s="36"/>
      <c r="D22" s="36"/>
      <c r="E22" s="36"/>
      <c r="F22" s="36"/>
      <c r="G22" s="36"/>
      <c r="H22" s="36"/>
      <c r="I22" s="36"/>
      <c r="J22" s="36"/>
      <c r="K22" s="36"/>
    </row>
    <row r="23" spans="1:11" ht="62" x14ac:dyDescent="0.35">
      <c r="A23" s="4">
        <v>4.0999999999999996</v>
      </c>
      <c r="B23" s="3" t="s">
        <v>102</v>
      </c>
      <c r="C23" s="11" t="s">
        <v>71</v>
      </c>
      <c r="D23" s="11" t="s">
        <v>72</v>
      </c>
      <c r="E23" s="4" t="s">
        <v>79</v>
      </c>
      <c r="F23" s="4">
        <v>1</v>
      </c>
      <c r="G23" s="4" t="s">
        <v>78</v>
      </c>
      <c r="H23" s="4"/>
      <c r="I23" s="4">
        <f>IF(G23="Khó và phức tạp",200,IF(G23="Cao",150,IF(G23="Trungbình",120,100)))</f>
        <v>100</v>
      </c>
      <c r="J23" s="4">
        <f>I23*0.01</f>
        <v>1</v>
      </c>
      <c r="K23" s="4"/>
    </row>
    <row r="24" spans="1:11" ht="22.5" customHeight="1" x14ac:dyDescent="0.35">
      <c r="A24" s="9">
        <v>5</v>
      </c>
      <c r="B24" s="34" t="s">
        <v>11</v>
      </c>
      <c r="C24" s="34"/>
      <c r="D24" s="34"/>
      <c r="E24" s="34"/>
      <c r="F24" s="34"/>
      <c r="G24" s="34"/>
      <c r="H24" s="34"/>
      <c r="I24" s="34"/>
      <c r="J24" s="34"/>
      <c r="K24" s="34"/>
    </row>
    <row r="25" spans="1:11" ht="108.5" x14ac:dyDescent="0.35">
      <c r="A25" s="4">
        <v>5.0999999999999996</v>
      </c>
      <c r="B25" s="3" t="s">
        <v>103</v>
      </c>
      <c r="C25" s="11" t="s">
        <v>71</v>
      </c>
      <c r="D25" s="11" t="s">
        <v>96</v>
      </c>
      <c r="E25" s="4" t="s">
        <v>79</v>
      </c>
      <c r="F25" s="1">
        <v>1</v>
      </c>
      <c r="G25" s="4" t="s">
        <v>78</v>
      </c>
      <c r="H25" s="20">
        <v>46270</v>
      </c>
      <c r="I25" s="1">
        <f t="shared" ref="I25:I28" si="6">IF(G25="Khó và phức tạp",200,IF(G25="Cao",150,IF(G25="Trungbình",120,100)))</f>
        <v>100</v>
      </c>
      <c r="J25" s="1">
        <f t="shared" ref="J25:J28" si="7">I25*0.01</f>
        <v>1</v>
      </c>
      <c r="K25" s="19"/>
    </row>
    <row r="26" spans="1:11" ht="31" x14ac:dyDescent="0.35">
      <c r="A26" s="4">
        <v>5.2</v>
      </c>
      <c r="B26" s="3" t="s">
        <v>104</v>
      </c>
      <c r="C26" s="11" t="s">
        <v>71</v>
      </c>
      <c r="D26" s="11" t="s">
        <v>96</v>
      </c>
      <c r="E26" s="4" t="s">
        <v>79</v>
      </c>
      <c r="F26" s="1">
        <v>1</v>
      </c>
      <c r="G26" s="4" t="s">
        <v>78</v>
      </c>
      <c r="H26" s="20">
        <v>46270</v>
      </c>
      <c r="I26" s="1">
        <f t="shared" si="6"/>
        <v>100</v>
      </c>
      <c r="J26" s="1">
        <f t="shared" si="7"/>
        <v>1</v>
      </c>
      <c r="K26" s="19"/>
    </row>
    <row r="27" spans="1:11" ht="62" x14ac:dyDescent="0.35">
      <c r="A27" s="4">
        <v>5.3</v>
      </c>
      <c r="B27" s="3" t="s">
        <v>105</v>
      </c>
      <c r="C27" s="11" t="s">
        <v>71</v>
      </c>
      <c r="D27" s="11" t="s">
        <v>96</v>
      </c>
      <c r="E27" s="4" t="s">
        <v>79</v>
      </c>
      <c r="F27" s="1">
        <v>4</v>
      </c>
      <c r="G27" s="4" t="s">
        <v>50</v>
      </c>
      <c r="H27" s="20">
        <v>46270</v>
      </c>
      <c r="I27" s="1">
        <f t="shared" si="6"/>
        <v>100</v>
      </c>
      <c r="J27" s="1">
        <f t="shared" si="7"/>
        <v>1</v>
      </c>
      <c r="K27" s="19"/>
    </row>
    <row r="28" spans="1:11" ht="31" x14ac:dyDescent="0.35">
      <c r="A28" s="4">
        <v>5.4</v>
      </c>
      <c r="B28" s="3" t="s">
        <v>106</v>
      </c>
      <c r="C28" s="11" t="s">
        <v>71</v>
      </c>
      <c r="D28" s="11" t="s">
        <v>96</v>
      </c>
      <c r="E28" s="4" t="s">
        <v>79</v>
      </c>
      <c r="F28" s="1">
        <v>1</v>
      </c>
      <c r="G28" s="4" t="s">
        <v>50</v>
      </c>
      <c r="H28" s="20">
        <v>46270</v>
      </c>
      <c r="I28" s="1">
        <f t="shared" si="6"/>
        <v>100</v>
      </c>
      <c r="J28" s="1">
        <f t="shared" si="7"/>
        <v>1</v>
      </c>
      <c r="K28" s="19"/>
    </row>
    <row r="29" spans="1:11" ht="22.5" customHeight="1" x14ac:dyDescent="0.35">
      <c r="A29" s="9">
        <v>6</v>
      </c>
      <c r="B29" s="34" t="s">
        <v>12</v>
      </c>
      <c r="C29" s="34"/>
      <c r="D29" s="34"/>
      <c r="E29" s="34"/>
      <c r="F29" s="34"/>
      <c r="G29" s="34"/>
      <c r="H29" s="34"/>
      <c r="I29" s="34"/>
      <c r="J29" s="34"/>
      <c r="K29" s="34"/>
    </row>
    <row r="30" spans="1:11" ht="46.5" x14ac:dyDescent="0.35">
      <c r="A30" s="4" t="s">
        <v>80</v>
      </c>
      <c r="B30" s="21" t="s">
        <v>86</v>
      </c>
      <c r="C30" s="11" t="s">
        <v>71</v>
      </c>
      <c r="D30" s="11" t="s">
        <v>74</v>
      </c>
      <c r="E30" s="4"/>
      <c r="F30" s="1">
        <v>1</v>
      </c>
      <c r="G30" s="4" t="s">
        <v>64</v>
      </c>
      <c r="H30" s="20">
        <v>46224</v>
      </c>
      <c r="I30" s="1">
        <f t="shared" ref="I30" si="8">IF(G30="Khó và phức tạp",200,IF(G30="Cao",150,IF(G30="Trungbình",120,100)))</f>
        <v>100</v>
      </c>
      <c r="J30" s="1">
        <f t="shared" ref="J30:J34" si="9">I30*0.01</f>
        <v>1</v>
      </c>
      <c r="K30" s="18"/>
    </row>
    <row r="31" spans="1:11" ht="22.5" customHeight="1" x14ac:dyDescent="0.35">
      <c r="A31" s="9" t="s">
        <v>13</v>
      </c>
      <c r="B31" s="34" t="s">
        <v>58</v>
      </c>
      <c r="C31" s="34"/>
      <c r="D31" s="34"/>
      <c r="E31" s="34"/>
      <c r="F31" s="34"/>
      <c r="G31" s="34"/>
      <c r="H31" s="34"/>
      <c r="I31" s="34"/>
      <c r="J31" s="34"/>
      <c r="K31" s="34"/>
    </row>
    <row r="32" spans="1:11" ht="31" x14ac:dyDescent="0.35">
      <c r="A32" s="4">
        <v>1</v>
      </c>
      <c r="B32" s="3"/>
      <c r="C32" s="11"/>
      <c r="D32" s="11"/>
      <c r="E32" s="4"/>
      <c r="F32" s="1"/>
      <c r="G32" s="4" t="s">
        <v>52</v>
      </c>
      <c r="H32" s="4"/>
      <c r="I32" s="1">
        <f t="shared" ref="I32:I34" si="10">IF(G32="Khó và phức tạp",200,IF(G32="Cao",150,IF(G32="Trungbình",120,100)))</f>
        <v>200</v>
      </c>
      <c r="J32" s="1">
        <f t="shared" si="9"/>
        <v>2</v>
      </c>
      <c r="K32" s="18"/>
    </row>
    <row r="33" spans="1:11" ht="31" x14ac:dyDescent="0.35">
      <c r="A33" s="4">
        <v>2</v>
      </c>
      <c r="B33" s="3"/>
      <c r="C33" s="11"/>
      <c r="D33" s="11"/>
      <c r="E33" s="4"/>
      <c r="F33" s="1"/>
      <c r="G33" s="4" t="s">
        <v>52</v>
      </c>
      <c r="H33" s="4"/>
      <c r="I33" s="1">
        <f t="shared" si="10"/>
        <v>200</v>
      </c>
      <c r="J33" s="1">
        <f t="shared" si="9"/>
        <v>2</v>
      </c>
      <c r="K33" s="15"/>
    </row>
    <row r="34" spans="1:11" ht="31" x14ac:dyDescent="0.35">
      <c r="A34" s="4" t="s">
        <v>7</v>
      </c>
      <c r="B34" s="3"/>
      <c r="C34" s="11"/>
      <c r="D34" s="11"/>
      <c r="E34" s="4"/>
      <c r="F34" s="1"/>
      <c r="G34" s="4" t="s">
        <v>52</v>
      </c>
      <c r="H34" s="4"/>
      <c r="I34" s="1">
        <f t="shared" si="10"/>
        <v>200</v>
      </c>
      <c r="J34" s="1">
        <f t="shared" si="9"/>
        <v>2</v>
      </c>
      <c r="K34" s="4"/>
    </row>
    <row r="35" spans="1:11" s="10" customFormat="1" ht="119.25" customHeight="1" x14ac:dyDescent="0.35">
      <c r="B35" s="35" t="s">
        <v>34</v>
      </c>
      <c r="C35" s="35"/>
      <c r="D35" s="35"/>
      <c r="E35" s="35"/>
      <c r="F35" s="35"/>
      <c r="G35" s="35"/>
      <c r="H35" s="35"/>
      <c r="I35" s="35"/>
      <c r="J35" s="35"/>
      <c r="K35" s="35"/>
    </row>
    <row r="36" spans="1:11" s="13" customFormat="1" ht="132" customHeight="1" x14ac:dyDescent="0.35">
      <c r="A36" s="32" t="s">
        <v>81</v>
      </c>
      <c r="B36" s="32"/>
      <c r="C36" s="32"/>
      <c r="D36" s="12"/>
      <c r="G36" s="31" t="s">
        <v>107</v>
      </c>
      <c r="H36" s="31"/>
      <c r="I36" s="31"/>
      <c r="J36" s="31"/>
      <c r="K36" s="31"/>
    </row>
  </sheetData>
  <mergeCells count="28">
    <mergeCell ref="E5:E6"/>
    <mergeCell ref="G36:K36"/>
    <mergeCell ref="A36:C36"/>
    <mergeCell ref="B8:K8"/>
    <mergeCell ref="B31:K31"/>
    <mergeCell ref="B35:K35"/>
    <mergeCell ref="B9:K9"/>
    <mergeCell ref="B17:K17"/>
    <mergeCell ref="B19:K19"/>
    <mergeCell ref="B22:K22"/>
    <mergeCell ref="B24:K24"/>
    <mergeCell ref="B29:K29"/>
    <mergeCell ref="A4:K4"/>
    <mergeCell ref="A1:B1"/>
    <mergeCell ref="A2:B2"/>
    <mergeCell ref="A3:K3"/>
    <mergeCell ref="K5:K6"/>
    <mergeCell ref="D1:K1"/>
    <mergeCell ref="D2:K2"/>
    <mergeCell ref="H5:H6"/>
    <mergeCell ref="I5:I6"/>
    <mergeCell ref="J5:J6"/>
    <mergeCell ref="F5:F6"/>
    <mergeCell ref="G5:G6"/>
    <mergeCell ref="A5:A6"/>
    <mergeCell ref="B5:B6"/>
    <mergeCell ref="C5:C6"/>
    <mergeCell ref="D5:D6"/>
  </mergeCells>
  <conditionalFormatting sqref="C10:C16">
    <cfRule type="dataBar" priority="11">
      <dataBar>
        <cfvo type="min"/>
        <cfvo type="max"/>
        <color rgb="FF638EC6"/>
      </dataBar>
      <extLst>
        <ext xmlns:x14="http://schemas.microsoft.com/office/spreadsheetml/2009/9/main" uri="{B025F937-C7B1-47D3-B67F-A62EFF666E3E}">
          <x14:id>{503E23DC-A883-4E4A-9CEB-0585580125FE}</x14:id>
        </ext>
      </extLst>
    </cfRule>
  </conditionalFormatting>
  <conditionalFormatting sqref="C18">
    <cfRule type="dataBar" priority="14">
      <dataBar>
        <cfvo type="min"/>
        <cfvo type="max"/>
        <color rgb="FF638EC6"/>
      </dataBar>
      <extLst>
        <ext xmlns:x14="http://schemas.microsoft.com/office/spreadsheetml/2009/9/main" uri="{B025F937-C7B1-47D3-B67F-A62EFF666E3E}">
          <x14:id>{CBD7B373-A4C1-41FB-A25C-F14BF1ED705A}</x14:id>
        </ext>
      </extLst>
    </cfRule>
  </conditionalFormatting>
  <conditionalFormatting sqref="C23">
    <cfRule type="dataBar" priority="12">
      <dataBar>
        <cfvo type="min"/>
        <cfvo type="max"/>
        <color rgb="FF638EC6"/>
      </dataBar>
      <extLst>
        <ext xmlns:x14="http://schemas.microsoft.com/office/spreadsheetml/2009/9/main" uri="{B025F937-C7B1-47D3-B67F-A62EFF666E3E}">
          <x14:id>{43AE063F-6FBA-4145-8E96-3B15FC0C4DF2}</x14:id>
        </ext>
      </extLst>
    </cfRule>
  </conditionalFormatting>
  <conditionalFormatting sqref="C30">
    <cfRule type="dataBar" priority="13">
      <dataBar>
        <cfvo type="min"/>
        <cfvo type="max"/>
        <color rgb="FF638EC6"/>
      </dataBar>
      <extLst>
        <ext xmlns:x14="http://schemas.microsoft.com/office/spreadsheetml/2009/9/main" uri="{B025F937-C7B1-47D3-B67F-A62EFF666E3E}">
          <x14:id>{7E1987A0-3211-4AC2-801D-3D223C64AEAA}</x14:id>
        </ext>
      </extLst>
    </cfRule>
  </conditionalFormatting>
  <conditionalFormatting sqref="C32:C34">
    <cfRule type="dataBar" priority="3">
      <dataBar>
        <cfvo type="min"/>
        <cfvo type="max"/>
        <color rgb="FF638EC6"/>
      </dataBar>
      <extLst>
        <ext xmlns:x14="http://schemas.microsoft.com/office/spreadsheetml/2009/9/main" uri="{B025F937-C7B1-47D3-B67F-A62EFF666E3E}">
          <x14:id>{2EA7D65E-B8CA-499C-8421-2AC504B81EAC}</x14:id>
        </ext>
      </extLst>
    </cfRule>
  </conditionalFormatting>
  <conditionalFormatting sqref="C20:C21">
    <cfRule type="dataBar" priority="15">
      <dataBar>
        <cfvo type="min"/>
        <cfvo type="max"/>
        <color rgb="FF638EC6"/>
      </dataBar>
      <extLst>
        <ext xmlns:x14="http://schemas.microsoft.com/office/spreadsheetml/2009/9/main" uri="{B025F937-C7B1-47D3-B67F-A62EFF666E3E}">
          <x14:id>{053ED826-4A3B-4E29-9CF6-C5C888A31A9A}</x14:id>
        </ext>
      </extLst>
    </cfRule>
  </conditionalFormatting>
  <conditionalFormatting sqref="C25:C28">
    <cfRule type="dataBar" priority="16">
      <dataBar>
        <cfvo type="min"/>
        <cfvo type="max"/>
        <color rgb="FF638EC6"/>
      </dataBar>
      <extLst>
        <ext xmlns:x14="http://schemas.microsoft.com/office/spreadsheetml/2009/9/main" uri="{B025F937-C7B1-47D3-B67F-A62EFF666E3E}">
          <x14:id>{B2DABE0F-7BA8-442A-B48E-1ECE74F6B597}</x14:id>
        </ext>
      </extLst>
    </cfRule>
  </conditionalFormatting>
  <dataValidations count="5">
    <dataValidation type="list" allowBlank="1" showInputMessage="1" sqref="D32:D34 D18 D10:D16 D23 D30 D20:D21 D25:D28" xr:uid="{723BBEA1-CDA5-4E90-B789-0CB64C257373}">
      <formula1>"Phòng QLĐT&amp;BĐCL, Phòng TH-HC&amp;QT, Phòng QLKHCN&amp;HTPT, Phòng TC-KT, Phòng  TCCB&amp;CTHSSV, Khoa Sư phạm, Khoa CKHCB, Khoa KT&amp;NL, Khoa Y – Dược, Khoa ĐT&amp;SHLX, Khoa KT&amp;CN"</formula1>
    </dataValidation>
    <dataValidation type="list" allowBlank="1" showInputMessage="1" sqref="C18 C10:C16 C23 C32:C34 C30 C20:C21 C25:C28" xr:uid="{9D67AEC4-2B59-40A3-9470-A85A768A8BE7}">
      <formula1>"Hiệu trưởng, PHT Nguyễn Trung Hiếu, PHT Huỳnh Văn Chung, PHT Dương Văn Anh Dũng, Bí thư Đảng uỷ, Phó Bí thư Đảng uỷ, Uỷ viên BTV, Chủ tịch Công đoàn, Bí thư ĐTN, Chủ tịch HSV"</formula1>
    </dataValidation>
    <dataValidation type="list" allowBlank="1" showInputMessage="1" sqref="E32:E34 E18 E10:E16 E23 E30 E20:E21 E25:E28" xr:uid="{10414675-0940-4244-865E-D79A397278C2}">
      <formula1>"Bảng thống kê,Báo cáo,Biên bản,Chương trình,Công văn,Đề án,Giấy mời,Hồ sơ chuyên môn,Hợp đồng,Hướng dẫn,Kế hoạch,Kết luận,Nghị quyết,Phiếu chuyển,Phiếu trình,Phương án,Quy chế,Quyết định,Tài liệu hướng dẫn,Thông báo,Tờ trình"</formula1>
    </dataValidation>
    <dataValidation type="list" allowBlank="1" showInputMessage="1" sqref="G30 G23 G10:G16 G18 G32:G34 G20:G21 G25:G28" xr:uid="{242DABCC-F988-4BD7-A39A-B18DD09F67B5}">
      <formula1>"Thấp,Trung bình,Cao,Khó và phức tạp"</formula1>
    </dataValidation>
    <dataValidation allowBlank="1" showInputMessage="1" sqref="H23:K23 H11:K16 H18:K18 H32:K34 H30:K30 H10:J10 H20:K21 H25:J28" xr:uid="{7A6D0803-D5AA-4103-B723-48076D69A4E4}"/>
  </dataValidations>
  <printOptions horizontalCentered="1"/>
  <pageMargins left="0.31496062992126" right="0.31496062992126" top="0.39370078740157499" bottom="0.39370078740157499" header="0.31496062992126" footer="0.31496062992126"/>
  <pageSetup paperSize="9" scale="75" orientation="landscape" r:id="rId1"/>
  <drawing r:id="rId2"/>
  <extLst>
    <ext xmlns:x14="http://schemas.microsoft.com/office/spreadsheetml/2009/9/main" uri="{78C0D931-6437-407d-A8EE-F0AAD7539E65}">
      <x14:conditionalFormattings>
        <x14:conditionalFormatting xmlns:xm="http://schemas.microsoft.com/office/excel/2006/main">
          <x14:cfRule type="dataBar" id="{503E23DC-A883-4E4A-9CEB-0585580125FE}">
            <x14:dataBar minLength="0" maxLength="100" gradient="0">
              <x14:cfvo type="autoMin"/>
              <x14:cfvo type="autoMax"/>
              <x14:negativeFillColor rgb="FFFF0000"/>
              <x14:axisColor rgb="FF000000"/>
            </x14:dataBar>
          </x14:cfRule>
          <xm:sqref>C10:C16</xm:sqref>
        </x14:conditionalFormatting>
        <x14:conditionalFormatting xmlns:xm="http://schemas.microsoft.com/office/excel/2006/main">
          <x14:cfRule type="dataBar" id="{CBD7B373-A4C1-41FB-A25C-F14BF1ED705A}">
            <x14:dataBar minLength="0" maxLength="100" gradient="0">
              <x14:cfvo type="autoMin"/>
              <x14:cfvo type="autoMax"/>
              <x14:negativeFillColor rgb="FFFF0000"/>
              <x14:axisColor rgb="FF000000"/>
            </x14:dataBar>
          </x14:cfRule>
          <xm:sqref>C18</xm:sqref>
        </x14:conditionalFormatting>
        <x14:conditionalFormatting xmlns:xm="http://schemas.microsoft.com/office/excel/2006/main">
          <x14:cfRule type="dataBar" id="{43AE063F-6FBA-4145-8E96-3B15FC0C4DF2}">
            <x14:dataBar minLength="0" maxLength="100" gradient="0">
              <x14:cfvo type="autoMin"/>
              <x14:cfvo type="autoMax"/>
              <x14:negativeFillColor rgb="FFFF0000"/>
              <x14:axisColor rgb="FF000000"/>
            </x14:dataBar>
          </x14:cfRule>
          <xm:sqref>C23</xm:sqref>
        </x14:conditionalFormatting>
        <x14:conditionalFormatting xmlns:xm="http://schemas.microsoft.com/office/excel/2006/main">
          <x14:cfRule type="dataBar" id="{7E1987A0-3211-4AC2-801D-3D223C64AEAA}">
            <x14:dataBar minLength="0" maxLength="100" gradient="0">
              <x14:cfvo type="autoMin"/>
              <x14:cfvo type="autoMax"/>
              <x14:negativeFillColor rgb="FFFF0000"/>
              <x14:axisColor rgb="FF000000"/>
            </x14:dataBar>
          </x14:cfRule>
          <xm:sqref>C30</xm:sqref>
        </x14:conditionalFormatting>
        <x14:conditionalFormatting xmlns:xm="http://schemas.microsoft.com/office/excel/2006/main">
          <x14:cfRule type="dataBar" id="{2EA7D65E-B8CA-499C-8421-2AC504B81EAC}">
            <x14:dataBar minLength="0" maxLength="100" gradient="0">
              <x14:cfvo type="autoMin"/>
              <x14:cfvo type="autoMax"/>
              <x14:negativeFillColor rgb="FFFF0000"/>
              <x14:axisColor rgb="FF000000"/>
            </x14:dataBar>
          </x14:cfRule>
          <xm:sqref>C32:C34</xm:sqref>
        </x14:conditionalFormatting>
        <x14:conditionalFormatting xmlns:xm="http://schemas.microsoft.com/office/excel/2006/main">
          <x14:cfRule type="dataBar" id="{053ED826-4A3B-4E29-9CF6-C5C888A31A9A}">
            <x14:dataBar minLength="0" maxLength="100" gradient="0">
              <x14:cfvo type="autoMin"/>
              <x14:cfvo type="autoMax"/>
              <x14:negativeFillColor rgb="FFFF0000"/>
              <x14:axisColor rgb="FF000000"/>
            </x14:dataBar>
          </x14:cfRule>
          <xm:sqref>C20:C21</xm:sqref>
        </x14:conditionalFormatting>
        <x14:conditionalFormatting xmlns:xm="http://schemas.microsoft.com/office/excel/2006/main">
          <x14:cfRule type="dataBar" id="{B2DABE0F-7BA8-442A-B48E-1ECE74F6B597}">
            <x14:dataBar minLength="0" maxLength="100" gradient="0">
              <x14:cfvo type="autoMin"/>
              <x14:cfvo type="autoMax"/>
              <x14:negativeFillColor rgb="FFFF0000"/>
              <x14:axisColor rgb="FF000000"/>
            </x14:dataBar>
          </x14:cfRule>
          <xm:sqref>C25:C28</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Mẫu KH Quý</vt:lpstr>
      <vt:lpstr>Mẫu KH tháng</vt:lpstr>
      <vt:lpstr>'Mẫu KH Quý'!Print_Area</vt:lpstr>
      <vt:lpstr>'Mẫu KH tháng'!Print_Area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Quang Phuc</dc:creator>
  <cp:lastModifiedBy>Nguyễn Ngọc Vĩnh</cp:lastModifiedBy>
  <cp:lastPrinted>2026-06-25T01:37:08Z</cp:lastPrinted>
  <dcterms:created xsi:type="dcterms:W3CDTF">2026-05-27T07:08:41Z</dcterms:created>
  <dcterms:modified xsi:type="dcterms:W3CDTF">2026-09-14T09:30:19Z</dcterms:modified>
</cp:coreProperties>
</file>