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hòng TCKT báo cáo tháng 9 và kế hoạch tháng 10\"/>
    </mc:Choice>
  </mc:AlternateContent>
  <xr:revisionPtr revIDLastSave="0" documentId="13_ncr:1_{CB3A51B9-55E9-43CA-90FC-C1F617C11BE6}" xr6:coauthVersionLast="47" xr6:coauthVersionMax="47" xr10:uidLastSave="{00000000-0000-0000-0000-000000000000}"/>
  <bookViews>
    <workbookView xWindow="-110" yWindow="-110" windowWidth="19420" windowHeight="11020" xr2:uid="{7E04179B-AE72-433D-A0F4-54C338E82316}"/>
  </bookViews>
  <sheets>
    <sheet name="Mẫu KH tháng" sheetId="1" r:id="rId1"/>
  </sheets>
  <definedNames>
    <definedName name="_xlnm.Print_Area" localSheetId="0">'Mẫu KH tháng'!$A$1:$K$31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9" i="1" l="1"/>
  <c r="J29" i="1" s="1"/>
  <c r="I28" i="1"/>
  <c r="J28" i="1" s="1"/>
  <c r="I15" i="1"/>
  <c r="J15" i="1" s="1"/>
  <c r="I14" i="1"/>
  <c r="J14" i="1" s="1"/>
  <c r="J13" i="1"/>
  <c r="J12" i="1"/>
  <c r="J11" i="1"/>
</calcChain>
</file>

<file path=xl/sharedStrings.xml><?xml version="1.0" encoding="utf-8"?>
<sst xmlns="http://schemas.openxmlformats.org/spreadsheetml/2006/main" count="146" uniqueCount="92">
  <si>
    <t>TT</t>
  </si>
  <si>
    <t>NỘI DUNG CÔNG VIỆC</t>
  </si>
  <si>
    <t>Người trực tiếp chỉ đạo</t>
  </si>
  <si>
    <t>Thời gian hoàn thành</t>
  </si>
  <si>
    <t>Ghi chú</t>
  </si>
  <si>
    <t>I</t>
  </si>
  <si>
    <t xml:space="preserve">Trục (1) - Thực hiện mục tiêu phát triển Kinh tế - xã hội và nhiệm vụ chính trị được giao </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</si>
  <si>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</si>
  <si>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</si>
  <si>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</si>
  <si>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</si>
  <si>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</si>
  <si>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</si>
  <si>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</si>
  <si>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</si>
  <si>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</si>
  <si>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</si>
  <si>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</si>
  <si>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</si>
  <si>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</si>
  <si>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</si>
  <si>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(8)</t>
  </si>
  <si>
    <t>CỘNG HÒA XÃ HỘI CHỦ NGHĨA VIỆT NAM</t>
  </si>
  <si>
    <t>Độc lập - Tự do - Hạnh phúc</t>
  </si>
  <si>
    <t>1.1</t>
  </si>
  <si>
    <t>1.2</t>
  </si>
  <si>
    <t>(9)</t>
  </si>
  <si>
    <t>TRƯỜNG CAO ĐẲNG KON TUM</t>
  </si>
  <si>
    <t>Đơn vị chủ trì</t>
  </si>
  <si>
    <t>(10)</t>
  </si>
  <si>
    <r>
      <rPr>
        <b/>
        <sz val="12"/>
        <rFont val="Times New Roman"/>
        <family val="1"/>
      </rPr>
      <t>Ghi chú:</t>
    </r>
    <r>
      <rPr>
        <sz val="12"/>
        <rFont val="Times New Roman"/>
        <family val="1"/>
      </rPr>
      <t xml:space="preserve"> Mức độ công việc, gồm 4 mức: Thấp; Trung Bình; Cao; Khó, phức tạp và mang tính đột phá 
+ Mức độ thấp: Thường xuyên, nhiệm vụ chủ yếu là thống kê 
+ Mức độ trung bình: Thường xuyên, nhưng có tính thống kê, tổng hợp cao hơn tháng, tác động lớn hơn báo cáo hằng tháng 
+ Mức độ cao: Tổng hợp, phân tích, đánh giá số liệu, không quá khó và phức tạp 
+ Mức độ khó và phức tạp: Khó, phức tạp, tác động lớn, sâu rộng trong toàn Đảng</t>
    </r>
  </si>
  <si>
    <t>Hiệu trưởng</t>
  </si>
  <si>
    <t>1.3</t>
  </si>
  <si>
    <t>Quyết định</t>
  </si>
  <si>
    <t>Trung bình</t>
  </si>
  <si>
    <t>Cao</t>
  </si>
  <si>
    <t>1.4</t>
  </si>
  <si>
    <t>Độ khó, mới, phức tạp; phạm vi tác
động</t>
  </si>
  <si>
    <t>Các nhiệm vụ đột xuất, phát sinh khác ngoài kế hoạch, từ tháng trước chuyển sang (nếu có)</t>
  </si>
  <si>
    <t>Sản phẩm/ công việc</t>
  </si>
  <si>
    <t>Điểm chấm công việc</t>
  </si>
  <si>
    <t>Hệ số quy đổi</t>
  </si>
  <si>
    <t>Thấp</t>
  </si>
  <si>
    <t> Các nhiệm vụ theo kế hoạch (chương trình) công tác đã đề ra từ đầu quý</t>
  </si>
  <si>
    <t>Đưa vào KH Trường</t>
  </si>
  <si>
    <t>Thường xuyên của đơn vị</t>
  </si>
  <si>
    <t xml:space="preserve">Phụ lục Ib
</t>
  </si>
  <si>
    <t>ĐƠN VỊ: PHÒNG TÀI CHÍNH - KẾ TOÁN</t>
  </si>
  <si>
    <t>Phòng TCKT</t>
  </si>
  <si>
    <t>Thông báo</t>
  </si>
  <si>
    <t>Theo số lượng nghề thực tế</t>
  </si>
  <si>
    <t>Phụ lục</t>
  </si>
  <si>
    <t xml:space="preserve">Phó Hiệu trưởng phụ trách </t>
  </si>
  <si>
    <t>Báo báo, Biên bản</t>
  </si>
  <si>
    <t>Danh sách</t>
  </si>
  <si>
    <t>5.1</t>
  </si>
  <si>
    <t>5.2</t>
  </si>
  <si>
    <t>Chứng từ</t>
  </si>
  <si>
    <t>Theo thực tế</t>
  </si>
  <si>
    <t>Thực hiện thanh toán các nhiệm vụ thường xuyên, không thường xuyên cho công tác chuyên môn và lương cho viên chức, người lao động</t>
  </si>
  <si>
    <t>Báo cáo</t>
  </si>
  <si>
    <t>1.5</t>
  </si>
  <si>
    <t>1.6</t>
  </si>
  <si>
    <t>Tham mưu ký hợp đồng đào tạo dạy nghề cho người lao động với các đơn vị xã, phường.</t>
  </si>
  <si>
    <t>Hợp đồng</t>
  </si>
  <si>
    <t>Theo nhu cầu</t>
  </si>
  <si>
    <t>1.7</t>
  </si>
  <si>
    <t>1.8</t>
  </si>
  <si>
    <r>
      <rPr>
        <b/>
        <i/>
        <sz val="12"/>
        <rFont val="Times New Roman"/>
        <family val="1"/>
        <charset val="163"/>
      </rPr>
      <t xml:space="preserve">
Nơi nhận:</t>
    </r>
    <r>
      <rPr>
        <sz val="12"/>
        <rFont val="Times New Roman"/>
        <family val="1"/>
      </rPr>
      <t xml:space="preserve">
</t>
    </r>
    <r>
      <rPr>
        <sz val="11"/>
        <rFont val="Times New Roman"/>
        <family val="1"/>
        <charset val="163"/>
      </rPr>
      <t>- Phòng THHCQT;
- Lưu: TCKT</t>
    </r>
  </si>
  <si>
    <t>Thông báo thu học phí các lớp trình độ cao đẳng, trình độ trung cấp</t>
  </si>
  <si>
    <t>1.9</t>
  </si>
  <si>
    <t xml:space="preserve"> Tiếp tục Xây dựng định mức kinh tế kỹ thuật và giá dịch vụ đào tạo nghề sơ cấp và dưới 3 tháng</t>
  </si>
  <si>
    <t>Tiếp tục Tham mưu thẩm định định mức kinh tế kỹ thuật và giá dịch vụ đào tạo nghề sơ cấp và dưới 3 tháng</t>
  </si>
  <si>
    <t>Kế hoạch</t>
  </si>
  <si>
    <t>Phối hợp các khoa ban hành Kế hoạch vật tư thực hành các lớp</t>
  </si>
  <si>
    <t>Tham mưu ban hành Định mức kinh tế kỹ thuật ngành nghề Y sỹ đa khoa và định giá đào tạo</t>
  </si>
  <si>
    <t>Quyết định + phụ lục đinh mức</t>
  </si>
  <si>
    <t>Tham mưu ban hành định mức kinh tế - kỹ thuật và định giá đào tạo lái xe</t>
  </si>
  <si>
    <t>KẾ HOẠCH 
công tác tháng  10 năm 2026</t>
  </si>
  <si>
    <t>Kế hoạch của Trường</t>
  </si>
  <si>
    <t xml:space="preserve">Tổng hợp kết quả thu-chi hoạt động của Nhà thuốc, phòng Khám đa khoa báo cáo Lãnh đạo Trường </t>
  </si>
  <si>
    <t>Tham mưu Kế hoạch và hẩm định định mức kinh tế - kỹ thuật nghề lái xe và ngành, nghề Y sỹ đa khoa trình độ cao đẳng</t>
  </si>
  <si>
    <t>Phòng TCKT; Bản chủ nhiệm</t>
  </si>
  <si>
    <t>Phụ lục, Báo cáo, Biên bản</t>
  </si>
  <si>
    <t>1.10</t>
  </si>
  <si>
    <t>Thực hiện theo dõi và báo cáo thường xuyên tình hình sử dụng nguồn kinh phí Chương trình mục tiêu quốc gia xây dựng nông thôn mới, giảm nghèo bền vững và phát triển kinh tế - xã hội vùng đồng bào dân tộc thiểu số và miền núi giai đoạn 2026 - 2035, giai đoạn I: từ năm 2026 đến năm 2030  là 260 tr</t>
  </si>
  <si>
    <t>Phòng TC-KT</t>
  </si>
  <si>
    <t>Phối hợp Sở Tài chính thực hiện thẩm tra phê duyệt Quyết toán dự án hoàn thành</t>
  </si>
  <si>
    <t>Tham mưu ban hành định mức kinh tế - kỹ thuật và giá dịch vụ đào tạo các nghề sơ cấp và dưới 3 tháng</t>
  </si>
  <si>
    <t>Thanh toán lương tháng 10/2026</t>
  </si>
  <si>
    <t>Thanh toán chế độ chính sách cho HSSV tháng 8/2026</t>
  </si>
  <si>
    <r>
      <rPr>
        <i/>
        <sz val="14"/>
        <rFont val="Times New Roman"/>
        <family val="1"/>
        <charset val="163"/>
      </rPr>
      <t>Quảng Ngãi, ngày 19.tháng 9 năm 2026</t>
    </r>
    <r>
      <rPr>
        <sz val="14"/>
        <rFont val="Times New Roman"/>
        <family val="1"/>
      </rPr>
      <t xml:space="preserve">
</t>
    </r>
    <r>
      <rPr>
        <b/>
        <sz val="14"/>
        <rFont val="Times New Roman"/>
        <family val="1"/>
      </rPr>
      <t xml:space="preserve">LÃNH ĐẠO KHOA/PHÒNG
Lê Thị Hồng Nga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</si>
</sst>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b/>
      <sz val="12"/>
      <color rgb="FF000000"/>
      <name val="Times New Roman"/>
      <family val="1"/>
    </font>
    <font>
      <sz val="12"/>
      <color rgb="FF000000"/>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sz val="13"/>
      <color theme="1"/>
      <name val="Calibri"/>
      <family val="2"/>
      <scheme val="minor"/>
    </font>
    <font>
      <i/>
      <sz val="14"/>
      <name val="Times New Roman"/>
      <family val="1"/>
      <charset val="163"/>
    </font>
    <font>
      <b/>
      <sz val="14"/>
      <name val="Times New Roman"/>
      <family val="1"/>
      <charset val="163"/>
    </font>
    <font>
      <sz val="12"/>
      <color rgb="FF000000"/>
      <name val="Times New Roman"/>
      <family val="1"/>
      <charset val="163"/>
    </font>
    <font>
      <b/>
      <sz val="12"/>
      <color rgb="FF000000"/>
      <name val="Times New Roman"/>
      <family val="1"/>
      <charset val="163"/>
    </font>
    <font>
      <sz val="8"/>
      <name val="Calibri"/>
      <family val="2"/>
      <scheme val="minor"/>
    </font>
  </fonts>
  <fills count="2">
    <fill>
      <patternFill patternType="none"/>
    </fill>
    <fill>
      <patternFill patternType="gray125"/>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30">
    <xf numFmtId="0" fontId="0" fillId="0" borderId="0" xfId="0"/>
    <xf numFmtId="0" fontId="5" fillId="0" borderId="2" xfId="0" applyFont="1" applyBorder="1" applyAlignment="1">
      <alignment vertical="center" wrapText="1"/>
    </xf>
    <xf numFmtId="0" fontId="5" fillId="0" borderId="2" xfId="0" applyFont="1" applyBorder="1" applyAlignment="1">
      <alignment horizontal="center" vertical="center" wrapText="1"/>
    </xf>
    <xf numFmtId="0" fontId="4" fillId="0" borderId="2" xfId="0" quotePrefix="1" applyFont="1" applyBorder="1" applyAlignment="1">
      <alignment horizontal="center" vertical="center" wrapText="1"/>
    </xf>
    <xf numFmtId="0" fontId="6" fillId="0" borderId="0" xfId="0" applyFont="1"/>
    <xf numFmtId="0" fontId="4" fillId="0" borderId="2" xfId="0" applyFont="1" applyBorder="1" applyAlignment="1">
      <alignment horizontal="center" vertical="center"/>
    </xf>
    <xf numFmtId="0" fontId="8" fillId="0" borderId="0" xfId="0" applyFont="1"/>
    <xf numFmtId="0" fontId="10" fillId="0" borderId="2" xfId="0" applyFont="1" applyBorder="1" applyAlignment="1">
      <alignment horizontal="center" vertical="center" wrapText="1"/>
    </xf>
    <xf numFmtId="0" fontId="16" fillId="0" borderId="0" xfId="0" applyFont="1"/>
    <xf numFmtId="0" fontId="21"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13" fillId="0" borderId="0" xfId="0" applyFont="1" applyAlignment="1">
      <alignment horizontal="left" vertical="top" wrapText="1"/>
    </xf>
    <xf numFmtId="0" fontId="4" fillId="0" borderId="2" xfId="0" applyFont="1" applyBorder="1" applyAlignment="1">
      <alignment horizontal="center" vertical="center" wrapText="1"/>
    </xf>
    <xf numFmtId="0" fontId="10" fillId="0" borderId="3" xfId="0" applyFont="1" applyBorder="1" applyAlignment="1">
      <alignment horizontal="left" vertical="center" wrapText="1"/>
    </xf>
    <xf numFmtId="0" fontId="13" fillId="0" borderId="0" xfId="0" applyFont="1" applyAlignment="1">
      <alignment horizontal="left" vertical="top" wrapText="1"/>
    </xf>
    <xf numFmtId="0" fontId="20" fillId="0" borderId="0" xfId="0" applyFont="1" applyAlignment="1">
      <alignment horizontal="center" vertical="top" wrapText="1"/>
    </xf>
    <xf numFmtId="0" fontId="9" fillId="0" borderId="2" xfId="0" applyFont="1" applyBorder="1" applyAlignment="1">
      <alignment horizontal="center" vertical="center" wrapText="1"/>
    </xf>
    <xf numFmtId="0" fontId="4" fillId="0" borderId="2" xfId="0" applyFont="1" applyBorder="1" applyAlignment="1">
      <alignment vertical="center" wrapText="1"/>
    </xf>
    <xf numFmtId="0" fontId="4" fillId="0" borderId="2" xfId="0" applyFont="1" applyBorder="1" applyAlignment="1">
      <alignment horizontal="left" vertical="center"/>
    </xf>
    <xf numFmtId="0" fontId="4" fillId="0" borderId="2" xfId="0" applyFont="1" applyBorder="1" applyAlignment="1">
      <alignment horizontal="left" vertical="center" wrapText="1"/>
    </xf>
    <xf numFmtId="0" fontId="7" fillId="0" borderId="0" xfId="0" applyFont="1" applyAlignment="1">
      <alignment horizontal="center" vertical="center" wrapText="1"/>
    </xf>
    <xf numFmtId="0" fontId="0" fillId="0" borderId="0" xfId="0" applyAlignment="1">
      <alignment horizontal="center" vertical="center" wrapText="1"/>
    </xf>
    <xf numFmtId="0" fontId="17" fillId="0" borderId="0" xfId="0" applyFont="1" applyAlignment="1">
      <alignment horizontal="center" vertical="center" wrapText="1"/>
    </xf>
    <xf numFmtId="0" fontId="18"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left" vertical="center"/>
    </xf>
    <xf numFmtId="0" fontId="2"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1175935</xdr:colOff>
      <xdr:row>3</xdr:row>
      <xdr:rowOff>35718</xdr:rowOff>
    </xdr:from>
    <xdr:to>
      <xdr:col>1</xdr:col>
      <xdr:colOff>1973794</xdr:colOff>
      <xdr:row>3</xdr:row>
      <xdr:rowOff>35718</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570542" y="1110682"/>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7560174" y="1216063"/>
          <a:ext cx="203286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6" name="Straight Connector 5">
          <a:extLst>
            <a:ext uri="{FF2B5EF4-FFF2-40B4-BE49-F238E27FC236}">
              <a16:creationId xmlns:a16="http://schemas.microsoft.com/office/drawing/2014/main" id="{96331044-2F4B-4153-AA26-332584C736E8}"/>
            </a:ext>
          </a:extLst>
        </xdr:cNvPr>
        <xdr:cNvCxnSpPr/>
      </xdr:nvCxnSpPr>
      <xdr:spPr>
        <a:xfrm>
          <a:off x="5661803" y="1689983"/>
          <a:ext cx="106219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1175935</xdr:colOff>
      <xdr:row>3</xdr:row>
      <xdr:rowOff>35718</xdr:rowOff>
    </xdr:from>
    <xdr:to>
      <xdr:col>1</xdr:col>
      <xdr:colOff>1973794</xdr:colOff>
      <xdr:row>3</xdr:row>
      <xdr:rowOff>35718</xdr:rowOff>
    </xdr:to>
    <xdr:cxnSp macro="">
      <xdr:nvCxnSpPr>
        <xdr:cNvPr id="5" name="Straight Connector 4">
          <a:extLst>
            <a:ext uri="{FF2B5EF4-FFF2-40B4-BE49-F238E27FC236}">
              <a16:creationId xmlns:a16="http://schemas.microsoft.com/office/drawing/2014/main" id="{47780992-F0F1-4EA3-9F0B-3E9B87DA28C8}"/>
            </a:ext>
          </a:extLst>
        </xdr:cNvPr>
        <xdr:cNvCxnSpPr/>
      </xdr:nvCxnSpPr>
      <xdr:spPr>
        <a:xfrm>
          <a:off x="1575985" y="1102518"/>
          <a:ext cx="79785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661353</xdr:colOff>
      <xdr:row>3</xdr:row>
      <xdr:rowOff>59456</xdr:rowOff>
    </xdr:from>
    <xdr:to>
      <xdr:col>7</xdr:col>
      <xdr:colOff>585107</xdr:colOff>
      <xdr:row>3</xdr:row>
      <xdr:rowOff>59456</xdr:rowOff>
    </xdr:to>
    <xdr:cxnSp macro="">
      <xdr:nvCxnSpPr>
        <xdr:cNvPr id="7" name="Straight Connector 6">
          <a:extLst>
            <a:ext uri="{FF2B5EF4-FFF2-40B4-BE49-F238E27FC236}">
              <a16:creationId xmlns:a16="http://schemas.microsoft.com/office/drawing/2014/main" id="{27320224-AE67-4DF8-B6D6-F1A137F37B4F}"/>
            </a:ext>
          </a:extLst>
        </xdr:cNvPr>
        <xdr:cNvCxnSpPr/>
      </xdr:nvCxnSpPr>
      <xdr:spPr>
        <a:xfrm>
          <a:off x="6700203" y="1126256"/>
          <a:ext cx="177160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967339</xdr:colOff>
      <xdr:row>3</xdr:row>
      <xdr:rowOff>533376</xdr:rowOff>
    </xdr:from>
    <xdr:to>
      <xdr:col>4</xdr:col>
      <xdr:colOff>804887</xdr:colOff>
      <xdr:row>3</xdr:row>
      <xdr:rowOff>533376</xdr:rowOff>
    </xdr:to>
    <xdr:cxnSp macro="">
      <xdr:nvCxnSpPr>
        <xdr:cNvPr id="8" name="Straight Connector 7">
          <a:extLst>
            <a:ext uri="{FF2B5EF4-FFF2-40B4-BE49-F238E27FC236}">
              <a16:creationId xmlns:a16="http://schemas.microsoft.com/office/drawing/2014/main" id="{FBDBCDE7-DE79-4090-942D-49A560ED195C}"/>
            </a:ext>
          </a:extLst>
        </xdr:cNvPr>
        <xdr:cNvCxnSpPr/>
      </xdr:nvCxnSpPr>
      <xdr:spPr>
        <a:xfrm>
          <a:off x="5072614" y="1600176"/>
          <a:ext cx="91387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K33"/>
  <sheetViews>
    <sheetView tabSelected="1" view="pageBreakPreview" topLeftCell="A29" zoomScale="89" zoomScaleNormal="70" zoomScaleSheetLayoutView="89" workbookViewId="0">
      <selection activeCell="G34" sqref="G34"/>
    </sheetView>
  </sheetViews>
  <sheetFormatPr defaultRowHeight="32.5" customHeight="1" x14ac:dyDescent="0.35"/>
  <cols>
    <col min="1" max="1" width="6" customWidth="1"/>
    <col min="2" max="2" width="39.1796875" customWidth="1"/>
    <col min="3" max="3" width="16.453125" customWidth="1"/>
    <col min="4" max="4" width="16.1796875" customWidth="1"/>
    <col min="5" max="5" width="12.81640625" customWidth="1"/>
    <col min="6" max="6" width="14.1796875" customWidth="1"/>
    <col min="7" max="8" width="13.54296875" customWidth="1"/>
    <col min="9" max="9" width="8.26953125" customWidth="1"/>
    <col min="10" max="10" width="7.1796875" customWidth="1"/>
    <col min="11" max="11" width="16.26953125" customWidth="1"/>
  </cols>
  <sheetData>
    <row r="1" spans="1:11" ht="36.75" customHeight="1" x14ac:dyDescent="0.35">
      <c r="A1" s="24" t="s">
        <v>46</v>
      </c>
      <c r="B1" s="25"/>
      <c r="C1" s="25"/>
      <c r="D1" s="25"/>
      <c r="E1" s="25"/>
      <c r="F1" s="25"/>
      <c r="G1" s="25"/>
      <c r="H1" s="25"/>
      <c r="I1" s="25"/>
      <c r="J1" s="25"/>
      <c r="K1" s="25"/>
    </row>
    <row r="2" spans="1:11" s="4" customFormat="1" ht="28.5" customHeight="1" x14ac:dyDescent="0.35">
      <c r="A2" s="22" t="s">
        <v>27</v>
      </c>
      <c r="B2" s="23"/>
      <c r="C2" s="21"/>
      <c r="D2" s="29" t="s">
        <v>22</v>
      </c>
      <c r="E2" s="29"/>
      <c r="F2" s="29"/>
      <c r="G2" s="29"/>
      <c r="H2" s="29"/>
      <c r="I2" s="29"/>
      <c r="J2" s="29"/>
      <c r="K2" s="29"/>
    </row>
    <row r="3" spans="1:11" s="4" customFormat="1" ht="18.75" customHeight="1" x14ac:dyDescent="0.35">
      <c r="A3" s="20" t="s">
        <v>47</v>
      </c>
      <c r="B3" s="20"/>
      <c r="C3" s="21"/>
      <c r="D3" s="24" t="s">
        <v>23</v>
      </c>
      <c r="E3" s="24"/>
      <c r="F3" s="24"/>
      <c r="G3" s="24"/>
      <c r="H3" s="24"/>
      <c r="I3" s="24"/>
      <c r="J3" s="24"/>
      <c r="K3" s="24"/>
    </row>
    <row r="4" spans="1:11" ht="44.25" customHeight="1" x14ac:dyDescent="0.35">
      <c r="A4" s="24" t="s">
        <v>78</v>
      </c>
      <c r="B4" s="28"/>
      <c r="C4" s="28"/>
      <c r="D4" s="28"/>
      <c r="E4" s="28"/>
      <c r="F4" s="28"/>
      <c r="G4" s="28"/>
      <c r="H4" s="28"/>
      <c r="I4" s="28"/>
      <c r="J4" s="28"/>
      <c r="K4" s="28"/>
    </row>
    <row r="5" spans="1:11" ht="9" customHeight="1" x14ac:dyDescent="0.35">
      <c r="A5" s="27"/>
      <c r="B5" s="27"/>
      <c r="C5" s="27"/>
      <c r="D5" s="27"/>
      <c r="E5" s="27"/>
      <c r="F5" s="27"/>
      <c r="G5" s="27"/>
      <c r="H5" s="27"/>
      <c r="I5" s="27"/>
      <c r="J5" s="27"/>
      <c r="K5" s="27"/>
    </row>
    <row r="6" spans="1:11" ht="22" customHeight="1" x14ac:dyDescent="0.35">
      <c r="A6" s="26" t="s">
        <v>0</v>
      </c>
      <c r="B6" s="26" t="s">
        <v>1</v>
      </c>
      <c r="C6" s="26" t="s">
        <v>2</v>
      </c>
      <c r="D6" s="26" t="s">
        <v>28</v>
      </c>
      <c r="E6" s="26" t="s">
        <v>39</v>
      </c>
      <c r="F6" s="26" t="s">
        <v>13</v>
      </c>
      <c r="G6" s="26" t="s">
        <v>37</v>
      </c>
      <c r="H6" s="16" t="s">
        <v>3</v>
      </c>
      <c r="I6" s="16" t="s">
        <v>40</v>
      </c>
      <c r="J6" s="16" t="s">
        <v>41</v>
      </c>
      <c r="K6" s="16" t="s">
        <v>4</v>
      </c>
    </row>
    <row r="7" spans="1:11" ht="63.75" customHeight="1" x14ac:dyDescent="0.35">
      <c r="A7" s="26"/>
      <c r="B7" s="26"/>
      <c r="C7" s="26"/>
      <c r="D7" s="26"/>
      <c r="E7" s="26"/>
      <c r="F7" s="26"/>
      <c r="G7" s="26"/>
      <c r="H7" s="16"/>
      <c r="I7" s="16"/>
      <c r="J7" s="16"/>
      <c r="K7" s="16"/>
    </row>
    <row r="8" spans="1:11" ht="15" x14ac:dyDescent="0.35">
      <c r="A8" s="3" t="s">
        <v>14</v>
      </c>
      <c r="B8" s="3" t="s">
        <v>15</v>
      </c>
      <c r="C8" s="3" t="s">
        <v>16</v>
      </c>
      <c r="D8" s="3" t="s">
        <v>17</v>
      </c>
      <c r="E8" s="3" t="s">
        <v>18</v>
      </c>
      <c r="F8" s="3" t="s">
        <v>19</v>
      </c>
      <c r="G8" s="3" t="s">
        <v>20</v>
      </c>
      <c r="H8" s="3" t="s">
        <v>21</v>
      </c>
      <c r="I8" s="3" t="s">
        <v>26</v>
      </c>
      <c r="J8" s="3" t="s">
        <v>29</v>
      </c>
      <c r="K8" s="3" t="s">
        <v>29</v>
      </c>
    </row>
    <row r="9" spans="1:11" ht="31.5" customHeight="1" x14ac:dyDescent="0.35">
      <c r="A9" s="12" t="s">
        <v>5</v>
      </c>
      <c r="B9" s="17" t="s">
        <v>43</v>
      </c>
      <c r="C9" s="17"/>
      <c r="D9" s="17"/>
      <c r="E9" s="17"/>
      <c r="F9" s="17"/>
      <c r="G9" s="17"/>
      <c r="H9" s="17"/>
      <c r="I9" s="17"/>
      <c r="J9" s="17"/>
      <c r="K9" s="17"/>
    </row>
    <row r="10" spans="1:11" ht="22.5" customHeight="1" x14ac:dyDescent="0.35">
      <c r="A10" s="5">
        <v>1</v>
      </c>
      <c r="B10" s="18" t="s">
        <v>6</v>
      </c>
      <c r="C10" s="18"/>
      <c r="D10" s="18"/>
      <c r="E10" s="18"/>
      <c r="F10" s="18"/>
      <c r="G10" s="18"/>
      <c r="H10" s="18"/>
      <c r="I10" s="18"/>
      <c r="J10" s="18"/>
      <c r="K10" s="18"/>
    </row>
    <row r="11" spans="1:11" ht="74.25" customHeight="1" x14ac:dyDescent="0.35">
      <c r="A11" s="2" t="s">
        <v>24</v>
      </c>
      <c r="B11" s="1" t="s">
        <v>71</v>
      </c>
      <c r="C11" s="7" t="s">
        <v>31</v>
      </c>
      <c r="D11" s="7" t="s">
        <v>48</v>
      </c>
      <c r="E11" s="2" t="s">
        <v>51</v>
      </c>
      <c r="F11" s="12" t="s">
        <v>50</v>
      </c>
      <c r="G11" s="2" t="s">
        <v>35</v>
      </c>
      <c r="H11" s="12"/>
      <c r="I11" s="12">
        <v>150</v>
      </c>
      <c r="J11" s="12">
        <f>I11*0.01</f>
        <v>1.5</v>
      </c>
      <c r="K11" s="10" t="s">
        <v>44</v>
      </c>
    </row>
    <row r="12" spans="1:11" ht="74.25" customHeight="1" x14ac:dyDescent="0.35">
      <c r="A12" s="2" t="s">
        <v>25</v>
      </c>
      <c r="B12" s="1" t="s">
        <v>72</v>
      </c>
      <c r="C12" s="7" t="s">
        <v>52</v>
      </c>
      <c r="D12" s="7" t="s">
        <v>48</v>
      </c>
      <c r="E12" s="2" t="s">
        <v>53</v>
      </c>
      <c r="F12" s="12" t="s">
        <v>50</v>
      </c>
      <c r="G12" s="2" t="s">
        <v>34</v>
      </c>
      <c r="H12" s="12"/>
      <c r="I12" s="12">
        <v>120</v>
      </c>
      <c r="J12" s="12">
        <f>I12*0.01</f>
        <v>1.2</v>
      </c>
      <c r="K12" s="10" t="s">
        <v>44</v>
      </c>
    </row>
    <row r="13" spans="1:11" ht="63" customHeight="1" x14ac:dyDescent="0.35">
      <c r="A13" s="2" t="s">
        <v>32</v>
      </c>
      <c r="B13" s="1" t="s">
        <v>80</v>
      </c>
      <c r="C13" s="7" t="s">
        <v>31</v>
      </c>
      <c r="D13" s="7" t="s">
        <v>48</v>
      </c>
      <c r="E13" s="2" t="s">
        <v>60</v>
      </c>
      <c r="F13" s="12">
        <v>1</v>
      </c>
      <c r="G13" s="2" t="s">
        <v>35</v>
      </c>
      <c r="H13" s="12"/>
      <c r="I13" s="12">
        <v>150</v>
      </c>
      <c r="J13" s="12">
        <f>I13*0.01</f>
        <v>1.5</v>
      </c>
      <c r="K13" s="10" t="s">
        <v>45</v>
      </c>
    </row>
    <row r="14" spans="1:11" ht="69.75" customHeight="1" x14ac:dyDescent="0.35">
      <c r="A14" s="2" t="s">
        <v>36</v>
      </c>
      <c r="B14" s="1" t="s">
        <v>59</v>
      </c>
      <c r="C14" s="7" t="s">
        <v>31</v>
      </c>
      <c r="D14" s="7" t="s">
        <v>48</v>
      </c>
      <c r="E14" s="2" t="s">
        <v>57</v>
      </c>
      <c r="F14" s="12" t="s">
        <v>58</v>
      </c>
      <c r="G14" s="2" t="s">
        <v>42</v>
      </c>
      <c r="H14" s="2"/>
      <c r="I14" s="12">
        <f t="shared" ref="I14:I15" si="0">IF(G14="Khó và phức tạp",200,IF(G14="Cao",150,IF(G14="Trungbình",120,100)))</f>
        <v>100</v>
      </c>
      <c r="J14" s="12">
        <f t="shared" ref="J14:J15" si="1">I14*0.01</f>
        <v>1</v>
      </c>
      <c r="K14" s="9" t="s">
        <v>45</v>
      </c>
    </row>
    <row r="15" spans="1:11" ht="31" x14ac:dyDescent="0.35">
      <c r="A15" s="2" t="s">
        <v>61</v>
      </c>
      <c r="B15" s="1" t="s">
        <v>87</v>
      </c>
      <c r="C15" s="7" t="s">
        <v>31</v>
      </c>
      <c r="D15" s="7" t="s">
        <v>48</v>
      </c>
      <c r="E15" s="2" t="s">
        <v>60</v>
      </c>
      <c r="F15" s="12">
        <v>1</v>
      </c>
      <c r="G15" s="2" t="s">
        <v>42</v>
      </c>
      <c r="H15" s="12"/>
      <c r="I15" s="12">
        <f t="shared" si="0"/>
        <v>100</v>
      </c>
      <c r="J15" s="12">
        <f t="shared" si="1"/>
        <v>1</v>
      </c>
      <c r="K15" s="9" t="s">
        <v>79</v>
      </c>
    </row>
    <row r="16" spans="1:11" ht="62" x14ac:dyDescent="0.35">
      <c r="A16" s="2" t="s">
        <v>62</v>
      </c>
      <c r="B16" s="1" t="s">
        <v>81</v>
      </c>
      <c r="C16" s="7" t="s">
        <v>31</v>
      </c>
      <c r="D16" s="7" t="s">
        <v>82</v>
      </c>
      <c r="E16" s="2" t="s">
        <v>83</v>
      </c>
      <c r="F16" s="12">
        <v>5</v>
      </c>
      <c r="G16" s="2" t="s">
        <v>35</v>
      </c>
      <c r="H16" s="12"/>
      <c r="I16" s="12">
        <v>150</v>
      </c>
      <c r="J16" s="12">
        <v>1.5</v>
      </c>
      <c r="K16" s="9" t="s">
        <v>79</v>
      </c>
    </row>
    <row r="17" spans="1:11" ht="124" x14ac:dyDescent="0.35">
      <c r="A17" s="2" t="s">
        <v>66</v>
      </c>
      <c r="B17" s="1" t="s">
        <v>85</v>
      </c>
      <c r="C17" s="7" t="s">
        <v>31</v>
      </c>
      <c r="D17" s="7" t="s">
        <v>86</v>
      </c>
      <c r="E17" s="2" t="s">
        <v>60</v>
      </c>
      <c r="F17" s="12">
        <v>1</v>
      </c>
      <c r="G17" s="2" t="s">
        <v>34</v>
      </c>
      <c r="H17" s="12"/>
      <c r="I17" s="12">
        <v>120</v>
      </c>
      <c r="J17" s="12">
        <v>1.2</v>
      </c>
      <c r="K17" s="9" t="s">
        <v>79</v>
      </c>
    </row>
    <row r="18" spans="1:11" ht="46.5" x14ac:dyDescent="0.35">
      <c r="A18" s="2" t="s">
        <v>67</v>
      </c>
      <c r="B18" s="1" t="s">
        <v>63</v>
      </c>
      <c r="C18" s="7" t="s">
        <v>31</v>
      </c>
      <c r="D18" s="7" t="s">
        <v>48</v>
      </c>
      <c r="E18" s="2" t="s">
        <v>64</v>
      </c>
      <c r="F18" s="12" t="s">
        <v>65</v>
      </c>
      <c r="G18" s="2" t="s">
        <v>42</v>
      </c>
      <c r="H18" s="12"/>
      <c r="I18" s="12">
        <v>100</v>
      </c>
      <c r="J18" s="12">
        <v>1</v>
      </c>
      <c r="K18" s="9" t="s">
        <v>45</v>
      </c>
    </row>
    <row r="19" spans="1:11" ht="31" x14ac:dyDescent="0.35">
      <c r="A19" s="2" t="s">
        <v>70</v>
      </c>
      <c r="B19" s="1" t="s">
        <v>74</v>
      </c>
      <c r="C19" s="7" t="s">
        <v>31</v>
      </c>
      <c r="D19" s="7" t="s">
        <v>48</v>
      </c>
      <c r="E19" s="2" t="s">
        <v>73</v>
      </c>
      <c r="F19" s="12" t="s">
        <v>58</v>
      </c>
      <c r="G19" s="2" t="s">
        <v>42</v>
      </c>
      <c r="H19" s="12"/>
      <c r="I19" s="12">
        <v>100</v>
      </c>
      <c r="J19" s="12">
        <v>1</v>
      </c>
      <c r="K19" s="9" t="s">
        <v>45</v>
      </c>
    </row>
    <row r="20" spans="1:11" ht="31" x14ac:dyDescent="0.35">
      <c r="A20" s="2" t="s">
        <v>84</v>
      </c>
      <c r="B20" s="1" t="s">
        <v>69</v>
      </c>
      <c r="C20" s="7" t="s">
        <v>31</v>
      </c>
      <c r="D20" s="7" t="s">
        <v>48</v>
      </c>
      <c r="E20" s="2" t="s">
        <v>49</v>
      </c>
      <c r="F20" s="12">
        <v>3</v>
      </c>
      <c r="G20" s="2" t="s">
        <v>42</v>
      </c>
      <c r="H20" s="12"/>
      <c r="I20" s="12">
        <v>100</v>
      </c>
      <c r="J20" s="12">
        <v>1</v>
      </c>
      <c r="K20" s="9" t="s">
        <v>45</v>
      </c>
    </row>
    <row r="21" spans="1:11" ht="22.5" customHeight="1" x14ac:dyDescent="0.35">
      <c r="A21" s="5">
        <v>2</v>
      </c>
      <c r="B21" s="18" t="s">
        <v>7</v>
      </c>
      <c r="C21" s="18"/>
      <c r="D21" s="18"/>
      <c r="E21" s="18"/>
      <c r="F21" s="18"/>
      <c r="G21" s="18"/>
      <c r="H21" s="18"/>
      <c r="I21" s="18"/>
      <c r="J21" s="18"/>
      <c r="K21" s="18"/>
    </row>
    <row r="22" spans="1:11" ht="46.5" x14ac:dyDescent="0.35">
      <c r="A22" s="12">
        <v>2.1</v>
      </c>
      <c r="B22" s="1" t="s">
        <v>88</v>
      </c>
      <c r="C22" s="7" t="s">
        <v>31</v>
      </c>
      <c r="D22" s="7" t="s">
        <v>48</v>
      </c>
      <c r="E22" s="2" t="s">
        <v>33</v>
      </c>
      <c r="F22" s="12">
        <v>6</v>
      </c>
      <c r="G22" s="2" t="s">
        <v>34</v>
      </c>
      <c r="H22" s="12"/>
      <c r="I22" s="12">
        <v>120</v>
      </c>
      <c r="J22" s="12">
        <v>1</v>
      </c>
      <c r="K22" s="10" t="s">
        <v>44</v>
      </c>
    </row>
    <row r="23" spans="1:11" ht="46.5" x14ac:dyDescent="0.35">
      <c r="A23" s="12">
        <v>2.2000000000000002</v>
      </c>
      <c r="B23" s="1" t="s">
        <v>75</v>
      </c>
      <c r="C23" s="7" t="s">
        <v>31</v>
      </c>
      <c r="D23" s="7" t="s">
        <v>48</v>
      </c>
      <c r="E23" s="2" t="s">
        <v>76</v>
      </c>
      <c r="F23" s="12">
        <v>2</v>
      </c>
      <c r="G23" s="2" t="s">
        <v>35</v>
      </c>
      <c r="H23" s="12"/>
      <c r="I23" s="12">
        <v>150</v>
      </c>
      <c r="J23" s="12">
        <v>1.5</v>
      </c>
      <c r="K23" s="10" t="s">
        <v>44</v>
      </c>
    </row>
    <row r="24" spans="1:11" ht="46.5" x14ac:dyDescent="0.35">
      <c r="A24" s="12">
        <v>2.2999999999999998</v>
      </c>
      <c r="B24" s="1" t="s">
        <v>77</v>
      </c>
      <c r="C24" s="7" t="s">
        <v>31</v>
      </c>
      <c r="D24" s="7" t="s">
        <v>48</v>
      </c>
      <c r="E24" s="2" t="s">
        <v>76</v>
      </c>
      <c r="F24" s="12">
        <v>2</v>
      </c>
      <c r="G24" s="2" t="s">
        <v>35</v>
      </c>
      <c r="H24" s="12"/>
      <c r="I24" s="12">
        <v>150</v>
      </c>
      <c r="J24" s="12">
        <v>1.5</v>
      </c>
      <c r="K24" s="10" t="s">
        <v>44</v>
      </c>
    </row>
    <row r="25" spans="1:11" ht="22.5" customHeight="1" x14ac:dyDescent="0.35">
      <c r="A25" s="5">
        <v>3</v>
      </c>
      <c r="B25" s="18" t="s">
        <v>8</v>
      </c>
      <c r="C25" s="18"/>
      <c r="D25" s="18"/>
      <c r="E25" s="18"/>
      <c r="F25" s="18"/>
      <c r="G25" s="18"/>
      <c r="H25" s="18"/>
      <c r="I25" s="18"/>
      <c r="J25" s="18"/>
      <c r="K25" s="18"/>
    </row>
    <row r="26" spans="1:11" ht="46.5" customHeight="1" x14ac:dyDescent="0.35">
      <c r="A26" s="5">
        <v>4</v>
      </c>
      <c r="B26" s="19" t="s">
        <v>9</v>
      </c>
      <c r="C26" s="19"/>
      <c r="D26" s="19"/>
      <c r="E26" s="19"/>
      <c r="F26" s="19"/>
      <c r="G26" s="19"/>
      <c r="H26" s="19"/>
      <c r="I26" s="19"/>
      <c r="J26" s="19"/>
      <c r="K26" s="19"/>
    </row>
    <row r="27" spans="1:11" ht="22.5" customHeight="1" x14ac:dyDescent="0.35">
      <c r="A27" s="5">
        <v>5</v>
      </c>
      <c r="B27" s="18" t="s">
        <v>10</v>
      </c>
      <c r="C27" s="18"/>
      <c r="D27" s="18"/>
      <c r="E27" s="18"/>
      <c r="F27" s="18"/>
      <c r="G27" s="18"/>
      <c r="H27" s="18"/>
      <c r="I27" s="18"/>
      <c r="J27" s="18"/>
      <c r="K27" s="18"/>
    </row>
    <row r="28" spans="1:11" ht="31" x14ac:dyDescent="0.35">
      <c r="A28" s="12" t="s">
        <v>55</v>
      </c>
      <c r="B28" s="1" t="s">
        <v>89</v>
      </c>
      <c r="C28" s="7" t="s">
        <v>31</v>
      </c>
      <c r="D28" s="7"/>
      <c r="E28" s="2" t="s">
        <v>54</v>
      </c>
      <c r="F28" s="12">
        <v>1</v>
      </c>
      <c r="G28" s="2" t="s">
        <v>35</v>
      </c>
      <c r="H28" s="2"/>
      <c r="I28" s="12">
        <f t="shared" ref="I28:I29" si="2">IF(G28="Khó và phức tạp",200,IF(G28="Cao",150,IF(G28="Trungbình",120,100)))</f>
        <v>150</v>
      </c>
      <c r="J28" s="12">
        <f t="shared" ref="J28:J29" si="3">I28*0.01</f>
        <v>1.5</v>
      </c>
      <c r="K28" s="9" t="s">
        <v>45</v>
      </c>
    </row>
    <row r="29" spans="1:11" ht="31" x14ac:dyDescent="0.35">
      <c r="A29" s="2" t="s">
        <v>56</v>
      </c>
      <c r="B29" s="1" t="s">
        <v>90</v>
      </c>
      <c r="C29" s="7" t="s">
        <v>31</v>
      </c>
      <c r="D29" s="7"/>
      <c r="E29" s="2" t="s">
        <v>54</v>
      </c>
      <c r="F29" s="12">
        <v>3</v>
      </c>
      <c r="G29" s="2" t="s">
        <v>42</v>
      </c>
      <c r="H29" s="2"/>
      <c r="I29" s="12">
        <f t="shared" si="2"/>
        <v>100</v>
      </c>
      <c r="J29" s="12">
        <f t="shared" si="3"/>
        <v>1</v>
      </c>
      <c r="K29" s="9" t="s">
        <v>45</v>
      </c>
    </row>
    <row r="30" spans="1:11" ht="22.5" customHeight="1" x14ac:dyDescent="0.35">
      <c r="A30" s="5">
        <v>6</v>
      </c>
      <c r="B30" s="18" t="s">
        <v>11</v>
      </c>
      <c r="C30" s="18"/>
      <c r="D30" s="18"/>
      <c r="E30" s="18"/>
      <c r="F30" s="18"/>
      <c r="G30" s="18"/>
      <c r="H30" s="18"/>
      <c r="I30" s="18"/>
      <c r="J30" s="18"/>
      <c r="K30" s="18"/>
    </row>
    <row r="31" spans="1:11" ht="22.5" customHeight="1" x14ac:dyDescent="0.35">
      <c r="A31" s="5" t="s">
        <v>12</v>
      </c>
      <c r="B31" s="18" t="s">
        <v>38</v>
      </c>
      <c r="C31" s="18"/>
      <c r="D31" s="18"/>
      <c r="E31" s="18"/>
      <c r="F31" s="18"/>
      <c r="G31" s="18"/>
      <c r="H31" s="18"/>
      <c r="I31" s="18"/>
      <c r="J31" s="18"/>
      <c r="K31" s="18"/>
    </row>
    <row r="32" spans="1:11" s="6" customFormat="1" ht="119.25" customHeight="1" x14ac:dyDescent="0.35">
      <c r="B32" s="13" t="s">
        <v>30</v>
      </c>
      <c r="C32" s="13"/>
      <c r="D32" s="13"/>
      <c r="E32" s="13"/>
      <c r="F32" s="13"/>
      <c r="G32" s="13"/>
      <c r="H32" s="13"/>
      <c r="I32" s="13"/>
      <c r="J32" s="13"/>
      <c r="K32" s="13"/>
    </row>
    <row r="33" spans="1:11" s="8" customFormat="1" ht="132" customHeight="1" x14ac:dyDescent="0.35">
      <c r="A33" s="14" t="s">
        <v>68</v>
      </c>
      <c r="B33" s="14"/>
      <c r="C33" s="14"/>
      <c r="D33" s="11"/>
      <c r="G33" s="15" t="s">
        <v>91</v>
      </c>
      <c r="H33" s="15"/>
      <c r="I33" s="15"/>
      <c r="J33" s="15"/>
      <c r="K33" s="15"/>
    </row>
  </sheetData>
  <mergeCells count="29">
    <mergeCell ref="A3:C3"/>
    <mergeCell ref="A2:C2"/>
    <mergeCell ref="A1:K1"/>
    <mergeCell ref="F6:F7"/>
    <mergeCell ref="G6:G7"/>
    <mergeCell ref="A6:A7"/>
    <mergeCell ref="B6:B7"/>
    <mergeCell ref="C6:C7"/>
    <mergeCell ref="D6:D7"/>
    <mergeCell ref="E6:E7"/>
    <mergeCell ref="A5:K5"/>
    <mergeCell ref="A4:K4"/>
    <mergeCell ref="K6:K7"/>
    <mergeCell ref="D2:K2"/>
    <mergeCell ref="D3:K3"/>
    <mergeCell ref="H6:H7"/>
    <mergeCell ref="B32:K32"/>
    <mergeCell ref="A33:C33"/>
    <mergeCell ref="G33:K33"/>
    <mergeCell ref="I6:I7"/>
    <mergeCell ref="J6:J7"/>
    <mergeCell ref="B9:K9"/>
    <mergeCell ref="B30:K30"/>
    <mergeCell ref="B10:K10"/>
    <mergeCell ref="B21:K21"/>
    <mergeCell ref="B25:K25"/>
    <mergeCell ref="B26:K26"/>
    <mergeCell ref="B27:K27"/>
    <mergeCell ref="B31:K31"/>
  </mergeCells>
  <phoneticPr fontId="23" type="noConversion"/>
  <conditionalFormatting sqref="C14">
    <cfRule type="dataBar" priority="2">
      <dataBar>
        <cfvo type="min"/>
        <cfvo type="max"/>
        <color rgb="FF638EC6"/>
      </dataBar>
      <extLst>
        <ext xmlns:x14="http://schemas.microsoft.com/office/spreadsheetml/2009/9/main" uri="{B025F937-C7B1-47D3-B67F-A62EFF666E3E}">
          <x14:id>{6E8C6500-D8C9-49D8-A674-6B9E222E6913}</x14:id>
        </ext>
      </extLst>
    </cfRule>
  </conditionalFormatting>
  <conditionalFormatting sqref="C22:C24">
    <cfRule type="dataBar" priority="1">
      <dataBar>
        <cfvo type="min"/>
        <cfvo type="max"/>
        <color rgb="FF638EC6"/>
      </dataBar>
      <extLst>
        <ext xmlns:x14="http://schemas.microsoft.com/office/spreadsheetml/2009/9/main" uri="{B025F937-C7B1-47D3-B67F-A62EFF666E3E}">
          <x14:id>{17AA4B05-81D9-47A5-B0B4-E07069A7660A}</x14:id>
        </ext>
      </extLst>
    </cfRule>
  </conditionalFormatting>
  <conditionalFormatting sqref="C28">
    <cfRule type="dataBar" priority="3">
      <dataBar>
        <cfvo type="min"/>
        <cfvo type="max"/>
        <color rgb="FF638EC6"/>
      </dataBar>
      <extLst>
        <ext xmlns:x14="http://schemas.microsoft.com/office/spreadsheetml/2009/9/main" uri="{B025F937-C7B1-47D3-B67F-A62EFF666E3E}">
          <x14:id>{F944E2CC-42E6-480D-9A92-B016007AA891}</x14:id>
        </ext>
      </extLst>
    </cfRule>
  </conditionalFormatting>
  <conditionalFormatting sqref="C29">
    <cfRule type="dataBar" priority="4">
      <dataBar>
        <cfvo type="min"/>
        <cfvo type="max"/>
        <color rgb="FF638EC6"/>
      </dataBar>
      <extLst>
        <ext xmlns:x14="http://schemas.microsoft.com/office/spreadsheetml/2009/9/main" uri="{B025F937-C7B1-47D3-B67F-A62EFF666E3E}">
          <x14:id>{E56C2971-496D-44FD-9DEC-FF04A4CFA292}</x14:id>
        </ext>
      </extLst>
    </cfRule>
  </conditionalFormatting>
  <conditionalFormatting sqref="C11:C13 C15:C20">
    <cfRule type="dataBar" priority="6">
      <dataBar>
        <cfvo type="min"/>
        <cfvo type="max"/>
        <color rgb="FF638EC6"/>
      </dataBar>
      <extLst>
        <ext xmlns:x14="http://schemas.microsoft.com/office/spreadsheetml/2009/9/main" uri="{B025F937-C7B1-47D3-B67F-A62EFF666E3E}">
          <x14:id>{AE3CDAB1-0DE9-4380-BE78-7281E60C92F2}</x14:id>
        </ext>
      </extLst>
    </cfRule>
  </conditionalFormatting>
  <dataValidations count="5">
    <dataValidation type="list" allowBlank="1" showInputMessage="1" sqref="D28:D29 D22:D24 D11:D20" xr:uid="{8A6E2798-79AF-43D9-BBB8-7F4F8FF54027}">
      <formula1>"Phòng QLĐT&amp;BĐCL, Phòng TH-HC&amp;QT, Phòng QLKHCN&amp;HTPT, Phòng TC-KT, Phòng  TCCB&amp;CTHSSV, Khoa Sư phạm, Khoa CKHCB, Khoa KT&amp;NL, Khoa Y – Dược, Khoa ĐT&amp;SHLX, Khoa KT&amp;CN"</formula1>
    </dataValidation>
    <dataValidation type="list" allowBlank="1" showInputMessage="1" sqref="C28:C29 C22:C24 C11:C20" xr:uid="{31DCCF53-F268-4552-8996-91D0299312F1}">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E28:E29 E22:E24 E11:E20" xr:uid="{EA4A91DF-1A31-45BB-8B92-35E97755B937}">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G28:G29 G22:G24 G11:G20" xr:uid="{2E00E164-325F-4B32-A2A1-4A912E91CBF8}">
      <formula1>"Thấp,Trung bình,Cao,Khó và phức tạp"</formula1>
    </dataValidation>
    <dataValidation allowBlank="1" showInputMessage="1" sqref="H22:K24 H28:K29 H11:K20" xr:uid="{7EF8DCE9-77EB-4B5D-801F-932B52D7F62D}"/>
  </dataValidations>
  <printOptions horizontalCentered="1"/>
  <pageMargins left="0.31496062992126" right="0.31496062992126" top="0.39370078740157499" bottom="0.39370078740157499" header="0.31496062992126" footer="0.31496062992126"/>
  <pageSetup paperSize="9" scale="75" orientation="landscape" r:id="rId1"/>
  <drawing r:id="rId2"/>
  <extLst>
    <ext xmlns:x14="http://schemas.microsoft.com/office/spreadsheetml/2009/9/main" uri="{78C0D931-6437-407d-A8EE-F0AAD7539E65}">
      <x14:conditionalFormattings>
        <x14:conditionalFormatting xmlns:xm="http://schemas.microsoft.com/office/excel/2006/main">
          <x14:cfRule type="dataBar" id="{6E8C6500-D8C9-49D8-A674-6B9E222E6913}">
            <x14:dataBar minLength="0" maxLength="100" gradient="0">
              <x14:cfvo type="autoMin"/>
              <x14:cfvo type="autoMax"/>
              <x14:negativeFillColor rgb="FFFF0000"/>
              <x14:axisColor rgb="FF000000"/>
            </x14:dataBar>
          </x14:cfRule>
          <xm:sqref>C14</xm:sqref>
        </x14:conditionalFormatting>
        <x14:conditionalFormatting xmlns:xm="http://schemas.microsoft.com/office/excel/2006/main">
          <x14:cfRule type="dataBar" id="{17AA4B05-81D9-47A5-B0B4-E07069A7660A}">
            <x14:dataBar minLength="0" maxLength="100" gradient="0">
              <x14:cfvo type="autoMin"/>
              <x14:cfvo type="autoMax"/>
              <x14:negativeFillColor rgb="FFFF0000"/>
              <x14:axisColor rgb="FF000000"/>
            </x14:dataBar>
          </x14:cfRule>
          <xm:sqref>C22:C24</xm:sqref>
        </x14:conditionalFormatting>
        <x14:conditionalFormatting xmlns:xm="http://schemas.microsoft.com/office/excel/2006/main">
          <x14:cfRule type="dataBar" id="{F944E2CC-42E6-480D-9A92-B016007AA891}">
            <x14:dataBar minLength="0" maxLength="100" gradient="0">
              <x14:cfvo type="autoMin"/>
              <x14:cfvo type="autoMax"/>
              <x14:negativeFillColor rgb="FFFF0000"/>
              <x14:axisColor rgb="FF000000"/>
            </x14:dataBar>
          </x14:cfRule>
          <xm:sqref>C28</xm:sqref>
        </x14:conditionalFormatting>
        <x14:conditionalFormatting xmlns:xm="http://schemas.microsoft.com/office/excel/2006/main">
          <x14:cfRule type="dataBar" id="{E56C2971-496D-44FD-9DEC-FF04A4CFA292}">
            <x14:dataBar minLength="0" maxLength="100" gradient="0">
              <x14:cfvo type="autoMin"/>
              <x14:cfvo type="autoMax"/>
              <x14:negativeFillColor rgb="FFFF0000"/>
              <x14:axisColor rgb="FF000000"/>
            </x14:dataBar>
          </x14:cfRule>
          <xm:sqref>C29</xm:sqref>
        </x14:conditionalFormatting>
        <x14:conditionalFormatting xmlns:xm="http://schemas.microsoft.com/office/excel/2006/main">
          <x14:cfRule type="dataBar" id="{AE3CDAB1-0DE9-4380-BE78-7281E60C92F2}">
            <x14:dataBar minLength="0" maxLength="100" gradient="0">
              <x14:cfvo type="autoMin"/>
              <x14:cfvo type="autoMax"/>
              <x14:negativeFillColor rgb="FFFF0000"/>
              <x14:axisColor rgb="FF000000"/>
            </x14:dataBar>
          </x14:cfRule>
          <xm:sqref>C11:C13 C15:C20</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KH tháng</vt:lpstr>
      <vt:lpstr>'Mẫu KH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Lê Thị Hồng NGa</cp:lastModifiedBy>
  <cp:lastPrinted>2026-06-25T01:37:08Z</cp:lastPrinted>
  <dcterms:created xsi:type="dcterms:W3CDTF">2026-05-27T07:08:41Z</dcterms:created>
  <dcterms:modified xsi:type="dcterms:W3CDTF">2026-09-20T08:14:56Z</dcterms:modified>
</cp:coreProperties>
</file>