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ktcceduvn-my.sharepoint.com/personal/nguyenvannam_cdkontum_edu_vn/Documents/BÁO CÁO-LỊCH CÔNG TÁC/Bao cao thang.quy.nam/"/>
    </mc:Choice>
  </mc:AlternateContent>
  <xr:revisionPtr revIDLastSave="0" documentId="13_ncr:1_{A3CEE296-1BC8-4100-9954-14E3A6C870FD}" xr6:coauthVersionLast="47" xr6:coauthVersionMax="47" xr10:uidLastSave="{00000000-0000-0000-0000-000000000000}"/>
  <bookViews>
    <workbookView xWindow="-110" yWindow="-110" windowWidth="19420" windowHeight="11500" xr2:uid="{00000000-000D-0000-FFFF-FFFF00000000}"/>
  </bookViews>
  <sheets>
    <sheet name="KE HOACH CONG TAC THANG 10"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b4ipmILtXHOSu0KHLX6ROsoCYEGc1TmcrPzJf+NBxLw="/>
    </ext>
  </extLst>
</workbook>
</file>

<file path=xl/calcChain.xml><?xml version="1.0" encoding="utf-8"?>
<calcChain xmlns="http://schemas.openxmlformats.org/spreadsheetml/2006/main">
  <c r="I36" i="2" l="1"/>
  <c r="J36" i="2" s="1"/>
  <c r="I34" i="2"/>
  <c r="J34" i="2" s="1"/>
  <c r="I32" i="2"/>
  <c r="J32" i="2" s="1"/>
</calcChain>
</file>

<file path=xl/sharedStrings.xml><?xml version="1.0" encoding="utf-8"?>
<sst xmlns="http://schemas.openxmlformats.org/spreadsheetml/2006/main" count="215" uniqueCount="98">
  <si>
    <t>Số lượng</t>
  </si>
  <si>
    <t>Điểm chấm công việc</t>
  </si>
  <si>
    <t>(1)</t>
  </si>
  <si>
    <t>(2)</t>
  </si>
  <si>
    <t>(3)</t>
  </si>
  <si>
    <t>(4)</t>
  </si>
  <si>
    <t>(5)</t>
  </si>
  <si>
    <t>(6)</t>
  </si>
  <si>
    <t>(7)</t>
  </si>
  <si>
    <t>(8)</t>
  </si>
  <si>
    <t>(9)</t>
  </si>
  <si>
    <t>(10)</t>
  </si>
  <si>
    <t>(11)</t>
  </si>
  <si>
    <t>I</t>
  </si>
  <si>
    <t xml:space="preserve">Trục (1) - Thực hiện mục tiêu phát triển Kinh tế - xã hội và nhiệm vụ chính trị được giao </t>
  </si>
  <si>
    <t>Trung bình</t>
  </si>
  <si>
    <t>Cao</t>
  </si>
  <si>
    <t>Thấp</t>
  </si>
  <si>
    <t>II</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</si>
  <si>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</si>
  <si>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</si>
  <si>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</si>
  <si>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</si>
  <si>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</si>
  <si>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TT</t>
  </si>
  <si>
    <t>NỘI DUNG CÔNG VIỆC</t>
  </si>
  <si>
    <t>Người trực tiếp chỉ đạo</t>
  </si>
  <si>
    <t>Sản phẩm/ 
công việc</t>
  </si>
  <si>
    <t>Độ khó, mới, phức tạp; phạm vi tác động</t>
  </si>
  <si>
    <t>Thời gian hoàn thành</t>
  </si>
  <si>
    <t>Hệ số quy đổi</t>
  </si>
  <si>
    <t>Ghi chú</t>
  </si>
  <si>
    <t> Các nhiệm vụ theo kế hoạch (chương trình) công tác đã đề ra từ đầu quý</t>
  </si>
  <si>
    <t>PHT Huỳnh Văn Chung</t>
  </si>
  <si>
    <t>Báo cáo</t>
  </si>
  <si>
    <t>Hiệu trưởng</t>
  </si>
  <si>
    <t>Kế hoạch</t>
  </si>
  <si>
    <t>Thường xuyên của đơn vị</t>
  </si>
  <si>
    <t>Quyết định</t>
  </si>
  <si>
    <t>Bí thư Đảng uỷ</t>
  </si>
  <si>
    <t>Các nhiệm vụ đột xuất, phát sinh khác ngoài kế hoạch, từ tháng trước chuyển sang (nếu có)</t>
  </si>
  <si>
    <r>
      <rPr>
        <sz val="14"/>
        <color theme="1"/>
        <rFont val="Times New Roman"/>
        <family val="1"/>
      </rPr>
      <t>Ghi chú:</t>
    </r>
    <r>
      <rPr>
        <sz val="14"/>
        <color theme="1"/>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</si>
  <si>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t>TRƯỜNG CAO ĐẲNG KON TUM</t>
  </si>
  <si>
    <t>CỘNG HÒA XÃ HỘI CHỦ NGHĨA VIỆT NAM</t>
  </si>
  <si>
    <t>Độc lập - Tự do - Hạnh phúc</t>
  </si>
  <si>
    <t>PHÒNG QLKHCN&amp;HTPT</t>
  </si>
  <si>
    <t>Đơn vị chủ trì</t>
  </si>
  <si>
    <t>Chấp hành chủ trương, của Đảng, chính sách pháp luật của Nhà nước; tham gia/báo cáo sinh hoạt chuyên đề, sinh hoạt Đảng (nếu có); thực hiện đạo đức nghề nghiệp; giữ gìn đoàn kết nội bộ; thực hành tiết kiệm, chống lãng phí; chấp hành kỷ luật, kỷ cương hành chính; góp ý hoàn thiện văn bản các cấp về phòng, chống tham nhũng, lãng phí, tiêu cực...</t>
  </si>
  <si>
    <t>Chủ trương, chính sách</t>
  </si>
  <si>
    <t>Tham gia xây dựng môi trường văn hóa công sở lành mạnh, thân thiện; xây dựng trường học xanh – sạch – đẹp; quản lý chất thải; tiết kiệm điện, nước;  tham gia các hoạt động văn hóa, văn nghệ, thể dục thể thao, đền ơn đáp nghĩa, thiện nguyện và phong trào đoàn thể,...</t>
  </si>
  <si>
    <t>Môi trường văn hóa</t>
  </si>
  <si>
    <t>Phòng QLKHCN&amp;HTPT</t>
  </si>
  <si>
    <t>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t>
  </si>
  <si>
    <t>An ninh trật tự</t>
  </si>
  <si>
    <t>Tham mưu, thực hiện các nhiệm vụ phát sinh, đột xuất theo yêu cầu chỉ đạo của cấp trên, Lãnh đạo Trường…</t>
  </si>
  <si>
    <t>Văn bản, sản phẩm theo yêu cầu</t>
  </si>
  <si>
    <t>Theo phát sinh</t>
  </si>
  <si>
    <t>Theo mức độ nhiệm vụ</t>
  </si>
  <si>
    <t>Theo đánh giá</t>
  </si>
  <si>
    <t>Công văn</t>
  </si>
  <si>
    <r>
      <rPr>
        <i/>
        <sz val="14"/>
        <color theme="1"/>
        <rFont val="Times New Roman"/>
        <family val="1"/>
      </rPr>
      <t xml:space="preserve">
Nơi nhận:</t>
    </r>
    <r>
      <rPr>
        <sz val="14"/>
        <color theme="1"/>
        <rFont val="Times New Roman"/>
        <family val="1"/>
      </rPr>
      <t xml:space="preserve">
- Phòng TH-HC&amp;QT
- Lưu: QLKHCN</t>
    </r>
  </si>
  <si>
    <t>Đưa vào KH Trường</t>
  </si>
  <si>
    <t>Tham mưu văn bản 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</si>
  <si>
    <t>Văn bản</t>
  </si>
  <si>
    <t xml:space="preserve">Hồ sơ </t>
  </si>
  <si>
    <t>Theo tình hình thực tế</t>
  </si>
  <si>
    <t>Cập nhật, sửa đổi  Quy định quản lý và tổ chức hoạt động khoa học, công nghệ, đổi mới sáng tạo của HSSV, trong đó chú trọng cơ chế hỗ trợ HSSV khởi nghiệp và cơ chế khuyến khích nhà giáo tham gia hướng dẫn, hỗ trợ HSSV khởi nghiệp</t>
  </si>
  <si>
    <t>Bài viết</t>
  </si>
  <si>
    <t>Tùy tình hình thực tế</t>
  </si>
  <si>
    <t>Tiếp tục triển khai các bước để thực hiện cử 2 đoàn công tác tới thăm và làm việc tại Sở Giáo dục đào tạo và Thanh niên của 4 tỉnh Nam Lào</t>
  </si>
  <si>
    <t>Tham mưu Kế hoạch triển khai thực hiện Công văn số 2514-CV/ĐU ngày 19/8/2026 của Ban Thường vụ Đảng ủy UBND tỉnh về triển khai thực hiện Nghị quyết số 398/NQBTVQH16 và Phong trào “Bình dân học vụ số”; hoàn thành trước ngày 30/9/2026</t>
  </si>
  <si>
    <t>Tháng 10/2026</t>
  </si>
  <si>
    <t>Kế hoạch, Quyết định, Thông báo</t>
  </si>
  <si>
    <t>Tháng 10, 11, 12/2026</t>
  </si>
  <si>
    <t>Triển khai thực hiện nhiệm vụ công tác sinh viên năm học 2026-2027</t>
  </si>
  <si>
    <t>Triển khai công tác bảo vệ an ninh mạng đối với hệ thống thông tin theo Nghị định số 331/2026/NĐ-CP</t>
  </si>
  <si>
    <t>Tháng 9, 10/2026</t>
  </si>
  <si>
    <t>Danh sách, Hồ sơ minh chứng</t>
  </si>
  <si>
    <t>Báo cáo kết quả rà soát danh sách người dạy nghề</t>
  </si>
  <si>
    <t>Tổ chức rà soát, thu thập minh chứng về tiêu chuẩn người dạy nghề (theo Bộ tiêu chí nhà trường ban hành) tại các đơn vị/tổ chức/doanh nghiệp có tham gia thực hiện giảng dạy, hướng dẫn thực hành, thực tập các khoa đề xuất</t>
  </si>
  <si>
    <t>Phiếu khảo sát</t>
  </si>
  <si>
    <t>Thực hiện triển khai khảo sát, tổng hợp kết quả khảo sát lấy ý kiến sinh viên ngành Giáo dục Mầm non</t>
  </si>
  <si>
    <t>Kế hoạch đưa HSSV đi tham quan, trải nghiệm, tại doanh nghiệp năm 2026</t>
  </si>
  <si>
    <t>Tham mưu Quyết định thay thế Quyết định số 1259/QĐ-CĐKT ngày 30/6/2025 của Hiệu trưởng ban hành Quy định phối hợp và hợp tác với doanh nghiệp trong đào tạo trình độ cao đẳng, trung cấp, sơ cấp và dưới 3 tháng, để thực hiện theo quy định tại Nghị định số 308/2026/NĐ-CP ngày 05/8/2026 của Chính phủ quy định chi tiết một số điều của Luật Giáo dục nghề nghiệp về chính sách hỗ trợ của Nhà nước đối với doanh nghiệp và Quỹ đào tạo nhân lực của doanh nghiệp, và các quy định, hướng dẫn có liên quan; hoàn thành trước ngày 30/9/2026</t>
  </si>
  <si>
    <t>Tiếp tục triển khai thực hiện đề tài khoa học và công nghệ cấp cơ sở năm 2026</t>
  </si>
  <si>
    <t>Triển khai khảo sát, tổng hợp kết quả khảo sát lấy ý kiến HSSV về hoạt động của nhà trường và chất lượng các chương trình đào tạo</t>
  </si>
  <si>
    <t>Triển khai xử lý điểm nghẽn về chuyển đổi số trong hệ thống chính trị</t>
  </si>
  <si>
    <t>Tiếp nhận, biên tập các bài viết và tổ chức Hội thảo khoa học chuyên đề "Chuyển đổi số toàn diện, gắn quản trị với nâng cao chất lượng đào tạo”</t>
  </si>
  <si>
    <t>Tham mưu Quyết định ban hành tạm thời khung kiến trúc dữ liệu, khung quản trị dữ liệu và từ điển dữ liệu của nhà trường; hoàn thành trước ngày 30/10/2026</t>
  </si>
  <si>
    <t>Khó và phức tạp</t>
  </si>
  <si>
    <t>Tham mưu Quyết định ban hành tạm thời danh mục cơ sở dữ liệu dùng chung của nhà trường, trong đó quy định rõ khái niệm, nội hàm, trường dữ liệu, trách nhiệm tạo lập, cập nhật, chia sẻ, khai thác và giá trị pháp lý của dữ liệu</t>
  </si>
  <si>
    <t>Tham mưu kế hoạch triển khai thực hiện Kế hoạch số 321/KH-UBND ngày 26/8/2026 của Chủ tịch UBND tỉnh triển khai thực hiện Chiến lược dữ liệu quốc gia giai đoạn 2026 - 2030, tầm nhìn đến năm 2045 trên địa bàn tỉnh Quảng Ngãi</t>
  </si>
  <si>
    <r>
      <rPr>
        <i/>
        <sz val="14"/>
        <color theme="1"/>
        <rFont val="Times New Roman"/>
        <family val="1"/>
      </rPr>
      <t>Quảng Ngãi, ngày 15 tháng 9 năm 2026</t>
    </r>
    <r>
      <rPr>
        <sz val="14"/>
        <color theme="1"/>
        <rFont val="Times New Roman"/>
        <family val="1"/>
      </rPr>
      <t xml:space="preserve">
</t>
    </r>
    <r>
      <rPr>
        <b/>
        <sz val="14"/>
        <color theme="1"/>
        <rFont val="Times New Roman"/>
        <family val="1"/>
      </rPr>
      <t xml:space="preserve"> TRƯỞNG PHÒNG</t>
    </r>
    <r>
      <rPr>
        <sz val="14"/>
        <color theme="1"/>
        <rFont val="Times New Roman"/>
        <family val="1"/>
      </rPr>
      <t xml:space="preserve">
</t>
    </r>
    <r>
      <rPr>
        <b/>
        <sz val="14"/>
        <color theme="1"/>
        <rFont val="Times New Roman"/>
        <family val="1"/>
      </rPr>
      <t>Nguyễn Văn Nam</t>
    </r>
  </si>
  <si>
    <t>KẾ HOẠCH 
công tác tháng 10 năm 2026</t>
  </si>
  <si>
    <t>Tiếp tục tư vấn và hỗ trợ người học đăng ký để nhập hồ sơ đăng ký xét tuyển trình độ trung cấp, cao đẳng lên hệ thống phần mềm Unisoft để nhập học đợt 3 năm 2026</t>
  </si>
  <si>
    <t>Xây dựng Bộ tiêu chí đánh giá dự án khởi nghiệp sáng tạo, ưu tiên ứng dụng AI, thực tiễn và thương mại hoá</t>
  </si>
  <si>
    <t>Bộ tiêu chí</t>
  </si>
  <si>
    <t>30/9/2026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</si>
</sst>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háng &quot;m/yyyy"/>
    <numFmt numFmtId="165" formatCode="0.0"/>
  </numFmts>
  <fonts count="15" x14ac:knownFonts="1">
    <font>
      <sz val="11"/>
      <color rgb="FF000000"/>
      <name val="Calibri"/>
      <scheme val="minor"/>
    </font>
    <font>
      <b/>
      <sz val="14"/>
      <color theme="1"/>
      <name val="Times New Roman"/>
      <family val="1"/>
    </font>
    <font>
      <sz val="14"/>
      <color theme="1"/>
      <name val="Times New Roman"/>
      <family val="1"/>
    </font>
    <font>
      <sz val="11"/>
      <name val="Calibri"/>
      <family val="2"/>
    </font>
    <font>
      <sz val="14"/>
      <color theme="1"/>
      <name val="Calibri"/>
      <family val="2"/>
      <scheme val="minor"/>
    </font>
    <font>
      <sz val="14"/>
      <color rgb="FF000000"/>
      <name val="Times New Roman"/>
      <family val="1"/>
    </font>
    <font>
      <sz val="14"/>
      <color theme="1"/>
      <name val="Calibri"/>
      <family val="2"/>
    </font>
    <font>
      <i/>
      <sz val="14"/>
      <color theme="1"/>
      <name val="Times New Roman"/>
      <family val="1"/>
    </font>
    <font>
      <sz val="13"/>
      <color theme="1"/>
      <name val="Times New Roman"/>
      <family val="1"/>
    </font>
    <font>
      <sz val="13"/>
      <color theme="1"/>
      <name val="Calibri"/>
      <family val="2"/>
      <scheme val="minor"/>
    </font>
    <font>
      <b/>
      <sz val="13"/>
      <color theme="1"/>
      <name val="Times New Roman"/>
      <family val="1"/>
    </font>
    <font>
      <b/>
      <sz val="14"/>
      <color rgb="FF000000"/>
      <name val="Times New Roman"/>
      <family val="1"/>
    </font>
    <font>
      <b/>
      <sz val="11"/>
      <name val="Calibri"/>
      <family val="2"/>
    </font>
    <font>
      <sz val="14"/>
      <name val="Times New Roman"/>
      <family val="1"/>
    </font>
    <font>
      <sz val="11"/>
      <name val="Times New Roman"/>
      <family val="1"/>
    </font>
  </fonts>
  <fills count="2">
    <fill>
      <patternFill patternType="none"/>
    </fill>
    <fill>
      <patternFill patternType="gray125"/>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2">
    <xf numFmtId="0" fontId="0" fillId="0" borderId="0" xfId="0"/>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164" fontId="5"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0" fontId="6" fillId="0" borderId="0" xfId="0" applyFont="1" applyAlignment="1">
      <alignment vertical="center"/>
    </xf>
    <xf numFmtId="0" fontId="2" fillId="0" borderId="0" xfId="0" applyFont="1"/>
    <xf numFmtId="0" fontId="1" fillId="0" borderId="0" xfId="0" applyFont="1" applyAlignment="1">
      <alignment vertical="center"/>
    </xf>
    <xf numFmtId="0" fontId="11" fillId="0" borderId="1" xfId="0" quotePrefix="1"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3"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0" xfId="0" applyFont="1" applyBorder="1" applyAlignment="1">
      <alignment horizontal="justify" vertical="center"/>
    </xf>
    <xf numFmtId="0" fontId="5" fillId="0" borderId="11" xfId="0" applyFont="1" applyBorder="1" applyAlignment="1">
      <alignment horizontal="center" vertical="center" wrapText="1"/>
    </xf>
    <xf numFmtId="0" fontId="5" fillId="0" borderId="9" xfId="0" applyFont="1" applyBorder="1" applyAlignment="1">
      <alignment horizontal="left" vertical="center" wrapText="1"/>
    </xf>
    <xf numFmtId="0" fontId="5" fillId="0" borderId="9" xfId="0" applyFont="1" applyBorder="1" applyAlignment="1">
      <alignment vertical="center" wrapText="1"/>
    </xf>
    <xf numFmtId="2" fontId="5" fillId="0" borderId="2" xfId="0" applyNumberFormat="1"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left" vertical="center" wrapText="1"/>
    </xf>
    <xf numFmtId="0" fontId="2" fillId="0" borderId="14" xfId="0" applyFont="1" applyBorder="1" applyAlignment="1">
      <alignment horizontal="center" vertical="center" wrapText="1"/>
    </xf>
    <xf numFmtId="0" fontId="5" fillId="0" borderId="6" xfId="0" applyFont="1" applyBorder="1" applyAlignment="1">
      <alignment horizontal="center" vertical="center" wrapText="1"/>
    </xf>
    <xf numFmtId="0" fontId="2" fillId="0" borderId="6" xfId="0" applyFont="1" applyBorder="1" applyAlignment="1">
      <alignment horizontal="center" vertical="center" wrapText="1"/>
    </xf>
    <xf numFmtId="164" fontId="5" fillId="0" borderId="6" xfId="0" applyNumberFormat="1" applyFont="1" applyBorder="1" applyAlignment="1">
      <alignment horizontal="center" vertical="center" wrapText="1"/>
    </xf>
    <xf numFmtId="0" fontId="5" fillId="0" borderId="8" xfId="0" applyFont="1" applyBorder="1" applyAlignment="1">
      <alignment vertical="center" wrapText="1"/>
    </xf>
    <xf numFmtId="0" fontId="5" fillId="0" borderId="0" xfId="0" applyFont="1" applyAlignment="1">
      <alignment vertical="center" wrapText="1"/>
    </xf>
    <xf numFmtId="0" fontId="5" fillId="0" borderId="2" xfId="0" applyFont="1" applyBorder="1" applyAlignment="1">
      <alignment horizontal="center" vertical="center"/>
    </xf>
    <xf numFmtId="0" fontId="5" fillId="0" borderId="9" xfId="0" applyFont="1" applyBorder="1" applyAlignment="1">
      <alignment horizontal="center" vertical="center" wrapText="1"/>
    </xf>
    <xf numFmtId="164" fontId="5" fillId="0" borderId="9" xfId="0" applyNumberFormat="1" applyFont="1" applyBorder="1" applyAlignment="1">
      <alignment horizontal="center" vertical="center" wrapText="1"/>
    </xf>
    <xf numFmtId="0" fontId="13" fillId="0" borderId="9" xfId="0" applyFont="1" applyBorder="1" applyAlignment="1">
      <alignment horizontal="center" vertical="center"/>
    </xf>
    <xf numFmtId="0" fontId="14" fillId="0" borderId="9" xfId="0" applyFont="1" applyBorder="1" applyAlignment="1">
      <alignment horizontal="center" vertical="center" wrapText="1"/>
    </xf>
    <xf numFmtId="0" fontId="13" fillId="0" borderId="9" xfId="0" applyFont="1" applyBorder="1" applyAlignment="1">
      <alignment horizontal="center" vertical="center" wrapText="1"/>
    </xf>
    <xf numFmtId="165" fontId="5" fillId="0" borderId="2" xfId="0" applyNumberFormat="1" applyFont="1" applyBorder="1" applyAlignment="1">
      <alignment horizontal="center" vertical="center" wrapText="1"/>
    </xf>
    <xf numFmtId="0" fontId="11" fillId="0" borderId="2" xfId="0" applyFont="1" applyBorder="1" applyAlignment="1">
      <alignment horizontal="left" vertical="center"/>
    </xf>
    <xf numFmtId="0" fontId="12" fillId="0" borderId="4" xfId="0" applyFont="1" applyBorder="1" applyAlignment="1">
      <alignment vertical="center"/>
    </xf>
    <xf numFmtId="0" fontId="12" fillId="0" borderId="3" xfId="0" applyFont="1" applyBorder="1" applyAlignment="1">
      <alignment vertical="center"/>
    </xf>
    <xf numFmtId="0" fontId="2" fillId="0" borderId="7" xfId="0" applyFont="1" applyBorder="1" applyAlignment="1">
      <alignment horizontal="left" vertical="center" wrapText="1"/>
    </xf>
    <xf numFmtId="0" fontId="3" fillId="0" borderId="7" xfId="0" applyFont="1" applyBorder="1"/>
    <xf numFmtId="0" fontId="2"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center" vertical="center" wrapText="1"/>
    </xf>
    <xf numFmtId="0" fontId="0" fillId="0" borderId="0" xfId="0"/>
    <xf numFmtId="0" fontId="11" fillId="0" borderId="2" xfId="0" applyFont="1" applyBorder="1" applyAlignment="1">
      <alignment vertical="center" wrapText="1"/>
    </xf>
    <xf numFmtId="0" fontId="11" fillId="0" borderId="12" xfId="0" applyFont="1" applyBorder="1" applyAlignment="1">
      <alignment horizontal="left" vertical="center"/>
    </xf>
    <xf numFmtId="0" fontId="12" fillId="0" borderId="7" xfId="0" applyFont="1" applyBorder="1" applyAlignment="1">
      <alignment vertical="center"/>
    </xf>
    <xf numFmtId="0" fontId="12" fillId="0" borderId="14" xfId="0" applyFont="1" applyBorder="1" applyAlignment="1">
      <alignment vertical="center"/>
    </xf>
    <xf numFmtId="0" fontId="11" fillId="0" borderId="15" xfId="0" applyFont="1" applyBorder="1" applyAlignment="1">
      <alignment horizontal="left" vertical="center"/>
    </xf>
    <xf numFmtId="0" fontId="12" fillId="0" borderId="16" xfId="0" applyFont="1" applyBorder="1" applyAlignment="1">
      <alignment vertical="center"/>
    </xf>
    <xf numFmtId="0" fontId="12" fillId="0" borderId="17" xfId="0" applyFont="1" applyBorder="1" applyAlignment="1">
      <alignment vertical="center"/>
    </xf>
    <xf numFmtId="0" fontId="11" fillId="0" borderId="2" xfId="0" applyFont="1" applyBorder="1" applyAlignment="1">
      <alignment horizontal="left" vertical="center" wrapText="1"/>
    </xf>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wrapText="1"/>
    </xf>
    <xf numFmtId="0" fontId="1"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2" fillId="0" borderId="5" xfId="0" applyFont="1" applyBorder="1"/>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1711150</xdr:colOff>
      <xdr:row>3</xdr:row>
      <xdr:rowOff>35718</xdr:rowOff>
    </xdr:from>
    <xdr:to>
      <xdr:col>1</xdr:col>
      <xdr:colOff>2509009</xdr:colOff>
      <xdr:row>3</xdr:row>
      <xdr:rowOff>35718</xdr:rowOff>
    </xdr:to>
    <xdr:cxnSp macro="">
      <xdr:nvCxnSpPr>
        <xdr:cNvPr id="4" name="Straight Connector 3">
          <a:extLst>
            <a:ext uri="{FF2B5EF4-FFF2-40B4-BE49-F238E27FC236}">
              <a16:creationId xmlns:a16="http://schemas.microsoft.com/office/drawing/2014/main" id="{77935580-2359-42EA-90B2-BAB8A1BB004B}"/>
            </a:ext>
          </a:extLst>
        </xdr:cNvPr>
        <xdr:cNvCxnSpPr/>
      </xdr:nvCxnSpPr>
      <xdr:spPr>
        <a:xfrm>
          <a:off x="2393775" y="607218"/>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1516062</xdr:colOff>
      <xdr:row>3</xdr:row>
      <xdr:rowOff>11831</xdr:rowOff>
    </xdr:from>
    <xdr:to>
      <xdr:col>8</xdr:col>
      <xdr:colOff>595312</xdr:colOff>
      <xdr:row>3</xdr:row>
      <xdr:rowOff>11831</xdr:rowOff>
    </xdr:to>
    <xdr:cxnSp macro="">
      <xdr:nvCxnSpPr>
        <xdr:cNvPr id="5" name="Straight Connector 4">
          <a:extLst>
            <a:ext uri="{FF2B5EF4-FFF2-40B4-BE49-F238E27FC236}">
              <a16:creationId xmlns:a16="http://schemas.microsoft.com/office/drawing/2014/main" id="{59593733-409F-4E52-BAB3-31FD81EDA0C6}"/>
            </a:ext>
          </a:extLst>
        </xdr:cNvPr>
        <xdr:cNvCxnSpPr/>
      </xdr:nvCxnSpPr>
      <xdr:spPr>
        <a:xfrm>
          <a:off x="11938000" y="583331"/>
          <a:ext cx="21272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967339</xdr:colOff>
      <xdr:row>3</xdr:row>
      <xdr:rowOff>533376</xdr:rowOff>
    </xdr:from>
    <xdr:to>
      <xdr:col>5</xdr:col>
      <xdr:colOff>0</xdr:colOff>
      <xdr:row>3</xdr:row>
      <xdr:rowOff>533376</xdr:rowOff>
    </xdr:to>
    <xdr:cxnSp macro="">
      <xdr:nvCxnSpPr>
        <xdr:cNvPr id="6" name="Straight Connector 5">
          <a:extLst>
            <a:ext uri="{FF2B5EF4-FFF2-40B4-BE49-F238E27FC236}">
              <a16:creationId xmlns:a16="http://schemas.microsoft.com/office/drawing/2014/main" id="{521321A0-15F6-495E-9CC0-88914CC6D0DB}"/>
            </a:ext>
          </a:extLst>
        </xdr:cNvPr>
        <xdr:cNvCxnSpPr/>
      </xdr:nvCxnSpPr>
      <xdr:spPr>
        <a:xfrm>
          <a:off x="5072614" y="1676376"/>
          <a:ext cx="91387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41"/>
  <sheetViews>
    <sheetView tabSelected="1" topLeftCell="A34" zoomScale="60" zoomScaleNormal="60" workbookViewId="0">
      <selection activeCell="B11" sqref="B11"/>
    </sheetView>
  </sheetViews>
  <sheetFormatPr defaultColWidth="14.453125" defaultRowHeight="15" customHeight="1" x14ac:dyDescent="0.35"/>
  <cols>
    <col min="1" max="1" width="9.81640625" customWidth="1"/>
    <col min="2" max="2" width="69.7265625" customWidth="1"/>
    <col min="3" max="3" width="18.1796875" customWidth="1"/>
    <col min="4" max="4" width="21.54296875" customWidth="1"/>
    <col min="5" max="5" width="18.453125" customWidth="1"/>
    <col min="6" max="6" width="11.453125" customWidth="1"/>
    <col min="7" max="7" width="24.26953125" customWidth="1"/>
    <col min="8" max="8" width="19.26953125" customWidth="1"/>
    <col min="9" max="9" width="18.453125" customWidth="1"/>
    <col min="10" max="10" width="15.81640625" customWidth="1"/>
    <col min="11" max="11" width="22.54296875" customWidth="1"/>
  </cols>
  <sheetData>
    <row r="2" spans="1:11" ht="15" customHeight="1" x14ac:dyDescent="0.4">
      <c r="A2" s="52" t="s">
        <v>42</v>
      </c>
      <c r="B2" s="53"/>
      <c r="C2" s="7"/>
      <c r="D2" s="7"/>
      <c r="E2" s="54" t="s">
        <v>43</v>
      </c>
      <c r="F2" s="54"/>
      <c r="G2" s="54"/>
      <c r="H2" s="54"/>
      <c r="I2" s="54"/>
      <c r="J2" s="54"/>
      <c r="K2" s="54"/>
    </row>
    <row r="3" spans="1:11" ht="15" customHeight="1" x14ac:dyDescent="0.35">
      <c r="A3" s="55" t="s">
        <v>45</v>
      </c>
      <c r="B3" s="55"/>
      <c r="C3" s="8"/>
      <c r="D3" s="8"/>
      <c r="E3" s="56" t="s">
        <v>44</v>
      </c>
      <c r="F3" s="56"/>
      <c r="G3" s="56"/>
      <c r="H3" s="56"/>
      <c r="I3" s="56"/>
      <c r="J3" s="56"/>
      <c r="K3" s="56"/>
    </row>
    <row r="4" spans="1:11" ht="42" customHeight="1" x14ac:dyDescent="0.35">
      <c r="A4" s="56" t="s">
        <v>93</v>
      </c>
      <c r="B4" s="61"/>
      <c r="C4" s="61"/>
      <c r="D4" s="61"/>
      <c r="E4" s="61"/>
      <c r="F4" s="61"/>
      <c r="G4" s="61"/>
      <c r="H4" s="61"/>
      <c r="I4" s="61"/>
      <c r="J4" s="61"/>
      <c r="K4" s="61"/>
    </row>
    <row r="5" spans="1:11" ht="14.5" x14ac:dyDescent="0.35">
      <c r="A5" s="57" t="s">
        <v>24</v>
      </c>
      <c r="B5" s="57" t="s">
        <v>25</v>
      </c>
      <c r="C5" s="57" t="s">
        <v>26</v>
      </c>
      <c r="D5" s="57" t="s">
        <v>46</v>
      </c>
      <c r="E5" s="57" t="s">
        <v>27</v>
      </c>
      <c r="F5" s="57" t="s">
        <v>0</v>
      </c>
      <c r="G5" s="57" t="s">
        <v>28</v>
      </c>
      <c r="H5" s="59" t="s">
        <v>29</v>
      </c>
      <c r="I5" s="59" t="s">
        <v>1</v>
      </c>
      <c r="J5" s="59" t="s">
        <v>30</v>
      </c>
      <c r="K5" s="59" t="s">
        <v>31</v>
      </c>
    </row>
    <row r="6" spans="1:11" ht="38.25" customHeight="1" x14ac:dyDescent="0.35">
      <c r="A6" s="60"/>
      <c r="B6" s="60"/>
      <c r="C6" s="60"/>
      <c r="D6" s="58"/>
      <c r="E6" s="60"/>
      <c r="F6" s="60"/>
      <c r="G6" s="60"/>
      <c r="H6" s="60"/>
      <c r="I6" s="60"/>
      <c r="J6" s="60"/>
      <c r="K6" s="60"/>
    </row>
    <row r="7" spans="1:11" ht="28.5" customHeight="1" x14ac:dyDescent="0.35">
      <c r="A7" s="9" t="s">
        <v>2</v>
      </c>
      <c r="B7" s="9" t="s">
        <v>3</v>
      </c>
      <c r="C7" s="9" t="s">
        <v>4</v>
      </c>
      <c r="D7" s="9" t="s">
        <v>5</v>
      </c>
      <c r="E7" s="9" t="s">
        <v>6</v>
      </c>
      <c r="F7" s="9" t="s">
        <v>7</v>
      </c>
      <c r="G7" s="9" t="s">
        <v>8</v>
      </c>
      <c r="H7" s="9" t="s">
        <v>9</v>
      </c>
      <c r="I7" s="9" t="s">
        <v>10</v>
      </c>
      <c r="J7" s="9" t="s">
        <v>11</v>
      </c>
      <c r="K7" s="9" t="s">
        <v>12</v>
      </c>
    </row>
    <row r="8" spans="1:11" ht="38.15" customHeight="1" x14ac:dyDescent="0.35">
      <c r="A8" s="10" t="s">
        <v>13</v>
      </c>
      <c r="B8" s="44" t="s">
        <v>32</v>
      </c>
      <c r="C8" s="36"/>
      <c r="D8" s="36"/>
      <c r="E8" s="36"/>
      <c r="F8" s="36"/>
      <c r="G8" s="36"/>
      <c r="H8" s="36"/>
      <c r="I8" s="36"/>
      <c r="J8" s="36"/>
      <c r="K8" s="37"/>
    </row>
    <row r="9" spans="1:11" ht="34.5" customHeight="1" x14ac:dyDescent="0.35">
      <c r="A9" s="11">
        <v>1</v>
      </c>
      <c r="B9" s="35" t="s">
        <v>14</v>
      </c>
      <c r="C9" s="36"/>
      <c r="D9" s="36"/>
      <c r="E9" s="36"/>
      <c r="F9" s="36"/>
      <c r="G9" s="36"/>
      <c r="H9" s="36"/>
      <c r="I9" s="36"/>
      <c r="J9" s="36"/>
      <c r="K9" s="37"/>
    </row>
    <row r="10" spans="1:11" ht="135.65" customHeight="1" x14ac:dyDescent="0.35">
      <c r="A10" s="2">
        <v>1.1000000000000001</v>
      </c>
      <c r="B10" s="26" t="s">
        <v>62</v>
      </c>
      <c r="C10" s="2" t="s">
        <v>35</v>
      </c>
      <c r="D10" s="2" t="s">
        <v>51</v>
      </c>
      <c r="E10" s="2" t="s">
        <v>63</v>
      </c>
      <c r="F10" s="2">
        <v>1</v>
      </c>
      <c r="G10" s="2" t="s">
        <v>16</v>
      </c>
      <c r="H10" s="4" t="s">
        <v>71</v>
      </c>
      <c r="I10" s="2">
        <v>150</v>
      </c>
      <c r="J10" s="2">
        <v>1.5</v>
      </c>
      <c r="K10" s="2" t="s">
        <v>61</v>
      </c>
    </row>
    <row r="11" spans="1:11" ht="90" customHeight="1" x14ac:dyDescent="0.35">
      <c r="A11" s="2">
        <v>1.2</v>
      </c>
      <c r="B11" s="27" t="s">
        <v>70</v>
      </c>
      <c r="C11" s="2" t="s">
        <v>35</v>
      </c>
      <c r="D11" s="2" t="s">
        <v>51</v>
      </c>
      <c r="E11" s="2" t="s">
        <v>36</v>
      </c>
      <c r="F11" s="2">
        <v>1</v>
      </c>
      <c r="G11" s="2" t="s">
        <v>15</v>
      </c>
      <c r="H11" s="4" t="s">
        <v>71</v>
      </c>
      <c r="I11" s="2">
        <v>120</v>
      </c>
      <c r="J11" s="2">
        <v>1.2</v>
      </c>
      <c r="K11" s="2" t="s">
        <v>61</v>
      </c>
    </row>
    <row r="12" spans="1:11" ht="186" customHeight="1" x14ac:dyDescent="0.35">
      <c r="A12" s="13">
        <v>1.3</v>
      </c>
      <c r="B12" s="15" t="s">
        <v>83</v>
      </c>
      <c r="C12" s="16" t="s">
        <v>35</v>
      </c>
      <c r="D12" s="2" t="s">
        <v>51</v>
      </c>
      <c r="E12" s="2" t="s">
        <v>38</v>
      </c>
      <c r="F12" s="2">
        <v>1</v>
      </c>
      <c r="G12" s="2" t="s">
        <v>15</v>
      </c>
      <c r="H12" s="4" t="s">
        <v>71</v>
      </c>
      <c r="I12" s="2">
        <v>120</v>
      </c>
      <c r="J12" s="2">
        <v>1.2</v>
      </c>
      <c r="K12" s="2" t="s">
        <v>61</v>
      </c>
    </row>
    <row r="13" spans="1:11" ht="76" customHeight="1" x14ac:dyDescent="0.35">
      <c r="A13" s="13">
        <v>1.4</v>
      </c>
      <c r="B13" s="21" t="s">
        <v>88</v>
      </c>
      <c r="C13" s="16" t="s">
        <v>35</v>
      </c>
      <c r="D13" s="2" t="s">
        <v>51</v>
      </c>
      <c r="E13" s="2" t="s">
        <v>38</v>
      </c>
      <c r="F13" s="2">
        <v>1</v>
      </c>
      <c r="G13" s="2" t="s">
        <v>89</v>
      </c>
      <c r="H13" s="4" t="s">
        <v>71</v>
      </c>
      <c r="I13" s="2">
        <v>200</v>
      </c>
      <c r="J13" s="2">
        <v>2</v>
      </c>
      <c r="K13" s="2" t="s">
        <v>61</v>
      </c>
    </row>
    <row r="14" spans="1:11" ht="87.65" customHeight="1" x14ac:dyDescent="0.35">
      <c r="A14" s="13">
        <v>1.5</v>
      </c>
      <c r="B14" s="21" t="s">
        <v>90</v>
      </c>
      <c r="C14" s="16" t="s">
        <v>35</v>
      </c>
      <c r="D14" s="2" t="s">
        <v>51</v>
      </c>
      <c r="E14" s="2" t="s">
        <v>38</v>
      </c>
      <c r="F14" s="2">
        <v>1</v>
      </c>
      <c r="G14" s="2" t="s">
        <v>89</v>
      </c>
      <c r="H14" s="4" t="s">
        <v>71</v>
      </c>
      <c r="I14" s="2">
        <v>200</v>
      </c>
      <c r="J14" s="2">
        <v>2</v>
      </c>
      <c r="K14" s="2" t="s">
        <v>61</v>
      </c>
    </row>
    <row r="15" spans="1:11" ht="94.5" customHeight="1" x14ac:dyDescent="0.35">
      <c r="A15" s="13">
        <v>1.6</v>
      </c>
      <c r="B15" s="15" t="s">
        <v>91</v>
      </c>
      <c r="C15" s="16" t="s">
        <v>35</v>
      </c>
      <c r="D15" s="2" t="s">
        <v>51</v>
      </c>
      <c r="E15" s="2" t="s">
        <v>36</v>
      </c>
      <c r="F15" s="2">
        <v>1</v>
      </c>
      <c r="G15" s="2" t="s">
        <v>15</v>
      </c>
      <c r="H15" s="4" t="s">
        <v>71</v>
      </c>
      <c r="I15" s="2">
        <v>120</v>
      </c>
      <c r="J15" s="2">
        <v>1.2</v>
      </c>
      <c r="K15" s="2" t="s">
        <v>61</v>
      </c>
    </row>
    <row r="16" spans="1:11" ht="57.65" customHeight="1" x14ac:dyDescent="0.35">
      <c r="A16" s="13">
        <v>1.7</v>
      </c>
      <c r="B16" s="17" t="s">
        <v>84</v>
      </c>
      <c r="C16" s="14" t="s">
        <v>35</v>
      </c>
      <c r="D16" s="2" t="s">
        <v>51</v>
      </c>
      <c r="E16" s="12" t="s">
        <v>72</v>
      </c>
      <c r="F16" s="2" t="s">
        <v>65</v>
      </c>
      <c r="G16" s="2" t="s">
        <v>15</v>
      </c>
      <c r="H16" s="4" t="s">
        <v>73</v>
      </c>
      <c r="I16" s="2">
        <v>120</v>
      </c>
      <c r="J16" s="2">
        <v>1.2</v>
      </c>
      <c r="K16" s="2" t="s">
        <v>37</v>
      </c>
    </row>
    <row r="17" spans="1:11" ht="59.25" customHeight="1" x14ac:dyDescent="0.35">
      <c r="A17" s="13">
        <v>1.8</v>
      </c>
      <c r="B17" s="18" t="s">
        <v>74</v>
      </c>
      <c r="C17" s="14" t="s">
        <v>33</v>
      </c>
      <c r="D17" s="2" t="s">
        <v>51</v>
      </c>
      <c r="E17" s="2" t="s">
        <v>63</v>
      </c>
      <c r="F17" s="2" t="s">
        <v>65</v>
      </c>
      <c r="G17" s="2" t="s">
        <v>15</v>
      </c>
      <c r="H17" s="4" t="s">
        <v>73</v>
      </c>
      <c r="I17" s="2">
        <v>120</v>
      </c>
      <c r="J17" s="2">
        <v>1.2</v>
      </c>
      <c r="K17" s="2" t="s">
        <v>37</v>
      </c>
    </row>
    <row r="18" spans="1:11" ht="59.25" customHeight="1" x14ac:dyDescent="0.35">
      <c r="A18" s="34">
        <v>1.9</v>
      </c>
      <c r="B18" s="18" t="s">
        <v>75</v>
      </c>
      <c r="C18" s="14" t="s">
        <v>35</v>
      </c>
      <c r="D18" s="2" t="s">
        <v>51</v>
      </c>
      <c r="E18" s="2" t="s">
        <v>63</v>
      </c>
      <c r="F18" s="2">
        <v>1</v>
      </c>
      <c r="G18" s="2" t="s">
        <v>17</v>
      </c>
      <c r="H18" s="4" t="s">
        <v>76</v>
      </c>
      <c r="I18" s="2">
        <v>100</v>
      </c>
      <c r="J18" s="2">
        <v>1</v>
      </c>
      <c r="K18" s="2" t="s">
        <v>37</v>
      </c>
    </row>
    <row r="19" spans="1:11" ht="90.65" customHeight="1" x14ac:dyDescent="0.35">
      <c r="A19" s="19">
        <v>1.1000000000000001</v>
      </c>
      <c r="B19" s="18" t="s">
        <v>79</v>
      </c>
      <c r="C19" s="14" t="s">
        <v>35</v>
      </c>
      <c r="D19" s="2" t="s">
        <v>51</v>
      </c>
      <c r="E19" s="2" t="s">
        <v>77</v>
      </c>
      <c r="F19" s="2">
        <v>2</v>
      </c>
      <c r="G19" s="2" t="s">
        <v>16</v>
      </c>
      <c r="H19" s="4" t="s">
        <v>76</v>
      </c>
      <c r="I19" s="2">
        <v>150</v>
      </c>
      <c r="J19" s="2">
        <v>1.5</v>
      </c>
      <c r="K19" s="2" t="s">
        <v>37</v>
      </c>
    </row>
    <row r="20" spans="1:11" ht="43" customHeight="1" x14ac:dyDescent="0.35">
      <c r="A20" s="13">
        <v>1.1100000000000001</v>
      </c>
      <c r="B20" s="18" t="s">
        <v>78</v>
      </c>
      <c r="C20" s="14" t="s">
        <v>35</v>
      </c>
      <c r="D20" s="2" t="s">
        <v>51</v>
      </c>
      <c r="E20" s="2" t="s">
        <v>34</v>
      </c>
      <c r="F20" s="2">
        <v>1</v>
      </c>
      <c r="G20" s="2" t="s">
        <v>15</v>
      </c>
      <c r="H20" s="4" t="s">
        <v>76</v>
      </c>
      <c r="I20" s="2">
        <v>120</v>
      </c>
      <c r="J20" s="2">
        <v>1.2</v>
      </c>
      <c r="K20" s="2" t="s">
        <v>37</v>
      </c>
    </row>
    <row r="21" spans="1:11" ht="59.25" customHeight="1" x14ac:dyDescent="0.35">
      <c r="A21" s="13">
        <v>1.1200000000000001</v>
      </c>
      <c r="B21" s="18" t="s">
        <v>85</v>
      </c>
      <c r="C21" s="14" t="s">
        <v>35</v>
      </c>
      <c r="D21" s="2" t="s">
        <v>51</v>
      </c>
      <c r="E21" s="2" t="s">
        <v>80</v>
      </c>
      <c r="F21" s="2">
        <v>1</v>
      </c>
      <c r="G21" s="2" t="s">
        <v>15</v>
      </c>
      <c r="H21" s="4" t="s">
        <v>76</v>
      </c>
      <c r="I21" s="2">
        <v>120</v>
      </c>
      <c r="J21" s="2">
        <v>1.2</v>
      </c>
      <c r="K21" s="2" t="s">
        <v>37</v>
      </c>
    </row>
    <row r="22" spans="1:11" ht="59.25" customHeight="1" x14ac:dyDescent="0.35">
      <c r="A22" s="20">
        <v>1.1299999999999999</v>
      </c>
      <c r="B22" s="18" t="s">
        <v>81</v>
      </c>
      <c r="C22" s="14" t="s">
        <v>35</v>
      </c>
      <c r="D22" s="2" t="s">
        <v>51</v>
      </c>
      <c r="E22" s="2" t="s">
        <v>80</v>
      </c>
      <c r="F22" s="2">
        <v>1</v>
      </c>
      <c r="G22" s="2" t="s">
        <v>15</v>
      </c>
      <c r="H22" s="4" t="s">
        <v>76</v>
      </c>
      <c r="I22" s="2">
        <v>120</v>
      </c>
      <c r="J22" s="2">
        <v>1.2</v>
      </c>
      <c r="K22" s="2" t="s">
        <v>37</v>
      </c>
    </row>
    <row r="23" spans="1:11" ht="59.25" customHeight="1" x14ac:dyDescent="0.35">
      <c r="A23" s="2">
        <v>1.1399999999999999</v>
      </c>
      <c r="B23" s="18" t="s">
        <v>82</v>
      </c>
      <c r="C23" s="14" t="s">
        <v>33</v>
      </c>
      <c r="D23" s="2" t="s">
        <v>51</v>
      </c>
      <c r="E23" s="2" t="s">
        <v>36</v>
      </c>
      <c r="F23" s="2">
        <v>1</v>
      </c>
      <c r="G23" s="2" t="s">
        <v>15</v>
      </c>
      <c r="H23" s="4" t="s">
        <v>76</v>
      </c>
      <c r="I23" s="2">
        <v>120</v>
      </c>
      <c r="J23" s="2">
        <v>1.2</v>
      </c>
      <c r="K23" s="2" t="s">
        <v>37</v>
      </c>
    </row>
    <row r="24" spans="1:11" ht="77.150000000000006" customHeight="1" x14ac:dyDescent="0.35">
      <c r="A24" s="2">
        <v>1.1499999999999999</v>
      </c>
      <c r="B24" s="21" t="s">
        <v>94</v>
      </c>
      <c r="C24" s="22" t="s">
        <v>35</v>
      </c>
      <c r="D24" s="23" t="s">
        <v>51</v>
      </c>
      <c r="E24" s="24" t="s">
        <v>64</v>
      </c>
      <c r="F24" s="24" t="s">
        <v>65</v>
      </c>
      <c r="G24" s="24" t="s">
        <v>15</v>
      </c>
      <c r="H24" s="25" t="s">
        <v>76</v>
      </c>
      <c r="I24" s="23">
        <v>120</v>
      </c>
      <c r="J24" s="23">
        <v>1.2</v>
      </c>
      <c r="K24" s="24" t="s">
        <v>37</v>
      </c>
    </row>
    <row r="25" spans="1:11" ht="42.75" customHeight="1" x14ac:dyDescent="0.35">
      <c r="A25" s="11">
        <v>2</v>
      </c>
      <c r="B25" s="45" t="s">
        <v>19</v>
      </c>
      <c r="C25" s="46"/>
      <c r="D25" s="46"/>
      <c r="E25" s="46"/>
      <c r="F25" s="46"/>
      <c r="G25" s="46"/>
      <c r="H25" s="46"/>
      <c r="I25" s="46"/>
      <c r="J25" s="46"/>
      <c r="K25" s="47"/>
    </row>
    <row r="26" spans="1:11" ht="65.25" customHeight="1" x14ac:dyDescent="0.35">
      <c r="A26" s="28">
        <v>2.1</v>
      </c>
      <c r="B26" s="17" t="s">
        <v>95</v>
      </c>
      <c r="C26" s="31" t="s">
        <v>35</v>
      </c>
      <c r="D26" s="32" t="s">
        <v>51</v>
      </c>
      <c r="E26" s="31" t="s">
        <v>96</v>
      </c>
      <c r="F26" s="31">
        <v>1</v>
      </c>
      <c r="G26" s="31" t="s">
        <v>16</v>
      </c>
      <c r="H26" s="31" t="s">
        <v>97</v>
      </c>
      <c r="I26" s="31">
        <v>150</v>
      </c>
      <c r="J26" s="31">
        <v>1.5</v>
      </c>
      <c r="K26" s="33" t="s">
        <v>61</v>
      </c>
    </row>
    <row r="27" spans="1:11" ht="92.15" customHeight="1" x14ac:dyDescent="0.35">
      <c r="A27" s="28">
        <v>2.2000000000000002</v>
      </c>
      <c r="B27" s="18" t="s">
        <v>66</v>
      </c>
      <c r="C27" s="29" t="s">
        <v>35</v>
      </c>
      <c r="D27" s="29" t="s">
        <v>51</v>
      </c>
      <c r="E27" s="29" t="s">
        <v>38</v>
      </c>
      <c r="F27" s="29">
        <v>1</v>
      </c>
      <c r="G27" s="29" t="s">
        <v>16</v>
      </c>
      <c r="H27" s="30" t="s">
        <v>71</v>
      </c>
      <c r="I27" s="29">
        <v>150</v>
      </c>
      <c r="J27" s="29">
        <v>1.5</v>
      </c>
      <c r="K27" s="29" t="s">
        <v>37</v>
      </c>
    </row>
    <row r="28" spans="1:11" ht="43.5" customHeight="1" x14ac:dyDescent="0.35">
      <c r="A28" s="11">
        <v>3</v>
      </c>
      <c r="B28" s="48" t="s">
        <v>20</v>
      </c>
      <c r="C28" s="49"/>
      <c r="D28" s="49"/>
      <c r="E28" s="49"/>
      <c r="F28" s="49"/>
      <c r="G28" s="49"/>
      <c r="H28" s="49"/>
      <c r="I28" s="49"/>
      <c r="J28" s="49"/>
      <c r="K28" s="50"/>
    </row>
    <row r="29" spans="1:11" ht="74.150000000000006" customHeight="1" x14ac:dyDescent="0.35">
      <c r="A29" s="2">
        <v>3.1</v>
      </c>
      <c r="B29" s="27" t="s">
        <v>87</v>
      </c>
      <c r="C29" s="1" t="s">
        <v>35</v>
      </c>
      <c r="D29" s="2" t="s">
        <v>51</v>
      </c>
      <c r="E29" s="1" t="s">
        <v>67</v>
      </c>
      <c r="F29" s="1" t="s">
        <v>68</v>
      </c>
      <c r="G29" s="1" t="s">
        <v>15</v>
      </c>
      <c r="H29" s="5" t="s">
        <v>71</v>
      </c>
      <c r="I29" s="1">
        <v>120</v>
      </c>
      <c r="J29" s="1">
        <v>1.2</v>
      </c>
      <c r="K29" s="1" t="s">
        <v>37</v>
      </c>
    </row>
    <row r="30" spans="1:11" ht="78" customHeight="1" x14ac:dyDescent="0.35">
      <c r="A30" s="2">
        <v>3.2</v>
      </c>
      <c r="B30" s="3" t="s">
        <v>86</v>
      </c>
      <c r="C30" s="12" t="s">
        <v>35</v>
      </c>
      <c r="D30" s="2" t="s">
        <v>51</v>
      </c>
      <c r="E30" s="12" t="s">
        <v>63</v>
      </c>
      <c r="F30" s="12" t="s">
        <v>68</v>
      </c>
      <c r="G30" s="12" t="s">
        <v>15</v>
      </c>
      <c r="H30" s="12" t="s">
        <v>71</v>
      </c>
      <c r="I30" s="12">
        <v>120</v>
      </c>
      <c r="J30" s="12">
        <v>1.2</v>
      </c>
      <c r="K30" s="12" t="s">
        <v>37</v>
      </c>
    </row>
    <row r="31" spans="1:11" ht="37.5" customHeight="1" x14ac:dyDescent="0.35">
      <c r="A31" s="11">
        <v>4</v>
      </c>
      <c r="B31" s="51" t="s">
        <v>21</v>
      </c>
      <c r="C31" s="36"/>
      <c r="D31" s="36"/>
      <c r="E31" s="36"/>
      <c r="F31" s="36"/>
      <c r="G31" s="36"/>
      <c r="H31" s="36"/>
      <c r="I31" s="36"/>
      <c r="J31" s="36"/>
      <c r="K31" s="37"/>
    </row>
    <row r="32" spans="1:11" ht="132" customHeight="1" x14ac:dyDescent="0.35">
      <c r="A32" s="2">
        <v>4.0999999999999996</v>
      </c>
      <c r="B32" s="3" t="s">
        <v>47</v>
      </c>
      <c r="C32" s="12" t="s">
        <v>35</v>
      </c>
      <c r="D32" s="2" t="s">
        <v>51</v>
      </c>
      <c r="E32" s="12" t="s">
        <v>48</v>
      </c>
      <c r="F32" s="12">
        <v>1</v>
      </c>
      <c r="G32" s="12" t="s">
        <v>17</v>
      </c>
      <c r="H32" s="12" t="s">
        <v>71</v>
      </c>
      <c r="I32" s="12">
        <f t="shared" ref="I32" si="0">IF(G32="Khó và phức tạp",200,IF(G32="Cao",150,IF(G32="Trungbình",120,100)))</f>
        <v>100</v>
      </c>
      <c r="J32" s="12">
        <f t="shared" ref="J32" si="1">I32*0.01</f>
        <v>1</v>
      </c>
      <c r="K32" s="12" t="s">
        <v>37</v>
      </c>
    </row>
    <row r="33" spans="1:11" ht="36.75" customHeight="1" x14ac:dyDescent="0.35">
      <c r="A33" s="11">
        <v>5</v>
      </c>
      <c r="B33" s="35" t="s">
        <v>22</v>
      </c>
      <c r="C33" s="36"/>
      <c r="D33" s="36"/>
      <c r="E33" s="36"/>
      <c r="F33" s="36"/>
      <c r="G33" s="36"/>
      <c r="H33" s="36"/>
      <c r="I33" s="36"/>
      <c r="J33" s="36"/>
      <c r="K33" s="37"/>
    </row>
    <row r="34" spans="1:11" ht="106.5" customHeight="1" x14ac:dyDescent="0.35">
      <c r="A34" s="2">
        <v>5.0999999999999996</v>
      </c>
      <c r="B34" s="3" t="s">
        <v>49</v>
      </c>
      <c r="C34" s="12" t="s">
        <v>39</v>
      </c>
      <c r="D34" s="2" t="s">
        <v>51</v>
      </c>
      <c r="E34" s="12" t="s">
        <v>50</v>
      </c>
      <c r="F34" s="12">
        <v>1</v>
      </c>
      <c r="G34" s="12" t="s">
        <v>17</v>
      </c>
      <c r="H34" s="12" t="s">
        <v>71</v>
      </c>
      <c r="I34" s="12">
        <f t="shared" ref="I34" si="2">IF(G34="Khó và phức tạp",200,IF(G34="Cao",150,IF(G34="Trungbình",120,100)))</f>
        <v>100</v>
      </c>
      <c r="J34" s="12">
        <f t="shared" ref="J34" si="3">I34*0.01</f>
        <v>1</v>
      </c>
      <c r="K34" s="12" t="s">
        <v>37</v>
      </c>
    </row>
    <row r="35" spans="1:11" ht="37.5" customHeight="1" x14ac:dyDescent="0.35">
      <c r="A35" s="11">
        <v>6</v>
      </c>
      <c r="B35" s="35" t="s">
        <v>23</v>
      </c>
      <c r="C35" s="36"/>
      <c r="D35" s="36"/>
      <c r="E35" s="36"/>
      <c r="F35" s="36"/>
      <c r="G35" s="36"/>
      <c r="H35" s="36"/>
      <c r="I35" s="36"/>
      <c r="J35" s="36"/>
      <c r="K35" s="37"/>
    </row>
    <row r="36" spans="1:11" ht="112.5" customHeight="1" x14ac:dyDescent="0.35">
      <c r="A36" s="2">
        <v>6.1</v>
      </c>
      <c r="B36" s="3" t="s">
        <v>52</v>
      </c>
      <c r="C36" s="12" t="s">
        <v>39</v>
      </c>
      <c r="D36" s="12" t="s">
        <v>51</v>
      </c>
      <c r="E36" s="12" t="s">
        <v>53</v>
      </c>
      <c r="F36" s="12">
        <v>1</v>
      </c>
      <c r="G36" s="12" t="s">
        <v>17</v>
      </c>
      <c r="H36" s="12" t="s">
        <v>71</v>
      </c>
      <c r="I36" s="12">
        <f t="shared" ref="I36" si="4">IF(G36="Khó và phức tạp",200,IF(G36="Cao",150,IF(G36="Trungbình",120,100)))</f>
        <v>100</v>
      </c>
      <c r="J36" s="12">
        <f t="shared" ref="J36" si="5">I36*0.01</f>
        <v>1</v>
      </c>
      <c r="K36" s="12" t="s">
        <v>37</v>
      </c>
    </row>
    <row r="37" spans="1:11" ht="70" customHeight="1" x14ac:dyDescent="0.35">
      <c r="A37" s="2">
        <v>6.2</v>
      </c>
      <c r="B37" s="27" t="s">
        <v>69</v>
      </c>
      <c r="C37" s="12" t="s">
        <v>39</v>
      </c>
      <c r="D37" s="12" t="s">
        <v>51</v>
      </c>
      <c r="E37" s="12" t="s">
        <v>59</v>
      </c>
      <c r="F37" s="12">
        <v>1</v>
      </c>
      <c r="G37" s="12" t="s">
        <v>15</v>
      </c>
      <c r="H37" s="12" t="s">
        <v>71</v>
      </c>
      <c r="I37" s="12">
        <v>120</v>
      </c>
      <c r="J37" s="12">
        <v>1.2</v>
      </c>
      <c r="K37" s="12" t="s">
        <v>37</v>
      </c>
    </row>
    <row r="38" spans="1:11" ht="37.5" customHeight="1" x14ac:dyDescent="0.35">
      <c r="A38" s="11" t="s">
        <v>18</v>
      </c>
      <c r="B38" s="35" t="s">
        <v>40</v>
      </c>
      <c r="C38" s="36"/>
      <c r="D38" s="36"/>
      <c r="E38" s="36"/>
      <c r="F38" s="36"/>
      <c r="G38" s="36"/>
      <c r="H38" s="36"/>
      <c r="I38" s="36"/>
      <c r="J38" s="36"/>
      <c r="K38" s="37"/>
    </row>
    <row r="39" spans="1:11" ht="65.150000000000006" customHeight="1" x14ac:dyDescent="0.35">
      <c r="A39" s="2">
        <v>1</v>
      </c>
      <c r="B39" s="3" t="s">
        <v>54</v>
      </c>
      <c r="C39" s="12" t="s">
        <v>35</v>
      </c>
      <c r="D39" s="12" t="s">
        <v>51</v>
      </c>
      <c r="E39" s="12" t="s">
        <v>55</v>
      </c>
      <c r="F39" s="12" t="s">
        <v>56</v>
      </c>
      <c r="G39" s="12" t="s">
        <v>57</v>
      </c>
      <c r="H39" s="12" t="s">
        <v>71</v>
      </c>
      <c r="I39" s="12" t="s">
        <v>58</v>
      </c>
      <c r="J39" s="12"/>
      <c r="K39" s="12" t="s">
        <v>37</v>
      </c>
    </row>
    <row r="40" spans="1:11" ht="99.75" customHeight="1" x14ac:dyDescent="0.35">
      <c r="A40" s="6"/>
      <c r="B40" s="38" t="s">
        <v>41</v>
      </c>
      <c r="C40" s="39"/>
      <c r="D40" s="39"/>
      <c r="E40" s="39"/>
      <c r="F40" s="39"/>
      <c r="G40" s="39"/>
      <c r="H40" s="39"/>
      <c r="I40" s="39"/>
      <c r="J40" s="39"/>
      <c r="K40" s="39"/>
    </row>
    <row r="41" spans="1:11" ht="178.5" customHeight="1" x14ac:dyDescent="0.35">
      <c r="A41" s="40" t="s">
        <v>60</v>
      </c>
      <c r="B41" s="41"/>
      <c r="C41" s="41"/>
      <c r="E41" s="6"/>
      <c r="F41" s="6"/>
      <c r="G41" s="42" t="s">
        <v>92</v>
      </c>
      <c r="H41" s="43"/>
      <c r="I41" s="43"/>
      <c r="J41" s="43"/>
      <c r="K41" s="43"/>
    </row>
  </sheetData>
  <mergeCells count="27">
    <mergeCell ref="A2:B2"/>
    <mergeCell ref="E2:K2"/>
    <mergeCell ref="A3:B3"/>
    <mergeCell ref="E3:K3"/>
    <mergeCell ref="D5:D6"/>
    <mergeCell ref="I5:I6"/>
    <mergeCell ref="J5:J6"/>
    <mergeCell ref="K5:K6"/>
    <mergeCell ref="A4:K4"/>
    <mergeCell ref="A5:A6"/>
    <mergeCell ref="B5:B6"/>
    <mergeCell ref="C5:C6"/>
    <mergeCell ref="E5:E6"/>
    <mergeCell ref="F5:F6"/>
    <mergeCell ref="G5:G6"/>
    <mergeCell ref="H5:H6"/>
    <mergeCell ref="B38:K38"/>
    <mergeCell ref="B40:K40"/>
    <mergeCell ref="A41:C41"/>
    <mergeCell ref="G41:K41"/>
    <mergeCell ref="B8:K8"/>
    <mergeCell ref="B9:K9"/>
    <mergeCell ref="B25:K25"/>
    <mergeCell ref="B28:K28"/>
    <mergeCell ref="B31:K31"/>
    <mergeCell ref="B33:K33"/>
    <mergeCell ref="B35:K35"/>
  </mergeCells>
  <dataValidations count="3">
    <dataValidation type="list" allowBlank="1" sqref="C34:D34 C39:D39 C27:D27 C36:D37 C32:D32 C10:D24 C29:D30" xr:uid="{00000000-0002-0000-0100-000000000000}">
      <formula1>"Hiệu trưởng,PHT Nguyễn Trung Hiếu,PHT Huỳnh Văn Chung,PHT Dương Văn Anh Dũng,Bí thư Đảng uỷ,Phó Bí thư Đảng uỷ,Uỷ viên BTV,Chủ tịch Công đoàn,Bí thư ĐTN,Chủ tịch HSV"</formula1>
    </dataValidation>
    <dataValidation type="list" allowBlank="1" sqref="E34 E36:E37 E39 E27 E32 E10:E24 E29:E30" xr:uid="{00000000-0002-0000-0100-000001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qref="G34 G36:G37 G39 G27 G32 G10:G24 G29:G30" xr:uid="{00000000-0002-0000-0100-000002000000}">
      <formula1>"Thấp,Trung bình,Cao,Khó và phức tạp"</formula1>
    </dataValidation>
  </dataValidations>
  <pageMargins left="0.45" right="0.45" top="0.25" bottom="0.25" header="0" footer="0"/>
  <pageSetup paperSize="9" scale="5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 HOACH CONG TAC THANG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Nguyễn Văn Nam</cp:lastModifiedBy>
  <dcterms:created xsi:type="dcterms:W3CDTF">2026-06-25T07:40:24Z</dcterms:created>
  <dcterms:modified xsi:type="dcterms:W3CDTF">2026-09-15T13:29:35Z</dcterms:modified>
</cp:coreProperties>
</file>