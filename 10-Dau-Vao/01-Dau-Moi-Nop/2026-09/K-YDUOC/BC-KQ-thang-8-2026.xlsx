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Vinh\My Folders\Baocao_Congvan_GiayMoi\BaoCaoThang\Nam_2026\"/>
    </mc:Choice>
  </mc:AlternateContent>
  <xr:revisionPtr revIDLastSave="0" documentId="13_ncr:1_{D48ECD9D-527C-43F5-AC75-F557166FA4D0}" xr6:coauthVersionLast="47" xr6:coauthVersionMax="47" xr10:uidLastSave="{00000000-0000-0000-0000-000000000000}"/>
  <bookViews>
    <workbookView xWindow="-110" yWindow="-110" windowWidth="19420" windowHeight="10300" xr2:uid="{CF09AA7D-F157-435F-8730-78D5FF9F5A39}"/>
  </bookViews>
  <sheets>
    <sheet name="Mẫu BC tháng" sheetId="1" r:id="rId1"/>
    <sheet name="Mẫu BC QUÝ" sheetId="3"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2" i="1" l="1"/>
  <c r="O22" i="1" s="1"/>
  <c r="H22" i="1"/>
  <c r="I22" i="1" s="1"/>
  <c r="K25" i="1"/>
  <c r="O25" i="1" s="1"/>
  <c r="H25" i="1"/>
  <c r="I25" i="1" s="1"/>
  <c r="H20" i="1"/>
  <c r="I20" i="1" s="1"/>
  <c r="K20" i="1"/>
  <c r="M20" i="1" s="1"/>
  <c r="H17" i="1"/>
  <c r="I17" i="1" s="1"/>
  <c r="J17" i="1" s="1"/>
  <c r="K17" i="1"/>
  <c r="M17" i="1" s="1"/>
  <c r="K16" i="1"/>
  <c r="H16" i="1"/>
  <c r="I16" i="1" s="1"/>
  <c r="J16" i="1" s="1"/>
  <c r="H15" i="1"/>
  <c r="I15" i="1" s="1"/>
  <c r="K15" i="1"/>
  <c r="M15" i="1" s="1"/>
  <c r="H14" i="1"/>
  <c r="I14" i="1" s="1"/>
  <c r="K14" i="1"/>
  <c r="K10" i="1"/>
  <c r="O10" i="1" s="1"/>
  <c r="M22" i="1" l="1"/>
  <c r="N22" i="1" s="1"/>
  <c r="J22" i="1"/>
  <c r="P22" i="1"/>
  <c r="L22" i="1"/>
  <c r="J25" i="1"/>
  <c r="P25" i="1"/>
  <c r="L25" i="1"/>
  <c r="M25" i="1"/>
  <c r="N25" i="1" s="1"/>
  <c r="O20" i="1"/>
  <c r="P20" i="1" s="1"/>
  <c r="L20" i="1"/>
  <c r="J20" i="1"/>
  <c r="N20" i="1"/>
  <c r="O15" i="1"/>
  <c r="P15" i="1" s="1"/>
  <c r="O17" i="1"/>
  <c r="P17" i="1" s="1"/>
  <c r="L16" i="1"/>
  <c r="N17" i="1"/>
  <c r="L17" i="1"/>
  <c r="O16" i="1"/>
  <c r="P16" i="1" s="1"/>
  <c r="M16" i="1"/>
  <c r="N16" i="1" s="1"/>
  <c r="J15" i="1"/>
  <c r="L15" i="1"/>
  <c r="N15" i="1"/>
  <c r="L14" i="1"/>
  <c r="J14" i="1"/>
  <c r="O14" i="1"/>
  <c r="P14" i="1" s="1"/>
  <c r="M14" i="1"/>
  <c r="N14" i="1" s="1"/>
  <c r="K12" i="3"/>
  <c r="M12" i="3" s="1"/>
  <c r="K13" i="3"/>
  <c r="O13" i="3" s="1"/>
  <c r="K14" i="3"/>
  <c r="K11" i="3"/>
  <c r="K41" i="3"/>
  <c r="O41" i="3" s="1"/>
  <c r="H41" i="3"/>
  <c r="I41" i="3" s="1"/>
  <c r="K40" i="3"/>
  <c r="M40" i="3" s="1"/>
  <c r="H40" i="3"/>
  <c r="I40" i="3" s="1"/>
  <c r="K39" i="3"/>
  <c r="H39" i="3"/>
  <c r="I39" i="3" s="1"/>
  <c r="F38" i="3"/>
  <c r="K37" i="3"/>
  <c r="O37" i="3" s="1"/>
  <c r="H37" i="3"/>
  <c r="I37" i="3" s="1"/>
  <c r="K36" i="3"/>
  <c r="O36" i="3" s="1"/>
  <c r="H36" i="3"/>
  <c r="I36" i="3" s="1"/>
  <c r="F35" i="3"/>
  <c r="K34" i="3"/>
  <c r="M34" i="3" s="1"/>
  <c r="H34" i="3"/>
  <c r="I34" i="3" s="1"/>
  <c r="K33" i="3"/>
  <c r="H33" i="3"/>
  <c r="I33" i="3" s="1"/>
  <c r="J33" i="3" s="1"/>
  <c r="K32" i="3"/>
  <c r="M32" i="3" s="1"/>
  <c r="H32" i="3"/>
  <c r="I32" i="3" s="1"/>
  <c r="L32" i="3" s="1"/>
  <c r="K31" i="3"/>
  <c r="O31" i="3" s="1"/>
  <c r="H31" i="3"/>
  <c r="I31" i="3" s="1"/>
  <c r="M30" i="3"/>
  <c r="K30" i="3"/>
  <c r="H30" i="3"/>
  <c r="I30" i="3" s="1"/>
  <c r="J30" i="3" s="1"/>
  <c r="K29" i="3"/>
  <c r="O29" i="3" s="1"/>
  <c r="H29" i="3"/>
  <c r="I29" i="3" s="1"/>
  <c r="F28" i="3"/>
  <c r="K27" i="3"/>
  <c r="M27" i="3" s="1"/>
  <c r="H27" i="3"/>
  <c r="I27" i="3" s="1"/>
  <c r="K26" i="3"/>
  <c r="O26" i="3" s="1"/>
  <c r="H26" i="3"/>
  <c r="I26" i="3" s="1"/>
  <c r="K25" i="3"/>
  <c r="H25" i="3"/>
  <c r="I25" i="3" s="1"/>
  <c r="K24" i="3"/>
  <c r="M24" i="3" s="1"/>
  <c r="H24" i="3"/>
  <c r="I24" i="3" s="1"/>
  <c r="K23" i="3"/>
  <c r="O23" i="3" s="1"/>
  <c r="H23" i="3"/>
  <c r="I23" i="3" s="1"/>
  <c r="K22" i="3"/>
  <c r="O22" i="3" s="1"/>
  <c r="H22" i="3"/>
  <c r="I22" i="3" s="1"/>
  <c r="F21" i="3"/>
  <c r="K20" i="3"/>
  <c r="O20" i="3" s="1"/>
  <c r="H20" i="3"/>
  <c r="I20" i="3" s="1"/>
  <c r="K19" i="3"/>
  <c r="M19" i="3" s="1"/>
  <c r="H19" i="3"/>
  <c r="I19" i="3" s="1"/>
  <c r="F18" i="3"/>
  <c r="K17" i="3"/>
  <c r="M17" i="3" s="1"/>
  <c r="H17" i="3"/>
  <c r="I17" i="3" s="1"/>
  <c r="K16" i="3"/>
  <c r="O16" i="3" s="1"/>
  <c r="H16" i="3"/>
  <c r="I16" i="3" s="1"/>
  <c r="F15" i="3"/>
  <c r="O14" i="3"/>
  <c r="H14" i="3"/>
  <c r="I14" i="3" s="1"/>
  <c r="H13" i="3"/>
  <c r="I13" i="3" s="1"/>
  <c r="H12" i="3"/>
  <c r="I12" i="3" s="1"/>
  <c r="H11" i="3"/>
  <c r="I11" i="3" s="1"/>
  <c r="F10" i="3"/>
  <c r="K34" i="1"/>
  <c r="O34" i="1" s="1"/>
  <c r="K33" i="1"/>
  <c r="M33" i="1" s="1"/>
  <c r="K32" i="1"/>
  <c r="M32" i="1" s="1"/>
  <c r="K30" i="1"/>
  <c r="M30" i="1" s="1"/>
  <c r="K28" i="1"/>
  <c r="M28" i="1" s="1"/>
  <c r="K26" i="1"/>
  <c r="K23" i="1"/>
  <c r="M23" i="1" s="1"/>
  <c r="K19" i="1"/>
  <c r="H34" i="1"/>
  <c r="I34" i="1" s="1"/>
  <c r="J34" i="1" s="1"/>
  <c r="H33" i="1"/>
  <c r="I33" i="1" s="1"/>
  <c r="J33" i="1" s="1"/>
  <c r="H32" i="1"/>
  <c r="I32" i="1" s="1"/>
  <c r="J32" i="1" s="1"/>
  <c r="H30" i="1"/>
  <c r="I30" i="1" s="1"/>
  <c r="J30" i="1" s="1"/>
  <c r="H28" i="1"/>
  <c r="I28" i="1" s="1"/>
  <c r="J28" i="1" s="1"/>
  <c r="H26" i="1"/>
  <c r="I26" i="1" s="1"/>
  <c r="J26" i="1" s="1"/>
  <c r="H23" i="1"/>
  <c r="I23" i="1" s="1"/>
  <c r="J23" i="1" s="1"/>
  <c r="H19" i="1"/>
  <c r="I19" i="1" s="1"/>
  <c r="J19" i="1" s="1"/>
  <c r="H11" i="1"/>
  <c r="I11" i="1" s="1"/>
  <c r="H12" i="1"/>
  <c r="I12" i="1" s="1"/>
  <c r="J12" i="1" s="1"/>
  <c r="H13" i="1"/>
  <c r="I13" i="1" s="1"/>
  <c r="H10" i="1"/>
  <c r="I10" i="1" s="1"/>
  <c r="F21" i="1"/>
  <c r="F24" i="1"/>
  <c r="F27" i="1"/>
  <c r="F29" i="1"/>
  <c r="F31" i="1"/>
  <c r="F18" i="1"/>
  <c r="K12" i="1"/>
  <c r="O12" i="1" s="1"/>
  <c r="K11" i="1"/>
  <c r="O11" i="1" s="1"/>
  <c r="K13" i="1"/>
  <c r="M13" i="1" s="1"/>
  <c r="F9" i="1"/>
  <c r="K21" i="1" l="1"/>
  <c r="P34" i="1"/>
  <c r="L19" i="1"/>
  <c r="M11" i="1"/>
  <c r="N11" i="1" s="1"/>
  <c r="N33" i="1"/>
  <c r="J29" i="1"/>
  <c r="M15" i="3"/>
  <c r="O17" i="3"/>
  <c r="O15" i="3" s="1"/>
  <c r="O24" i="3"/>
  <c r="O32" i="3"/>
  <c r="M26" i="3"/>
  <c r="N26" i="3" s="1"/>
  <c r="M20" i="3"/>
  <c r="P10" i="1"/>
  <c r="J10" i="1"/>
  <c r="L11" i="3"/>
  <c r="K28" i="3"/>
  <c r="L26" i="1"/>
  <c r="M13" i="3"/>
  <c r="N13" i="3" s="1"/>
  <c r="M16" i="3"/>
  <c r="M23" i="3"/>
  <c r="O12" i="3"/>
  <c r="K9" i="1"/>
  <c r="P24" i="3"/>
  <c r="P37" i="3"/>
  <c r="L10" i="1"/>
  <c r="N40" i="3"/>
  <c r="J40" i="3"/>
  <c r="K15" i="3"/>
  <c r="L19" i="3"/>
  <c r="P29" i="3"/>
  <c r="L40" i="3"/>
  <c r="O11" i="3"/>
  <c r="O10" i="3" s="1"/>
  <c r="M18" i="3"/>
  <c r="M11" i="3"/>
  <c r="P20" i="3"/>
  <c r="K18" i="3"/>
  <c r="O19" i="3"/>
  <c r="O18" i="3" s="1"/>
  <c r="M22" i="3"/>
  <c r="N22" i="3" s="1"/>
  <c r="L30" i="3"/>
  <c r="M31" i="3"/>
  <c r="N31" i="3" s="1"/>
  <c r="M36" i="3"/>
  <c r="N36" i="3" s="1"/>
  <c r="M41" i="3"/>
  <c r="N41" i="3" s="1"/>
  <c r="K10" i="3"/>
  <c r="J31" i="1"/>
  <c r="M34" i="1"/>
  <c r="N34" i="1" s="1"/>
  <c r="O13" i="1"/>
  <c r="O9" i="1" s="1"/>
  <c r="J18" i="1"/>
  <c r="K18" i="1"/>
  <c r="M19" i="1"/>
  <c r="L23" i="1"/>
  <c r="M26" i="1"/>
  <c r="L34" i="1"/>
  <c r="N12" i="3"/>
  <c r="P13" i="3"/>
  <c r="P14" i="3"/>
  <c r="N23" i="3"/>
  <c r="J23" i="3"/>
  <c r="P23" i="3"/>
  <c r="L23" i="3"/>
  <c r="J12" i="3"/>
  <c r="P12" i="3"/>
  <c r="L12" i="3"/>
  <c r="N17" i="3"/>
  <c r="J17" i="3"/>
  <c r="P17" i="3"/>
  <c r="J22" i="3"/>
  <c r="L22" i="3"/>
  <c r="P22" i="3"/>
  <c r="J31" i="3"/>
  <c r="L31" i="3"/>
  <c r="P31" i="3"/>
  <c r="N11" i="3"/>
  <c r="J11" i="3"/>
  <c r="P16" i="3"/>
  <c r="N16" i="3"/>
  <c r="J16" i="3"/>
  <c r="L16" i="3"/>
  <c r="L17" i="3"/>
  <c r="J26" i="3"/>
  <c r="P26" i="3"/>
  <c r="L26" i="3"/>
  <c r="N24" i="3"/>
  <c r="J39" i="3"/>
  <c r="J13" i="3"/>
  <c r="J14" i="3"/>
  <c r="N19" i="3"/>
  <c r="N20" i="3"/>
  <c r="K21" i="3"/>
  <c r="J24" i="3"/>
  <c r="J25" i="3"/>
  <c r="L27" i="3"/>
  <c r="M33" i="3"/>
  <c r="N33" i="3" s="1"/>
  <c r="L33" i="3"/>
  <c r="N34" i="3"/>
  <c r="J37" i="3"/>
  <c r="K38" i="3"/>
  <c r="M39" i="3"/>
  <c r="L39" i="3"/>
  <c r="L14" i="3"/>
  <c r="J19" i="3"/>
  <c r="J20" i="3"/>
  <c r="L25" i="3"/>
  <c r="O25" i="3"/>
  <c r="O27" i="3"/>
  <c r="P27" i="3" s="1"/>
  <c r="J29" i="3"/>
  <c r="N32" i="3"/>
  <c r="J32" i="3"/>
  <c r="P32" i="3"/>
  <c r="J34" i="3"/>
  <c r="P36" i="3"/>
  <c r="L36" i="3"/>
  <c r="J36" i="3"/>
  <c r="O39" i="3"/>
  <c r="P41" i="3"/>
  <c r="L41" i="3"/>
  <c r="J41" i="3"/>
  <c r="L13" i="3"/>
  <c r="M14" i="3"/>
  <c r="N14" i="3" s="1"/>
  <c r="L20" i="3"/>
  <c r="L24" i="3"/>
  <c r="M25" i="3"/>
  <c r="N25" i="3" s="1"/>
  <c r="N27" i="3"/>
  <c r="J27" i="3"/>
  <c r="M29" i="3"/>
  <c r="L29" i="3"/>
  <c r="N30" i="3"/>
  <c r="O33" i="3"/>
  <c r="P33" i="3" s="1"/>
  <c r="L34" i="3"/>
  <c r="O35" i="3"/>
  <c r="L37" i="3"/>
  <c r="O30" i="3"/>
  <c r="P30" i="3" s="1"/>
  <c r="O34" i="3"/>
  <c r="P34" i="3" s="1"/>
  <c r="K35" i="3"/>
  <c r="M37" i="3"/>
  <c r="M35" i="3" s="1"/>
  <c r="O40" i="3"/>
  <c r="P40" i="3" s="1"/>
  <c r="N32" i="1"/>
  <c r="O33" i="1"/>
  <c r="P33" i="1" s="1"/>
  <c r="K31" i="1"/>
  <c r="O32" i="1"/>
  <c r="L33" i="1"/>
  <c r="L32" i="1"/>
  <c r="N30" i="1"/>
  <c r="M29" i="1"/>
  <c r="O30" i="1"/>
  <c r="K29" i="1"/>
  <c r="L30" i="1"/>
  <c r="J27" i="1"/>
  <c r="N28" i="1"/>
  <c r="O28" i="1"/>
  <c r="L28" i="1"/>
  <c r="K27" i="1"/>
  <c r="J24" i="1"/>
  <c r="K24" i="1"/>
  <c r="O26" i="1"/>
  <c r="J21" i="1"/>
  <c r="N23" i="1"/>
  <c r="O23" i="1"/>
  <c r="O19" i="1"/>
  <c r="P11" i="1"/>
  <c r="P12" i="1"/>
  <c r="M10" i="1"/>
  <c r="M12" i="1"/>
  <c r="N12" i="1" s="1"/>
  <c r="J11" i="1"/>
  <c r="L11" i="1"/>
  <c r="J13" i="1"/>
  <c r="N13" i="1"/>
  <c r="L13" i="1"/>
  <c r="L12" i="1"/>
  <c r="P13" i="1" l="1"/>
  <c r="P9" i="1" s="1"/>
  <c r="M31" i="1"/>
  <c r="L21" i="1"/>
  <c r="L18" i="1"/>
  <c r="N29" i="1"/>
  <c r="L15" i="3"/>
  <c r="M24" i="1"/>
  <c r="M9" i="1"/>
  <c r="J15" i="3"/>
  <c r="N15" i="3"/>
  <c r="L18" i="3"/>
  <c r="P11" i="3"/>
  <c r="P10" i="3" s="1"/>
  <c r="N10" i="1"/>
  <c r="N9" i="1" s="1"/>
  <c r="N21" i="1"/>
  <c r="O38" i="3"/>
  <c r="L38" i="3"/>
  <c r="J9" i="1"/>
  <c r="P35" i="3"/>
  <c r="N31" i="1"/>
  <c r="J38" i="3"/>
  <c r="O28" i="3"/>
  <c r="M38" i="3"/>
  <c r="N39" i="3"/>
  <c r="N38" i="3" s="1"/>
  <c r="O21" i="3"/>
  <c r="P19" i="3"/>
  <c r="P18" i="3" s="1"/>
  <c r="N26" i="1"/>
  <c r="N24" i="1" s="1"/>
  <c r="L31" i="1"/>
  <c r="L29" i="1"/>
  <c r="M21" i="1"/>
  <c r="N19" i="1"/>
  <c r="N18" i="1" s="1"/>
  <c r="M18" i="1"/>
  <c r="M10" i="3"/>
  <c r="M28" i="3"/>
  <c r="N29" i="3"/>
  <c r="N28" i="3" s="1"/>
  <c r="L35" i="3"/>
  <c r="P25" i="3"/>
  <c r="P21" i="3" s="1"/>
  <c r="N37" i="3"/>
  <c r="N35" i="3" s="1"/>
  <c r="L10" i="3"/>
  <c r="L21" i="3"/>
  <c r="P28" i="3"/>
  <c r="J35" i="3"/>
  <c r="J28" i="3"/>
  <c r="M21" i="3"/>
  <c r="J10" i="3"/>
  <c r="J21" i="3"/>
  <c r="L28" i="3"/>
  <c r="J18" i="3"/>
  <c r="N18" i="3"/>
  <c r="P39" i="3"/>
  <c r="P38" i="3" s="1"/>
  <c r="P15" i="3"/>
  <c r="N10" i="3"/>
  <c r="N21" i="3"/>
  <c r="P32" i="1"/>
  <c r="P31" i="1" s="1"/>
  <c r="O31" i="1"/>
  <c r="P30" i="1"/>
  <c r="P29" i="1" s="1"/>
  <c r="O29" i="1"/>
  <c r="M27" i="1"/>
  <c r="N27" i="1"/>
  <c r="L27" i="1"/>
  <c r="P28" i="1"/>
  <c r="P27" i="1" s="1"/>
  <c r="O27" i="1"/>
  <c r="L24" i="1"/>
  <c r="P26" i="1"/>
  <c r="P24" i="1" s="1"/>
  <c r="O24" i="1"/>
  <c r="P23" i="1"/>
  <c r="P21" i="1" s="1"/>
  <c r="O21" i="1"/>
  <c r="P19" i="1"/>
  <c r="P18" i="1" s="1"/>
  <c r="O18" i="1"/>
  <c r="L9" i="1"/>
</calcChain>
</file>

<file path=xl/sharedStrings.xml><?xml version="1.0" encoding="utf-8"?>
<sst xmlns="http://schemas.openxmlformats.org/spreadsheetml/2006/main" count="324" uniqueCount="125">
  <si>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</si>
  <si>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</si>
  <si>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</si>
  <si>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</si>
  <si>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</si>
  <si>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</si>
  <si>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</si>
  <si>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</si>
  <si>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</si>
  <si>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</si>
  <si>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</si>
  <si>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</si>
  <si>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</si>
  <si>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</si>
  <si>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</si>
  <si>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</si>
  <si>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</si>
  <si>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</si>
  <si>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</si>
  <si>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</si>
  <si>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</si>
  <si>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</si>
  <si>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</si>
  <si>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</si>
  <si>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</si>
  <si>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t>
  </si>
  <si>
    <t>Đơn vị chủ trì</t>
  </si>
  <si>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</si>
  <si>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</si>
  <si>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</si>
  <si>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</si>
  <si>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</si>
  <si>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</si>
  <si>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</si>
  <si>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</si>
  <si>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</si>
  <si>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</si>
  <si>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</si>
  <si>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</si>
  <si>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</si>
  <si>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</si>
  <si>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Các nhiệm vụ đột xuất, phát sinh khác ngoài kế hoạch (nếu có)</t>
  </si>
  <si>
    <t>Quyết định</t>
  </si>
  <si>
    <t>Trung bình</t>
  </si>
  <si>
    <t>Cao</t>
  </si>
  <si>
    <t>Khó và phức tạp</t>
  </si>
  <si>
    <t>Phòng TH-HC&amp;QT</t>
  </si>
  <si>
    <t>Phòng QLKHCN&amp;HTPT</t>
  </si>
  <si>
    <t>Phòng QLĐT&amp;BĐCL</t>
  </si>
  <si>
    <t>1.4</t>
  </si>
  <si>
    <t>Điểm chấm công việc</t>
  </si>
  <si>
    <t>Hệ số quy đổi</t>
  </si>
  <si>
    <t>KPI (số lượng)</t>
  </si>
  <si>
    <t>KPI (chất lượng)</t>
  </si>
  <si>
    <t>KPI (tiến độ)</t>
  </si>
  <si>
    <t>Thực tế hoàn thành</t>
  </si>
  <si>
    <t>Quy đổi</t>
  </si>
  <si>
    <t>Số lượng quy đổi</t>
  </si>
  <si>
    <t>Quyết định Chính sách chất lượng giai đoạn 2026-2030</t>
  </si>
  <si>
    <t>Thấp</t>
  </si>
  <si>
    <t>BÁO CÁO
kết quả thực hiện công tác Quý … năm 20…</t>
  </si>
  <si>
    <t>Khoa Y – Dược</t>
  </si>
  <si>
    <t> Các nhiệm vụ theo kế hoạch (chương trình) công tác đã đề ra từ đầu quý</t>
  </si>
  <si>
    <t> Các nhiệm vụ theo kế hoạch (chương trình) công tác đã đề ra từ đầu tháng</t>
  </si>
  <si>
    <t>Sản phẩm/ Công việc</t>
  </si>
  <si>
    <t>(8)</t>
  </si>
  <si>
    <t>(9)=(8)*1%</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</si>
  <si>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</si>
  <si>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</si>
  <si>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</si>
  <si>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</si>
  <si>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</si>
  <si>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</si>
  <si>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</si>
  <si>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</si>
  <si>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</si>
  <si>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IIc
MẪU BÁO CÁO KẾT QUẢ THỰC HIỆN CÔNG TÁC QUÝ CỦA TRƯỜNG CAO ĐẲNG KON TUM</t>
  </si>
  <si>
    <t>KHOA Y - DƯỢC</t>
  </si>
  <si>
    <t>Trưởng Khoa</t>
  </si>
  <si>
    <t>Biên bản</t>
  </si>
  <si>
    <t>Nhà giáo</t>
  </si>
  <si>
    <t>Kế hoạch</t>
  </si>
  <si>
    <t>Dữ liệu trên phần mềm</t>
  </si>
  <si>
    <t>Giáo vụ khoa</t>
  </si>
  <si>
    <t xml:space="preserve">Nhà giáo hoàn thiện cơ sở dữ liệu đào tạo phần mềm Unisort Thiên An và VNPT – Office theo quy định </t>
  </si>
  <si>
    <t>Danh sách sinh viên</t>
  </si>
  <si>
    <t>Các lớp sinh viên</t>
  </si>
  <si>
    <t>Trưởng khoa</t>
  </si>
  <si>
    <t>Thực hiện các biện pháp bảo đảm an toàn trong dịp hè cho sinh viên.</t>
  </si>
  <si>
    <t>Buổi gặp gỡ sinh viên chuản bị nghỉ hè</t>
  </si>
  <si>
    <r>
      <rPr>
        <b/>
        <i/>
        <sz val="12"/>
        <rFont val="Times New Roman"/>
        <family val="1"/>
        <charset val="163"/>
      </rPr>
      <t xml:space="preserve">
Nơi nhận:</t>
    </r>
    <r>
      <rPr>
        <sz val="12"/>
        <rFont val="Times New Roman"/>
        <family val="1"/>
      </rPr>
      <t xml:space="preserve">
</t>
    </r>
    <r>
      <rPr>
        <sz val="11"/>
        <rFont val="Times New Roman"/>
        <family val="1"/>
        <charset val="163"/>
      </rPr>
      <t>- Lãnh đạo Trường;
- Phòng TH-HC và QT;
- Các Bộ môn;
- Lưu: KYD.</t>
    </r>
  </si>
  <si>
    <t>công văn</t>
  </si>
  <si>
    <t>Tham mưu công văn thông báo thay đổi thiết bị y tế phục vụ khám bệnh, chữa bệnh BHYT trong phụ lục 7 của HĐKCB số 19/HĐKCB-BHYT tại Phòng khám Đa khoa.</t>
  </si>
  <si>
    <t>Phó trưởng phòng khám</t>
  </si>
  <si>
    <t>Trưởng phòng khám</t>
  </si>
  <si>
    <t>Báo cáo</t>
  </si>
  <si>
    <t>1.5</t>
  </si>
  <si>
    <t>1.6</t>
  </si>
  <si>
    <t>1.7</t>
  </si>
  <si>
    <t>1.8</t>
  </si>
  <si>
    <t>Tuyển sinh các ngành nghề Y sỹ, Điều dưỡng, Dược</t>
  </si>
  <si>
    <t>Hồ sơ tuyển sinh</t>
  </si>
  <si>
    <t>Xem thi, chấm thi, hoàn thành điểm học kỳ II, năm học 2025 – 2026, đề xuất công nhận điểm năm học 2025 – 2026 và điểm toàn khóa học đối với các lớp K6C.</t>
  </si>
  <si>
    <t>Xét tốt nghiệp cấp khoa đối với các lớp K6C Điều dưỡng và K6C Dược</t>
  </si>
  <si>
    <t>Xây dựng chương trình đạo tạo ngành, nghề Y sỹ trình độ cao đẳng theo kế hoạch đã ban hành</t>
  </si>
  <si>
    <t>Ban biên soạn</t>
  </si>
  <si>
    <t>Xây dựng mục tiêu chất lượng và kế hoạch thực hiện mục tiêu chất lượng năm học 2026 – 2027 khoa Y – Dược</t>
  </si>
  <si>
    <t>Các Bộ môn</t>
  </si>
  <si>
    <t>cao</t>
  </si>
  <si>
    <t>Tham mưu kế hoạch đào tạo thực hành năm học 2026 – 2027 các lớp K7C, K8C tuyển sinh năm 2024, 2025</t>
  </si>
  <si>
    <t>Tiếp tục làm việc với Sở Y tế tỉnh Quảng Ngãi và Bảo hiểm xã hội cơ sở Kon Tum điều chuyển số thẻ bảo hiểm y tế của viên chức, người lao động và học sinh, sinh viên về phòng khám Đa khoa.</t>
  </si>
  <si>
    <t>Trưởng phòng khám Đa khoa</t>
  </si>
  <si>
    <t>Các thành viên phòng khám Đa khoa</t>
  </si>
  <si>
    <t>Văn bản của Bảo hiểm xã hộ cơ sở Kon Tum</t>
  </si>
  <si>
    <t>Hoàn thành việc kiểm tra hồ sơ giảng dạy của nhà giáo trên phần mềm Unisort Thiên An và VNPT- Office</t>
  </si>
  <si>
    <t>thấp</t>
  </si>
  <si>
    <t>Bảo cáo kiểm tra bảo đảm sĩ số học sinh, sinh viên theo Kế hoạch số 672/KH-CĐKT ngày 6/7/2026</t>
  </si>
  <si>
    <t>Tham gia học tập bồi dưỡng kiến thức chuyển đổi số trên cổng bình dân học vụ số tỉnh Quảng Ngãi</t>
  </si>
  <si>
    <t>Chứng chỉ</t>
  </si>
  <si>
    <t>Danh sách</t>
  </si>
  <si>
    <t>Tham dự tập huấn Hệ thống đánh giá, xếp loại cán bộ, công chức, viên chức và người lao động tại các cơ quan, tổ chức, đơn vị, địa phương trong hệ thống chính trị trên địa bàn tỉnh (KPI).</t>
  </si>
  <si>
    <t>Tham dự Hội nghị trực tuyến nghiên cứu, học tập, quán triệt và triển khai thực hiện Nghị quyết Hội nghị lần thứ ba, Ban Chấp hành Trung ương Đảng khóa XIV.</t>
  </si>
  <si>
    <t>Phối hợp với phòng Quản lý Đào tạo và Bảo đảm chất lượng tham mưu Quyết định cho các sinh viên quy trở lại học tập sau thời gian bảo lưu</t>
  </si>
  <si>
    <r>
      <rPr>
        <i/>
        <sz val="14"/>
        <rFont val="Times New Roman"/>
        <family val="1"/>
        <charset val="163"/>
      </rPr>
      <t>Quảng Ngãi, ngày 13 tháng 8 năm 2026</t>
    </r>
    <r>
      <rPr>
        <sz val="14"/>
        <rFont val="Times New Roman"/>
        <family val="1"/>
      </rPr>
      <t xml:space="preserve">
</t>
    </r>
    <r>
      <rPr>
        <b/>
        <sz val="14"/>
        <rFont val="Times New Roman"/>
        <family val="1"/>
      </rPr>
      <t xml:space="preserve">TRƯỞNG KHOA
</t>
    </r>
    <r>
      <rPr>
        <b/>
        <sz val="14"/>
        <rFont val="Times New Roman"/>
        <family val="1"/>
        <charset val="163"/>
      </rPr>
      <t>Lê Thành Vinh</t>
    </r>
  </si>
  <si>
    <t>BÁO CÁO
kết quả thực hiện công tác tháng 8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</si>
</sst>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9"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3"/>
      <name val="Times New Roman"/>
      <family val="1"/>
    </font>
    <font>
      <sz val="13"/>
      <name val="Calibri"/>
      <family val="2"/>
      <scheme val="minor"/>
    </font>
    <font>
      <b/>
      <sz val="13"/>
      <name val="Times New Roman"/>
      <family val="1"/>
    </font>
    <font>
      <sz val="14"/>
      <name val="Calibri"/>
      <family val="2"/>
      <scheme val="minor"/>
    </font>
    <font>
      <sz val="8"/>
      <name val="Calibri"/>
      <family val="2"/>
      <scheme val="minor"/>
    </font>
    <font>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69">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25" fillId="0" borderId="0" xfId="0" applyFont="1" applyAlignment="1">
      <alignment wrapText="1"/>
    </xf>
    <xf numFmtId="0" fontId="8" fillId="0" borderId="0" xfId="0" applyFont="1" applyAlignment="1">
      <alignment vertical="center"/>
    </xf>
    <xf numFmtId="0" fontId="11" fillId="0" borderId="0" xfId="0" applyFont="1" applyAlignment="1">
      <alignment vertical="center" wrapText="1"/>
    </xf>
    <xf numFmtId="0" fontId="10" fillId="0" borderId="2" xfId="0" applyFont="1" applyBorder="1" applyAlignment="1">
      <alignment vertical="center" wrapText="1"/>
    </xf>
    <xf numFmtId="0" fontId="9" fillId="0" borderId="2" xfId="0" applyFont="1" applyBorder="1" applyAlignment="1">
      <alignment horizontal="center" vertical="center" wrapText="1"/>
    </xf>
    <xf numFmtId="43" fontId="9" fillId="0" borderId="2" xfId="1" applyFont="1" applyFill="1" applyBorder="1" applyAlignment="1">
      <alignment horizontal="center" vertical="center" wrapText="1"/>
    </xf>
    <xf numFmtId="0" fontId="9" fillId="0" borderId="2" xfId="0" applyFont="1" applyBorder="1" applyAlignment="1">
      <alignment vertical="center" wrapText="1"/>
    </xf>
    <xf numFmtId="0" fontId="14" fillId="0" borderId="2" xfId="0" quotePrefix="1" applyFont="1" applyBorder="1" applyAlignment="1">
      <alignment horizontal="center" vertical="center" wrapText="1"/>
    </xf>
    <xf numFmtId="0" fontId="12" fillId="0" borderId="2" xfId="0" quotePrefix="1" applyFont="1" applyBorder="1" applyAlignment="1">
      <alignment horizontal="center" vertical="center"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8" fillId="0" borderId="8" xfId="0" applyFont="1" applyBorder="1" applyAlignment="1">
      <alignment horizontal="center" vertical="center" wrapText="1"/>
    </xf>
    <xf numFmtId="0" fontId="22" fillId="0" borderId="10" xfId="0" applyFont="1" applyBorder="1"/>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9" fillId="0" borderId="1" xfId="0" applyFont="1" applyBorder="1" applyAlignment="1">
      <alignment horizontal="left" vertical="center"/>
    </xf>
    <xf numFmtId="0" fontId="11" fillId="0" borderId="0" xfId="0" applyFont="1" applyAlignment="1">
      <alignment horizontal="center" vertical="center" wrapText="1"/>
    </xf>
    <xf numFmtId="0" fontId="26" fillId="0" borderId="0" xfId="0" applyFont="1" applyAlignment="1">
      <alignment horizontal="center" vertical="center"/>
    </xf>
    <xf numFmtId="0" fontId="11" fillId="0" borderId="0" xfId="0" applyFont="1" applyAlignment="1">
      <alignment horizontal="center" vertical="center"/>
    </xf>
    <xf numFmtId="0" fontId="23"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wrapText="1"/>
    </xf>
    <xf numFmtId="0" fontId="25" fillId="0" borderId="0" xfId="0" applyFont="1" applyAlignment="1">
      <alignment horizontal="center" vertical="center" wrapText="1"/>
    </xf>
    <xf numFmtId="0" fontId="28" fillId="0" borderId="2" xfId="0" applyFont="1" applyBorder="1" applyAlignment="1">
      <alignment vertical="center" wrapText="1"/>
    </xf>
    <xf numFmtId="0" fontId="28" fillId="0" borderId="2" xfId="0" applyFont="1" applyBorder="1" applyAlignment="1">
      <alignment horizontal="center" vertical="center" wrapText="1"/>
    </xf>
    <xf numFmtId="0" fontId="3" fillId="0" borderId="2" xfId="0" applyFont="1" applyBorder="1" applyAlignment="1">
      <alignment horizontal="justify"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448531</xdr:colOff>
      <xdr:row>2</xdr:row>
      <xdr:rowOff>45998</xdr:rowOff>
    </xdr:from>
    <xdr:to>
      <xdr:col>1</xdr:col>
      <xdr:colOff>1246390</xdr:colOff>
      <xdr:row>2</xdr:row>
      <xdr:rowOff>45998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793245" y="6447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2</xdr:row>
      <xdr:rowOff>49249</xdr:rowOff>
    </xdr:from>
    <xdr:to>
      <xdr:col>12</xdr:col>
      <xdr:colOff>381001</xdr:colOff>
      <xdr:row>2</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2</xdr:row>
      <xdr:rowOff>533400</xdr:rowOff>
    </xdr:from>
    <xdr:to>
      <xdr:col>6</xdr:col>
      <xdr:colOff>176892</xdr:colOff>
      <xdr:row>2</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88900</xdr:colOff>
      <xdr:row>35</xdr:row>
      <xdr:rowOff>552450</xdr:rowOff>
    </xdr:from>
    <xdr:to>
      <xdr:col>12</xdr:col>
      <xdr:colOff>139700</xdr:colOff>
      <xdr:row>35</xdr:row>
      <xdr:rowOff>1009650</xdr:rowOff>
    </xdr:to>
    <xdr:pic>
      <xdr:nvPicPr>
        <xdr:cNvPr id="5" name="Picture 5" descr="C:\Users\LE THANH VINH\Desktop\Chu ky dien tu Khoa Y\Chu ky dien tu Khoa Y\cks_Thanh Vinh.png">
          <a:extLst>
            <a:ext uri="{FF2B5EF4-FFF2-40B4-BE49-F238E27FC236}">
              <a16:creationId xmlns:a16="http://schemas.microsoft.com/office/drawing/2014/main" id="{4CAC9223-0CA2-4954-8E43-444ECC348E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00" y="15824200"/>
          <a:ext cx="13144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736683</xdr:colOff>
      <xdr:row>2</xdr:row>
      <xdr:rowOff>235644</xdr:rowOff>
    </xdr:from>
    <xdr:to>
      <xdr:col>1</xdr:col>
      <xdr:colOff>1534542</xdr:colOff>
      <xdr:row>2</xdr:row>
      <xdr:rowOff>235644</xdr:rowOff>
    </xdr:to>
    <xdr:cxnSp macro="">
      <xdr:nvCxnSpPr>
        <xdr:cNvPr id="2" name="Straight Connector 1">
          <a:extLst>
            <a:ext uri="{FF2B5EF4-FFF2-40B4-BE49-F238E27FC236}">
              <a16:creationId xmlns:a16="http://schemas.microsoft.com/office/drawing/2014/main" id="{B387CFDB-E86F-4D09-BC92-EE7FB1671535}"/>
            </a:ext>
          </a:extLst>
        </xdr:cNvPr>
        <xdr:cNvCxnSpPr/>
      </xdr:nvCxnSpPr>
      <xdr:spPr>
        <a:xfrm>
          <a:off x="1199326" y="114732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131416</xdr:colOff>
      <xdr:row>3</xdr:row>
      <xdr:rowOff>22035</xdr:rowOff>
    </xdr:from>
    <xdr:to>
      <xdr:col>12</xdr:col>
      <xdr:colOff>408214</xdr:colOff>
      <xdr:row>3</xdr:row>
      <xdr:rowOff>22035</xdr:rowOff>
    </xdr:to>
    <xdr:cxnSp macro="">
      <xdr:nvCxnSpPr>
        <xdr:cNvPr id="3" name="Straight Connector 2">
          <a:extLst>
            <a:ext uri="{FF2B5EF4-FFF2-40B4-BE49-F238E27FC236}">
              <a16:creationId xmlns:a16="http://schemas.microsoft.com/office/drawing/2014/main" id="{8EFCAB05-4241-4485-ACE5-9B0133413C2F}"/>
            </a:ext>
          </a:extLst>
        </xdr:cNvPr>
        <xdr:cNvCxnSpPr/>
      </xdr:nvCxnSpPr>
      <xdr:spPr>
        <a:xfrm>
          <a:off x="9248202" y="1178642"/>
          <a:ext cx="207294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503464</xdr:colOff>
      <xdr:row>3</xdr:row>
      <xdr:rowOff>519793</xdr:rowOff>
    </xdr:from>
    <xdr:to>
      <xdr:col>6</xdr:col>
      <xdr:colOff>367393</xdr:colOff>
      <xdr:row>3</xdr:row>
      <xdr:rowOff>519793</xdr:rowOff>
    </xdr:to>
    <xdr:cxnSp macro="">
      <xdr:nvCxnSpPr>
        <xdr:cNvPr id="4" name="Straight Connector 3">
          <a:extLst>
            <a:ext uri="{FF2B5EF4-FFF2-40B4-BE49-F238E27FC236}">
              <a16:creationId xmlns:a16="http://schemas.microsoft.com/office/drawing/2014/main" id="{2BACCD3D-ED8A-48DB-8B0F-2B93E56A3D77}"/>
            </a:ext>
          </a:extLst>
        </xdr:cNvPr>
        <xdr:cNvCxnSpPr/>
      </xdr:nvCxnSpPr>
      <xdr:spPr>
        <a:xfrm>
          <a:off x="6082393" y="1676400"/>
          <a:ext cx="137432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557892</xdr:colOff>
      <xdr:row>0</xdr:row>
      <xdr:rowOff>532030</xdr:rowOff>
    </xdr:from>
    <xdr:to>
      <xdr:col>6</xdr:col>
      <xdr:colOff>308348</xdr:colOff>
      <xdr:row>0</xdr:row>
      <xdr:rowOff>532030</xdr:rowOff>
    </xdr:to>
    <xdr:cxnSp macro="">
      <xdr:nvCxnSpPr>
        <xdr:cNvPr id="5" name="Straight Connector 4">
          <a:extLst>
            <a:ext uri="{FF2B5EF4-FFF2-40B4-BE49-F238E27FC236}">
              <a16:creationId xmlns:a16="http://schemas.microsoft.com/office/drawing/2014/main" id="{B603760D-B9C2-4F1E-B992-12BAF6A85F3A}"/>
            </a:ext>
          </a:extLst>
        </xdr:cNvPr>
        <xdr:cNvCxnSpPr/>
      </xdr:nvCxnSpPr>
      <xdr:spPr>
        <a:xfrm>
          <a:off x="6136821" y="532030"/>
          <a:ext cx="126084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36"/>
  <sheetViews>
    <sheetView tabSelected="1" zoomScaleNormal="100" zoomScaleSheetLayoutView="70" workbookViewId="0">
      <selection activeCell="A3" sqref="A3:P3"/>
    </sheetView>
  </sheetViews>
  <sheetFormatPr defaultRowHeight="32.5" customHeight="1" x14ac:dyDescent="0.35"/>
  <cols>
    <col min="1" max="1" width="4.6328125" bestFit="1" customWidth="1"/>
    <col min="2" max="2" width="31.08984375" customWidth="1"/>
    <col min="3" max="3" width="16.453125" customWidth="1"/>
    <col min="4" max="4" width="17.08984375" customWidth="1"/>
    <col min="5" max="5" width="20.453125" bestFit="1"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s="1" customFormat="1" ht="17" x14ac:dyDescent="0.4">
      <c r="A1" s="54" t="s">
        <v>24</v>
      </c>
      <c r="B1" s="55"/>
      <c r="E1" s="5"/>
      <c r="F1" s="5"/>
      <c r="G1" s="47" t="s">
        <v>20</v>
      </c>
      <c r="H1" s="47"/>
      <c r="I1" s="47"/>
      <c r="J1" s="47"/>
      <c r="K1" s="47"/>
      <c r="L1" s="47"/>
      <c r="M1" s="47"/>
      <c r="N1" s="47"/>
      <c r="O1" s="47"/>
      <c r="P1" s="47"/>
    </row>
    <row r="2" spans="1:17" s="1" customFormat="1" ht="18.75" customHeight="1" x14ac:dyDescent="0.35">
      <c r="A2" s="56" t="s">
        <v>77</v>
      </c>
      <c r="B2" s="56"/>
      <c r="C2" s="2"/>
      <c r="E2" s="6"/>
      <c r="F2" s="6"/>
      <c r="G2" s="48" t="s">
        <v>21</v>
      </c>
      <c r="H2" s="48"/>
      <c r="I2" s="48"/>
      <c r="J2" s="48"/>
      <c r="K2" s="48"/>
      <c r="L2" s="48"/>
      <c r="M2" s="48"/>
      <c r="N2" s="48"/>
      <c r="O2" s="48"/>
      <c r="P2" s="48"/>
    </row>
    <row r="3" spans="1:17" ht="44.25" customHeight="1" x14ac:dyDescent="0.35">
      <c r="A3" s="48" t="s">
        <v>124</v>
      </c>
      <c r="B3" s="57"/>
      <c r="C3" s="57"/>
      <c r="D3" s="57"/>
      <c r="E3" s="57"/>
      <c r="F3" s="57"/>
      <c r="G3" s="57"/>
      <c r="H3" s="57"/>
      <c r="I3" s="57"/>
      <c r="J3" s="57"/>
      <c r="K3" s="57"/>
      <c r="L3" s="57"/>
      <c r="M3" s="57"/>
      <c r="N3" s="57"/>
      <c r="O3" s="57"/>
      <c r="P3" s="57"/>
    </row>
    <row r="4" spans="1:17" ht="9" customHeight="1" x14ac:dyDescent="0.35">
      <c r="A4" s="51"/>
      <c r="B4" s="51"/>
      <c r="C4" s="51"/>
      <c r="D4" s="51"/>
      <c r="E4" s="51"/>
      <c r="F4" s="51"/>
      <c r="G4" s="51"/>
      <c r="H4" s="51"/>
      <c r="I4" s="51"/>
      <c r="J4" s="51"/>
      <c r="K4" s="51"/>
      <c r="L4" s="51"/>
      <c r="M4" s="51"/>
      <c r="N4" s="51"/>
      <c r="O4" s="51"/>
      <c r="P4" s="51"/>
    </row>
    <row r="5" spans="1:17" ht="20.25" customHeight="1" x14ac:dyDescent="0.35">
      <c r="A5" s="33" t="s">
        <v>0</v>
      </c>
      <c r="B5" s="33" t="s">
        <v>1</v>
      </c>
      <c r="C5" s="33" t="s">
        <v>2</v>
      </c>
      <c r="D5" s="33" t="s">
        <v>26</v>
      </c>
      <c r="E5" s="33" t="s">
        <v>64</v>
      </c>
      <c r="F5" s="33" t="s">
        <v>12</v>
      </c>
      <c r="G5" s="35" t="s">
        <v>70</v>
      </c>
      <c r="H5" s="39" t="s">
        <v>50</v>
      </c>
      <c r="I5" s="39" t="s">
        <v>51</v>
      </c>
      <c r="J5" s="52" t="s">
        <v>57</v>
      </c>
      <c r="K5" s="49" t="s">
        <v>52</v>
      </c>
      <c r="L5" s="50"/>
      <c r="M5" s="49" t="s">
        <v>53</v>
      </c>
      <c r="N5" s="50"/>
      <c r="O5" s="49" t="s">
        <v>54</v>
      </c>
      <c r="P5" s="50"/>
      <c r="Q5" s="1"/>
    </row>
    <row r="6" spans="1:17" ht="65.25" customHeight="1" x14ac:dyDescent="0.35">
      <c r="A6" s="34"/>
      <c r="B6" s="34"/>
      <c r="C6" s="34"/>
      <c r="D6" s="34"/>
      <c r="E6" s="34"/>
      <c r="F6" s="34"/>
      <c r="G6" s="36"/>
      <c r="H6" s="40"/>
      <c r="I6" s="40"/>
      <c r="J6" s="53"/>
      <c r="K6" s="14" t="s">
        <v>55</v>
      </c>
      <c r="L6" s="14" t="s">
        <v>56</v>
      </c>
      <c r="M6" s="14" t="s">
        <v>55</v>
      </c>
      <c r="N6" s="14" t="s">
        <v>56</v>
      </c>
      <c r="O6" s="14" t="s">
        <v>55</v>
      </c>
      <c r="P6" s="14" t="s">
        <v>56</v>
      </c>
      <c r="Q6" s="1"/>
    </row>
    <row r="7" spans="1:17" ht="102" customHeight="1" x14ac:dyDescent="0.35">
      <c r="A7" s="28" t="s">
        <v>13</v>
      </c>
      <c r="B7" s="28" t="s">
        <v>14</v>
      </c>
      <c r="C7" s="28" t="s">
        <v>15</v>
      </c>
      <c r="D7" s="28" t="s">
        <v>16</v>
      </c>
      <c r="E7" s="28" t="s">
        <v>17</v>
      </c>
      <c r="F7" s="28" t="s">
        <v>18</v>
      </c>
      <c r="G7" s="28" t="s">
        <v>19</v>
      </c>
      <c r="H7" s="28" t="s">
        <v>65</v>
      </c>
      <c r="I7" s="28" t="s">
        <v>75</v>
      </c>
      <c r="J7" s="28" t="s">
        <v>74</v>
      </c>
      <c r="K7" s="28" t="s">
        <v>68</v>
      </c>
      <c r="L7" s="28" t="s">
        <v>73</v>
      </c>
      <c r="M7" s="28" t="s">
        <v>67</v>
      </c>
      <c r="N7" s="28" t="s">
        <v>71</v>
      </c>
      <c r="O7" s="28" t="s">
        <v>69</v>
      </c>
      <c r="P7" s="28" t="s">
        <v>72</v>
      </c>
    </row>
    <row r="8" spans="1:17" ht="31.5" customHeight="1" x14ac:dyDescent="0.35">
      <c r="A8" s="15" t="s">
        <v>3</v>
      </c>
      <c r="B8" s="37" t="s">
        <v>63</v>
      </c>
      <c r="C8" s="37"/>
      <c r="D8" s="37"/>
      <c r="E8" s="37"/>
      <c r="F8" s="37"/>
      <c r="G8" s="37"/>
      <c r="H8" s="37"/>
      <c r="I8" s="37"/>
      <c r="J8" s="37"/>
      <c r="K8" s="37"/>
      <c r="L8" s="37"/>
      <c r="M8" s="37"/>
      <c r="N8" s="37"/>
      <c r="O8" s="37"/>
      <c r="P8" s="37"/>
    </row>
    <row r="9" spans="1:17" ht="15" x14ac:dyDescent="0.35">
      <c r="A9" s="16">
        <v>1</v>
      </c>
      <c r="B9" s="45" t="s">
        <v>4</v>
      </c>
      <c r="C9" s="45"/>
      <c r="D9" s="45"/>
      <c r="E9" s="45"/>
      <c r="F9" s="16">
        <f>SUM(F10:F13)</f>
        <v>25</v>
      </c>
      <c r="G9" s="17"/>
      <c r="H9" s="17"/>
      <c r="I9" s="17"/>
      <c r="J9" s="16">
        <f t="shared" ref="J9:P9" si="0">SUM(J10:J13)</f>
        <v>26</v>
      </c>
      <c r="K9" s="16">
        <f t="shared" si="0"/>
        <v>20.75</v>
      </c>
      <c r="L9" s="16">
        <f t="shared" si="0"/>
        <v>21.5</v>
      </c>
      <c r="M9" s="16">
        <f t="shared" si="0"/>
        <v>16.75</v>
      </c>
      <c r="N9" s="16">
        <f t="shared" si="0"/>
        <v>17.5</v>
      </c>
      <c r="O9" s="16">
        <f t="shared" si="0"/>
        <v>20.0625</v>
      </c>
      <c r="P9" s="16">
        <f t="shared" si="0"/>
        <v>20.625</v>
      </c>
    </row>
    <row r="10" spans="1:17" ht="31" x14ac:dyDescent="0.35">
      <c r="A10" s="11" t="s">
        <v>22</v>
      </c>
      <c r="B10" s="66" t="s">
        <v>100</v>
      </c>
      <c r="C10" s="25" t="s">
        <v>87</v>
      </c>
      <c r="D10" s="25" t="s">
        <v>80</v>
      </c>
      <c r="E10" s="67" t="s">
        <v>101</v>
      </c>
      <c r="F10" s="67">
        <v>15</v>
      </c>
      <c r="G10" s="67" t="s">
        <v>43</v>
      </c>
      <c r="H10" s="11">
        <f>IF(G10="Khó và phức tạp",200,IF(G10="Cao",150,IF(G10="Trungbình",120,100)))</f>
        <v>100</v>
      </c>
      <c r="I10" s="11">
        <f>H10*0.01</f>
        <v>1</v>
      </c>
      <c r="J10" s="11">
        <f>F10*I10</f>
        <v>15</v>
      </c>
      <c r="K10" s="12">
        <f>F10*100%</f>
        <v>15</v>
      </c>
      <c r="L10" s="18">
        <f>K10*I10</f>
        <v>15</v>
      </c>
      <c r="M10" s="12">
        <f>K10*75%</f>
        <v>11.25</v>
      </c>
      <c r="N10" s="18">
        <f>I10*M10</f>
        <v>11.25</v>
      </c>
      <c r="O10" s="12">
        <f>K10*100%</f>
        <v>15</v>
      </c>
      <c r="P10" s="18">
        <f>I10*O10</f>
        <v>15</v>
      </c>
    </row>
    <row r="11" spans="1:17" ht="93" x14ac:dyDescent="0.35">
      <c r="A11" s="11" t="s">
        <v>23</v>
      </c>
      <c r="B11" s="66" t="s">
        <v>102</v>
      </c>
      <c r="C11" s="25" t="s">
        <v>87</v>
      </c>
      <c r="D11" s="25" t="s">
        <v>83</v>
      </c>
      <c r="E11" s="67" t="s">
        <v>42</v>
      </c>
      <c r="F11" s="67">
        <v>8</v>
      </c>
      <c r="G11" s="67" t="s">
        <v>43</v>
      </c>
      <c r="H11" s="11">
        <f t="shared" ref="H11:H13" si="1">IF(G11="Khó và phức tạp",200,IF(G11="Cao",150,IF(G11="Trungbình",120,100)))</f>
        <v>100</v>
      </c>
      <c r="I11" s="11">
        <f t="shared" ref="I11:I13" si="2">H11*0.01</f>
        <v>1</v>
      </c>
      <c r="J11" s="11">
        <f t="shared" ref="J11:J13" si="3">F11*I11</f>
        <v>8</v>
      </c>
      <c r="K11" s="12">
        <f>F11*50%</f>
        <v>4</v>
      </c>
      <c r="L11" s="18">
        <f t="shared" ref="L11:L13" si="4">K11*I11</f>
        <v>4</v>
      </c>
      <c r="M11" s="20">
        <f>K11*100%</f>
        <v>4</v>
      </c>
      <c r="N11" s="18">
        <f t="shared" ref="N11:N13" si="5">I11*M11</f>
        <v>4</v>
      </c>
      <c r="O11" s="20">
        <f>K11*100%</f>
        <v>4</v>
      </c>
      <c r="P11" s="18">
        <f t="shared" ref="P11:P13" si="6">I11*O11</f>
        <v>4</v>
      </c>
    </row>
    <row r="12" spans="1:17" ht="46.5" x14ac:dyDescent="0.35">
      <c r="A12" s="11" t="s">
        <v>33</v>
      </c>
      <c r="B12" s="66" t="s">
        <v>103</v>
      </c>
      <c r="C12" s="25" t="s">
        <v>87</v>
      </c>
      <c r="D12" s="25" t="s">
        <v>83</v>
      </c>
      <c r="E12" s="67" t="s">
        <v>79</v>
      </c>
      <c r="F12" s="67">
        <v>1</v>
      </c>
      <c r="G12" s="67" t="s">
        <v>43</v>
      </c>
      <c r="H12" s="11">
        <f t="shared" si="1"/>
        <v>100</v>
      </c>
      <c r="I12" s="11">
        <f t="shared" si="2"/>
        <v>1</v>
      </c>
      <c r="J12" s="11">
        <f t="shared" si="3"/>
        <v>1</v>
      </c>
      <c r="K12" s="12">
        <f>F12*100%</f>
        <v>1</v>
      </c>
      <c r="L12" s="18">
        <f t="shared" si="4"/>
        <v>1</v>
      </c>
      <c r="M12" s="12">
        <f>K12*75%</f>
        <v>0.75</v>
      </c>
      <c r="N12" s="18">
        <f t="shared" si="5"/>
        <v>0.75</v>
      </c>
      <c r="O12" s="12">
        <f>K12*50%</f>
        <v>0.5</v>
      </c>
      <c r="P12" s="18">
        <f t="shared" si="6"/>
        <v>0.5</v>
      </c>
    </row>
    <row r="13" spans="1:17" ht="46.5" x14ac:dyDescent="0.35">
      <c r="A13" s="11" t="s">
        <v>49</v>
      </c>
      <c r="B13" s="66" t="s">
        <v>104</v>
      </c>
      <c r="C13" s="25" t="s">
        <v>87</v>
      </c>
      <c r="D13" s="25" t="s">
        <v>105</v>
      </c>
      <c r="E13" s="67" t="s">
        <v>42</v>
      </c>
      <c r="F13" s="67">
        <v>1</v>
      </c>
      <c r="G13" s="67" t="s">
        <v>45</v>
      </c>
      <c r="H13" s="11">
        <f t="shared" si="1"/>
        <v>200</v>
      </c>
      <c r="I13" s="11">
        <f t="shared" si="2"/>
        <v>2</v>
      </c>
      <c r="J13" s="11">
        <f t="shared" si="3"/>
        <v>2</v>
      </c>
      <c r="K13" s="12">
        <f t="shared" ref="K13:K17" si="7">F13*75%</f>
        <v>0.75</v>
      </c>
      <c r="L13" s="18">
        <f t="shared" si="4"/>
        <v>1.5</v>
      </c>
      <c r="M13" s="12">
        <f t="shared" ref="M13:M17" si="8">K13*100%</f>
        <v>0.75</v>
      </c>
      <c r="N13" s="18">
        <f t="shared" si="5"/>
        <v>1.5</v>
      </c>
      <c r="O13" s="12">
        <f t="shared" ref="O13:O17" si="9">K13*75%</f>
        <v>0.5625</v>
      </c>
      <c r="P13" s="18">
        <f t="shared" si="6"/>
        <v>1.125</v>
      </c>
    </row>
    <row r="14" spans="1:17" ht="62" x14ac:dyDescent="0.35">
      <c r="A14" s="29" t="s">
        <v>96</v>
      </c>
      <c r="B14" s="66" t="s">
        <v>106</v>
      </c>
      <c r="C14" s="25" t="s">
        <v>83</v>
      </c>
      <c r="D14" s="25" t="s">
        <v>107</v>
      </c>
      <c r="E14" s="67" t="s">
        <v>81</v>
      </c>
      <c r="F14" s="67">
        <v>2</v>
      </c>
      <c r="G14" s="67" t="s">
        <v>108</v>
      </c>
      <c r="H14" s="11">
        <f t="shared" ref="H14" si="10">IF(G14="Khó và phức tạp",200,IF(G14="Cao",150,IF(G14="Trungbình",120,100)))</f>
        <v>150</v>
      </c>
      <c r="I14" s="11">
        <f t="shared" ref="I14" si="11">H14*0.01</f>
        <v>1.5</v>
      </c>
      <c r="J14" s="11">
        <f t="shared" ref="J14" si="12">F14*I14</f>
        <v>3</v>
      </c>
      <c r="K14" s="12">
        <f t="shared" si="7"/>
        <v>1.5</v>
      </c>
      <c r="L14" s="18">
        <f t="shared" ref="L14" si="13">K14*I14</f>
        <v>2.25</v>
      </c>
      <c r="M14" s="12">
        <f t="shared" si="8"/>
        <v>1.5</v>
      </c>
      <c r="N14" s="18">
        <f t="shared" ref="N14" si="14">I14*M14</f>
        <v>2.25</v>
      </c>
      <c r="O14" s="12">
        <f t="shared" si="9"/>
        <v>1.125</v>
      </c>
      <c r="P14" s="18">
        <f t="shared" ref="P14" si="15">I14*O14</f>
        <v>1.6875</v>
      </c>
    </row>
    <row r="15" spans="1:17" ht="62" x14ac:dyDescent="0.35">
      <c r="A15" s="29" t="s">
        <v>97</v>
      </c>
      <c r="B15" s="66" t="s">
        <v>109</v>
      </c>
      <c r="C15" s="25" t="s">
        <v>83</v>
      </c>
      <c r="D15" s="25" t="s">
        <v>107</v>
      </c>
      <c r="E15" s="67" t="s">
        <v>81</v>
      </c>
      <c r="F15" s="67">
        <v>6</v>
      </c>
      <c r="G15" s="67" t="s">
        <v>108</v>
      </c>
      <c r="H15" s="11">
        <f t="shared" ref="H15:H17" si="16">IF(G15="Khó và phức tạp",200,IF(G15="Cao",150,IF(G15="Trungbình",120,100)))</f>
        <v>150</v>
      </c>
      <c r="I15" s="11">
        <f t="shared" ref="I15:I17" si="17">H15*0.01</f>
        <v>1.5</v>
      </c>
      <c r="J15" s="11">
        <f t="shared" ref="J15:J17" si="18">F15*I15</f>
        <v>9</v>
      </c>
      <c r="K15" s="12">
        <f t="shared" si="7"/>
        <v>4.5</v>
      </c>
      <c r="L15" s="18">
        <f t="shared" ref="L15" si="19">K15*I15</f>
        <v>6.75</v>
      </c>
      <c r="M15" s="12">
        <f t="shared" si="8"/>
        <v>4.5</v>
      </c>
      <c r="N15" s="18">
        <f t="shared" ref="N15" si="20">I15*M15</f>
        <v>6.75</v>
      </c>
      <c r="O15" s="12">
        <f t="shared" si="9"/>
        <v>3.375</v>
      </c>
      <c r="P15" s="18">
        <f t="shared" ref="P15" si="21">I15*O15</f>
        <v>5.0625</v>
      </c>
    </row>
    <row r="16" spans="1:17" ht="93" x14ac:dyDescent="0.35">
      <c r="A16" s="29" t="s">
        <v>98</v>
      </c>
      <c r="B16" s="66" t="s">
        <v>110</v>
      </c>
      <c r="C16" s="25" t="s">
        <v>111</v>
      </c>
      <c r="D16" s="25" t="s">
        <v>112</v>
      </c>
      <c r="E16" s="67" t="s">
        <v>113</v>
      </c>
      <c r="F16" s="67">
        <v>1</v>
      </c>
      <c r="G16" s="67" t="s">
        <v>108</v>
      </c>
      <c r="H16" s="11">
        <f t="shared" si="16"/>
        <v>150</v>
      </c>
      <c r="I16" s="11">
        <f t="shared" si="17"/>
        <v>1.5</v>
      </c>
      <c r="J16" s="11">
        <f t="shared" si="18"/>
        <v>1.5</v>
      </c>
      <c r="K16" s="12">
        <f t="shared" si="7"/>
        <v>0.75</v>
      </c>
      <c r="L16" s="18">
        <f t="shared" ref="L16:L17" si="22">K16*I16</f>
        <v>1.125</v>
      </c>
      <c r="M16" s="12">
        <f t="shared" si="8"/>
        <v>0.75</v>
      </c>
      <c r="N16" s="18">
        <f t="shared" ref="N16:N17" si="23">I16*M16</f>
        <v>1.125</v>
      </c>
      <c r="O16" s="12">
        <f t="shared" si="9"/>
        <v>0.5625</v>
      </c>
      <c r="P16" s="18">
        <f t="shared" ref="P16:P17" si="24">I16*O16</f>
        <v>0.84375</v>
      </c>
    </row>
    <row r="17" spans="1:16" ht="93" x14ac:dyDescent="0.35">
      <c r="A17" s="29" t="s">
        <v>99</v>
      </c>
      <c r="B17" s="19" t="s">
        <v>92</v>
      </c>
      <c r="C17" s="11" t="s">
        <v>93</v>
      </c>
      <c r="D17" s="11" t="s">
        <v>94</v>
      </c>
      <c r="E17" s="11" t="s">
        <v>91</v>
      </c>
      <c r="F17" s="11">
        <v>1</v>
      </c>
      <c r="G17" s="11" t="s">
        <v>43</v>
      </c>
      <c r="H17" s="11">
        <f t="shared" si="16"/>
        <v>100</v>
      </c>
      <c r="I17" s="11">
        <f t="shared" si="17"/>
        <v>1</v>
      </c>
      <c r="J17" s="11">
        <f t="shared" si="18"/>
        <v>1</v>
      </c>
      <c r="K17" s="12">
        <f t="shared" si="7"/>
        <v>0.75</v>
      </c>
      <c r="L17" s="18">
        <f t="shared" si="22"/>
        <v>0.75</v>
      </c>
      <c r="M17" s="12">
        <f t="shared" si="8"/>
        <v>0.75</v>
      </c>
      <c r="N17" s="18">
        <f t="shared" si="23"/>
        <v>0.75</v>
      </c>
      <c r="O17" s="12">
        <f t="shared" si="9"/>
        <v>0.5625</v>
      </c>
      <c r="P17" s="18">
        <f t="shared" si="24"/>
        <v>0.5625</v>
      </c>
    </row>
    <row r="18" spans="1:16" ht="15" x14ac:dyDescent="0.35">
      <c r="A18" s="16">
        <v>2</v>
      </c>
      <c r="B18" s="45" t="s">
        <v>6</v>
      </c>
      <c r="C18" s="45"/>
      <c r="D18" s="45"/>
      <c r="E18" s="45"/>
      <c r="F18" s="16">
        <f>SUM(F19:F20)</f>
        <v>2</v>
      </c>
      <c r="G18" s="17"/>
      <c r="H18" s="17"/>
      <c r="I18" s="17"/>
      <c r="J18" s="16">
        <f>SUM(J19:J20)</f>
        <v>2</v>
      </c>
      <c r="K18" s="16">
        <f>SUM(K19:K20)</f>
        <v>2</v>
      </c>
      <c r="L18" s="16">
        <f>SUM(L19:L20)</f>
        <v>2</v>
      </c>
      <c r="M18" s="16">
        <f>SUM(M19:M20)</f>
        <v>1.5</v>
      </c>
      <c r="N18" s="16">
        <f>SUM(N19:N20)</f>
        <v>1.5</v>
      </c>
      <c r="O18" s="16">
        <f>SUM(O19:O20)</f>
        <v>2</v>
      </c>
      <c r="P18" s="16">
        <f>SUM(P19:P20)</f>
        <v>2</v>
      </c>
    </row>
    <row r="19" spans="1:16" ht="62" x14ac:dyDescent="0.35">
      <c r="A19" s="11">
        <v>2.1</v>
      </c>
      <c r="B19" s="66" t="s">
        <v>114</v>
      </c>
      <c r="C19" s="25" t="s">
        <v>87</v>
      </c>
      <c r="D19" s="25" t="s">
        <v>80</v>
      </c>
      <c r="E19" s="67" t="s">
        <v>79</v>
      </c>
      <c r="F19" s="67">
        <v>1</v>
      </c>
      <c r="G19" s="67" t="s">
        <v>115</v>
      </c>
      <c r="H19" s="11">
        <f>IF(G19="Khó và phức tạp",200,IF(G19="Cao",150,IF(G19="Trungbình",120,100)))</f>
        <v>100</v>
      </c>
      <c r="I19" s="11">
        <f>H19*0.01</f>
        <v>1</v>
      </c>
      <c r="J19" s="11">
        <f>F19*I19</f>
        <v>1</v>
      </c>
      <c r="K19" s="12">
        <f>F19*100%</f>
        <v>1</v>
      </c>
      <c r="L19" s="18">
        <f t="shared" ref="L19:L20" si="25">K19*I19</f>
        <v>1</v>
      </c>
      <c r="M19" s="12">
        <f>K19*75%</f>
        <v>0.75</v>
      </c>
      <c r="N19" s="18">
        <f>I19*M19</f>
        <v>0.75</v>
      </c>
      <c r="O19" s="12">
        <f>K19*100%</f>
        <v>1</v>
      </c>
      <c r="P19" s="18">
        <f>I19*O19</f>
        <v>1</v>
      </c>
    </row>
    <row r="20" spans="1:16" ht="46.5" x14ac:dyDescent="0.35">
      <c r="A20" s="11">
        <v>2.2000000000000002</v>
      </c>
      <c r="B20" s="66" t="s">
        <v>116</v>
      </c>
      <c r="C20" s="25" t="s">
        <v>87</v>
      </c>
      <c r="D20" s="66" t="s">
        <v>83</v>
      </c>
      <c r="E20" s="66" t="s">
        <v>95</v>
      </c>
      <c r="F20" s="66">
        <v>1</v>
      </c>
      <c r="G20" s="67" t="s">
        <v>43</v>
      </c>
      <c r="H20" s="11">
        <f>IF(G20="Khó và phức tạp",200,IF(G20="Cao",150,IF(G20="Trungbình",120,100)))</f>
        <v>100</v>
      </c>
      <c r="I20" s="11">
        <f>H20*0.01</f>
        <v>1</v>
      </c>
      <c r="J20" s="11">
        <f>F20*I20</f>
        <v>1</v>
      </c>
      <c r="K20" s="12">
        <f>F20*100%</f>
        <v>1</v>
      </c>
      <c r="L20" s="18">
        <f t="shared" si="25"/>
        <v>1</v>
      </c>
      <c r="M20" s="12">
        <f>K20*75%</f>
        <v>0.75</v>
      </c>
      <c r="N20" s="18">
        <f>I20*M20</f>
        <v>0.75</v>
      </c>
      <c r="O20" s="12">
        <f>K20*100%</f>
        <v>1</v>
      </c>
      <c r="P20" s="18">
        <f>I20*O20</f>
        <v>1</v>
      </c>
    </row>
    <row r="21" spans="1:16" ht="15" x14ac:dyDescent="0.35">
      <c r="A21" s="16">
        <v>3</v>
      </c>
      <c r="B21" s="45" t="s">
        <v>7</v>
      </c>
      <c r="C21" s="45"/>
      <c r="D21" s="45"/>
      <c r="E21" s="45"/>
      <c r="F21" s="16">
        <f>SUM(F23:F23)</f>
        <v>1</v>
      </c>
      <c r="G21" s="17"/>
      <c r="H21" s="17"/>
      <c r="I21" s="17"/>
      <c r="J21" s="16">
        <f t="shared" ref="J21:P21" si="26">SUM(J23:J23)</f>
        <v>1</v>
      </c>
      <c r="K21" s="16">
        <f t="shared" si="26"/>
        <v>1</v>
      </c>
      <c r="L21" s="16">
        <f t="shared" si="26"/>
        <v>1</v>
      </c>
      <c r="M21" s="16">
        <f t="shared" si="26"/>
        <v>0.75</v>
      </c>
      <c r="N21" s="16">
        <f t="shared" si="26"/>
        <v>0.75</v>
      </c>
      <c r="O21" s="16">
        <f t="shared" si="26"/>
        <v>1</v>
      </c>
      <c r="P21" s="16">
        <f t="shared" si="26"/>
        <v>1</v>
      </c>
    </row>
    <row r="22" spans="1:16" ht="46.5" x14ac:dyDescent="0.35">
      <c r="A22" s="16">
        <v>3.1</v>
      </c>
      <c r="B22" s="19" t="s">
        <v>117</v>
      </c>
      <c r="C22" s="11" t="s">
        <v>87</v>
      </c>
      <c r="D22" s="11" t="s">
        <v>80</v>
      </c>
      <c r="E22" s="11" t="s">
        <v>118</v>
      </c>
      <c r="F22" s="11">
        <v>21</v>
      </c>
      <c r="G22" s="11" t="s">
        <v>59</v>
      </c>
      <c r="H22" s="11">
        <f t="shared" ref="H22" si="27">IF(G22="Khó và phức tạp",200,IF(G22="Cao",150,IF(G22="Trungbình",120,100)))</f>
        <v>100</v>
      </c>
      <c r="I22" s="11">
        <f t="shared" ref="I22" si="28">H22*0.01</f>
        <v>1</v>
      </c>
      <c r="J22" s="11">
        <f>F22*I22</f>
        <v>21</v>
      </c>
      <c r="K22" s="12">
        <f>F22*100%</f>
        <v>21</v>
      </c>
      <c r="L22" s="18">
        <f t="shared" ref="L22" si="29">K22*I22</f>
        <v>21</v>
      </c>
      <c r="M22" s="12">
        <f>K22*75%</f>
        <v>15.75</v>
      </c>
      <c r="N22" s="18">
        <f>I22*M22</f>
        <v>15.75</v>
      </c>
      <c r="O22" s="12">
        <f>K22*100%</f>
        <v>21</v>
      </c>
      <c r="P22" s="18">
        <f>I22*O22</f>
        <v>21</v>
      </c>
    </row>
    <row r="23" spans="1:16" ht="62" x14ac:dyDescent="0.35">
      <c r="A23" s="11">
        <v>3.2</v>
      </c>
      <c r="B23" s="19" t="s">
        <v>84</v>
      </c>
      <c r="C23" s="11" t="s">
        <v>78</v>
      </c>
      <c r="D23" s="11" t="s">
        <v>80</v>
      </c>
      <c r="E23" s="11" t="s">
        <v>82</v>
      </c>
      <c r="F23" s="11">
        <v>1</v>
      </c>
      <c r="G23" s="11" t="s">
        <v>59</v>
      </c>
      <c r="H23" s="11">
        <f>IF(G23="Khó và phức tạp",200,IF(G23="Cao",150,IF(G23="Trungbình",120,100)))</f>
        <v>100</v>
      </c>
      <c r="I23" s="11">
        <f>H23*0.01</f>
        <v>1</v>
      </c>
      <c r="J23" s="11">
        <f>F23*I23</f>
        <v>1</v>
      </c>
      <c r="K23" s="12">
        <f>F23*100%</f>
        <v>1</v>
      </c>
      <c r="L23" s="18">
        <f t="shared" ref="L23" si="30">K23*I23</f>
        <v>1</v>
      </c>
      <c r="M23" s="12">
        <f>K23*75%</f>
        <v>0.75</v>
      </c>
      <c r="N23" s="18">
        <f>I23*M23</f>
        <v>0.75</v>
      </c>
      <c r="O23" s="12">
        <f>K23*100%</f>
        <v>1</v>
      </c>
      <c r="P23" s="18">
        <f>I23*O23</f>
        <v>1</v>
      </c>
    </row>
    <row r="24" spans="1:16" ht="15" x14ac:dyDescent="0.35">
      <c r="A24" s="16">
        <v>4</v>
      </c>
      <c r="B24" s="46" t="s">
        <v>8</v>
      </c>
      <c r="C24" s="46"/>
      <c r="D24" s="46"/>
      <c r="E24" s="46"/>
      <c r="F24" s="16">
        <f>SUM(F26:F26)</f>
        <v>21</v>
      </c>
      <c r="G24" s="17"/>
      <c r="H24" s="17"/>
      <c r="I24" s="17"/>
      <c r="J24" s="16">
        <f t="shared" ref="J24:P24" si="31">SUM(J26:J26)</f>
        <v>21</v>
      </c>
      <c r="K24" s="16">
        <f t="shared" si="31"/>
        <v>21</v>
      </c>
      <c r="L24" s="16">
        <f t="shared" si="31"/>
        <v>21</v>
      </c>
      <c r="M24" s="16">
        <f t="shared" si="31"/>
        <v>15.75</v>
      </c>
      <c r="N24" s="16">
        <f t="shared" si="31"/>
        <v>15.75</v>
      </c>
      <c r="O24" s="16">
        <f t="shared" si="31"/>
        <v>21</v>
      </c>
      <c r="P24" s="16">
        <f t="shared" si="31"/>
        <v>21</v>
      </c>
    </row>
    <row r="25" spans="1:16" ht="77.5" x14ac:dyDescent="0.35">
      <c r="A25" s="11">
        <v>4.0999999999999996</v>
      </c>
      <c r="B25" s="68" t="s">
        <v>121</v>
      </c>
      <c r="C25" s="25" t="s">
        <v>87</v>
      </c>
      <c r="D25" s="11" t="s">
        <v>80</v>
      </c>
      <c r="E25" s="67" t="s">
        <v>119</v>
      </c>
      <c r="F25" s="67">
        <v>21</v>
      </c>
      <c r="G25" s="67" t="s">
        <v>59</v>
      </c>
      <c r="H25" s="11">
        <f t="shared" ref="H25" si="32">IF(G25="Khó và phức tạp",200,IF(G25="Cao",150,IF(G25="Trungbình",120,100)))</f>
        <v>100</v>
      </c>
      <c r="I25" s="11">
        <f t="shared" ref="I25" si="33">H25*0.01</f>
        <v>1</v>
      </c>
      <c r="J25" s="11">
        <f>F25*I25</f>
        <v>21</v>
      </c>
      <c r="K25" s="12">
        <f>F25*100%</f>
        <v>21</v>
      </c>
      <c r="L25" s="18">
        <f t="shared" ref="L25" si="34">K25*I25</f>
        <v>21</v>
      </c>
      <c r="M25" s="12">
        <f>K25*75%</f>
        <v>15.75</v>
      </c>
      <c r="N25" s="18">
        <f>I25*M25</f>
        <v>15.75</v>
      </c>
      <c r="O25" s="12">
        <f>K25*100%</f>
        <v>21</v>
      </c>
      <c r="P25" s="18">
        <f>I25*O25</f>
        <v>21</v>
      </c>
    </row>
    <row r="26" spans="1:16" ht="93" x14ac:dyDescent="0.35">
      <c r="A26" s="11">
        <v>4.2</v>
      </c>
      <c r="B26" s="68" t="s">
        <v>120</v>
      </c>
      <c r="C26" s="11" t="s">
        <v>87</v>
      </c>
      <c r="D26" s="11" t="s">
        <v>80</v>
      </c>
      <c r="E26" s="67" t="s">
        <v>119</v>
      </c>
      <c r="F26" s="11">
        <v>21</v>
      </c>
      <c r="G26" s="11" t="s">
        <v>59</v>
      </c>
      <c r="H26" s="11">
        <f t="shared" ref="H26" si="35">IF(G26="Khó và phức tạp",200,IF(G26="Cao",150,IF(G26="Trungbình",120,100)))</f>
        <v>100</v>
      </c>
      <c r="I26" s="11">
        <f t="shared" ref="I26" si="36">H26*0.01</f>
        <v>1</v>
      </c>
      <c r="J26" s="11">
        <f>F26*I26</f>
        <v>21</v>
      </c>
      <c r="K26" s="12">
        <f>F26*100%</f>
        <v>21</v>
      </c>
      <c r="L26" s="18">
        <f t="shared" ref="L26" si="37">K26*I26</f>
        <v>21</v>
      </c>
      <c r="M26" s="12">
        <f>K26*75%</f>
        <v>15.75</v>
      </c>
      <c r="N26" s="18">
        <f>I26*M26</f>
        <v>15.75</v>
      </c>
      <c r="O26" s="12">
        <f>K26*100%</f>
        <v>21</v>
      </c>
      <c r="P26" s="18">
        <f>I26*O26</f>
        <v>21</v>
      </c>
    </row>
    <row r="27" spans="1:16" ht="15" x14ac:dyDescent="0.35">
      <c r="A27" s="16">
        <v>5</v>
      </c>
      <c r="B27" s="45" t="s">
        <v>9</v>
      </c>
      <c r="C27" s="45"/>
      <c r="D27" s="45"/>
      <c r="E27" s="45"/>
      <c r="F27" s="16">
        <f>SUM(F28:F28)</f>
        <v>1</v>
      </c>
      <c r="G27" s="17"/>
      <c r="H27" s="17"/>
      <c r="I27" s="17"/>
      <c r="J27" s="16">
        <f>SUM(J28:J28)</f>
        <v>1</v>
      </c>
      <c r="K27" s="16">
        <f>SUM(K28:K28)</f>
        <v>1</v>
      </c>
      <c r="L27" s="16">
        <f>SUM(L28:L28)</f>
        <v>1</v>
      </c>
      <c r="M27" s="16">
        <f>SUM(M28:M28)</f>
        <v>0.75</v>
      </c>
      <c r="N27" s="16">
        <f>SUM(N28:N28)</f>
        <v>0.75</v>
      </c>
      <c r="O27" s="16">
        <f>SUM(O28:O28)</f>
        <v>1</v>
      </c>
      <c r="P27" s="16">
        <f>SUM(P28:P28)</f>
        <v>1</v>
      </c>
    </row>
    <row r="28" spans="1:16" ht="77.5" x14ac:dyDescent="0.35">
      <c r="A28" s="11">
        <v>5.0999999999999996</v>
      </c>
      <c r="B28" s="19" t="s">
        <v>122</v>
      </c>
      <c r="C28" s="11" t="s">
        <v>78</v>
      </c>
      <c r="D28" s="11" t="s">
        <v>86</v>
      </c>
      <c r="E28" s="11" t="s">
        <v>85</v>
      </c>
      <c r="F28" s="11">
        <v>1</v>
      </c>
      <c r="G28" s="11" t="s">
        <v>59</v>
      </c>
      <c r="H28" s="11">
        <f t="shared" ref="H28" si="38">IF(G28="Khó và phức tạp",200,IF(G28="Cao",150,IF(G28="Trungbình",120,100)))</f>
        <v>100</v>
      </c>
      <c r="I28" s="11">
        <f t="shared" ref="I28" si="39">H28*0.01</f>
        <v>1</v>
      </c>
      <c r="J28" s="11">
        <f t="shared" ref="J28" si="40">F28*I28</f>
        <v>1</v>
      </c>
      <c r="K28" s="12">
        <f t="shared" ref="K28" si="41">F28*100%</f>
        <v>1</v>
      </c>
      <c r="L28" s="18">
        <f t="shared" ref="L28" si="42">K28*I28</f>
        <v>1</v>
      </c>
      <c r="M28" s="12">
        <f t="shared" ref="M28" si="43">K28*75%</f>
        <v>0.75</v>
      </c>
      <c r="N28" s="18">
        <f t="shared" ref="N28" si="44">I28*M28</f>
        <v>0.75</v>
      </c>
      <c r="O28" s="12">
        <f t="shared" ref="O28" si="45">K28*100%</f>
        <v>1</v>
      </c>
      <c r="P28" s="18">
        <f t="shared" ref="P28" si="46">I28*O28</f>
        <v>1</v>
      </c>
    </row>
    <row r="29" spans="1:16" ht="15" x14ac:dyDescent="0.35">
      <c r="A29" s="16">
        <v>6</v>
      </c>
      <c r="B29" s="41" t="s">
        <v>10</v>
      </c>
      <c r="C29" s="42"/>
      <c r="D29" s="42"/>
      <c r="E29" s="42"/>
      <c r="F29" s="16">
        <f>SUM(F30:F30)</f>
        <v>1</v>
      </c>
      <c r="G29" s="17"/>
      <c r="H29" s="17"/>
      <c r="I29" s="17"/>
      <c r="J29" s="16">
        <f t="shared" ref="J29:P29" si="47">SUM(J30:J30)</f>
        <v>1</v>
      </c>
      <c r="K29" s="16">
        <f t="shared" si="47"/>
        <v>1</v>
      </c>
      <c r="L29" s="16">
        <f t="shared" si="47"/>
        <v>1</v>
      </c>
      <c r="M29" s="16">
        <f t="shared" si="47"/>
        <v>0.75</v>
      </c>
      <c r="N29" s="16">
        <f t="shared" si="47"/>
        <v>0.75</v>
      </c>
      <c r="O29" s="16">
        <f t="shared" si="47"/>
        <v>1</v>
      </c>
      <c r="P29" s="16">
        <f t="shared" si="47"/>
        <v>1</v>
      </c>
    </row>
    <row r="30" spans="1:16" ht="46.5" x14ac:dyDescent="0.35">
      <c r="A30" s="11">
        <v>6.1</v>
      </c>
      <c r="B30" s="19" t="s">
        <v>88</v>
      </c>
      <c r="C30" s="11" t="s">
        <v>87</v>
      </c>
      <c r="D30" s="11" t="s">
        <v>86</v>
      </c>
      <c r="E30" s="11" t="s">
        <v>89</v>
      </c>
      <c r="F30" s="11">
        <v>1</v>
      </c>
      <c r="G30" s="11" t="s">
        <v>59</v>
      </c>
      <c r="H30" s="11">
        <f>IF(G30="Khó và phức tạp",200,IF(G30="Cao",150,IF(G30="Trungbình",120,100)))</f>
        <v>100</v>
      </c>
      <c r="I30" s="11">
        <f>H30*0.01</f>
        <v>1</v>
      </c>
      <c r="J30" s="11">
        <f t="shared" ref="J30" si="48">F30*I30</f>
        <v>1</v>
      </c>
      <c r="K30" s="12">
        <f t="shared" ref="K30" si="49">F30*100%</f>
        <v>1</v>
      </c>
      <c r="L30" s="18">
        <f t="shared" ref="L30" si="50">K30*I30</f>
        <v>1</v>
      </c>
      <c r="M30" s="12">
        <f t="shared" ref="M30" si="51">K30*75%</f>
        <v>0.75</v>
      </c>
      <c r="N30" s="18">
        <f t="shared" ref="N30" si="52">I30*M30</f>
        <v>0.75</v>
      </c>
      <c r="O30" s="12">
        <f t="shared" ref="O30" si="53">K30*100%</f>
        <v>1</v>
      </c>
      <c r="P30" s="18">
        <f t="shared" ref="P30" si="54">I30*O30</f>
        <v>1</v>
      </c>
    </row>
    <row r="31" spans="1:16" ht="15" x14ac:dyDescent="0.35">
      <c r="A31" s="16" t="s">
        <v>11</v>
      </c>
      <c r="B31" s="43" t="s">
        <v>41</v>
      </c>
      <c r="C31" s="44"/>
      <c r="D31" s="44"/>
      <c r="E31" s="44"/>
      <c r="F31" s="16">
        <f>SUM(F32:F34)</f>
        <v>0</v>
      </c>
      <c r="G31" s="17"/>
      <c r="H31" s="17"/>
      <c r="I31" s="17"/>
      <c r="J31" s="16">
        <f t="shared" ref="J31:P31" si="55">SUM(J32:J34)</f>
        <v>0</v>
      </c>
      <c r="K31" s="16">
        <f t="shared" si="55"/>
        <v>0</v>
      </c>
      <c r="L31" s="16">
        <f t="shared" si="55"/>
        <v>0</v>
      </c>
      <c r="M31" s="16">
        <f t="shared" si="55"/>
        <v>0</v>
      </c>
      <c r="N31" s="16">
        <f t="shared" si="55"/>
        <v>0</v>
      </c>
      <c r="O31" s="16">
        <f t="shared" si="55"/>
        <v>0</v>
      </c>
      <c r="P31" s="16">
        <f t="shared" si="55"/>
        <v>0</v>
      </c>
    </row>
    <row r="32" spans="1:16" ht="31" x14ac:dyDescent="0.35">
      <c r="A32" s="11">
        <v>1</v>
      </c>
      <c r="B32" s="19"/>
      <c r="C32" s="11"/>
      <c r="D32" s="11"/>
      <c r="E32" s="11"/>
      <c r="F32" s="11"/>
      <c r="G32" s="11" t="s">
        <v>45</v>
      </c>
      <c r="H32" s="11">
        <f>IF(G32="Khó và phức tạp",200,IF(G32="Cao",150,IF(G32="Trungbình",120,100)))</f>
        <v>200</v>
      </c>
      <c r="I32" s="11">
        <f>H32*0.01</f>
        <v>2</v>
      </c>
      <c r="J32" s="11">
        <f t="shared" ref="J32:J34" si="56">F32*I32</f>
        <v>0</v>
      </c>
      <c r="K32" s="12">
        <f t="shared" ref="K32:K34" si="57">F32*100%</f>
        <v>0</v>
      </c>
      <c r="L32" s="18">
        <f t="shared" ref="L32:L34" si="58">K32*I32</f>
        <v>0</v>
      </c>
      <c r="M32" s="12">
        <f t="shared" ref="M32:M34" si="59">K32*75%</f>
        <v>0</v>
      </c>
      <c r="N32" s="18">
        <f t="shared" ref="N32:N34" si="60">I32*M32</f>
        <v>0</v>
      </c>
      <c r="O32" s="12">
        <f t="shared" ref="O32:O34" si="61">K32*100%</f>
        <v>0</v>
      </c>
      <c r="P32" s="18">
        <f t="shared" ref="P32:P34" si="62">I32*O32</f>
        <v>0</v>
      </c>
    </row>
    <row r="33" spans="1:16" ht="31" x14ac:dyDescent="0.35">
      <c r="A33" s="11">
        <v>2</v>
      </c>
      <c r="B33" s="19"/>
      <c r="C33" s="11"/>
      <c r="D33" s="11"/>
      <c r="E33" s="11"/>
      <c r="F33" s="11"/>
      <c r="G33" s="11" t="s">
        <v>45</v>
      </c>
      <c r="H33" s="11">
        <f>IF(G33="Khó và phức tạp",200,IF(G33="Cao",150,IF(G33="Trungbình",120,100)))</f>
        <v>200</v>
      </c>
      <c r="I33" s="11">
        <f>H33*0.01</f>
        <v>2</v>
      </c>
      <c r="J33" s="11">
        <f t="shared" si="56"/>
        <v>0</v>
      </c>
      <c r="K33" s="12">
        <f t="shared" si="57"/>
        <v>0</v>
      </c>
      <c r="L33" s="18">
        <f t="shared" si="58"/>
        <v>0</v>
      </c>
      <c r="M33" s="12">
        <f t="shared" si="59"/>
        <v>0</v>
      </c>
      <c r="N33" s="18">
        <f t="shared" si="60"/>
        <v>0</v>
      </c>
      <c r="O33" s="12">
        <f t="shared" si="61"/>
        <v>0</v>
      </c>
      <c r="P33" s="18">
        <f t="shared" si="62"/>
        <v>0</v>
      </c>
    </row>
    <row r="34" spans="1:16" ht="31" x14ac:dyDescent="0.35">
      <c r="A34" s="11" t="s">
        <v>5</v>
      </c>
      <c r="B34" s="19"/>
      <c r="C34" s="11"/>
      <c r="D34" s="11"/>
      <c r="E34" s="11"/>
      <c r="F34" s="11"/>
      <c r="G34" s="11" t="s">
        <v>45</v>
      </c>
      <c r="H34" s="11">
        <f>IF(G34="Khó và phức tạp",200,IF(G34="Cao",150,IF(G34="Trungbình",120,100)))</f>
        <v>200</v>
      </c>
      <c r="I34" s="11">
        <f>H34*0.01</f>
        <v>2</v>
      </c>
      <c r="J34" s="11">
        <f t="shared" si="56"/>
        <v>0</v>
      </c>
      <c r="K34" s="12">
        <f t="shared" si="57"/>
        <v>0</v>
      </c>
      <c r="L34" s="18">
        <f t="shared" si="58"/>
        <v>0</v>
      </c>
      <c r="M34" s="12">
        <f t="shared" si="59"/>
        <v>0</v>
      </c>
      <c r="N34" s="18">
        <f t="shared" si="60"/>
        <v>0</v>
      </c>
      <c r="O34" s="12">
        <f t="shared" si="61"/>
        <v>0</v>
      </c>
      <c r="P34" s="18">
        <f t="shared" si="62"/>
        <v>0</v>
      </c>
    </row>
    <row r="35" spans="1:16" s="3" customFormat="1" ht="15.5" x14ac:dyDescent="0.35">
      <c r="B35" s="38"/>
      <c r="C35" s="38"/>
      <c r="D35" s="38"/>
      <c r="E35" s="38"/>
      <c r="F35" s="38"/>
      <c r="G35" s="38"/>
      <c r="H35" s="38"/>
      <c r="I35" s="38"/>
      <c r="J35" s="38"/>
      <c r="K35" s="38"/>
      <c r="L35" s="38"/>
      <c r="M35" s="38"/>
      <c r="N35" s="38"/>
      <c r="O35" s="38"/>
      <c r="P35" s="38"/>
    </row>
    <row r="36" spans="1:16" s="4" customFormat="1" ht="131.25" customHeight="1" x14ac:dyDescent="0.35">
      <c r="A36" s="32" t="s">
        <v>90</v>
      </c>
      <c r="B36" s="32"/>
      <c r="C36" s="32"/>
      <c r="D36" s="13"/>
      <c r="G36" s="30" t="s">
        <v>123</v>
      </c>
      <c r="H36" s="30"/>
      <c r="I36" s="30"/>
      <c r="J36" s="30"/>
      <c r="K36" s="30"/>
      <c r="L36" s="31"/>
      <c r="M36" s="31"/>
      <c r="N36" s="31"/>
      <c r="O36" s="31"/>
      <c r="P36" s="31"/>
    </row>
  </sheetData>
  <mergeCells count="30">
    <mergeCell ref="B24:E24"/>
    <mergeCell ref="B21:E21"/>
    <mergeCell ref="B27:E27"/>
    <mergeCell ref="G1:P1"/>
    <mergeCell ref="G2:P2"/>
    <mergeCell ref="K5:L5"/>
    <mergeCell ref="M5:N5"/>
    <mergeCell ref="O5:P5"/>
    <mergeCell ref="A4:P4"/>
    <mergeCell ref="I5:I6"/>
    <mergeCell ref="J5:J6"/>
    <mergeCell ref="A1:B1"/>
    <mergeCell ref="A2:B2"/>
    <mergeCell ref="A3:P3"/>
    <mergeCell ref="G36:P36"/>
    <mergeCell ref="A36:C36"/>
    <mergeCell ref="F5:F6"/>
    <mergeCell ref="G5:G6"/>
    <mergeCell ref="A5:A6"/>
    <mergeCell ref="B5:B6"/>
    <mergeCell ref="C5:C6"/>
    <mergeCell ref="D5:D6"/>
    <mergeCell ref="E5:E6"/>
    <mergeCell ref="B8:P8"/>
    <mergeCell ref="B35:P35"/>
    <mergeCell ref="H5:H6"/>
    <mergeCell ref="B29:E29"/>
    <mergeCell ref="B31:E31"/>
    <mergeCell ref="B9:E9"/>
    <mergeCell ref="B18:E18"/>
  </mergeCells>
  <phoneticPr fontId="27" type="noConversion"/>
  <conditionalFormatting sqref="C23">
    <cfRule type="dataBar" priority="21">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6">
    <cfRule type="dataBar" priority="25">
      <dataBar>
        <cfvo type="min"/>
        <cfvo type="max"/>
        <color rgb="FF638EC6"/>
      </dataBar>
      <extLst>
        <ext xmlns:x14="http://schemas.microsoft.com/office/spreadsheetml/2009/9/main" uri="{B025F937-C7B1-47D3-B67F-A62EFF666E3E}">
          <x14:id>{43AE063F-6FBA-4145-8E96-3B15FC0C4DF2}</x14:id>
        </ext>
      </extLst>
    </cfRule>
  </conditionalFormatting>
  <conditionalFormatting sqref="C28">
    <cfRule type="dataBar" priority="14">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0">
    <cfRule type="dataBar" priority="13">
      <dataBar>
        <cfvo type="min"/>
        <cfvo type="max"/>
        <color rgb="FF638EC6"/>
      </dataBar>
      <extLst>
        <ext xmlns:x14="http://schemas.microsoft.com/office/spreadsheetml/2009/9/main" uri="{B025F937-C7B1-47D3-B67F-A62EFF666E3E}">
          <x14:id>{7B7386AC-401E-4F5B-B788-18DAF607FC08}</x14:id>
        </ext>
      </extLst>
    </cfRule>
  </conditionalFormatting>
  <conditionalFormatting sqref="C32:C34">
    <cfRule type="dataBar" priority="16">
      <dataBar>
        <cfvo type="min"/>
        <cfvo type="max"/>
        <color rgb="FF638EC6"/>
      </dataBar>
      <extLst>
        <ext xmlns:x14="http://schemas.microsoft.com/office/spreadsheetml/2009/9/main" uri="{B025F937-C7B1-47D3-B67F-A62EFF666E3E}">
          <x14:id>{2EA7D65E-B8CA-499C-8421-2AC504B81EAC}</x14:id>
        </ext>
      </extLst>
    </cfRule>
  </conditionalFormatting>
  <conditionalFormatting sqref="C10">
    <cfRule type="dataBar" priority="12">
      <dataBar>
        <cfvo type="min"/>
        <cfvo type="max"/>
        <color rgb="FF638EC6"/>
      </dataBar>
      <extLst>
        <ext xmlns:x14="http://schemas.microsoft.com/office/spreadsheetml/2009/9/main" uri="{B025F937-C7B1-47D3-B67F-A62EFF666E3E}">
          <x14:id>{BFDBF792-1FEA-4CAC-A38A-8F848051E391}</x14:id>
        </ext>
      </extLst>
    </cfRule>
  </conditionalFormatting>
  <conditionalFormatting sqref="C11">
    <cfRule type="dataBar" priority="11">
      <dataBar>
        <cfvo type="min"/>
        <cfvo type="max"/>
        <color rgb="FF638EC6"/>
      </dataBar>
      <extLst>
        <ext xmlns:x14="http://schemas.microsoft.com/office/spreadsheetml/2009/9/main" uri="{B025F937-C7B1-47D3-B67F-A62EFF666E3E}">
          <x14:id>{C64EC07A-4094-4FC6-9332-E3720C328B3B}</x14:id>
        </ext>
      </extLst>
    </cfRule>
  </conditionalFormatting>
  <conditionalFormatting sqref="C12">
    <cfRule type="dataBar" priority="10">
      <dataBar>
        <cfvo type="min"/>
        <cfvo type="max"/>
        <color rgb="FF638EC6"/>
      </dataBar>
      <extLst>
        <ext xmlns:x14="http://schemas.microsoft.com/office/spreadsheetml/2009/9/main" uri="{B025F937-C7B1-47D3-B67F-A62EFF666E3E}">
          <x14:id>{C5A8F4E7-0A98-4F65-B870-9FB8903E26FA}</x14:id>
        </ext>
      </extLst>
    </cfRule>
  </conditionalFormatting>
  <conditionalFormatting sqref="C13">
    <cfRule type="dataBar" priority="9">
      <dataBar>
        <cfvo type="min"/>
        <cfvo type="max"/>
        <color rgb="FF638EC6"/>
      </dataBar>
      <extLst>
        <ext xmlns:x14="http://schemas.microsoft.com/office/spreadsheetml/2009/9/main" uri="{B025F937-C7B1-47D3-B67F-A62EFF666E3E}">
          <x14:id>{CC9DA889-B0BE-4AD2-AA45-25E6D06CC053}</x14:id>
        </ext>
      </extLst>
    </cfRule>
  </conditionalFormatting>
  <conditionalFormatting sqref="C14">
    <cfRule type="dataBar" priority="8">
      <dataBar>
        <cfvo type="min"/>
        <cfvo type="max"/>
        <color rgb="FF638EC6"/>
      </dataBar>
      <extLst>
        <ext xmlns:x14="http://schemas.microsoft.com/office/spreadsheetml/2009/9/main" uri="{B025F937-C7B1-47D3-B67F-A62EFF666E3E}">
          <x14:id>{18F18B4C-5333-459B-8BBB-77200B5F1251}</x14:id>
        </ext>
      </extLst>
    </cfRule>
  </conditionalFormatting>
  <conditionalFormatting sqref="C15">
    <cfRule type="dataBar" priority="7">
      <dataBar>
        <cfvo type="min"/>
        <cfvo type="max"/>
        <color rgb="FF638EC6"/>
      </dataBar>
      <extLst>
        <ext xmlns:x14="http://schemas.microsoft.com/office/spreadsheetml/2009/9/main" uri="{B025F937-C7B1-47D3-B67F-A62EFF666E3E}">
          <x14:id>{EA5B2A9E-4162-49EC-B67D-D475E5ADDCAF}</x14:id>
        </ext>
      </extLst>
    </cfRule>
  </conditionalFormatting>
  <conditionalFormatting sqref="C16">
    <cfRule type="dataBar" priority="6">
      <dataBar>
        <cfvo type="min"/>
        <cfvo type="max"/>
        <color rgb="FF638EC6"/>
      </dataBar>
      <extLst>
        <ext xmlns:x14="http://schemas.microsoft.com/office/spreadsheetml/2009/9/main" uri="{B025F937-C7B1-47D3-B67F-A62EFF666E3E}">
          <x14:id>{A93F383A-1CB0-4ECC-8DE5-D332B7C0717D}</x14:id>
        </ext>
      </extLst>
    </cfRule>
  </conditionalFormatting>
  <conditionalFormatting sqref="C17">
    <cfRule type="dataBar" priority="28">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9">
    <cfRule type="dataBar" priority="5">
      <dataBar>
        <cfvo type="min"/>
        <cfvo type="max"/>
        <color rgb="FF638EC6"/>
      </dataBar>
      <extLst>
        <ext xmlns:x14="http://schemas.microsoft.com/office/spreadsheetml/2009/9/main" uri="{B025F937-C7B1-47D3-B67F-A62EFF666E3E}">
          <x14:id>{F095A445-E984-4D47-A508-40B4ACB61B31}</x14:id>
        </ext>
      </extLst>
    </cfRule>
  </conditionalFormatting>
  <conditionalFormatting sqref="C20">
    <cfRule type="dataBar" priority="3">
      <dataBar>
        <cfvo type="min"/>
        <cfvo type="max"/>
        <color rgb="FF638EC6"/>
      </dataBar>
      <extLst>
        <ext xmlns:x14="http://schemas.microsoft.com/office/spreadsheetml/2009/9/main" uri="{B025F937-C7B1-47D3-B67F-A62EFF666E3E}">
          <x14:id>{97FA82A7-7F8E-40F7-BCA1-E943D9FFED97}</x14:id>
        </ext>
      </extLst>
    </cfRule>
  </conditionalFormatting>
  <conditionalFormatting sqref="C25">
    <cfRule type="dataBar" priority="2">
      <dataBar>
        <cfvo type="min"/>
        <cfvo type="max"/>
        <color rgb="FF638EC6"/>
      </dataBar>
      <extLst>
        <ext xmlns:x14="http://schemas.microsoft.com/office/spreadsheetml/2009/9/main" uri="{B025F937-C7B1-47D3-B67F-A62EFF666E3E}">
          <x14:id>{2D7B080D-138B-45FE-9E43-E2AE7302BE37}</x14:id>
        </ext>
      </extLst>
    </cfRule>
  </conditionalFormatting>
  <conditionalFormatting sqref="C22">
    <cfRule type="dataBar" priority="1">
      <dataBar>
        <cfvo type="min"/>
        <cfvo type="max"/>
        <color rgb="FF638EC6"/>
      </dataBar>
      <extLst>
        <ext xmlns:x14="http://schemas.microsoft.com/office/spreadsheetml/2009/9/main" uri="{B025F937-C7B1-47D3-B67F-A62EFF666E3E}">
          <x14:id>{39E79D27-84AA-4331-AD50-E027FC466C67}</x14:id>
        </ext>
      </extLst>
    </cfRule>
  </conditionalFormatting>
  <dataValidations count="5">
    <dataValidation type="list" allowBlank="1" showInputMessage="1" sqref="D30 D10:D17 D22:D23 D28 D19 D32:D34 D25:D26"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30 C10:C17 C22:C23 C19:C20 C32:C34 C28 C25:C26"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22:G23 G28 G10:G17 G19 G32:G34 G30 G25:G26" xr:uid="{242DABCC-F988-4BD7-A39A-B18DD09F67B5}">
      <formula1>"Thấp,Trung bình,Cao,Khó và phức tạp"</formula1>
    </dataValidation>
    <dataValidation allowBlank="1" showInputMessage="1" sqref="H10:K17 H30:K30 E22:E23 H25:K26 H32:K34 H28:K28 H22:K23 E17 E28 E30 E32:E34 H19:K20" xr:uid="{10642937-B860-4152-A8CB-DF82470CE8F3}"/>
    <dataValidation type="list" allowBlank="1" showInputMessage="1" sqref="E10:E16 E19 E25:E26" xr:uid="{2AC14A8D-5A90-4040-B1D4-57BF14D5AD87}">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7B7386AC-401E-4F5B-B788-18DAF607FC08}">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C32:C34</xm:sqref>
        </x14:conditionalFormatting>
        <x14:conditionalFormatting xmlns:xm="http://schemas.microsoft.com/office/excel/2006/main">
          <x14:cfRule type="dataBar" id="{BFDBF792-1FEA-4CAC-A38A-8F848051E391}">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C64EC07A-4094-4FC6-9332-E3720C328B3B}">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C5A8F4E7-0A98-4F65-B870-9FB8903E26FA}">
            <x14:dataBar minLength="0" maxLength="100" gradient="0">
              <x14:cfvo type="autoMin"/>
              <x14:cfvo type="autoMax"/>
              <x14:negativeFillColor rgb="FFFF0000"/>
              <x14:axisColor rgb="FF000000"/>
            </x14:dataBar>
          </x14:cfRule>
          <xm:sqref>C12</xm:sqref>
        </x14:conditionalFormatting>
        <x14:conditionalFormatting xmlns:xm="http://schemas.microsoft.com/office/excel/2006/main">
          <x14:cfRule type="dataBar" id="{CC9DA889-B0BE-4AD2-AA45-25E6D06CC053}">
            <x14:dataBar minLength="0" maxLength="100" gradient="0">
              <x14:cfvo type="autoMin"/>
              <x14:cfvo type="autoMax"/>
              <x14:negativeFillColor rgb="FFFF0000"/>
              <x14:axisColor rgb="FF000000"/>
            </x14:dataBar>
          </x14:cfRule>
          <xm:sqref>C13</xm:sqref>
        </x14:conditionalFormatting>
        <x14:conditionalFormatting xmlns:xm="http://schemas.microsoft.com/office/excel/2006/main">
          <x14:cfRule type="dataBar" id="{18F18B4C-5333-459B-8BBB-77200B5F1251}">
            <x14:dataBar minLength="0" maxLength="100" gradient="0">
              <x14:cfvo type="autoMin"/>
              <x14:cfvo type="autoMax"/>
              <x14:negativeFillColor rgb="FFFF0000"/>
              <x14:axisColor rgb="FF000000"/>
            </x14:dataBar>
          </x14:cfRule>
          <xm:sqref>C14</xm:sqref>
        </x14:conditionalFormatting>
        <x14:conditionalFormatting xmlns:xm="http://schemas.microsoft.com/office/excel/2006/main">
          <x14:cfRule type="dataBar" id="{EA5B2A9E-4162-49EC-B67D-D475E5ADDCAF}">
            <x14:dataBar minLength="0" maxLength="100" gradient="0">
              <x14:cfvo type="autoMin"/>
              <x14:cfvo type="autoMax"/>
              <x14:negativeFillColor rgb="FFFF0000"/>
              <x14:axisColor rgb="FF000000"/>
            </x14:dataBar>
          </x14:cfRule>
          <xm:sqref>C15</xm:sqref>
        </x14:conditionalFormatting>
        <x14:conditionalFormatting xmlns:xm="http://schemas.microsoft.com/office/excel/2006/main">
          <x14:cfRule type="dataBar" id="{A93F383A-1CB0-4ECC-8DE5-D332B7C0717D}">
            <x14:dataBar minLength="0" maxLength="100" gradient="0">
              <x14:cfvo type="autoMin"/>
              <x14:cfvo type="autoMax"/>
              <x14:negativeFillColor rgb="FFFF0000"/>
              <x14:axisColor rgb="FF000000"/>
            </x14:dataBar>
          </x14:cfRule>
          <xm:sqref>C16</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C17</xm:sqref>
        </x14:conditionalFormatting>
        <x14:conditionalFormatting xmlns:xm="http://schemas.microsoft.com/office/excel/2006/main">
          <x14:cfRule type="dataBar" id="{F095A445-E984-4D47-A508-40B4ACB61B31}">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97FA82A7-7F8E-40F7-BCA1-E943D9FFED97}">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2D7B080D-138B-45FE-9E43-E2AE7302BE37}">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39E79D27-84AA-4331-AD50-E027FC466C67}">
            <x14:dataBar minLength="0" maxLength="100" gradient="0">
              <x14:cfvo type="autoMin"/>
              <x14:cfvo type="autoMax"/>
              <x14:negativeFillColor rgb="FFFF0000"/>
              <x14:axisColor rgb="FF000000"/>
            </x14:dataBar>
          </x14:cfRule>
          <xm:sqref>C22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A3B8-D333-4662-B058-CA3DE7CA1780}">
  <dimension ref="A1:Q43"/>
  <sheetViews>
    <sheetView view="pageBreakPreview" zoomScale="70" zoomScaleNormal="80" zoomScaleSheetLayoutView="70" workbookViewId="0">
      <selection activeCell="C8" sqref="C8"/>
    </sheetView>
  </sheetViews>
  <sheetFormatPr defaultColWidth="9" defaultRowHeight="32.5" customHeight="1" x14ac:dyDescent="0.35"/>
  <cols>
    <col min="1" max="1" width="6" style="3" customWidth="1"/>
    <col min="2" max="2" width="34.453125" style="3" customWidth="1"/>
    <col min="3" max="3" width="16.453125" style="3" customWidth="1"/>
    <col min="4" max="4" width="16.26953125" style="3" customWidth="1"/>
    <col min="5" max="5" width="12.90625" style="3" customWidth="1"/>
    <col min="6" max="6" width="6.90625" style="3" customWidth="1"/>
    <col min="7" max="7" width="10.6328125" style="3" customWidth="1"/>
    <col min="8" max="8" width="8.36328125" style="3" customWidth="1"/>
    <col min="9" max="9" width="7.453125" style="3" customWidth="1"/>
    <col min="10" max="10" width="6.26953125" style="3" customWidth="1"/>
    <col min="11" max="11" width="9.7265625" style="3" customWidth="1"/>
    <col min="12" max="12" width="7.453125" style="3" customWidth="1"/>
    <col min="13" max="13" width="10.453125" style="3" customWidth="1"/>
    <col min="14" max="14" width="6.36328125" style="3" customWidth="1"/>
    <col min="15" max="15" width="10.453125" style="3" customWidth="1"/>
    <col min="16" max="16" width="6.36328125" style="3" customWidth="1"/>
    <col min="17" max="16384" width="9" style="3"/>
  </cols>
  <sheetData>
    <row r="1" spans="1:17" ht="42.75" customHeight="1" x14ac:dyDescent="0.35">
      <c r="A1" s="59" t="s">
        <v>76</v>
      </c>
      <c r="B1" s="61"/>
      <c r="C1" s="61"/>
      <c r="D1" s="61"/>
      <c r="E1" s="61"/>
      <c r="F1" s="61"/>
      <c r="G1" s="61"/>
      <c r="H1" s="61"/>
      <c r="I1" s="61"/>
      <c r="J1" s="61"/>
      <c r="K1" s="61"/>
      <c r="L1" s="61"/>
      <c r="M1" s="61"/>
      <c r="N1" s="61"/>
      <c r="O1" s="61"/>
      <c r="P1" s="61"/>
    </row>
    <row r="2" spans="1:17" s="4" customFormat="1" ht="28.5" customHeight="1" x14ac:dyDescent="0.4">
      <c r="A2" s="62" t="s">
        <v>24</v>
      </c>
      <c r="B2" s="63"/>
      <c r="E2" s="21"/>
      <c r="F2" s="21"/>
      <c r="G2" s="64" t="s">
        <v>20</v>
      </c>
      <c r="H2" s="64"/>
      <c r="I2" s="64"/>
      <c r="J2" s="64"/>
      <c r="K2" s="64"/>
      <c r="L2" s="64"/>
      <c r="M2" s="64"/>
      <c r="N2" s="64"/>
      <c r="O2" s="64"/>
      <c r="P2" s="64"/>
    </row>
    <row r="3" spans="1:17" s="4" customFormat="1" ht="18.75" customHeight="1" x14ac:dyDescent="0.35">
      <c r="A3" s="65" t="s">
        <v>25</v>
      </c>
      <c r="B3" s="65"/>
      <c r="C3" s="22"/>
      <c r="E3" s="23"/>
      <c r="F3" s="23"/>
      <c r="G3" s="59" t="s">
        <v>21</v>
      </c>
      <c r="H3" s="59"/>
      <c r="I3" s="59"/>
      <c r="J3" s="59"/>
      <c r="K3" s="59"/>
      <c r="L3" s="59"/>
      <c r="M3" s="59"/>
      <c r="N3" s="59"/>
      <c r="O3" s="59"/>
      <c r="P3" s="59"/>
    </row>
    <row r="4" spans="1:17" ht="44.25" customHeight="1" x14ac:dyDescent="0.35">
      <c r="A4" s="59" t="s">
        <v>60</v>
      </c>
      <c r="B4" s="60"/>
      <c r="C4" s="60"/>
      <c r="D4" s="60"/>
      <c r="E4" s="60"/>
      <c r="F4" s="60"/>
      <c r="G4" s="60"/>
      <c r="H4" s="60"/>
      <c r="I4" s="60"/>
      <c r="J4" s="60"/>
      <c r="K4" s="60"/>
      <c r="L4" s="60"/>
      <c r="M4" s="60"/>
      <c r="N4" s="60"/>
      <c r="O4" s="60"/>
      <c r="P4" s="60"/>
    </row>
    <row r="5" spans="1:17" ht="9" customHeight="1" x14ac:dyDescent="0.35">
      <c r="A5" s="58"/>
      <c r="B5" s="58"/>
      <c r="C5" s="58"/>
      <c r="D5" s="58"/>
      <c r="E5" s="58"/>
      <c r="F5" s="58"/>
      <c r="G5" s="58"/>
      <c r="H5" s="58"/>
      <c r="I5" s="58"/>
      <c r="J5" s="58"/>
      <c r="K5" s="58"/>
      <c r="L5" s="58"/>
      <c r="M5" s="58"/>
      <c r="N5" s="58"/>
      <c r="O5" s="58"/>
      <c r="P5" s="58"/>
    </row>
    <row r="6" spans="1:17" ht="28.5" customHeight="1" x14ac:dyDescent="0.35">
      <c r="A6" s="33" t="s">
        <v>0</v>
      </c>
      <c r="B6" s="33" t="s">
        <v>1</v>
      </c>
      <c r="C6" s="33" t="s">
        <v>2</v>
      </c>
      <c r="D6" s="33" t="s">
        <v>26</v>
      </c>
      <c r="E6" s="33" t="s">
        <v>64</v>
      </c>
      <c r="F6" s="33" t="s">
        <v>12</v>
      </c>
      <c r="G6" s="35" t="s">
        <v>70</v>
      </c>
      <c r="H6" s="39" t="s">
        <v>50</v>
      </c>
      <c r="I6" s="39" t="s">
        <v>51</v>
      </c>
      <c r="J6" s="52" t="s">
        <v>57</v>
      </c>
      <c r="K6" s="49" t="s">
        <v>52</v>
      </c>
      <c r="L6" s="50"/>
      <c r="M6" s="49" t="s">
        <v>53</v>
      </c>
      <c r="N6" s="50"/>
      <c r="O6" s="49" t="s">
        <v>54</v>
      </c>
      <c r="P6" s="50"/>
      <c r="Q6" s="4"/>
    </row>
    <row r="7" spans="1:17" ht="57.75" customHeight="1" x14ac:dyDescent="0.35">
      <c r="A7" s="34"/>
      <c r="B7" s="34"/>
      <c r="C7" s="34"/>
      <c r="D7" s="34"/>
      <c r="E7" s="34"/>
      <c r="F7" s="34"/>
      <c r="G7" s="36"/>
      <c r="H7" s="40"/>
      <c r="I7" s="40"/>
      <c r="J7" s="53"/>
      <c r="K7" s="14" t="s">
        <v>55</v>
      </c>
      <c r="L7" s="14" t="s">
        <v>56</v>
      </c>
      <c r="M7" s="14" t="s">
        <v>55</v>
      </c>
      <c r="N7" s="14" t="s">
        <v>56</v>
      </c>
      <c r="O7" s="14" t="s">
        <v>55</v>
      </c>
      <c r="P7" s="14" t="s">
        <v>56</v>
      </c>
      <c r="Q7" s="4"/>
    </row>
    <row r="8" spans="1:17" ht="112" x14ac:dyDescent="0.35">
      <c r="A8" s="28" t="s">
        <v>13</v>
      </c>
      <c r="B8" s="28" t="s">
        <v>14</v>
      </c>
      <c r="C8" s="28" t="s">
        <v>15</v>
      </c>
      <c r="D8" s="28" t="s">
        <v>16</v>
      </c>
      <c r="E8" s="28" t="s">
        <v>17</v>
      </c>
      <c r="F8" s="28" t="s">
        <v>18</v>
      </c>
      <c r="G8" s="28" t="s">
        <v>19</v>
      </c>
      <c r="H8" s="28" t="s">
        <v>65</v>
      </c>
      <c r="I8" s="28" t="s">
        <v>66</v>
      </c>
      <c r="J8" s="28" t="s">
        <v>74</v>
      </c>
      <c r="K8" s="28" t="s">
        <v>68</v>
      </c>
      <c r="L8" s="28" t="s">
        <v>73</v>
      </c>
      <c r="M8" s="28" t="s">
        <v>67</v>
      </c>
      <c r="N8" s="28" t="s">
        <v>71</v>
      </c>
      <c r="O8" s="28" t="s">
        <v>69</v>
      </c>
      <c r="P8" s="28" t="s">
        <v>72</v>
      </c>
    </row>
    <row r="9" spans="1:17" ht="15" x14ac:dyDescent="0.35">
      <c r="A9" s="15" t="s">
        <v>3</v>
      </c>
      <c r="B9" s="37" t="s">
        <v>62</v>
      </c>
      <c r="C9" s="37"/>
      <c r="D9" s="37"/>
      <c r="E9" s="37"/>
      <c r="F9" s="37"/>
      <c r="G9" s="37"/>
      <c r="H9" s="37"/>
      <c r="I9" s="37"/>
      <c r="J9" s="37"/>
      <c r="K9" s="37"/>
      <c r="L9" s="37"/>
      <c r="M9" s="37"/>
      <c r="N9" s="37"/>
      <c r="O9" s="37"/>
      <c r="P9" s="37"/>
    </row>
    <row r="10" spans="1:17" ht="15" x14ac:dyDescent="0.35">
      <c r="A10" s="16">
        <v>1</v>
      </c>
      <c r="B10" s="45" t="s">
        <v>4</v>
      </c>
      <c r="C10" s="45"/>
      <c r="D10" s="45"/>
      <c r="E10" s="45"/>
      <c r="F10" s="16">
        <f>SUM(F11:F14)</f>
        <v>23</v>
      </c>
      <c r="G10" s="17"/>
      <c r="H10" s="17"/>
      <c r="I10" s="17"/>
      <c r="J10" s="16">
        <f t="shared" ref="J10:P10" si="0">SUM(J11:J14)</f>
        <v>26</v>
      </c>
      <c r="K10" s="16">
        <f t="shared" si="0"/>
        <v>23</v>
      </c>
      <c r="L10" s="16">
        <f t="shared" si="0"/>
        <v>26</v>
      </c>
      <c r="M10" s="16">
        <f t="shared" si="0"/>
        <v>23</v>
      </c>
      <c r="N10" s="16">
        <f t="shared" si="0"/>
        <v>26</v>
      </c>
      <c r="O10" s="16">
        <f t="shared" si="0"/>
        <v>17.25</v>
      </c>
      <c r="P10" s="16">
        <f t="shared" si="0"/>
        <v>19.5</v>
      </c>
    </row>
    <row r="11" spans="1:17" ht="36" x14ac:dyDescent="0.35">
      <c r="A11" s="15" t="s">
        <v>22</v>
      </c>
      <c r="B11" s="24" t="s">
        <v>58</v>
      </c>
      <c r="C11" s="25" t="s">
        <v>30</v>
      </c>
      <c r="D11" s="25" t="s">
        <v>34</v>
      </c>
      <c r="E11" s="11" t="s">
        <v>42</v>
      </c>
      <c r="F11" s="15">
        <v>1</v>
      </c>
      <c r="G11" s="25" t="s">
        <v>45</v>
      </c>
      <c r="H11" s="15">
        <f>IF(G11="Khó và phức tạp",200,IF(G11="Cao",150,IF(G11="Trungbình",120,100)))</f>
        <v>200</v>
      </c>
      <c r="I11" s="15">
        <f>H11*0.01</f>
        <v>2</v>
      </c>
      <c r="J11" s="15">
        <f>F11*I11</f>
        <v>2</v>
      </c>
      <c r="K11" s="26">
        <f>F11*100%</f>
        <v>1</v>
      </c>
      <c r="L11" s="18">
        <f>K11*I11</f>
        <v>2</v>
      </c>
      <c r="M11" s="26">
        <f t="shared" ref="M11:M13" si="1">K11*100%</f>
        <v>1</v>
      </c>
      <c r="N11" s="18">
        <f>I11*M11</f>
        <v>2</v>
      </c>
      <c r="O11" s="26">
        <f>K11*75%</f>
        <v>0.75</v>
      </c>
      <c r="P11" s="18">
        <f>I11*O11</f>
        <v>1.5</v>
      </c>
    </row>
    <row r="12" spans="1:17" ht="31" x14ac:dyDescent="0.35">
      <c r="A12" s="15" t="s">
        <v>23</v>
      </c>
      <c r="B12" s="27" t="s">
        <v>5</v>
      </c>
      <c r="C12" s="25" t="s">
        <v>32</v>
      </c>
      <c r="D12" s="25" t="s">
        <v>46</v>
      </c>
      <c r="E12" s="11" t="s">
        <v>42</v>
      </c>
      <c r="F12" s="15">
        <v>2</v>
      </c>
      <c r="G12" s="25" t="s">
        <v>43</v>
      </c>
      <c r="H12" s="15">
        <f t="shared" ref="H12:H14" si="2">IF(G12="Khó và phức tạp",200,IF(G12="Cao",150,IF(G12="Trungbình",120,100)))</f>
        <v>100</v>
      </c>
      <c r="I12" s="15">
        <f t="shared" ref="I12:I14" si="3">H12*0.01</f>
        <v>1</v>
      </c>
      <c r="J12" s="15">
        <f t="shared" ref="J12:J14" si="4">F12*I12</f>
        <v>2</v>
      </c>
      <c r="K12" s="26">
        <f t="shared" ref="K12:K14" si="5">F12*100%</f>
        <v>2</v>
      </c>
      <c r="L12" s="18">
        <f t="shared" ref="L12:L14" si="6">K12*I12</f>
        <v>2</v>
      </c>
      <c r="M12" s="26">
        <f t="shared" si="1"/>
        <v>2</v>
      </c>
      <c r="N12" s="18">
        <f t="shared" ref="N12:N14" si="7">I12*M12</f>
        <v>2</v>
      </c>
      <c r="O12" s="26">
        <f t="shared" ref="O12:O13" si="8">K12*75%</f>
        <v>1.5</v>
      </c>
      <c r="P12" s="18">
        <f t="shared" ref="P12:P14" si="9">I12*O12</f>
        <v>1.5</v>
      </c>
    </row>
    <row r="13" spans="1:17" ht="46.5" x14ac:dyDescent="0.35">
      <c r="A13" s="15" t="s">
        <v>33</v>
      </c>
      <c r="B13" s="27" t="s">
        <v>5</v>
      </c>
      <c r="C13" s="25" t="s">
        <v>31</v>
      </c>
      <c r="D13" s="25" t="s">
        <v>47</v>
      </c>
      <c r="E13" s="11" t="s">
        <v>42</v>
      </c>
      <c r="F13" s="15">
        <v>4</v>
      </c>
      <c r="G13" s="25" t="s">
        <v>44</v>
      </c>
      <c r="H13" s="15">
        <f t="shared" si="2"/>
        <v>150</v>
      </c>
      <c r="I13" s="15">
        <f t="shared" si="3"/>
        <v>1.5</v>
      </c>
      <c r="J13" s="15">
        <f t="shared" si="4"/>
        <v>6</v>
      </c>
      <c r="K13" s="26">
        <f t="shared" si="5"/>
        <v>4</v>
      </c>
      <c r="L13" s="18">
        <f t="shared" si="6"/>
        <v>6</v>
      </c>
      <c r="M13" s="26">
        <f t="shared" si="1"/>
        <v>4</v>
      </c>
      <c r="N13" s="18">
        <f t="shared" si="7"/>
        <v>6</v>
      </c>
      <c r="O13" s="26">
        <f t="shared" si="8"/>
        <v>3</v>
      </c>
      <c r="P13" s="18">
        <f t="shared" si="9"/>
        <v>4.5</v>
      </c>
    </row>
    <row r="14" spans="1:17" ht="31" x14ac:dyDescent="0.35">
      <c r="A14" s="15" t="s">
        <v>49</v>
      </c>
      <c r="B14" s="27" t="s">
        <v>5</v>
      </c>
      <c r="C14" s="25" t="s">
        <v>29</v>
      </c>
      <c r="D14" s="25" t="s">
        <v>48</v>
      </c>
      <c r="E14" s="11" t="s">
        <v>42</v>
      </c>
      <c r="F14" s="15">
        <v>16</v>
      </c>
      <c r="G14" s="25" t="s">
        <v>59</v>
      </c>
      <c r="H14" s="15">
        <f t="shared" si="2"/>
        <v>100</v>
      </c>
      <c r="I14" s="15">
        <f t="shared" si="3"/>
        <v>1</v>
      </c>
      <c r="J14" s="15">
        <f t="shared" si="4"/>
        <v>16</v>
      </c>
      <c r="K14" s="26">
        <f t="shared" si="5"/>
        <v>16</v>
      </c>
      <c r="L14" s="18">
        <f t="shared" si="6"/>
        <v>16</v>
      </c>
      <c r="M14" s="26">
        <f>K14*100%</f>
        <v>16</v>
      </c>
      <c r="N14" s="18">
        <f t="shared" si="7"/>
        <v>16</v>
      </c>
      <c r="O14" s="26">
        <f>K14*75%</f>
        <v>12</v>
      </c>
      <c r="P14" s="18">
        <f t="shared" si="9"/>
        <v>12</v>
      </c>
    </row>
    <row r="15" spans="1:17" ht="15" x14ac:dyDescent="0.35">
      <c r="A15" s="16">
        <v>2</v>
      </c>
      <c r="B15" s="45" t="s">
        <v>6</v>
      </c>
      <c r="C15" s="45"/>
      <c r="D15" s="45"/>
      <c r="E15" s="45"/>
      <c r="F15" s="16">
        <f>SUM(F16:F17)</f>
        <v>0</v>
      </c>
      <c r="G15" s="17"/>
      <c r="H15" s="17"/>
      <c r="I15" s="17"/>
      <c r="J15" s="16">
        <f t="shared" ref="J15:P15" si="10">SUM(J16:J17)</f>
        <v>0</v>
      </c>
      <c r="K15" s="16">
        <f t="shared" si="10"/>
        <v>0</v>
      </c>
      <c r="L15" s="16">
        <f t="shared" si="10"/>
        <v>0</v>
      </c>
      <c r="M15" s="16">
        <f t="shared" si="10"/>
        <v>0</v>
      </c>
      <c r="N15" s="16">
        <f t="shared" si="10"/>
        <v>0</v>
      </c>
      <c r="O15" s="16">
        <f t="shared" si="10"/>
        <v>0</v>
      </c>
      <c r="P15" s="16">
        <f t="shared" si="10"/>
        <v>0</v>
      </c>
    </row>
    <row r="16" spans="1:17" ht="31" x14ac:dyDescent="0.35">
      <c r="A16" s="15"/>
      <c r="B16" s="27" t="s">
        <v>5</v>
      </c>
      <c r="C16" s="25" t="s">
        <v>30</v>
      </c>
      <c r="D16" s="25" t="s">
        <v>34</v>
      </c>
      <c r="E16" s="11" t="s">
        <v>42</v>
      </c>
      <c r="F16" s="15"/>
      <c r="G16" s="25" t="s">
        <v>45</v>
      </c>
      <c r="H16" s="15">
        <f>IF(G16="Khó và phức tạp",200,IF(G16="Cao",150,IF(G16="Trungbình",120,100)))</f>
        <v>200</v>
      </c>
      <c r="I16" s="15">
        <f>H16*0.01</f>
        <v>2</v>
      </c>
      <c r="J16" s="15">
        <f>F16*I16</f>
        <v>0</v>
      </c>
      <c r="K16" s="26">
        <f>F16*100%</f>
        <v>0</v>
      </c>
      <c r="L16" s="18">
        <f t="shared" ref="L16:L17" si="11">K16*I16</f>
        <v>0</v>
      </c>
      <c r="M16" s="12">
        <f>K16*75%</f>
        <v>0</v>
      </c>
      <c r="N16" s="18">
        <f>I16*M16</f>
        <v>0</v>
      </c>
      <c r="O16" s="26">
        <f>K16*100%</f>
        <v>0</v>
      </c>
      <c r="P16" s="18">
        <f>I16*O16</f>
        <v>0</v>
      </c>
    </row>
    <row r="17" spans="1:16" ht="31" x14ac:dyDescent="0.35">
      <c r="A17" s="15"/>
      <c r="B17" s="27" t="s">
        <v>5</v>
      </c>
      <c r="C17" s="25" t="s">
        <v>32</v>
      </c>
      <c r="D17" s="25" t="s">
        <v>61</v>
      </c>
      <c r="E17" s="11" t="s">
        <v>42</v>
      </c>
      <c r="F17" s="15"/>
      <c r="G17" s="25" t="s">
        <v>44</v>
      </c>
      <c r="H17" s="15">
        <f>IF(G17="Khó và phức tạp",200,IF(G17="Cao",150,IF(G17="Trungbình",120,100)))</f>
        <v>150</v>
      </c>
      <c r="I17" s="15">
        <f>H17*0.01</f>
        <v>1.5</v>
      </c>
      <c r="J17" s="15">
        <f>F17*I17</f>
        <v>0</v>
      </c>
      <c r="K17" s="26">
        <f>F17*100%</f>
        <v>0</v>
      </c>
      <c r="L17" s="18">
        <f t="shared" si="11"/>
        <v>0</v>
      </c>
      <c r="M17" s="12">
        <f>K17*75%</f>
        <v>0</v>
      </c>
      <c r="N17" s="18">
        <f>I17*M17</f>
        <v>0</v>
      </c>
      <c r="O17" s="26">
        <f>K17*100%</f>
        <v>0</v>
      </c>
      <c r="P17" s="18">
        <f>I17*O17</f>
        <v>0</v>
      </c>
    </row>
    <row r="18" spans="1:16" ht="15" x14ac:dyDescent="0.35">
      <c r="A18" s="16">
        <v>3</v>
      </c>
      <c r="B18" s="45" t="s">
        <v>7</v>
      </c>
      <c r="C18" s="45"/>
      <c r="D18" s="45"/>
      <c r="E18" s="45"/>
      <c r="F18" s="16">
        <f>SUM(F19:F20)</f>
        <v>0</v>
      </c>
      <c r="G18" s="17"/>
      <c r="H18" s="17"/>
      <c r="I18" s="17"/>
      <c r="J18" s="16">
        <f t="shared" ref="J18:P18" si="12">SUM(J19:J20)</f>
        <v>0</v>
      </c>
      <c r="K18" s="16">
        <f t="shared" si="12"/>
        <v>0</v>
      </c>
      <c r="L18" s="16">
        <f t="shared" si="12"/>
        <v>0</v>
      </c>
      <c r="M18" s="16">
        <f t="shared" si="12"/>
        <v>0</v>
      </c>
      <c r="N18" s="16">
        <f t="shared" si="12"/>
        <v>0</v>
      </c>
      <c r="O18" s="16">
        <f t="shared" si="12"/>
        <v>0</v>
      </c>
      <c r="P18" s="16">
        <f t="shared" si="12"/>
        <v>0</v>
      </c>
    </row>
    <row r="19" spans="1:16" ht="46.5" x14ac:dyDescent="0.35">
      <c r="A19" s="15"/>
      <c r="B19" s="27" t="s">
        <v>5</v>
      </c>
      <c r="C19" s="25" t="s">
        <v>31</v>
      </c>
      <c r="D19" s="25" t="s">
        <v>47</v>
      </c>
      <c r="E19" s="11" t="s">
        <v>42</v>
      </c>
      <c r="F19" s="15"/>
      <c r="G19" s="25" t="s">
        <v>44</v>
      </c>
      <c r="H19" s="15">
        <f>IF(G19="Khó và phức tạp",200,IF(G19="Cao",150,IF(G19="Trungbình",120,100)))</f>
        <v>150</v>
      </c>
      <c r="I19" s="15">
        <f>H19*0.01</f>
        <v>1.5</v>
      </c>
      <c r="J19" s="15">
        <f>F19*I19</f>
        <v>0</v>
      </c>
      <c r="K19" s="26">
        <f>F19*100%</f>
        <v>0</v>
      </c>
      <c r="L19" s="18">
        <f t="shared" ref="L19:L20" si="13">K19*I19</f>
        <v>0</v>
      </c>
      <c r="M19" s="12">
        <f>K19*75%</f>
        <v>0</v>
      </c>
      <c r="N19" s="18">
        <f>I19*M19</f>
        <v>0</v>
      </c>
      <c r="O19" s="26">
        <f>K19*100%</f>
        <v>0</v>
      </c>
      <c r="P19" s="18">
        <f>I19*O19</f>
        <v>0</v>
      </c>
    </row>
    <row r="20" spans="1:16" ht="46.5" x14ac:dyDescent="0.35">
      <c r="A20" s="15"/>
      <c r="B20" s="27" t="s">
        <v>5</v>
      </c>
      <c r="C20" s="25" t="s">
        <v>29</v>
      </c>
      <c r="D20" s="25" t="s">
        <v>47</v>
      </c>
      <c r="E20" s="11" t="s">
        <v>42</v>
      </c>
      <c r="F20" s="15"/>
      <c r="G20" s="25" t="s">
        <v>44</v>
      </c>
      <c r="H20" s="15">
        <f>IF(G20="Khó và phức tạp",200,IF(G20="Cao",150,IF(G20="Trungbình",120,100)))</f>
        <v>150</v>
      </c>
      <c r="I20" s="15">
        <f>H20*0.01</f>
        <v>1.5</v>
      </c>
      <c r="J20" s="15">
        <f>F20*I20</f>
        <v>0</v>
      </c>
      <c r="K20" s="26">
        <f>F20*100%</f>
        <v>0</v>
      </c>
      <c r="L20" s="18">
        <f t="shared" si="13"/>
        <v>0</v>
      </c>
      <c r="M20" s="12">
        <f>K20*75%</f>
        <v>0</v>
      </c>
      <c r="N20" s="18">
        <f>I20*M20</f>
        <v>0</v>
      </c>
      <c r="O20" s="26">
        <f>K20*100%</f>
        <v>0</v>
      </c>
      <c r="P20" s="18">
        <f>I20*O20</f>
        <v>0</v>
      </c>
    </row>
    <row r="21" spans="1:16" ht="15" x14ac:dyDescent="0.35">
      <c r="A21" s="16">
        <v>4</v>
      </c>
      <c r="B21" s="46" t="s">
        <v>8</v>
      </c>
      <c r="C21" s="46"/>
      <c r="D21" s="46"/>
      <c r="E21" s="46"/>
      <c r="F21" s="16">
        <f>SUM(F22:F27)</f>
        <v>0</v>
      </c>
      <c r="G21" s="17"/>
      <c r="H21" s="17"/>
      <c r="I21" s="17"/>
      <c r="J21" s="16">
        <f t="shared" ref="J21:P21" si="14">SUM(J22:J27)</f>
        <v>0</v>
      </c>
      <c r="K21" s="16">
        <f t="shared" si="14"/>
        <v>0</v>
      </c>
      <c r="L21" s="16">
        <f t="shared" si="14"/>
        <v>0</v>
      </c>
      <c r="M21" s="16">
        <f t="shared" si="14"/>
        <v>0</v>
      </c>
      <c r="N21" s="16">
        <f t="shared" si="14"/>
        <v>0</v>
      </c>
      <c r="O21" s="16">
        <f t="shared" si="14"/>
        <v>0</v>
      </c>
      <c r="P21" s="16">
        <f t="shared" si="14"/>
        <v>0</v>
      </c>
    </row>
    <row r="22" spans="1:16" ht="31" x14ac:dyDescent="0.35">
      <c r="A22" s="15"/>
      <c r="B22" s="27" t="s">
        <v>5</v>
      </c>
      <c r="C22" s="25" t="s">
        <v>35</v>
      </c>
      <c r="D22" s="25" t="s">
        <v>34</v>
      </c>
      <c r="E22" s="11" t="s">
        <v>42</v>
      </c>
      <c r="F22" s="15"/>
      <c r="G22" s="25" t="s">
        <v>45</v>
      </c>
      <c r="H22" s="15">
        <f t="shared" ref="H22:H27" si="15">IF(G22="Khó và phức tạp",200,IF(G22="Cao",150,IF(G22="Trungbình",120,100)))</f>
        <v>200</v>
      </c>
      <c r="I22" s="15">
        <f t="shared" ref="I22:I27" si="16">H22*0.01</f>
        <v>2</v>
      </c>
      <c r="J22" s="15">
        <f>F22*I22</f>
        <v>0</v>
      </c>
      <c r="K22" s="26">
        <f>F22*100%</f>
        <v>0</v>
      </c>
      <c r="L22" s="18">
        <f t="shared" ref="L22:L27" si="17">K22*I22</f>
        <v>0</v>
      </c>
      <c r="M22" s="12">
        <f>K22*75%</f>
        <v>0</v>
      </c>
      <c r="N22" s="18">
        <f>I22*M22</f>
        <v>0</v>
      </c>
      <c r="O22" s="26">
        <f>K22*100%</f>
        <v>0</v>
      </c>
      <c r="P22" s="18">
        <f>I22*O22</f>
        <v>0</v>
      </c>
    </row>
    <row r="23" spans="1:16" ht="31" x14ac:dyDescent="0.35">
      <c r="A23" s="25"/>
      <c r="B23" s="27" t="s">
        <v>5</v>
      </c>
      <c r="C23" s="25" t="s">
        <v>36</v>
      </c>
      <c r="D23" s="25" t="s">
        <v>34</v>
      </c>
      <c r="E23" s="11" t="s">
        <v>42</v>
      </c>
      <c r="F23" s="15"/>
      <c r="G23" s="25" t="s">
        <v>45</v>
      </c>
      <c r="H23" s="15">
        <f t="shared" si="15"/>
        <v>200</v>
      </c>
      <c r="I23" s="15">
        <f t="shared" si="16"/>
        <v>2</v>
      </c>
      <c r="J23" s="15">
        <f>F23*I23</f>
        <v>0</v>
      </c>
      <c r="K23" s="26">
        <f>F23*100%</f>
        <v>0</v>
      </c>
      <c r="L23" s="18">
        <f t="shared" si="17"/>
        <v>0</v>
      </c>
      <c r="M23" s="12">
        <f>K23*75%</f>
        <v>0</v>
      </c>
      <c r="N23" s="18">
        <f>I23*M23</f>
        <v>0</v>
      </c>
      <c r="O23" s="26">
        <f>K23*100%</f>
        <v>0</v>
      </c>
      <c r="P23" s="18">
        <f>I23*O23</f>
        <v>0</v>
      </c>
    </row>
    <row r="24" spans="1:16" ht="31" x14ac:dyDescent="0.35">
      <c r="A24" s="25"/>
      <c r="B24" s="27" t="s">
        <v>5</v>
      </c>
      <c r="C24" s="25" t="s">
        <v>37</v>
      </c>
      <c r="D24" s="25" t="s">
        <v>34</v>
      </c>
      <c r="E24" s="11" t="s">
        <v>42</v>
      </c>
      <c r="F24" s="15"/>
      <c r="G24" s="25" t="s">
        <v>45</v>
      </c>
      <c r="H24" s="15">
        <f t="shared" si="15"/>
        <v>200</v>
      </c>
      <c r="I24" s="15">
        <f t="shared" si="16"/>
        <v>2</v>
      </c>
      <c r="J24" s="15">
        <f>F24*I24</f>
        <v>0</v>
      </c>
      <c r="K24" s="26">
        <f>F24*100%</f>
        <v>0</v>
      </c>
      <c r="L24" s="18">
        <f t="shared" si="17"/>
        <v>0</v>
      </c>
      <c r="M24" s="12">
        <f>K24*75%</f>
        <v>0</v>
      </c>
      <c r="N24" s="18">
        <f>I24*M24</f>
        <v>0</v>
      </c>
      <c r="O24" s="26">
        <f>K24*100%</f>
        <v>0</v>
      </c>
      <c r="P24" s="18">
        <f>I24*O24</f>
        <v>0</v>
      </c>
    </row>
    <row r="25" spans="1:16" ht="31" x14ac:dyDescent="0.35">
      <c r="A25" s="25"/>
      <c r="B25" s="27" t="s">
        <v>5</v>
      </c>
      <c r="C25" s="25" t="s">
        <v>38</v>
      </c>
      <c r="D25" s="25" t="s">
        <v>34</v>
      </c>
      <c r="E25" s="11" t="s">
        <v>42</v>
      </c>
      <c r="F25" s="15"/>
      <c r="G25" s="25" t="s">
        <v>45</v>
      </c>
      <c r="H25" s="15">
        <f t="shared" si="15"/>
        <v>200</v>
      </c>
      <c r="I25" s="15">
        <f t="shared" si="16"/>
        <v>2</v>
      </c>
      <c r="J25" s="15">
        <f>F25*I25</f>
        <v>0</v>
      </c>
      <c r="K25" s="26">
        <f>F25*100%</f>
        <v>0</v>
      </c>
      <c r="L25" s="18">
        <f t="shared" si="17"/>
        <v>0</v>
      </c>
      <c r="M25" s="12">
        <f>K25*75%</f>
        <v>0</v>
      </c>
      <c r="N25" s="18">
        <f>I25*M25</f>
        <v>0</v>
      </c>
      <c r="O25" s="26">
        <f>K25*100%</f>
        <v>0</v>
      </c>
      <c r="P25" s="18">
        <f>I25*O25</f>
        <v>0</v>
      </c>
    </row>
    <row r="26" spans="1:16" ht="31" x14ac:dyDescent="0.35">
      <c r="A26" s="25"/>
      <c r="B26" s="27" t="s">
        <v>5</v>
      </c>
      <c r="C26" s="25" t="s">
        <v>39</v>
      </c>
      <c r="D26" s="25" t="s">
        <v>34</v>
      </c>
      <c r="E26" s="11" t="s">
        <v>42</v>
      </c>
      <c r="F26" s="15"/>
      <c r="G26" s="25" t="s">
        <v>45</v>
      </c>
      <c r="H26" s="15">
        <f t="shared" si="15"/>
        <v>200</v>
      </c>
      <c r="I26" s="15">
        <f t="shared" si="16"/>
        <v>2</v>
      </c>
      <c r="J26" s="15">
        <f t="shared" ref="J26:J27" si="18">F26*I26</f>
        <v>0</v>
      </c>
      <c r="K26" s="26">
        <f t="shared" ref="K26:K27" si="19">F26*100%</f>
        <v>0</v>
      </c>
      <c r="L26" s="18">
        <f t="shared" si="17"/>
        <v>0</v>
      </c>
      <c r="M26" s="12">
        <f t="shared" ref="M26:M27" si="20">K26*75%</f>
        <v>0</v>
      </c>
      <c r="N26" s="18">
        <f t="shared" ref="N26:N27" si="21">I26*M26</f>
        <v>0</v>
      </c>
      <c r="O26" s="26">
        <f t="shared" ref="O26:O27" si="22">K26*100%</f>
        <v>0</v>
      </c>
      <c r="P26" s="18">
        <f t="shared" ref="P26:P27" si="23">I26*O26</f>
        <v>0</v>
      </c>
    </row>
    <row r="27" spans="1:16" ht="31" x14ac:dyDescent="0.35">
      <c r="A27" s="25"/>
      <c r="B27" s="27" t="s">
        <v>5</v>
      </c>
      <c r="C27" s="25" t="s">
        <v>40</v>
      </c>
      <c r="D27" s="25" t="s">
        <v>34</v>
      </c>
      <c r="E27" s="11" t="s">
        <v>42</v>
      </c>
      <c r="F27" s="15"/>
      <c r="G27" s="25" t="s">
        <v>45</v>
      </c>
      <c r="H27" s="15">
        <f t="shared" si="15"/>
        <v>200</v>
      </c>
      <c r="I27" s="15">
        <f t="shared" si="16"/>
        <v>2</v>
      </c>
      <c r="J27" s="15">
        <f t="shared" si="18"/>
        <v>0</v>
      </c>
      <c r="K27" s="26">
        <f t="shared" si="19"/>
        <v>0</v>
      </c>
      <c r="L27" s="18">
        <f t="shared" si="17"/>
        <v>0</v>
      </c>
      <c r="M27" s="12">
        <f t="shared" si="20"/>
        <v>0</v>
      </c>
      <c r="N27" s="18">
        <f t="shared" si="21"/>
        <v>0</v>
      </c>
      <c r="O27" s="26">
        <f t="shared" si="22"/>
        <v>0</v>
      </c>
      <c r="P27" s="18">
        <f t="shared" si="23"/>
        <v>0</v>
      </c>
    </row>
    <row r="28" spans="1:16" ht="15" x14ac:dyDescent="0.35">
      <c r="A28" s="16">
        <v>5</v>
      </c>
      <c r="B28" s="45" t="s">
        <v>9</v>
      </c>
      <c r="C28" s="45"/>
      <c r="D28" s="45"/>
      <c r="E28" s="45"/>
      <c r="F28" s="16">
        <f>SUM(F29:F34)</f>
        <v>0</v>
      </c>
      <c r="G28" s="17"/>
      <c r="H28" s="17"/>
      <c r="I28" s="17"/>
      <c r="J28" s="16">
        <f t="shared" ref="J28:P28" si="24">SUM(J29:J34)</f>
        <v>0</v>
      </c>
      <c r="K28" s="16">
        <f t="shared" si="24"/>
        <v>0</v>
      </c>
      <c r="L28" s="16">
        <f t="shared" si="24"/>
        <v>0</v>
      </c>
      <c r="M28" s="16">
        <f t="shared" si="24"/>
        <v>0</v>
      </c>
      <c r="N28" s="16">
        <f t="shared" si="24"/>
        <v>0</v>
      </c>
      <c r="O28" s="16">
        <f t="shared" si="24"/>
        <v>0</v>
      </c>
      <c r="P28" s="16">
        <f t="shared" si="24"/>
        <v>0</v>
      </c>
    </row>
    <row r="29" spans="1:16" ht="31" x14ac:dyDescent="0.35">
      <c r="A29" s="15"/>
      <c r="B29" s="27" t="s">
        <v>5</v>
      </c>
      <c r="C29" s="25" t="s">
        <v>35</v>
      </c>
      <c r="D29" s="25" t="s">
        <v>34</v>
      </c>
      <c r="E29" s="11" t="s">
        <v>42</v>
      </c>
      <c r="F29" s="15"/>
      <c r="G29" s="25" t="s">
        <v>45</v>
      </c>
      <c r="H29" s="15">
        <f t="shared" ref="H29:H34" si="25">IF(G29="Khó và phức tạp",200,IF(G29="Cao",150,IF(G29="Trungbình",120,100)))</f>
        <v>200</v>
      </c>
      <c r="I29" s="15">
        <f t="shared" ref="I29:I34" si="26">H29*0.01</f>
        <v>2</v>
      </c>
      <c r="J29" s="15">
        <f t="shared" ref="J29:J34" si="27">F29*I29</f>
        <v>0</v>
      </c>
      <c r="K29" s="26">
        <f t="shared" ref="K29:K34" si="28">F29*100%</f>
        <v>0</v>
      </c>
      <c r="L29" s="18">
        <f t="shared" ref="L29:L34" si="29">K29*I29</f>
        <v>0</v>
      </c>
      <c r="M29" s="12">
        <f t="shared" ref="M29:M34" si="30">K29*75%</f>
        <v>0</v>
      </c>
      <c r="N29" s="18">
        <f t="shared" ref="N29:N34" si="31">I29*M29</f>
        <v>0</v>
      </c>
      <c r="O29" s="26">
        <f t="shared" ref="O29:O34" si="32">K29*100%</f>
        <v>0</v>
      </c>
      <c r="P29" s="18">
        <f t="shared" ref="P29:P34" si="33">I29*O29</f>
        <v>0</v>
      </c>
    </row>
    <row r="30" spans="1:16" ht="31" x14ac:dyDescent="0.35">
      <c r="A30" s="25"/>
      <c r="B30" s="27" t="s">
        <v>5</v>
      </c>
      <c r="C30" s="25" t="s">
        <v>36</v>
      </c>
      <c r="D30" s="25" t="s">
        <v>34</v>
      </c>
      <c r="E30" s="11" t="s">
        <v>42</v>
      </c>
      <c r="F30" s="15"/>
      <c r="G30" s="25" t="s">
        <v>45</v>
      </c>
      <c r="H30" s="15">
        <f t="shared" si="25"/>
        <v>200</v>
      </c>
      <c r="I30" s="15">
        <f t="shared" si="26"/>
        <v>2</v>
      </c>
      <c r="J30" s="15">
        <f t="shared" si="27"/>
        <v>0</v>
      </c>
      <c r="K30" s="26">
        <f t="shared" si="28"/>
        <v>0</v>
      </c>
      <c r="L30" s="18">
        <f t="shared" si="29"/>
        <v>0</v>
      </c>
      <c r="M30" s="12">
        <f t="shared" si="30"/>
        <v>0</v>
      </c>
      <c r="N30" s="18">
        <f t="shared" si="31"/>
        <v>0</v>
      </c>
      <c r="O30" s="26">
        <f t="shared" si="32"/>
        <v>0</v>
      </c>
      <c r="P30" s="18">
        <f t="shared" si="33"/>
        <v>0</v>
      </c>
    </row>
    <row r="31" spans="1:16" ht="31" x14ac:dyDescent="0.35">
      <c r="A31" s="25"/>
      <c r="B31" s="27" t="s">
        <v>5</v>
      </c>
      <c r="C31" s="25" t="s">
        <v>37</v>
      </c>
      <c r="D31" s="25" t="s">
        <v>34</v>
      </c>
      <c r="E31" s="11" t="s">
        <v>42</v>
      </c>
      <c r="F31" s="15"/>
      <c r="G31" s="25" t="s">
        <v>45</v>
      </c>
      <c r="H31" s="15">
        <f t="shared" si="25"/>
        <v>200</v>
      </c>
      <c r="I31" s="15">
        <f t="shared" si="26"/>
        <v>2</v>
      </c>
      <c r="J31" s="15">
        <f t="shared" si="27"/>
        <v>0</v>
      </c>
      <c r="K31" s="26">
        <f t="shared" si="28"/>
        <v>0</v>
      </c>
      <c r="L31" s="18">
        <f t="shared" si="29"/>
        <v>0</v>
      </c>
      <c r="M31" s="12">
        <f t="shared" si="30"/>
        <v>0</v>
      </c>
      <c r="N31" s="18">
        <f t="shared" si="31"/>
        <v>0</v>
      </c>
      <c r="O31" s="26">
        <f t="shared" si="32"/>
        <v>0</v>
      </c>
      <c r="P31" s="18">
        <f t="shared" si="33"/>
        <v>0</v>
      </c>
    </row>
    <row r="32" spans="1:16" ht="31" x14ac:dyDescent="0.35">
      <c r="A32" s="25"/>
      <c r="B32" s="27" t="s">
        <v>5</v>
      </c>
      <c r="C32" s="25" t="s">
        <v>38</v>
      </c>
      <c r="D32" s="25" t="s">
        <v>34</v>
      </c>
      <c r="E32" s="11" t="s">
        <v>42</v>
      </c>
      <c r="F32" s="15"/>
      <c r="G32" s="25" t="s">
        <v>45</v>
      </c>
      <c r="H32" s="15">
        <f t="shared" si="25"/>
        <v>200</v>
      </c>
      <c r="I32" s="15">
        <f t="shared" si="26"/>
        <v>2</v>
      </c>
      <c r="J32" s="15">
        <f t="shared" si="27"/>
        <v>0</v>
      </c>
      <c r="K32" s="26">
        <f t="shared" si="28"/>
        <v>0</v>
      </c>
      <c r="L32" s="18">
        <f t="shared" si="29"/>
        <v>0</v>
      </c>
      <c r="M32" s="12">
        <f t="shared" si="30"/>
        <v>0</v>
      </c>
      <c r="N32" s="18">
        <f t="shared" si="31"/>
        <v>0</v>
      </c>
      <c r="O32" s="26">
        <f t="shared" si="32"/>
        <v>0</v>
      </c>
      <c r="P32" s="18">
        <f t="shared" si="33"/>
        <v>0</v>
      </c>
    </row>
    <row r="33" spans="1:16" ht="31" x14ac:dyDescent="0.35">
      <c r="A33" s="25"/>
      <c r="B33" s="27" t="s">
        <v>5</v>
      </c>
      <c r="C33" s="25" t="s">
        <v>39</v>
      </c>
      <c r="D33" s="25" t="s">
        <v>34</v>
      </c>
      <c r="E33" s="11" t="s">
        <v>42</v>
      </c>
      <c r="F33" s="15"/>
      <c r="G33" s="25" t="s">
        <v>45</v>
      </c>
      <c r="H33" s="15">
        <f t="shared" si="25"/>
        <v>200</v>
      </c>
      <c r="I33" s="15">
        <f t="shared" si="26"/>
        <v>2</v>
      </c>
      <c r="J33" s="15">
        <f t="shared" si="27"/>
        <v>0</v>
      </c>
      <c r="K33" s="26">
        <f t="shared" si="28"/>
        <v>0</v>
      </c>
      <c r="L33" s="18">
        <f t="shared" si="29"/>
        <v>0</v>
      </c>
      <c r="M33" s="12">
        <f t="shared" si="30"/>
        <v>0</v>
      </c>
      <c r="N33" s="18">
        <f t="shared" si="31"/>
        <v>0</v>
      </c>
      <c r="O33" s="26">
        <f t="shared" si="32"/>
        <v>0</v>
      </c>
      <c r="P33" s="18">
        <f t="shared" si="33"/>
        <v>0</v>
      </c>
    </row>
    <row r="34" spans="1:16" ht="31" x14ac:dyDescent="0.35">
      <c r="A34" s="25"/>
      <c r="B34" s="27" t="s">
        <v>5</v>
      </c>
      <c r="C34" s="25" t="s">
        <v>40</v>
      </c>
      <c r="D34" s="25" t="s">
        <v>34</v>
      </c>
      <c r="E34" s="11" t="s">
        <v>42</v>
      </c>
      <c r="F34" s="15"/>
      <c r="G34" s="25" t="s">
        <v>45</v>
      </c>
      <c r="H34" s="15">
        <f t="shared" si="25"/>
        <v>200</v>
      </c>
      <c r="I34" s="15">
        <f t="shared" si="26"/>
        <v>2</v>
      </c>
      <c r="J34" s="15">
        <f t="shared" si="27"/>
        <v>0</v>
      </c>
      <c r="K34" s="26">
        <f t="shared" si="28"/>
        <v>0</v>
      </c>
      <c r="L34" s="18">
        <f t="shared" si="29"/>
        <v>0</v>
      </c>
      <c r="M34" s="12">
        <f t="shared" si="30"/>
        <v>0</v>
      </c>
      <c r="N34" s="18">
        <f t="shared" si="31"/>
        <v>0</v>
      </c>
      <c r="O34" s="26">
        <f t="shared" si="32"/>
        <v>0</v>
      </c>
      <c r="P34" s="18">
        <f t="shared" si="33"/>
        <v>0</v>
      </c>
    </row>
    <row r="35" spans="1:16" ht="15" x14ac:dyDescent="0.35">
      <c r="A35" s="16">
        <v>6</v>
      </c>
      <c r="B35" s="41" t="s">
        <v>10</v>
      </c>
      <c r="C35" s="42"/>
      <c r="D35" s="42"/>
      <c r="E35" s="42"/>
      <c r="F35" s="16">
        <f>SUM(F36:F37)</f>
        <v>0</v>
      </c>
      <c r="G35" s="17"/>
      <c r="H35" s="17"/>
      <c r="I35" s="17"/>
      <c r="J35" s="16">
        <f t="shared" ref="J35:P35" si="34">SUM(J36:J37)</f>
        <v>0</v>
      </c>
      <c r="K35" s="16">
        <f t="shared" si="34"/>
        <v>0</v>
      </c>
      <c r="L35" s="16">
        <f t="shared" si="34"/>
        <v>0</v>
      </c>
      <c r="M35" s="16">
        <f t="shared" si="34"/>
        <v>0</v>
      </c>
      <c r="N35" s="16">
        <f t="shared" si="34"/>
        <v>0</v>
      </c>
      <c r="O35" s="16">
        <f t="shared" si="34"/>
        <v>0</v>
      </c>
      <c r="P35" s="16">
        <f t="shared" si="34"/>
        <v>0</v>
      </c>
    </row>
    <row r="36" spans="1:16" ht="31" x14ac:dyDescent="0.35">
      <c r="A36" s="15"/>
      <c r="B36" s="27" t="s">
        <v>5</v>
      </c>
      <c r="C36" s="25" t="s">
        <v>35</v>
      </c>
      <c r="D36" s="25" t="s">
        <v>34</v>
      </c>
      <c r="E36" s="11" t="s">
        <v>42</v>
      </c>
      <c r="F36" s="15"/>
      <c r="G36" s="25" t="s">
        <v>45</v>
      </c>
      <c r="H36" s="15">
        <f>IF(G36="Khó và phức tạp",200,IF(G36="Cao",150,IF(G36="Trungbình",120,100)))</f>
        <v>200</v>
      </c>
      <c r="I36" s="15">
        <f>H36*0.01</f>
        <v>2</v>
      </c>
      <c r="J36" s="15">
        <f t="shared" ref="J36:J37" si="35">F36*I36</f>
        <v>0</v>
      </c>
      <c r="K36" s="26">
        <f t="shared" ref="K36:K37" si="36">F36*100%</f>
        <v>0</v>
      </c>
      <c r="L36" s="18">
        <f t="shared" ref="L36:L37" si="37">K36*I36</f>
        <v>0</v>
      </c>
      <c r="M36" s="12">
        <f t="shared" ref="M36:M37" si="38">K36*75%</f>
        <v>0</v>
      </c>
      <c r="N36" s="18">
        <f t="shared" ref="N36:N37" si="39">I36*M36</f>
        <v>0</v>
      </c>
      <c r="O36" s="26">
        <f t="shared" ref="O36:O37" si="40">K36*100%</f>
        <v>0</v>
      </c>
      <c r="P36" s="18">
        <f t="shared" ref="P36:P37" si="41">I36*O36</f>
        <v>0</v>
      </c>
    </row>
    <row r="37" spans="1:16" ht="31" x14ac:dyDescent="0.35">
      <c r="A37" s="25"/>
      <c r="B37" s="27" t="s">
        <v>5</v>
      </c>
      <c r="C37" s="25" t="s">
        <v>36</v>
      </c>
      <c r="D37" s="25" t="s">
        <v>34</v>
      </c>
      <c r="E37" s="11" t="s">
        <v>42</v>
      </c>
      <c r="F37" s="15"/>
      <c r="G37" s="25" t="s">
        <v>45</v>
      </c>
      <c r="H37" s="15">
        <f>IF(G37="Khó và phức tạp",200,IF(G37="Cao",150,IF(G37="Trungbình",120,100)))</f>
        <v>200</v>
      </c>
      <c r="I37" s="15">
        <f>H37*0.01</f>
        <v>2</v>
      </c>
      <c r="J37" s="15">
        <f t="shared" si="35"/>
        <v>0</v>
      </c>
      <c r="K37" s="26">
        <f t="shared" si="36"/>
        <v>0</v>
      </c>
      <c r="L37" s="18">
        <f t="shared" si="37"/>
        <v>0</v>
      </c>
      <c r="M37" s="12">
        <f t="shared" si="38"/>
        <v>0</v>
      </c>
      <c r="N37" s="18">
        <f t="shared" si="39"/>
        <v>0</v>
      </c>
      <c r="O37" s="26">
        <f t="shared" si="40"/>
        <v>0</v>
      </c>
      <c r="P37" s="18">
        <f t="shared" si="41"/>
        <v>0</v>
      </c>
    </row>
    <row r="38" spans="1:16" ht="15" x14ac:dyDescent="0.35">
      <c r="A38" s="16" t="s">
        <v>11</v>
      </c>
      <c r="B38" s="43" t="s">
        <v>41</v>
      </c>
      <c r="C38" s="44"/>
      <c r="D38" s="44"/>
      <c r="E38" s="44"/>
      <c r="F38" s="16">
        <f>SUM(F39:F41)</f>
        <v>0</v>
      </c>
      <c r="G38" s="17"/>
      <c r="H38" s="17"/>
      <c r="I38" s="17"/>
      <c r="J38" s="16">
        <f t="shared" ref="J38:P38" si="42">SUM(J39:J41)</f>
        <v>0</v>
      </c>
      <c r="K38" s="16">
        <f t="shared" si="42"/>
        <v>0</v>
      </c>
      <c r="L38" s="16">
        <f t="shared" si="42"/>
        <v>0</v>
      </c>
      <c r="M38" s="16">
        <f t="shared" si="42"/>
        <v>0</v>
      </c>
      <c r="N38" s="16">
        <f t="shared" si="42"/>
        <v>0</v>
      </c>
      <c r="O38" s="16">
        <f t="shared" si="42"/>
        <v>0</v>
      </c>
      <c r="P38" s="16">
        <f t="shared" si="42"/>
        <v>0</v>
      </c>
    </row>
    <row r="39" spans="1:16" ht="31" x14ac:dyDescent="0.35">
      <c r="A39" s="25">
        <v>1</v>
      </c>
      <c r="B39" s="27"/>
      <c r="C39" s="25" t="s">
        <v>30</v>
      </c>
      <c r="D39" s="25" t="s">
        <v>34</v>
      </c>
      <c r="E39" s="11" t="s">
        <v>42</v>
      </c>
      <c r="F39" s="15"/>
      <c r="G39" s="25" t="s">
        <v>45</v>
      </c>
      <c r="H39" s="15">
        <f>IF(G39="Khó và phức tạp",200,IF(G39="Cao",150,IF(G39="Trungbình",120,100)))</f>
        <v>200</v>
      </c>
      <c r="I39" s="15">
        <f>H39*0.01</f>
        <v>2</v>
      </c>
      <c r="J39" s="15">
        <f t="shared" ref="J39:J41" si="43">F39*I39</f>
        <v>0</v>
      </c>
      <c r="K39" s="26">
        <f t="shared" ref="K39:K41" si="44">F39*100%</f>
        <v>0</v>
      </c>
      <c r="L39" s="18">
        <f t="shared" ref="L39:L41" si="45">K39*I39</f>
        <v>0</v>
      </c>
      <c r="M39" s="12">
        <f t="shared" ref="M39:M41" si="46">K39*75%</f>
        <v>0</v>
      </c>
      <c r="N39" s="18">
        <f t="shared" ref="N39:N41" si="47">I39*M39</f>
        <v>0</v>
      </c>
      <c r="O39" s="26">
        <f t="shared" ref="O39:O41" si="48">K39*100%</f>
        <v>0</v>
      </c>
      <c r="P39" s="18">
        <f t="shared" ref="P39:P41" si="49">I39*O39</f>
        <v>0</v>
      </c>
    </row>
    <row r="40" spans="1:16" ht="31" x14ac:dyDescent="0.35">
      <c r="A40" s="25">
        <v>2</v>
      </c>
      <c r="B40" s="27"/>
      <c r="C40" s="25" t="s">
        <v>35</v>
      </c>
      <c r="D40" s="25" t="s">
        <v>34</v>
      </c>
      <c r="E40" s="11" t="s">
        <v>42</v>
      </c>
      <c r="F40" s="15"/>
      <c r="G40" s="25" t="s">
        <v>45</v>
      </c>
      <c r="H40" s="15">
        <f>IF(G40="Khó và phức tạp",200,IF(G40="Cao",150,IF(G40="Trungbình",120,100)))</f>
        <v>200</v>
      </c>
      <c r="I40" s="15">
        <f>H40*0.01</f>
        <v>2</v>
      </c>
      <c r="J40" s="15">
        <f t="shared" si="43"/>
        <v>0</v>
      </c>
      <c r="K40" s="26">
        <f t="shared" si="44"/>
        <v>0</v>
      </c>
      <c r="L40" s="18">
        <f t="shared" si="45"/>
        <v>0</v>
      </c>
      <c r="M40" s="12">
        <f t="shared" si="46"/>
        <v>0</v>
      </c>
      <c r="N40" s="18">
        <f t="shared" si="47"/>
        <v>0</v>
      </c>
      <c r="O40" s="26">
        <f t="shared" si="48"/>
        <v>0</v>
      </c>
      <c r="P40" s="18">
        <f t="shared" si="49"/>
        <v>0</v>
      </c>
    </row>
    <row r="41" spans="1:16" ht="31" x14ac:dyDescent="0.35">
      <c r="A41" s="25" t="s">
        <v>5</v>
      </c>
      <c r="B41" s="27"/>
      <c r="C41" s="25" t="s">
        <v>36</v>
      </c>
      <c r="D41" s="25" t="s">
        <v>34</v>
      </c>
      <c r="E41" s="11" t="s">
        <v>42</v>
      </c>
      <c r="F41" s="15"/>
      <c r="G41" s="25" t="s">
        <v>45</v>
      </c>
      <c r="H41" s="15">
        <f>IF(G41="Khó và phức tạp",200,IF(G41="Cao",150,IF(G41="Trungbình",120,100)))</f>
        <v>200</v>
      </c>
      <c r="I41" s="15">
        <f>H41*0.01</f>
        <v>2</v>
      </c>
      <c r="J41" s="15">
        <f t="shared" si="43"/>
        <v>0</v>
      </c>
      <c r="K41" s="26">
        <f t="shared" si="44"/>
        <v>0</v>
      </c>
      <c r="L41" s="18">
        <f t="shared" si="45"/>
        <v>0</v>
      </c>
      <c r="M41" s="12">
        <f t="shared" si="46"/>
        <v>0</v>
      </c>
      <c r="N41" s="18">
        <f t="shared" si="47"/>
        <v>0</v>
      </c>
      <c r="O41" s="26">
        <f t="shared" si="48"/>
        <v>0</v>
      </c>
      <c r="P41" s="18">
        <f t="shared" si="49"/>
        <v>0</v>
      </c>
    </row>
    <row r="42" spans="1:16" ht="15.5" x14ac:dyDescent="0.35">
      <c r="B42" s="38"/>
      <c r="C42" s="38"/>
      <c r="D42" s="38"/>
      <c r="E42" s="38"/>
      <c r="F42" s="38"/>
      <c r="G42" s="38"/>
      <c r="H42" s="38"/>
      <c r="I42" s="38"/>
      <c r="J42" s="38"/>
      <c r="K42" s="38"/>
      <c r="L42" s="38"/>
      <c r="M42" s="38"/>
      <c r="N42" s="38"/>
      <c r="O42" s="38"/>
      <c r="P42" s="38"/>
    </row>
    <row r="43" spans="1:16" s="4" customFormat="1" ht="131.25" customHeight="1" x14ac:dyDescent="0.35">
      <c r="A43" s="32" t="s">
        <v>28</v>
      </c>
      <c r="B43" s="32"/>
      <c r="C43" s="32"/>
      <c r="D43" s="13"/>
      <c r="G43" s="30" t="s">
        <v>27</v>
      </c>
      <c r="H43" s="30"/>
      <c r="I43" s="30"/>
      <c r="J43" s="30"/>
      <c r="K43" s="30"/>
      <c r="L43" s="31"/>
      <c r="M43" s="31"/>
      <c r="N43" s="31"/>
      <c r="O43" s="31"/>
      <c r="P43" s="31"/>
    </row>
  </sheetData>
  <mergeCells count="31">
    <mergeCell ref="A4:P4"/>
    <mergeCell ref="A1:P1"/>
    <mergeCell ref="A2:B2"/>
    <mergeCell ref="G2:P2"/>
    <mergeCell ref="A3:B3"/>
    <mergeCell ref="G3:P3"/>
    <mergeCell ref="B9:P9"/>
    <mergeCell ref="A5:P5"/>
    <mergeCell ref="A6:A7"/>
    <mergeCell ref="B6:B7"/>
    <mergeCell ref="C6:C7"/>
    <mergeCell ref="D6:D7"/>
    <mergeCell ref="E6:E7"/>
    <mergeCell ref="F6:F7"/>
    <mergeCell ref="G6:G7"/>
    <mergeCell ref="H6:H7"/>
    <mergeCell ref="I6:I7"/>
    <mergeCell ref="J6:J7"/>
    <mergeCell ref="K6:L6"/>
    <mergeCell ref="M6:N6"/>
    <mergeCell ref="O6:P6"/>
    <mergeCell ref="B38:E38"/>
    <mergeCell ref="B42:P42"/>
    <mergeCell ref="A43:C43"/>
    <mergeCell ref="G43:P43"/>
    <mergeCell ref="B10:E10"/>
    <mergeCell ref="B15:E15"/>
    <mergeCell ref="B18:E18"/>
    <mergeCell ref="B21:E21"/>
    <mergeCell ref="B28:E28"/>
    <mergeCell ref="B35:E35"/>
  </mergeCells>
  <conditionalFormatting sqref="C11:C14">
    <cfRule type="dataBar" priority="9">
      <dataBar>
        <cfvo type="min"/>
        <cfvo type="max"/>
        <color rgb="FF638EC6"/>
      </dataBar>
      <extLst>
        <ext xmlns:x14="http://schemas.microsoft.com/office/spreadsheetml/2009/9/main" uri="{B025F937-C7B1-47D3-B67F-A62EFF666E3E}">
          <x14:id>{B02C0568-0B95-438E-8F0F-8304F73B5A78}</x14:id>
        </ext>
      </extLst>
    </cfRule>
  </conditionalFormatting>
  <conditionalFormatting sqref="C16:C17">
    <cfRule type="dataBar" priority="8">
      <dataBar>
        <cfvo type="min"/>
        <cfvo type="max"/>
        <color rgb="FF638EC6"/>
      </dataBar>
      <extLst>
        <ext xmlns:x14="http://schemas.microsoft.com/office/spreadsheetml/2009/9/main" uri="{B025F937-C7B1-47D3-B67F-A62EFF666E3E}">
          <x14:id>{91E4274D-B171-4686-8314-4D3DBA220CD2}</x14:id>
        </ext>
      </extLst>
    </cfRule>
  </conditionalFormatting>
  <conditionalFormatting sqref="C19">
    <cfRule type="dataBar" priority="7">
      <dataBar>
        <cfvo type="min"/>
        <cfvo type="max"/>
        <color rgb="FF638EC6"/>
      </dataBar>
      <extLst>
        <ext xmlns:x14="http://schemas.microsoft.com/office/spreadsheetml/2009/9/main" uri="{B025F937-C7B1-47D3-B67F-A62EFF666E3E}">
          <x14:id>{78693158-1AD8-4B30-86DE-FC75A7DA4A16}</x14:id>
        </ext>
      </extLst>
    </cfRule>
  </conditionalFormatting>
  <conditionalFormatting sqref="C20">
    <cfRule type="dataBar" priority="6">
      <dataBar>
        <cfvo type="min"/>
        <cfvo type="max"/>
        <color rgb="FF638EC6"/>
      </dataBar>
      <extLst>
        <ext xmlns:x14="http://schemas.microsoft.com/office/spreadsheetml/2009/9/main" uri="{B025F937-C7B1-47D3-B67F-A62EFF666E3E}">
          <x14:id>{E019BEA0-41FC-416C-9347-F081B9321A3C}</x14:id>
        </ext>
      </extLst>
    </cfRule>
  </conditionalFormatting>
  <conditionalFormatting sqref="C22:C27">
    <cfRule type="dataBar" priority="5">
      <dataBar>
        <cfvo type="min"/>
        <cfvo type="max"/>
        <color rgb="FF638EC6"/>
      </dataBar>
      <extLst>
        <ext xmlns:x14="http://schemas.microsoft.com/office/spreadsheetml/2009/9/main" uri="{B025F937-C7B1-47D3-B67F-A62EFF666E3E}">
          <x14:id>{C4793C31-134B-490B-8E16-175CCE067DA7}</x14:id>
        </ext>
      </extLst>
    </cfRule>
  </conditionalFormatting>
  <conditionalFormatting sqref="C29">
    <cfRule type="dataBar" priority="1">
      <dataBar>
        <cfvo type="min"/>
        <cfvo type="max"/>
        <color rgb="FF638EC6"/>
      </dataBar>
      <extLst>
        <ext xmlns:x14="http://schemas.microsoft.com/office/spreadsheetml/2009/9/main" uri="{B025F937-C7B1-47D3-B67F-A62EFF666E3E}">
          <x14:id>{E6E9F118-07EF-44E3-9D59-FE1CEB23B81F}</x14:id>
        </ext>
      </extLst>
    </cfRule>
  </conditionalFormatting>
  <conditionalFormatting sqref="C30:C34">
    <cfRule type="dataBar" priority="4">
      <dataBar>
        <cfvo type="min"/>
        <cfvo type="max"/>
        <color rgb="FF638EC6"/>
      </dataBar>
      <extLst>
        <ext xmlns:x14="http://schemas.microsoft.com/office/spreadsheetml/2009/9/main" uri="{B025F937-C7B1-47D3-B67F-A62EFF666E3E}">
          <x14:id>{1A03D98B-8EDB-483B-BE79-CB688593C248}</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{A6C4A495-21F2-422A-8C0D-A3824C3E9184}</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{55FAEA13-AE3D-47D8-B30A-29B9C86A4DFF}</x14:id>
        </ext>
      </extLst>
    </cfRule>
  </conditionalFormatting>
  <dataValidations count="4">
    <dataValidation allowBlank="1" showInputMessage="1" sqref="E16:E17 H36:K37 E19:E20 H22:K27 E11:E14 H39:K41 H29:K34 H19:K20 E22:E27 E29:E34 E36:E37 E39:E41 H16:K17 H11:K14" xr:uid="{BC27F856-D8B1-4803-8274-4FB2918EDDC4}"/>
    <dataValidation type="list" allowBlank="1" showInputMessage="1" sqref="G19:G20 G11:G14 G16:G17 G22:G27 G39:G41 G36:G37 G29:G34" xr:uid="{14E2AD2E-2600-4AEA-BB04-4814E75F2118}">
      <formula1>"Thấp,Trung bình,Cao,Khó và phức tạp"</formula1>
    </dataValidation>
    <dataValidation type="list" allowBlank="1" showInputMessage="1" sqref="C11:C14 C16:C17 C19:C20 C22:C27 C39:C41 C36:C37 C29:C34" xr:uid="{621215BA-2E03-47A2-AF0A-1A2C0E93A9C3}">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1:D14 D16:D17 D19:D20 D36:D37 D22:D27 D39:D41 D29:D34" xr:uid="{E846FC65-C4E2-4E15-9896-AF322BFA73E9}">
      <formula1>"Phòng QLĐT&amp;BĐCL, Phòng TH-HC&amp;QT, Phòng QLKHCN&amp;HTPT, Phòng TC-KT, Phòng  TCCB&amp;CTHSSV, Khoa Sư phạm, Khoa CKHCB, Khoa KT&amp;NL, Khoa Y – Dược, Khoa ĐT&amp;SHLX, Khoa KT&amp;CN"</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B02C0568-0B95-438E-8F0F-8304F73B5A78}">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91E4274D-B171-4686-8314-4D3DBA220CD2}">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78693158-1AD8-4B30-86DE-FC75A7DA4A16}">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E019BEA0-41FC-416C-9347-F081B9321A3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C4793C31-134B-490B-8E16-175CCE067DA7}">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E6E9F118-07EF-44E3-9D59-FE1CEB23B81F}">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1A03D98B-8EDB-483B-BE79-CB688593C248}">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A6C4A495-21F2-422A-8C0D-A3824C3E9184}">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55FAEA13-AE3D-47D8-B30A-29B9C86A4DFF}">
            <x14:dataBar minLength="0" maxLength="100" gradient="0">
              <x14:cfvo type="autoMin"/>
              <x14:cfvo type="autoMax"/>
              <x14:negativeFillColor rgb="FFFF0000"/>
              <x14:axisColor rgb="FF000000"/>
            </x14:dataBar>
          </x14:cfRule>
          <xm:sqref>C39:C41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BC tháng</vt:lpstr>
      <vt:lpstr>Mẫu BC QUÝ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Ngọc Vĩnh</cp:lastModifiedBy>
  <cp:lastPrinted>2026-06-25T01:59:32Z</cp:lastPrinted>
  <dcterms:created xsi:type="dcterms:W3CDTF">2026-05-27T07:08:41Z</dcterms:created>
  <dcterms:modified xsi:type="dcterms:W3CDTF">2026-08-13T03:19:25Z</dcterms:modified>
</cp:coreProperties>
</file>