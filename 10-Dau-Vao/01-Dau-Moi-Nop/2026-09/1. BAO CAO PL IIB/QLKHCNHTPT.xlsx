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ÔNG VIỆC\BÁO CÁO\BÁO CÁO THÁNG\THÁNG 9.2026\1. BAO CAO PL 2B\"/>
    </mc:Choice>
  </mc:AlternateContent>
  <xr:revisionPtr revIDLastSave="0" documentId="13_ncr:1_{B67D54BC-5C85-4257-9DB2-E28CE74B58F0}" xr6:coauthVersionLast="47" xr6:coauthVersionMax="47" xr10:uidLastSave="{00000000-0000-0000-0000-000000000000}"/>
  <bookViews>
    <workbookView xWindow="-110" yWindow="-110" windowWidth="19420" windowHeight="11500" xr2:uid="{CF09AA7D-F157-435F-8730-78D5FF9F5A39}"/>
  </bookViews>
  <sheets>
    <sheet name="Mẫu BC THÁNG 9"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0" i="1" l="1"/>
  <c r="F20" i="1"/>
  <c r="P9" i="1"/>
  <c r="N9" i="1"/>
  <c r="M9" i="1"/>
  <c r="L9" i="1"/>
  <c r="K9" i="1"/>
  <c r="J9" i="1"/>
  <c r="F9" i="1"/>
  <c r="F38" i="1"/>
  <c r="K26" i="1"/>
  <c r="I26" i="1"/>
  <c r="P26" i="1" s="1"/>
  <c r="I10" i="1"/>
  <c r="P10" i="1" s="1"/>
  <c r="L10" i="1"/>
  <c r="N10" i="1"/>
  <c r="I11" i="1"/>
  <c r="J11" i="1" s="1"/>
  <c r="I12" i="1"/>
  <c r="L12" i="1" s="1"/>
  <c r="I13" i="1"/>
  <c r="J13" i="1" s="1"/>
  <c r="I14" i="1"/>
  <c r="J14" i="1" s="1"/>
  <c r="I15" i="1"/>
  <c r="N15" i="1" s="1"/>
  <c r="I16" i="1"/>
  <c r="J16" i="1" s="1"/>
  <c r="I29" i="1"/>
  <c r="J29" i="1" s="1"/>
  <c r="K29" i="1"/>
  <c r="I22" i="1"/>
  <c r="J22" i="1" s="1"/>
  <c r="I21" i="1"/>
  <c r="J21" i="1" s="1"/>
  <c r="I19" i="1"/>
  <c r="J19" i="1" s="1"/>
  <c r="I18" i="1"/>
  <c r="P18" i="1" s="1"/>
  <c r="L11" i="1" l="1"/>
  <c r="L26" i="1"/>
  <c r="P14" i="1"/>
  <c r="N14" i="1"/>
  <c r="N26" i="1"/>
  <c r="J26" i="1"/>
  <c r="L14" i="1"/>
  <c r="J10" i="1"/>
  <c r="P16" i="1"/>
  <c r="N16" i="1"/>
  <c r="L16" i="1"/>
  <c r="N11" i="1"/>
  <c r="J12" i="1"/>
  <c r="L15" i="1"/>
  <c r="P11" i="1"/>
  <c r="P13" i="1"/>
  <c r="J15" i="1"/>
  <c r="L13" i="1"/>
  <c r="N13" i="1"/>
  <c r="P12" i="1"/>
  <c r="P15" i="1"/>
  <c r="N12" i="1"/>
  <c r="P29" i="1"/>
  <c r="N29" i="1"/>
  <c r="L29" i="1"/>
  <c r="N21" i="1"/>
  <c r="P21" i="1"/>
  <c r="L22" i="1"/>
  <c r="N22" i="1"/>
  <c r="L21" i="1"/>
  <c r="P22" i="1"/>
  <c r="L19" i="1"/>
  <c r="P19" i="1"/>
  <c r="N19" i="1"/>
  <c r="J18" i="1"/>
  <c r="L18" i="1"/>
  <c r="N18" i="1"/>
  <c r="I28" i="1" l="1"/>
  <c r="J28" i="1" s="1"/>
  <c r="K28" i="1"/>
  <c r="K24" i="1"/>
  <c r="K25" i="1"/>
  <c r="K27" i="1"/>
  <c r="I27" i="1"/>
  <c r="N27" i="1" s="1"/>
  <c r="I24" i="1"/>
  <c r="N24" i="1" s="1"/>
  <c r="I25" i="1"/>
  <c r="J25" i="1" s="1"/>
  <c r="I17" i="1"/>
  <c r="L17" i="1" s="1"/>
  <c r="N28" i="1" l="1"/>
  <c r="P28" i="1"/>
  <c r="L28" i="1"/>
  <c r="L25" i="1"/>
  <c r="L27" i="1"/>
  <c r="L24" i="1"/>
  <c r="J27" i="1"/>
  <c r="P25" i="1"/>
  <c r="N25" i="1"/>
  <c r="P27" i="1"/>
  <c r="P24" i="1"/>
  <c r="J24" i="1"/>
  <c r="J17" i="1"/>
  <c r="N17" i="1"/>
  <c r="P17" i="1"/>
  <c r="M38" i="1" l="1"/>
  <c r="O38" i="1"/>
  <c r="K39" i="1"/>
  <c r="K40" i="1"/>
  <c r="K41" i="1"/>
  <c r="H39" i="1"/>
  <c r="I39" i="1" s="1"/>
  <c r="H40" i="1"/>
  <c r="I40" i="1" s="1"/>
  <c r="P40" i="1" s="1"/>
  <c r="H41" i="1"/>
  <c r="I41" i="1" s="1"/>
  <c r="J41" i="1" s="1"/>
  <c r="H31" i="1"/>
  <c r="I31" i="1" s="1"/>
  <c r="I32" i="1"/>
  <c r="I33" i="1"/>
  <c r="P33" i="1" s="1"/>
  <c r="K31" i="1"/>
  <c r="K32" i="1"/>
  <c r="K33" i="1"/>
  <c r="P39" i="1" l="1"/>
  <c r="N39" i="1"/>
  <c r="J39" i="1"/>
  <c r="J40" i="1"/>
  <c r="L41" i="1"/>
  <c r="L40" i="1"/>
  <c r="L39" i="1"/>
  <c r="N40" i="1"/>
  <c r="K30" i="1"/>
  <c r="P31" i="1"/>
  <c r="N31" i="1"/>
  <c r="J31" i="1"/>
  <c r="L31" i="1"/>
  <c r="P32" i="1"/>
  <c r="N32" i="1"/>
  <c r="J32" i="1"/>
  <c r="L32" i="1"/>
  <c r="L33" i="1"/>
  <c r="J33" i="1"/>
  <c r="N33" i="1"/>
  <c r="K42" i="1"/>
  <c r="K38" i="1" s="1"/>
  <c r="N41" i="1"/>
  <c r="K37" i="1"/>
  <c r="K36" i="1"/>
  <c r="H42" i="1"/>
  <c r="I42" i="1" s="1"/>
  <c r="J42" i="1" s="1"/>
  <c r="H37" i="1"/>
  <c r="I37" i="1" s="1"/>
  <c r="J37" i="1" s="1"/>
  <c r="H36" i="1"/>
  <c r="I36" i="1" s="1"/>
  <c r="J36" i="1" s="1"/>
  <c r="I34" i="1"/>
  <c r="F35" i="1"/>
  <c r="F43" i="1"/>
  <c r="J38" i="1" l="1"/>
  <c r="L34" i="1"/>
  <c r="P37" i="1"/>
  <c r="N42" i="1"/>
  <c r="N38" i="1" s="1"/>
  <c r="J43" i="1"/>
  <c r="L37" i="1"/>
  <c r="N37" i="1"/>
  <c r="K43" i="1"/>
  <c r="P42" i="1"/>
  <c r="P41" i="1"/>
  <c r="L42" i="1"/>
  <c r="L38" i="1" s="1"/>
  <c r="J35" i="1"/>
  <c r="N36" i="1"/>
  <c r="L36" i="1"/>
  <c r="K35" i="1"/>
  <c r="P38" i="1" l="1"/>
  <c r="J30" i="1"/>
  <c r="L30" i="1"/>
  <c r="M30" i="1"/>
  <c r="N30" i="1"/>
  <c r="O30" i="1"/>
  <c r="P34" i="1"/>
  <c r="P30" i="1" s="1"/>
  <c r="M43" i="1"/>
  <c r="N43" i="1"/>
  <c r="L43" i="1"/>
  <c r="P43" i="1"/>
  <c r="O43" i="1"/>
  <c r="M35" i="1"/>
  <c r="N35" i="1"/>
  <c r="L35" i="1"/>
  <c r="P36" i="1"/>
  <c r="P35" i="1" s="1"/>
  <c r="O35" i="1"/>
</calcChain>
</file>

<file path=xl/sharedStrings.xml><?xml version="1.0" encoding="utf-8"?>
<sst xmlns="http://schemas.openxmlformats.org/spreadsheetml/2006/main" count="192" uniqueCount="112">
  <si>
    <t>TT</t>
  </si>
  <si>
    <t>NỘI DUNG CÔNG VIỆC</t>
  </si>
  <si>
    <t>Người trực tiếp chỉ đạo</t>
  </si>
  <si>
    <t>I</t>
  </si>
  <si>
    <t xml:space="preserve">Trục (1) - Thực hiện mục tiêu phát triển Kinh tế - xã hội và nhiệm vụ chính trị được giao </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</si>
  <si>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</si>
  <si>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</si>
  <si>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</si>
  <si>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</si>
  <si>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</si>
  <si>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</si>
  <si>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</si>
  <si>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</si>
  <si>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</si>
  <si>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</si>
  <si>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</si>
  <si>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</si>
  <si>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</si>
  <si>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</si>
  <si>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</si>
  <si>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</si>
  <si>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TRƯỜNG CAO ĐẲNG KON TUM</t>
  </si>
  <si>
    <t>Đơn vị chủ trì</t>
  </si>
  <si>
    <t>Phòng  TCCB&amp;CTHSSV</t>
  </si>
  <si>
    <t>Các nhiệm vụ đột xuất, phát sinh khác ngoài kế hoạch (nếu có)</t>
  </si>
  <si>
    <t>Trung bình</t>
  </si>
  <si>
    <t>Cao</t>
  </si>
  <si>
    <t>Phòng QLKHCN&amp;HTPT</t>
  </si>
  <si>
    <t>Điểm chấm công việc</t>
  </si>
  <si>
    <t>Hệ số quy đổi</t>
  </si>
  <si>
    <t>KPI (số lượng)</t>
  </si>
  <si>
    <t>KPI (chất lượng)</t>
  </si>
  <si>
    <t>KPI (tiến độ)</t>
  </si>
  <si>
    <t>Thực tế hoàn thành</t>
  </si>
  <si>
    <t>Quy đổi</t>
  </si>
  <si>
    <t>Số lượng quy đổi</t>
  </si>
  <si>
    <t>Thấp</t>
  </si>
  <si>
    <t> Các nhiệm vụ theo kế hoạch (chương trình) công tác đã đề ra từ đầu tháng</t>
  </si>
  <si>
    <t>Sản phẩm/ Công việc</t>
  </si>
  <si>
    <t>(8)</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</si>
  <si>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</si>
  <si>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</si>
  <si>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</si>
  <si>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</si>
  <si>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</si>
  <si>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</si>
  <si>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</si>
  <si>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</si>
  <si>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</si>
  <si>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PHÒNG QLKHCN&amp;HTPT</t>
  </si>
  <si>
    <t>Huỳnh Văn Chung</t>
  </si>
  <si>
    <t>Lê Trí Khải</t>
  </si>
  <si>
    <t xml:space="preserve">Thấp </t>
  </si>
  <si>
    <t>Cuộc họp</t>
  </si>
  <si>
    <t>Hiệu trưởng</t>
  </si>
  <si>
    <r>
      <rPr>
        <b/>
        <i/>
        <sz val="12"/>
        <color theme="1"/>
        <rFont val="Times New Roman"/>
        <family val="1"/>
        <charset val="163"/>
      </rPr>
      <t xml:space="preserve">
Nơi nhận:</t>
    </r>
    <r>
      <rPr>
        <sz val="12"/>
        <color theme="1"/>
        <rFont val="Times New Roman"/>
        <family val="1"/>
      </rPr>
      <t xml:space="preserve">
</t>
    </r>
    <r>
      <rPr>
        <sz val="11"/>
        <color theme="1"/>
        <rFont val="Times New Roman"/>
        <family val="1"/>
        <charset val="163"/>
      </rPr>
      <t>- Phòng THHCQT.
- Lưu: QLKHCN</t>
    </r>
  </si>
  <si>
    <t>PHT Huỳnh Văn Chung</t>
  </si>
  <si>
    <t>Biên bản họp Hội đồng tư vấn tuyển chọn chủ nhiệm đề tài khoa học và công nghệ cấp cơ sở đối với đề tài: “Xây dựng cơ sở dữ liệu và phát triển phần mềm tra cứu dữ liệu khoa học, công nghệ và đổi mới sáng tạo của Trường Cao đẳng Kon Tum”</t>
  </si>
  <si>
    <t>Biên bản số 180/BB-CĐKT ngày 27/8/2026</t>
  </si>
  <si>
    <t>Quyết định thành lập Ban biên tập Kỷ yếu Hội thảo khoa học “Chuyển đổi số toàn diện trong quản trị nhà trường gắn với nâng cao chất lượng đào tạo”</t>
  </si>
  <si>
    <t>Quyết định số 1844/QĐ-CĐKT ngày 24/8/2026</t>
  </si>
  <si>
    <t>Kế hoạch họp Hội đồng tư vấn tuyển chọn chủ nhiệm đề tài khoa học và công nghệ cấp cơ sở thực hiện năm 2026 đối với đề tài “Xây dựng cơ sở dữ liệu và phát triển phần mềm tra cứu dữ liệu khoa học, công nghệ và đổi mới sáng tạo của Trường Cao đẳng Kon Tum”</t>
  </si>
  <si>
    <t>Kế hoạch số 797/KH-CĐKT ngày 18/8/2026</t>
  </si>
  <si>
    <t>Thông báo điều chỉnh thời gian họp Hội đồng tư vấn tuyển chọn chủ nhiệm đề tài khoa học và công nghệ cấp cơ sở đối với đề tài “Xây dựng cơ sở dữ liệu và phát triển phần mềm tra cứu dữ liệu khoa học, công nghệ và đổi mới sáng tạo của Trường Cao đẳng Kon Tum”</t>
  </si>
  <si>
    <t>Thông báo số 959/TB-CĐKT ngày 19/8/2026</t>
  </si>
  <si>
    <t>Công văn góp ý dự thảo Chương trình “Hỗ trợ học sinh, sinh viên khởi nghiệp giai đoạn 2026-2035”</t>
  </si>
  <si>
    <t>Công văn số 604/CĐKT-QLKHCN ngày 19/8/2026</t>
  </si>
  <si>
    <t xml:space="preserve">Công văn góp ý dự thảo Văn bản chỉ đạo của Ủy ban nhân dân tỉnh theo Công văn số 8042/VPCP- KTTH ngày 12 tháng 8 năm 2026 của Văn phòng Chính phủ </t>
  </si>
  <si>
    <t>Công văn số 610/CĐKT-QLKHCN ngày 20/8/2026</t>
  </si>
  <si>
    <t>Công văn tuyên truyền, phát động Cuộc thi trực tuyến tìm hiểu Nghị quyết số 57-NQ/TW ngày 22/12/2024 của Bộ Chính trị</t>
  </si>
  <si>
    <t>Công văn số 609/CĐKT-QLKHCN ngày 20/8/2026</t>
  </si>
  <si>
    <t>Báo cáo số 103-BC/ĐU ngày 24/8/2026</t>
  </si>
  <si>
    <t>Công văn số 625/CĐKT-QLKHCN ngày 25/8/2026</t>
  </si>
  <si>
    <t>BÁO CÁO
kết quả thực hiện tháng 9 năm 2026</t>
  </si>
  <si>
    <t>Đề xuất mua sắm bản quyền cho máy server</t>
  </si>
  <si>
    <t>Phiếu chuyển số 795/PC-CĐKT ngày 22/8/2026</t>
  </si>
  <si>
    <t xml:space="preserve">Công văn báo cáo kết quả rà soát, đánh giá tổng thể thực trạng hạ tầng, nền tảng, phần mềm, trang thiết bị đầu cuối </t>
  </si>
  <si>
    <t>Công văn số 626/CĐKT-QLKHCN ngày 25/8/2026</t>
  </si>
  <si>
    <t xml:space="preserve">Quyết định thành lập Ban biên tập Kỷ yếu Hội thảo khoa học “Chuyển đổi số toàn diện trong quản trị nhà trường gắn với nâng cao chất lượng đào tạo” </t>
  </si>
  <si>
    <t xml:space="preserve">Công văn báo cáo tham gia Cuộc thi trực tuyến tìm hiểu Nghị quyết số 57-NQ/TW ngày 22/12/2024 của Bộ Chính trị </t>
  </si>
  <si>
    <t>Công văn số 658/CĐKT-QLKHCN ngày 11/9/2026</t>
  </si>
  <si>
    <t>Biên bản họp Hội đồng thẩm định Quy trình tạo ra/sản xuất sản phẩm đặc trưng (tương đương với sản phẩm OCOP) trong lĩnh vực Nông Lâm nghiệp (lấy ý kiến lần 2)</t>
  </si>
  <si>
    <t>Thông báo Kết luận của Hiệu trưởng – Chủ tịch Hội đồng thẩm định Quy trình tạo ra/sản xuất sản phẩm đặc trưng (tương đương với sản phẩm OCOP) trong lĩnh vực Nông Lâm nghiệp (lấy ý kiến lần 2)</t>
  </si>
  <si>
    <t>Biên bản số 182/BB-CĐKT, ngày 04/9/2026</t>
  </si>
  <si>
    <t>Thông báo số 1008/TB-CĐKT ngày 04/9/2026</t>
  </si>
  <si>
    <t xml:space="preserve">Công văn tham gia góp ý dự thảo Văn bản chỉ đạo của UBND tỉnh triển khai giải pháp nâng cao hiệu quả, công tác hỗ trợ doanh nghiệp, hộ kinh doanh và hợp tác xã trên địa bàn tỉnh </t>
  </si>
  <si>
    <t>Công văn số 620/CĐKT-QLKHCN ngày 24/8/2026</t>
  </si>
  <si>
    <t xml:space="preserve">Công văn  phối hợp cung cấp thông tin học viên, sinh viên và kết nối đào tạo, giải quyết việc làm </t>
  </si>
  <si>
    <t>Công văn số 624/CĐKT-QLKHCN ngày 25/8/2026</t>
  </si>
  <si>
    <t xml:space="preserve">Kế hoạch Đoàn ra của Trường tới thăm và làm việc với Sở Giáo dục và Thể thao các tỉnh Ăt-ta-pư, Sê Kông nước Cộng hòa Dân chủ Nhân dân Lào năm 2026 </t>
  </si>
  <si>
    <t>Kế hoạch số 878/KH-CĐKT ngày 14/9/2026</t>
  </si>
  <si>
    <t xml:space="preserve">Công văn đề nghị xem xét, tham mưu UBND tỉnh Quảng Ngãi cho phép tổ chức Hội thảo khoa học quốc tế </t>
  </si>
  <si>
    <t>Báo cáo kết quả khảo sát nhu cầu học tiếng Nhật của học sinh, sinh viên ngành, nghề Điều dưỡng, Điều dưỡng chất lượng cao và các ngành, nghề khác năm 2026</t>
  </si>
  <si>
    <t>Báo cáo số 379/BC-CĐKT ngày 24/8/2026</t>
  </si>
  <si>
    <t xml:space="preserve">Kế hoạch làm việc với Công ty Lecturio GmbH </t>
  </si>
  <si>
    <t>Kế hoạch số 837/KH-CĐKT ngày 12/9/2026</t>
  </si>
  <si>
    <t xml:space="preserve">Báo cáo kết quả thực hiện công tác kiểm tra, giám sát năm 2026 theo Công văn số 2136-CV/ĐU, ngày 24/6/2026 của Ban Thường vụ Đảng ủy Ủy ban nhân dân tỉnh </t>
  </si>
  <si>
    <t>Dự Hội nghị trực tuyến nghiên cứu, học tập, quán triệt và triển khai thực hiện một số Nghị quyết, Chỉ thị của Bộ Chính trị</t>
  </si>
  <si>
    <t>Tiếp và làm việc với Đoàn công tác của đồng chí Y Ngọc, Ủy viên Ban Thường vụ Tỉnh ủy, Phó Bí thư thường trực Đảng ủy UBND tỉnh, Phó Chủ tịch thường trực UBND tỉnh Quảng Ngãi thăm, làm việc với Trường</t>
  </si>
  <si>
    <t>Tham dự Hội nghị tập thể nhân sự chủ chốt của Trường lấy ý kiến về nhân sự xem xét bổ nhiệm lại Phó Trưởng phòng Tổng hợp – Hành chính và Quản trị</t>
  </si>
  <si>
    <t>Hội nghị</t>
  </si>
  <si>
    <t xml:space="preserve">Kế hoạch phát triển các công cụ trí tuệ nhân tạo hỗ trợ thực hiện nhiệm vụ của các đơn vị thuộc Trường năm 2026, 2027 </t>
  </si>
  <si>
    <t>Kế hoạch số 848/KH-CĐKT ngày 03/9/2026</t>
  </si>
  <si>
    <t xml:space="preserve">Thông báo cài đặt phần mềm phòng chống mã độc tập trung và thực hiện nghiêm Quy chế bảo đảm an ninh, an toàn thông tin mạng </t>
  </si>
  <si>
    <t>Thông báo số 1044/TB-CĐKT ngày 14/9/2026</t>
  </si>
  <si>
    <t xml:space="preserve">Thông báo gia hạn thời gian ban hành Thông báo hướng dẫn sử dụng trí tuệ nhân tạo để kiểm tra, rà soát hồ sơ đề tài KH&amp;CN, sáng kiến và chấm dứt việc xây dựng ban hành Tài liệu hướng dẫn một số kỹ năng sử dụng trí tuệ nhân tạo (AI) trong công tác </t>
  </si>
  <si>
    <t>Thông báo số 1020/TB-CĐKT ngày 07/9/2026</t>
  </si>
  <si>
    <t xml:space="preserve">Kế hoạch sinh hoạt khoa học năm học 2026-2027 </t>
  </si>
  <si>
    <t>Kế hoạch số 866/KH-CĐKT ngày 10/9/2026</t>
  </si>
  <si>
    <t>Thông báo điều chỉnh thời gian họp Hội đồng tư vấn tuyển chọn chủ nhiệm đề tài khoa học và công nghệ cấp cơ sở đối với đề tài Thực trạng và giải pháp nâng cao hiệu quả công tác giáo dục chính trị tư tưởng, đạo đức và lối sống đối với học sinh, sinh viên Trường Cao đẳng Kon Tum đáp ứng yêu cầu kỷ nguyên vươn mình của dân tộc”</t>
  </si>
  <si>
    <t>Thông báo số 1046/TB-CĐKT  ngày 14/9/2026</t>
  </si>
  <si>
    <r>
      <rPr>
        <i/>
        <sz val="14"/>
        <color theme="1"/>
        <rFont val="Times New Roman"/>
        <family val="1"/>
        <charset val="163"/>
      </rPr>
      <t>Quảng Ngãi, ngày 15 tháng 9 năm 2026</t>
    </r>
    <r>
      <rPr>
        <sz val="14"/>
        <color theme="1"/>
        <rFont val="Times New Roman"/>
        <family val="1"/>
      </rPr>
      <t xml:space="preserve">
</t>
    </r>
    <r>
      <rPr>
        <b/>
        <sz val="14"/>
        <color theme="1"/>
        <rFont val="Times New Roman"/>
        <family val="1"/>
      </rPr>
      <t xml:space="preserve">TRƯỞNG PHÒNG
Nguyễn Văn Nam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</si>
</sst>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19"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sz val="12"/>
      <color theme="1"/>
      <name val="Calibri"/>
      <family val="2"/>
      <scheme val="minor"/>
    </font>
    <font>
      <b/>
      <sz val="13"/>
      <color theme="1"/>
      <name val="Times New Roman"/>
      <family val="1"/>
    </font>
    <font>
      <sz val="13"/>
      <color theme="1"/>
      <name val="Times New Roman"/>
      <family val="1"/>
    </font>
    <font>
      <sz val="11"/>
      <color theme="1"/>
      <name val="Calibri"/>
      <family val="2"/>
      <scheme val="minor"/>
    </font>
    <font>
      <sz val="14"/>
      <color theme="1"/>
      <name val="Times New Roman"/>
      <family val="1"/>
    </font>
    <font>
      <b/>
      <sz val="12"/>
      <color theme="1"/>
      <name val="Times New Roman"/>
      <family val="1"/>
    </font>
    <font>
      <sz val="11"/>
      <color theme="1"/>
      <name val="Times New Roman"/>
      <family val="1"/>
      <charset val="163"/>
    </font>
    <font>
      <sz val="12"/>
      <color theme="1"/>
      <name val="Times New Roman"/>
      <family val="1"/>
      <charset val="163"/>
    </font>
    <font>
      <b/>
      <i/>
      <sz val="12"/>
      <color theme="1"/>
      <name val="Times New Roman"/>
      <family val="1"/>
      <charset val="163"/>
    </font>
    <font>
      <b/>
      <sz val="14"/>
      <color theme="1"/>
      <name val="Times New Roman"/>
      <family val="1"/>
      <charset val="163"/>
    </font>
    <font>
      <i/>
      <sz val="14"/>
      <color theme="1"/>
      <name val="Times New Roman"/>
      <family val="1"/>
      <charset val="163"/>
    </font>
    <font>
      <sz val="14"/>
      <color theme="1"/>
      <name val="Times New Roman"/>
      <family val="1"/>
      <charset val="163"/>
    </font>
    <font>
      <sz val="14"/>
      <color theme="1"/>
      <name val="Calibri"/>
      <family val="2"/>
    </font>
    <font>
      <sz val="11"/>
      <name val="Calibri"/>
      <family val="2"/>
      <scheme val="minor"/>
    </font>
    <font>
      <sz val="14"/>
      <name val="Times New Roman"/>
      <family val="1"/>
    </font>
  </fonts>
  <fills count="8">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bgColor theme="0"/>
      </patternFill>
    </fill>
    <fill>
      <patternFill patternType="solid">
        <fgColor rgb="FFFFFFFF"/>
        <bgColor rgb="FFFFFFFF"/>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s>
  <cellStyleXfs count="2">
    <xf numFmtId="0" fontId="0" fillId="0" borderId="0"/>
    <xf numFmtId="43" fontId="7" fillId="0" borderId="0" applyFont="0" applyFill="0" applyBorder="0" applyAlignment="0" applyProtection="0"/>
  </cellStyleXfs>
  <cellXfs count="80">
    <xf numFmtId="0" fontId="0" fillId="0" borderId="0" xfId="0"/>
    <xf numFmtId="0" fontId="4" fillId="0" borderId="0" xfId="0" applyFont="1"/>
    <xf numFmtId="0" fontId="5" fillId="0" borderId="0" xfId="0" applyFont="1" applyAlignment="1">
      <alignment wrapText="1"/>
    </xf>
    <xf numFmtId="0" fontId="1" fillId="0" borderId="0" xfId="0" applyFont="1" applyAlignment="1">
      <alignment vertical="center" wrapText="1"/>
    </xf>
    <xf numFmtId="0" fontId="8" fillId="6" borderId="8" xfId="0" applyFont="1" applyFill="1" applyBorder="1" applyAlignment="1">
      <alignment vertical="center" wrapText="1"/>
    </xf>
    <xf numFmtId="0" fontId="8" fillId="0" borderId="8" xfId="0" applyFont="1" applyBorder="1" applyAlignment="1">
      <alignment horizontal="left" vertical="center" wrapText="1"/>
    </xf>
    <xf numFmtId="0" fontId="8" fillId="0" borderId="8" xfId="0" applyFont="1" applyBorder="1" applyAlignment="1">
      <alignment horizontal="center" vertical="center" wrapText="1"/>
    </xf>
    <xf numFmtId="0" fontId="8" fillId="6" borderId="8" xfId="0" applyFont="1" applyFill="1" applyBorder="1" applyAlignment="1">
      <alignment horizontal="center" vertical="center" wrapText="1"/>
    </xf>
    <xf numFmtId="0" fontId="2" fillId="6" borderId="8" xfId="0" applyFont="1" applyFill="1" applyBorder="1" applyAlignment="1">
      <alignment horizontal="center" vertical="center"/>
    </xf>
    <xf numFmtId="0" fontId="8" fillId="0" borderId="8" xfId="0" applyFont="1" applyBorder="1" applyAlignment="1">
      <alignment horizontal="center" vertical="center"/>
    </xf>
    <xf numFmtId="0" fontId="9" fillId="0" borderId="2" xfId="0" applyFont="1" applyBorder="1" applyAlignment="1">
      <alignment horizontal="center" vertical="center"/>
    </xf>
    <xf numFmtId="0" fontId="9" fillId="0" borderId="2" xfId="0" applyFont="1" applyBorder="1" applyAlignment="1">
      <alignment vertical="center"/>
    </xf>
    <xf numFmtId="0" fontId="3" fillId="0" borderId="2" xfId="0" applyFont="1" applyBorder="1" applyAlignment="1">
      <alignment horizontal="center" vertical="center"/>
    </xf>
    <xf numFmtId="0" fontId="3" fillId="0" borderId="2" xfId="0" applyFont="1" applyBorder="1" applyAlignment="1">
      <alignment horizontal="left" vertical="center"/>
    </xf>
    <xf numFmtId="0" fontId="11" fillId="0" borderId="2" xfId="0" applyFont="1" applyBorder="1" applyAlignment="1">
      <alignment horizontal="center" vertical="center" wrapText="1"/>
    </xf>
    <xf numFmtId="164" fontId="11" fillId="0" borderId="2" xfId="1" applyNumberFormat="1" applyFont="1" applyFill="1" applyBorder="1" applyAlignment="1">
      <alignment horizontal="center" vertical="center" wrapText="1"/>
    </xf>
    <xf numFmtId="43" fontId="11" fillId="0" borderId="2" xfId="1" applyFont="1" applyFill="1" applyBorder="1" applyAlignment="1">
      <alignment horizontal="center" vertical="center" wrapText="1"/>
    </xf>
    <xf numFmtId="0" fontId="3" fillId="0" borderId="2" xfId="0" applyFont="1" applyBorder="1" applyAlignment="1">
      <alignment horizontal="center" vertical="center" wrapText="1"/>
    </xf>
    <xf numFmtId="0" fontId="11" fillId="0" borderId="2" xfId="0" applyFont="1" applyBorder="1" applyAlignment="1">
      <alignment vertical="center" wrapText="1"/>
    </xf>
    <xf numFmtId="0" fontId="11" fillId="0" borderId="0" xfId="0" applyFont="1" applyAlignment="1">
      <alignment horizontal="left" vertical="top" wrapText="1"/>
    </xf>
    <xf numFmtId="0" fontId="0" fillId="2" borderId="0" xfId="0" applyFill="1"/>
    <xf numFmtId="0" fontId="0" fillId="4" borderId="0" xfId="0" applyFill="1"/>
    <xf numFmtId="0" fontId="0" fillId="3" borderId="0" xfId="0" applyFill="1"/>
    <xf numFmtId="0" fontId="0" fillId="5" borderId="0" xfId="0" applyFill="1"/>
    <xf numFmtId="0" fontId="8" fillId="7" borderId="8" xfId="0" applyFont="1" applyFill="1" applyBorder="1" applyAlignment="1">
      <alignment vertical="center" wrapText="1"/>
    </xf>
    <xf numFmtId="0" fontId="8" fillId="0" borderId="2" xfId="0" applyFont="1" applyBorder="1" applyAlignment="1">
      <alignment horizontal="left" vertical="center" wrapText="1"/>
    </xf>
    <xf numFmtId="0" fontId="15" fillId="0" borderId="2" xfId="0" applyFont="1" applyBorder="1" applyAlignment="1">
      <alignment vertical="center" wrapText="1"/>
    </xf>
    <xf numFmtId="0" fontId="1" fillId="0" borderId="2" xfId="0" applyFont="1" applyBorder="1" applyAlignment="1">
      <alignment horizontal="center" vertical="center"/>
    </xf>
    <xf numFmtId="0" fontId="1" fillId="0" borderId="2" xfId="0" applyFont="1" applyBorder="1" applyAlignment="1">
      <alignment vertical="center"/>
    </xf>
    <xf numFmtId="0" fontId="8" fillId="0" borderId="13" xfId="0" applyFont="1" applyBorder="1" applyAlignment="1">
      <alignment horizontal="center" vertical="center"/>
    </xf>
    <xf numFmtId="0" fontId="3" fillId="0" borderId="6" xfId="0" applyFont="1" applyBorder="1" applyAlignment="1">
      <alignment horizontal="left" vertical="center"/>
    </xf>
    <xf numFmtId="0" fontId="8" fillId="0" borderId="13" xfId="0" applyFont="1" applyBorder="1" applyAlignment="1">
      <alignment horizontal="center" vertical="center" wrapText="1"/>
    </xf>
    <xf numFmtId="0" fontId="11" fillId="0" borderId="6"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8" fillId="6" borderId="2" xfId="0" applyFont="1" applyFill="1" applyBorder="1" applyAlignment="1">
      <alignment vertical="center" wrapText="1"/>
    </xf>
    <xf numFmtId="0" fontId="8" fillId="6" borderId="2" xfId="0" applyFont="1" applyFill="1" applyBorder="1" applyAlignment="1">
      <alignment horizontal="center" vertical="center" wrapText="1"/>
    </xf>
    <xf numFmtId="0" fontId="8" fillId="6" borderId="2" xfId="0" applyFont="1" applyFill="1" applyBorder="1" applyAlignment="1">
      <alignment horizontal="center" vertical="center"/>
    </xf>
    <xf numFmtId="0" fontId="8" fillId="0" borderId="14" xfId="0" applyFont="1" applyBorder="1" applyAlignment="1">
      <alignment horizontal="center" vertical="center" wrapText="1"/>
    </xf>
    <xf numFmtId="2" fontId="1" fillId="0" borderId="8" xfId="0" applyNumberFormat="1" applyFont="1" applyBorder="1" applyAlignment="1">
      <alignment horizontal="center" vertical="center" wrapText="1"/>
    </xf>
    <xf numFmtId="0" fontId="15" fillId="0" borderId="2" xfId="0" quotePrefix="1" applyFont="1" applyBorder="1" applyAlignment="1">
      <alignment horizontal="center" vertical="center" wrapText="1"/>
    </xf>
    <xf numFmtId="0" fontId="1" fillId="0" borderId="2" xfId="0" applyFont="1" applyBorder="1" applyAlignment="1">
      <alignment horizontal="center" vertical="center" wrapText="1"/>
    </xf>
    <xf numFmtId="0" fontId="8" fillId="0" borderId="2" xfId="0" applyFont="1" applyBorder="1" applyAlignment="1">
      <alignment horizontal="left" vertical="center"/>
    </xf>
    <xf numFmtId="0" fontId="15" fillId="0" borderId="2" xfId="0" applyFont="1" applyBorder="1" applyAlignment="1">
      <alignment horizontal="center" vertical="center" wrapText="1"/>
    </xf>
    <xf numFmtId="164" fontId="15" fillId="0" borderId="2" xfId="1" applyNumberFormat="1" applyFont="1" applyFill="1" applyBorder="1" applyAlignment="1">
      <alignment horizontal="center" vertical="center" wrapText="1"/>
    </xf>
    <xf numFmtId="164" fontId="15" fillId="0" borderId="6" xfId="1" applyNumberFormat="1" applyFont="1" applyFill="1" applyBorder="1" applyAlignment="1">
      <alignment horizontal="center" vertical="center" wrapText="1"/>
    </xf>
    <xf numFmtId="1" fontId="1" fillId="0" borderId="2" xfId="0" applyNumberFormat="1" applyFont="1" applyBorder="1" applyAlignment="1">
      <alignment horizontal="center" vertical="center"/>
    </xf>
    <xf numFmtId="43" fontId="15" fillId="0" borderId="6" xfId="1" applyFont="1" applyFill="1" applyBorder="1" applyAlignment="1">
      <alignment horizontal="center" vertical="center" wrapText="1"/>
    </xf>
    <xf numFmtId="0" fontId="17" fillId="0" borderId="0" xfId="0" applyFont="1"/>
    <xf numFmtId="0" fontId="8" fillId="0" borderId="0" xfId="0" applyFont="1" applyAlignment="1">
      <alignment horizontal="center" vertical="center" wrapText="1"/>
    </xf>
    <xf numFmtId="164" fontId="1" fillId="0" borderId="2" xfId="0" applyNumberFormat="1" applyFont="1" applyBorder="1" applyAlignment="1">
      <alignment horizontal="center" vertical="center"/>
    </xf>
    <xf numFmtId="0" fontId="18" fillId="6" borderId="2" xfId="0" applyFont="1" applyFill="1" applyBorder="1" applyAlignment="1">
      <alignment vertical="center" wrapText="1"/>
    </xf>
    <xf numFmtId="0" fontId="18" fillId="0" borderId="0" xfId="0" applyFont="1" applyAlignment="1">
      <alignment vertical="center" wrapText="1"/>
    </xf>
    <xf numFmtId="0" fontId="1" fillId="0" borderId="2" xfId="0" applyFont="1" applyBorder="1" applyAlignment="1">
      <alignment horizontal="left"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1" fillId="0" borderId="8" xfId="0" applyFont="1" applyBorder="1" applyAlignment="1">
      <alignment horizontal="center" vertical="center" wrapText="1"/>
    </xf>
    <xf numFmtId="0" fontId="16" fillId="0" borderId="10" xfId="0" applyFont="1" applyBorder="1"/>
    <xf numFmtId="0" fontId="5" fillId="0" borderId="0" xfId="0" applyFont="1" applyAlignment="1">
      <alignment horizontal="center" wrapText="1"/>
    </xf>
    <xf numFmtId="2" fontId="1" fillId="0" borderId="8" xfId="0" applyNumberFormat="1" applyFont="1" applyBorder="1" applyAlignment="1">
      <alignment horizontal="center" vertical="center" wrapText="1"/>
    </xf>
    <xf numFmtId="2" fontId="16" fillId="0" borderId="9" xfId="0" applyNumberFormat="1" applyFont="1" applyBorder="1" applyAlignment="1">
      <alignment wrapText="1"/>
    </xf>
    <xf numFmtId="0" fontId="3" fillId="0" borderId="1" xfId="0" applyFont="1" applyBorder="1" applyAlignment="1">
      <alignment horizontal="left" vertical="center"/>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6" fillId="0" borderId="0" xfId="0" applyFont="1" applyAlignment="1">
      <alignment horizontal="center"/>
    </xf>
    <xf numFmtId="0" fontId="5" fillId="0" borderId="0" xfId="0" applyFont="1" applyAlignment="1">
      <alignment horizontal="center" vertical="center" wrapText="1"/>
    </xf>
    <xf numFmtId="0" fontId="13" fillId="0" borderId="0" xfId="0" applyFont="1" applyAlignment="1">
      <alignment horizontal="center" vertical="top" wrapText="1"/>
    </xf>
    <xf numFmtId="0" fontId="1" fillId="0" borderId="0" xfId="0" applyFont="1" applyAlignment="1">
      <alignment horizontal="center" vertical="top"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 fillId="0" borderId="2" xfId="0" applyFont="1" applyBorder="1" applyAlignment="1">
      <alignment vertical="center" wrapText="1"/>
    </xf>
    <xf numFmtId="0" fontId="3"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9" fillId="0" borderId="4" xfId="0" applyFont="1" applyBorder="1" applyAlignment="1">
      <alignment horizontal="left" vertical="center"/>
    </xf>
    <xf numFmtId="0" fontId="9" fillId="0" borderId="5" xfId="0" applyFont="1" applyBorder="1" applyAlignment="1">
      <alignment horizontal="left" vertical="center"/>
    </xf>
    <xf numFmtId="0" fontId="9" fillId="0" borderId="2" xfId="0"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1872742</xdr:colOff>
      <xdr:row>2</xdr:row>
      <xdr:rowOff>642</xdr:rowOff>
    </xdr:from>
    <xdr:to>
      <xdr:col>1</xdr:col>
      <xdr:colOff>2670601</xdr:colOff>
      <xdr:row>2</xdr:row>
      <xdr:rowOff>642</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2371671" y="599356"/>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707572</xdr:colOff>
      <xdr:row>2</xdr:row>
      <xdr:rowOff>22035</xdr:rowOff>
    </xdr:from>
    <xdr:to>
      <xdr:col>12</xdr:col>
      <xdr:colOff>290286</xdr:colOff>
      <xdr:row>2</xdr:row>
      <xdr:rowOff>22035</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12627429" y="620749"/>
          <a:ext cx="205921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1006927</xdr:colOff>
      <xdr:row>2</xdr:row>
      <xdr:rowOff>533400</xdr:rowOff>
    </xdr:from>
    <xdr:to>
      <xdr:col>6</xdr:col>
      <xdr:colOff>176892</xdr:colOff>
      <xdr:row>2</xdr:row>
      <xdr:rowOff>533400</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Q55"/>
  <sheetViews>
    <sheetView tabSelected="1" view="pageBreakPreview" topLeftCell="A27" zoomScale="70" zoomScaleNormal="70" zoomScaleSheetLayoutView="70" workbookViewId="0">
      <selection activeCell="D10" sqref="D10"/>
    </sheetView>
  </sheetViews>
  <sheetFormatPr defaultColWidth="8.81640625" defaultRowHeight="32.5" customHeight="1" x14ac:dyDescent="0.35"/>
  <cols>
    <col min="1" max="1" width="7.1796875" customWidth="1"/>
    <col min="2" max="2" width="48" customWidth="1"/>
    <col min="3" max="3" width="24.1796875" customWidth="1"/>
    <col min="4" max="4" width="26.26953125" customWidth="1"/>
    <col min="5" max="5" width="17.26953125" customWidth="1"/>
    <col min="6" max="6" width="12.26953125" style="20" customWidth="1"/>
    <col min="7" max="7" width="12.1796875" customWidth="1"/>
    <col min="8" max="8" width="11.7265625" style="21" customWidth="1"/>
    <col min="9" max="9" width="11.54296875" style="22" customWidth="1"/>
    <col min="10" max="10" width="11.7265625" customWidth="1"/>
    <col min="11" max="11" width="11.453125" style="23" customWidth="1"/>
    <col min="12" max="12" width="12.26953125" customWidth="1"/>
    <col min="13" max="13" width="12.81640625" style="23" customWidth="1"/>
    <col min="14" max="14" width="10.81640625" customWidth="1"/>
    <col min="15" max="15" width="12.81640625" style="23" customWidth="1"/>
    <col min="16" max="16" width="12.81640625" customWidth="1"/>
  </cols>
  <sheetData>
    <row r="1" spans="1:17" s="1" customFormat="1" ht="28.5" customHeight="1" x14ac:dyDescent="0.35">
      <c r="A1" s="64" t="s">
        <v>21</v>
      </c>
      <c r="B1" s="64"/>
      <c r="C1" s="64"/>
      <c r="E1" s="2"/>
      <c r="F1" s="2"/>
      <c r="G1" s="58" t="s">
        <v>19</v>
      </c>
      <c r="H1" s="58"/>
      <c r="I1" s="58"/>
      <c r="J1" s="58"/>
      <c r="K1" s="58"/>
      <c r="L1" s="58"/>
      <c r="M1" s="58"/>
      <c r="N1" s="58"/>
      <c r="O1" s="58"/>
      <c r="P1" s="58"/>
    </row>
    <row r="2" spans="1:17" s="1" customFormat="1" ht="18.75" customHeight="1" x14ac:dyDescent="0.35">
      <c r="A2" s="65" t="s">
        <v>49</v>
      </c>
      <c r="B2" s="65"/>
      <c r="C2" s="65"/>
      <c r="E2" s="3"/>
      <c r="F2" s="3"/>
      <c r="G2" s="54" t="s">
        <v>20</v>
      </c>
      <c r="H2" s="54"/>
      <c r="I2" s="54"/>
      <c r="J2" s="54"/>
      <c r="K2" s="54"/>
      <c r="L2" s="54"/>
      <c r="M2" s="54"/>
      <c r="N2" s="54"/>
      <c r="O2" s="54"/>
      <c r="P2" s="54"/>
    </row>
    <row r="3" spans="1:17" ht="44.25" customHeight="1" x14ac:dyDescent="0.35">
      <c r="A3" s="54" t="s">
        <v>73</v>
      </c>
      <c r="B3" s="55"/>
      <c r="C3" s="55"/>
      <c r="D3" s="55"/>
      <c r="E3" s="55"/>
      <c r="F3" s="55"/>
      <c r="G3" s="55"/>
      <c r="H3" s="55"/>
      <c r="I3" s="55"/>
      <c r="J3" s="55"/>
      <c r="K3" s="55"/>
      <c r="L3" s="55"/>
      <c r="M3" s="55"/>
      <c r="N3" s="55"/>
      <c r="O3" s="55"/>
      <c r="P3" s="55"/>
    </row>
    <row r="4" spans="1:17" ht="9" customHeight="1" x14ac:dyDescent="0.35">
      <c r="A4" s="61"/>
      <c r="B4" s="61"/>
      <c r="C4" s="61"/>
      <c r="D4" s="61"/>
      <c r="E4" s="61"/>
      <c r="F4" s="61"/>
      <c r="G4" s="61"/>
      <c r="H4" s="61"/>
      <c r="I4" s="61"/>
      <c r="J4" s="61"/>
      <c r="K4" s="61"/>
      <c r="L4" s="61"/>
      <c r="M4" s="61"/>
      <c r="N4" s="61"/>
      <c r="O4" s="61"/>
      <c r="P4" s="61"/>
    </row>
    <row r="5" spans="1:17" ht="38.25" customHeight="1" x14ac:dyDescent="0.45">
      <c r="A5" s="69" t="s">
        <v>0</v>
      </c>
      <c r="B5" s="69" t="s">
        <v>1</v>
      </c>
      <c r="C5" s="69" t="s">
        <v>2</v>
      </c>
      <c r="D5" s="69" t="s">
        <v>22</v>
      </c>
      <c r="E5" s="69" t="s">
        <v>38</v>
      </c>
      <c r="F5" s="69" t="s">
        <v>11</v>
      </c>
      <c r="G5" s="71" t="s">
        <v>43</v>
      </c>
      <c r="H5" s="56" t="s">
        <v>28</v>
      </c>
      <c r="I5" s="56" t="s">
        <v>29</v>
      </c>
      <c r="J5" s="62" t="s">
        <v>35</v>
      </c>
      <c r="K5" s="59" t="s">
        <v>30</v>
      </c>
      <c r="L5" s="60"/>
      <c r="M5" s="59" t="s">
        <v>31</v>
      </c>
      <c r="N5" s="60"/>
      <c r="O5" s="59" t="s">
        <v>32</v>
      </c>
      <c r="P5" s="60"/>
      <c r="Q5" s="1"/>
    </row>
    <row r="6" spans="1:17" ht="52.5" x14ac:dyDescent="0.35">
      <c r="A6" s="70"/>
      <c r="B6" s="70"/>
      <c r="C6" s="70"/>
      <c r="D6" s="70"/>
      <c r="E6" s="70"/>
      <c r="F6" s="70"/>
      <c r="G6" s="72"/>
      <c r="H6" s="57"/>
      <c r="I6" s="57"/>
      <c r="J6" s="63"/>
      <c r="K6" s="39" t="s">
        <v>33</v>
      </c>
      <c r="L6" s="39" t="s">
        <v>34</v>
      </c>
      <c r="M6" s="39" t="s">
        <v>33</v>
      </c>
      <c r="N6" s="39" t="s">
        <v>34</v>
      </c>
      <c r="O6" s="39" t="s">
        <v>33</v>
      </c>
      <c r="P6" s="39" t="s">
        <v>34</v>
      </c>
      <c r="Q6" s="1"/>
    </row>
    <row r="7" spans="1:17" ht="162" x14ac:dyDescent="0.35">
      <c r="A7" s="40" t="s">
        <v>12</v>
      </c>
      <c r="B7" s="40" t="s">
        <v>13</v>
      </c>
      <c r="C7" s="40" t="s">
        <v>14</v>
      </c>
      <c r="D7" s="40" t="s">
        <v>15</v>
      </c>
      <c r="E7" s="40" t="s">
        <v>16</v>
      </c>
      <c r="F7" s="40" t="s">
        <v>17</v>
      </c>
      <c r="G7" s="40" t="s">
        <v>18</v>
      </c>
      <c r="H7" s="40" t="s">
        <v>39</v>
      </c>
      <c r="I7" s="40" t="s">
        <v>48</v>
      </c>
      <c r="J7" s="40" t="s">
        <v>47</v>
      </c>
      <c r="K7" s="40" t="s">
        <v>41</v>
      </c>
      <c r="L7" s="40" t="s">
        <v>46</v>
      </c>
      <c r="M7" s="40" t="s">
        <v>40</v>
      </c>
      <c r="N7" s="40" t="s">
        <v>44</v>
      </c>
      <c r="O7" s="40" t="s">
        <v>42</v>
      </c>
      <c r="P7" s="40" t="s">
        <v>45</v>
      </c>
    </row>
    <row r="8" spans="1:17" ht="17.5" x14ac:dyDescent="0.35">
      <c r="A8" s="41" t="s">
        <v>3</v>
      </c>
      <c r="B8" s="73" t="s">
        <v>37</v>
      </c>
      <c r="C8" s="73"/>
      <c r="D8" s="73"/>
      <c r="E8" s="73"/>
      <c r="F8" s="73"/>
      <c r="G8" s="73"/>
      <c r="H8" s="73"/>
      <c r="I8" s="73"/>
      <c r="J8" s="73"/>
      <c r="K8" s="73"/>
      <c r="L8" s="73"/>
      <c r="M8" s="73"/>
      <c r="N8" s="73"/>
      <c r="O8" s="73"/>
      <c r="P8" s="73"/>
    </row>
    <row r="9" spans="1:17" ht="29.5" customHeight="1" x14ac:dyDescent="0.35">
      <c r="A9" s="27">
        <v>1</v>
      </c>
      <c r="B9" s="53" t="s">
        <v>4</v>
      </c>
      <c r="C9" s="53"/>
      <c r="D9" s="53"/>
      <c r="E9" s="53"/>
      <c r="F9" s="27">
        <f>SUM(F10:F19)</f>
        <v>10</v>
      </c>
      <c r="G9" s="28"/>
      <c r="H9" s="28"/>
      <c r="I9" s="28"/>
      <c r="J9" s="27">
        <f>SUM(J10:J19)</f>
        <v>10.9</v>
      </c>
      <c r="K9" s="27">
        <f>SUM(K10:K19)</f>
        <v>10</v>
      </c>
      <c r="L9" s="50">
        <f>SUM(L10:L19)</f>
        <v>10.9</v>
      </c>
      <c r="M9" s="27">
        <f>SUM(M10:M19)</f>
        <v>10</v>
      </c>
      <c r="N9" s="50">
        <f>SUM(N10:N19)</f>
        <v>10.9</v>
      </c>
      <c r="O9" s="27"/>
      <c r="P9" s="50">
        <f>SUM(P10:P19)</f>
        <v>10.9</v>
      </c>
    </row>
    <row r="10" spans="1:17" ht="183.75" customHeight="1" x14ac:dyDescent="0.35">
      <c r="A10" s="33">
        <v>1</v>
      </c>
      <c r="B10" s="51" t="s">
        <v>109</v>
      </c>
      <c r="C10" s="36" t="s">
        <v>56</v>
      </c>
      <c r="D10" s="42" t="s">
        <v>27</v>
      </c>
      <c r="E10" s="36" t="s">
        <v>110</v>
      </c>
      <c r="F10" s="37">
        <v>1</v>
      </c>
      <c r="G10" s="43" t="s">
        <v>36</v>
      </c>
      <c r="H10" s="43">
        <v>100</v>
      </c>
      <c r="I10" s="43">
        <f t="shared" ref="I10:I19" si="0">H10*0.01</f>
        <v>1</v>
      </c>
      <c r="J10" s="43">
        <f t="shared" ref="J10:J19" si="1">F10*I10</f>
        <v>1</v>
      </c>
      <c r="K10" s="37">
        <v>1</v>
      </c>
      <c r="L10" s="45">
        <f t="shared" ref="L10:L19" si="2">K10*I10</f>
        <v>1</v>
      </c>
      <c r="M10" s="37">
        <v>1</v>
      </c>
      <c r="N10" s="45">
        <f t="shared" ref="N10:N19" si="3">I10*M10</f>
        <v>1</v>
      </c>
      <c r="O10" s="37">
        <v>1</v>
      </c>
      <c r="P10" s="45">
        <f t="shared" ref="P10:P19" si="4">I10*O10</f>
        <v>1</v>
      </c>
    </row>
    <row r="11" spans="1:17" ht="54" x14ac:dyDescent="0.35">
      <c r="A11" s="33">
        <v>2</v>
      </c>
      <c r="B11" s="51" t="s">
        <v>107</v>
      </c>
      <c r="C11" s="36" t="s">
        <v>51</v>
      </c>
      <c r="D11" s="42" t="s">
        <v>27</v>
      </c>
      <c r="E11" s="36" t="s">
        <v>108</v>
      </c>
      <c r="F11" s="37">
        <v>1</v>
      </c>
      <c r="G11" s="43" t="s">
        <v>36</v>
      </c>
      <c r="H11" s="43">
        <v>100</v>
      </c>
      <c r="I11" s="43">
        <f t="shared" si="0"/>
        <v>1</v>
      </c>
      <c r="J11" s="43">
        <f t="shared" si="1"/>
        <v>1</v>
      </c>
      <c r="K11" s="37">
        <v>1</v>
      </c>
      <c r="L11" s="45">
        <f t="shared" si="2"/>
        <v>1</v>
      </c>
      <c r="M11" s="37">
        <v>1</v>
      </c>
      <c r="N11" s="45">
        <f t="shared" si="3"/>
        <v>1</v>
      </c>
      <c r="O11" s="37">
        <v>1</v>
      </c>
      <c r="P11" s="45">
        <f t="shared" si="4"/>
        <v>1</v>
      </c>
    </row>
    <row r="12" spans="1:17" ht="108" x14ac:dyDescent="0.35">
      <c r="A12" s="33">
        <v>3</v>
      </c>
      <c r="B12" s="51" t="s">
        <v>105</v>
      </c>
      <c r="C12" s="36" t="s">
        <v>51</v>
      </c>
      <c r="D12" s="42" t="s">
        <v>27</v>
      </c>
      <c r="E12" s="36" t="s">
        <v>106</v>
      </c>
      <c r="F12" s="37">
        <v>1</v>
      </c>
      <c r="G12" s="43" t="s">
        <v>36</v>
      </c>
      <c r="H12" s="43">
        <v>100</v>
      </c>
      <c r="I12" s="43">
        <f t="shared" si="0"/>
        <v>1</v>
      </c>
      <c r="J12" s="43">
        <f t="shared" si="1"/>
        <v>1</v>
      </c>
      <c r="K12" s="37">
        <v>1</v>
      </c>
      <c r="L12" s="45">
        <f t="shared" si="2"/>
        <v>1</v>
      </c>
      <c r="M12" s="37">
        <v>1</v>
      </c>
      <c r="N12" s="45">
        <f t="shared" si="3"/>
        <v>1</v>
      </c>
      <c r="O12" s="37">
        <v>1</v>
      </c>
      <c r="P12" s="45">
        <f t="shared" si="4"/>
        <v>1</v>
      </c>
    </row>
    <row r="13" spans="1:17" ht="72" x14ac:dyDescent="0.35">
      <c r="A13" s="33">
        <v>4</v>
      </c>
      <c r="B13" s="51" t="s">
        <v>103</v>
      </c>
      <c r="C13" s="36" t="s">
        <v>51</v>
      </c>
      <c r="D13" s="42" t="s">
        <v>27</v>
      </c>
      <c r="E13" s="36" t="s">
        <v>104</v>
      </c>
      <c r="F13" s="37">
        <v>1</v>
      </c>
      <c r="G13" s="43" t="s">
        <v>36</v>
      </c>
      <c r="H13" s="43">
        <v>100</v>
      </c>
      <c r="I13" s="43">
        <f t="shared" si="0"/>
        <v>1</v>
      </c>
      <c r="J13" s="43">
        <f t="shared" si="1"/>
        <v>1</v>
      </c>
      <c r="K13" s="37">
        <v>1</v>
      </c>
      <c r="L13" s="45">
        <f t="shared" si="2"/>
        <v>1</v>
      </c>
      <c r="M13" s="37">
        <v>1</v>
      </c>
      <c r="N13" s="45">
        <f t="shared" si="3"/>
        <v>1</v>
      </c>
      <c r="O13" s="37">
        <v>1</v>
      </c>
      <c r="P13" s="45">
        <f t="shared" si="4"/>
        <v>1</v>
      </c>
    </row>
    <row r="14" spans="1:17" ht="78.75" customHeight="1" x14ac:dyDescent="0.35">
      <c r="A14" s="33">
        <v>5</v>
      </c>
      <c r="B14" s="51" t="s">
        <v>101</v>
      </c>
      <c r="C14" s="36" t="s">
        <v>51</v>
      </c>
      <c r="D14" s="42" t="s">
        <v>27</v>
      </c>
      <c r="E14" s="36" t="s">
        <v>102</v>
      </c>
      <c r="F14" s="37">
        <v>1</v>
      </c>
      <c r="G14" s="43" t="s">
        <v>26</v>
      </c>
      <c r="H14" s="43">
        <v>150</v>
      </c>
      <c r="I14" s="43">
        <f t="shared" si="0"/>
        <v>1.5</v>
      </c>
      <c r="J14" s="43">
        <f t="shared" si="1"/>
        <v>1.5</v>
      </c>
      <c r="K14" s="37">
        <v>1</v>
      </c>
      <c r="L14" s="45">
        <f t="shared" si="2"/>
        <v>1.5</v>
      </c>
      <c r="M14" s="37">
        <v>1</v>
      </c>
      <c r="N14" s="45">
        <f t="shared" si="3"/>
        <v>1.5</v>
      </c>
      <c r="O14" s="37">
        <v>1</v>
      </c>
      <c r="P14" s="45">
        <f t="shared" si="4"/>
        <v>1.5</v>
      </c>
    </row>
    <row r="15" spans="1:17" ht="103.5" customHeight="1" x14ac:dyDescent="0.35">
      <c r="A15" s="33">
        <v>6</v>
      </c>
      <c r="B15" s="51" t="s">
        <v>76</v>
      </c>
      <c r="C15" s="36" t="s">
        <v>56</v>
      </c>
      <c r="D15" s="42" t="s">
        <v>27</v>
      </c>
      <c r="E15" s="36" t="s">
        <v>77</v>
      </c>
      <c r="F15" s="37">
        <v>1</v>
      </c>
      <c r="G15" s="43" t="s">
        <v>25</v>
      </c>
      <c r="H15" s="43">
        <v>120</v>
      </c>
      <c r="I15" s="43">
        <f t="shared" si="0"/>
        <v>1.2</v>
      </c>
      <c r="J15" s="43">
        <f t="shared" si="1"/>
        <v>1.2</v>
      </c>
      <c r="K15" s="37">
        <v>1</v>
      </c>
      <c r="L15" s="45">
        <f t="shared" si="2"/>
        <v>1.2</v>
      </c>
      <c r="M15" s="37">
        <v>1</v>
      </c>
      <c r="N15" s="45">
        <f t="shared" si="3"/>
        <v>1.2</v>
      </c>
      <c r="O15" s="37">
        <v>1</v>
      </c>
      <c r="P15" s="45">
        <f t="shared" si="4"/>
        <v>1.2</v>
      </c>
    </row>
    <row r="16" spans="1:17" ht="78.75" customHeight="1" x14ac:dyDescent="0.35">
      <c r="A16" s="33">
        <v>7</v>
      </c>
      <c r="B16" s="52" t="s">
        <v>74</v>
      </c>
      <c r="C16" s="36" t="s">
        <v>51</v>
      </c>
      <c r="D16" s="42" t="s">
        <v>27</v>
      </c>
      <c r="E16" s="49" t="s">
        <v>75</v>
      </c>
      <c r="F16" s="37">
        <v>1</v>
      </c>
      <c r="G16" s="43" t="s">
        <v>36</v>
      </c>
      <c r="H16" s="43">
        <v>100</v>
      </c>
      <c r="I16" s="43">
        <f t="shared" si="0"/>
        <v>1</v>
      </c>
      <c r="J16" s="43">
        <f t="shared" si="1"/>
        <v>1</v>
      </c>
      <c r="K16" s="37">
        <v>1</v>
      </c>
      <c r="L16" s="45">
        <f t="shared" si="2"/>
        <v>1</v>
      </c>
      <c r="M16" s="37">
        <v>1</v>
      </c>
      <c r="N16" s="45">
        <f t="shared" si="3"/>
        <v>1</v>
      </c>
      <c r="O16" s="37">
        <v>1</v>
      </c>
      <c r="P16" s="45">
        <f t="shared" si="4"/>
        <v>1</v>
      </c>
    </row>
    <row r="17" spans="1:16" ht="112" customHeight="1" x14ac:dyDescent="0.35">
      <c r="A17" s="33">
        <v>8</v>
      </c>
      <c r="B17" s="35" t="s">
        <v>57</v>
      </c>
      <c r="C17" s="36" t="s">
        <v>50</v>
      </c>
      <c r="D17" s="42" t="s">
        <v>27</v>
      </c>
      <c r="E17" s="36" t="s">
        <v>58</v>
      </c>
      <c r="F17" s="37">
        <v>1</v>
      </c>
      <c r="G17" s="43" t="s">
        <v>25</v>
      </c>
      <c r="H17" s="43">
        <v>120</v>
      </c>
      <c r="I17" s="43">
        <f t="shared" si="0"/>
        <v>1.2</v>
      </c>
      <c r="J17" s="43">
        <f t="shared" si="1"/>
        <v>1.2</v>
      </c>
      <c r="K17" s="37">
        <v>1</v>
      </c>
      <c r="L17" s="44">
        <f t="shared" si="2"/>
        <v>1.2</v>
      </c>
      <c r="M17" s="37">
        <v>1</v>
      </c>
      <c r="N17" s="44">
        <f t="shared" si="3"/>
        <v>1.2</v>
      </c>
      <c r="O17" s="37">
        <v>1</v>
      </c>
      <c r="P17" s="44">
        <f t="shared" si="4"/>
        <v>1.2</v>
      </c>
    </row>
    <row r="18" spans="1:16" ht="112" customHeight="1" x14ac:dyDescent="0.35">
      <c r="A18" s="33">
        <v>9</v>
      </c>
      <c r="B18" s="35" t="s">
        <v>61</v>
      </c>
      <c r="C18" s="36" t="s">
        <v>50</v>
      </c>
      <c r="D18" s="42" t="s">
        <v>27</v>
      </c>
      <c r="E18" s="36" t="s">
        <v>62</v>
      </c>
      <c r="F18" s="37">
        <v>1</v>
      </c>
      <c r="G18" s="43" t="s">
        <v>36</v>
      </c>
      <c r="H18" s="43">
        <v>100</v>
      </c>
      <c r="I18" s="43">
        <f t="shared" si="0"/>
        <v>1</v>
      </c>
      <c r="J18" s="43">
        <f t="shared" si="1"/>
        <v>1</v>
      </c>
      <c r="K18" s="37">
        <v>1</v>
      </c>
      <c r="L18" s="44">
        <f t="shared" si="2"/>
        <v>1</v>
      </c>
      <c r="M18" s="37">
        <v>1</v>
      </c>
      <c r="N18" s="44">
        <f t="shared" si="3"/>
        <v>1</v>
      </c>
      <c r="O18" s="37">
        <v>1</v>
      </c>
      <c r="P18" s="44">
        <f t="shared" si="4"/>
        <v>1</v>
      </c>
    </row>
    <row r="19" spans="1:16" ht="112" customHeight="1" x14ac:dyDescent="0.35">
      <c r="A19" s="33">
        <v>10</v>
      </c>
      <c r="B19" s="35" t="s">
        <v>63</v>
      </c>
      <c r="C19" s="36" t="s">
        <v>50</v>
      </c>
      <c r="D19" s="42" t="s">
        <v>27</v>
      </c>
      <c r="E19" s="36" t="s">
        <v>64</v>
      </c>
      <c r="F19" s="37">
        <v>1</v>
      </c>
      <c r="G19" s="43" t="s">
        <v>36</v>
      </c>
      <c r="H19" s="43">
        <v>100</v>
      </c>
      <c r="I19" s="43">
        <f t="shared" si="0"/>
        <v>1</v>
      </c>
      <c r="J19" s="43">
        <f t="shared" si="1"/>
        <v>1</v>
      </c>
      <c r="K19" s="37">
        <v>1</v>
      </c>
      <c r="L19" s="44">
        <f t="shared" si="2"/>
        <v>1</v>
      </c>
      <c r="M19" s="37">
        <v>1</v>
      </c>
      <c r="N19" s="44">
        <f t="shared" si="3"/>
        <v>1</v>
      </c>
      <c r="O19" s="37">
        <v>1</v>
      </c>
      <c r="P19" s="44">
        <f t="shared" si="4"/>
        <v>1</v>
      </c>
    </row>
    <row r="20" spans="1:16" ht="41.25" customHeight="1" x14ac:dyDescent="0.35">
      <c r="A20" s="27">
        <v>2</v>
      </c>
      <c r="B20" s="53" t="s">
        <v>5</v>
      </c>
      <c r="C20" s="53"/>
      <c r="D20" s="53"/>
      <c r="E20" s="53"/>
      <c r="F20" s="27">
        <f>SUM(F21:F22)</f>
        <v>2</v>
      </c>
      <c r="G20" s="28"/>
      <c r="H20" s="28"/>
      <c r="I20" s="28"/>
      <c r="J20" s="27">
        <f>SUM(J21:J22)</f>
        <v>2</v>
      </c>
      <c r="K20" s="46">
        <v>2</v>
      </c>
      <c r="L20" s="27">
        <v>2</v>
      </c>
      <c r="M20" s="27">
        <v>2</v>
      </c>
      <c r="N20" s="27">
        <v>2</v>
      </c>
      <c r="O20" s="27">
        <v>2</v>
      </c>
      <c r="P20" s="27">
        <v>2</v>
      </c>
    </row>
    <row r="21" spans="1:16" ht="107.25" customHeight="1" x14ac:dyDescent="0.35">
      <c r="A21" s="33">
        <v>1</v>
      </c>
      <c r="B21" s="25" t="s">
        <v>65</v>
      </c>
      <c r="C21" s="34" t="s">
        <v>50</v>
      </c>
      <c r="D21" s="42" t="s">
        <v>27</v>
      </c>
      <c r="E21" s="34" t="s">
        <v>66</v>
      </c>
      <c r="F21" s="43">
        <v>1</v>
      </c>
      <c r="G21" s="34" t="s">
        <v>52</v>
      </c>
      <c r="H21" s="43">
        <v>100</v>
      </c>
      <c r="I21" s="43">
        <f t="shared" ref="I21:I22" si="5">H21*0.01</f>
        <v>1</v>
      </c>
      <c r="J21" s="43">
        <f t="shared" ref="J21:J22" si="6">F21*I21</f>
        <v>1</v>
      </c>
      <c r="K21" s="34">
        <v>1</v>
      </c>
      <c r="L21" s="44">
        <f t="shared" ref="L21:L22" si="7">K21*I21</f>
        <v>1</v>
      </c>
      <c r="M21" s="34">
        <v>1</v>
      </c>
      <c r="N21" s="44">
        <f t="shared" ref="N21:N22" si="8">I21*M21</f>
        <v>1</v>
      </c>
      <c r="O21" s="34">
        <v>1</v>
      </c>
      <c r="P21" s="44">
        <f t="shared" ref="P21:P22" si="9">I21*O21</f>
        <v>1</v>
      </c>
    </row>
    <row r="22" spans="1:16" ht="98.25" customHeight="1" x14ac:dyDescent="0.35">
      <c r="A22" s="33">
        <v>2</v>
      </c>
      <c r="B22" s="25" t="s">
        <v>67</v>
      </c>
      <c r="C22" s="34" t="s">
        <v>50</v>
      </c>
      <c r="D22" s="42" t="s">
        <v>27</v>
      </c>
      <c r="E22" s="34" t="s">
        <v>68</v>
      </c>
      <c r="F22" s="43">
        <v>1</v>
      </c>
      <c r="G22" s="34" t="s">
        <v>36</v>
      </c>
      <c r="H22" s="43">
        <v>100</v>
      </c>
      <c r="I22" s="43">
        <f t="shared" si="5"/>
        <v>1</v>
      </c>
      <c r="J22" s="43">
        <f t="shared" si="6"/>
        <v>1</v>
      </c>
      <c r="K22" s="34">
        <v>1</v>
      </c>
      <c r="L22" s="44">
        <f t="shared" si="7"/>
        <v>1</v>
      </c>
      <c r="M22" s="34">
        <v>1</v>
      </c>
      <c r="N22" s="44">
        <f t="shared" si="8"/>
        <v>1</v>
      </c>
      <c r="O22" s="34">
        <v>1</v>
      </c>
      <c r="P22" s="44">
        <f t="shared" si="9"/>
        <v>1</v>
      </c>
    </row>
    <row r="23" spans="1:16" ht="37.5" customHeight="1" x14ac:dyDescent="0.35">
      <c r="A23" s="27">
        <v>3</v>
      </c>
      <c r="B23" s="53" t="s">
        <v>6</v>
      </c>
      <c r="C23" s="53"/>
      <c r="D23" s="53"/>
      <c r="E23" s="53"/>
      <c r="F23" s="27">
        <v>6</v>
      </c>
      <c r="G23" s="28"/>
      <c r="H23" s="28"/>
      <c r="I23" s="28"/>
      <c r="J23" s="50">
        <v>6</v>
      </c>
      <c r="K23" s="27">
        <v>6</v>
      </c>
      <c r="L23" s="27">
        <v>6</v>
      </c>
      <c r="M23" s="27">
        <v>4</v>
      </c>
      <c r="N23" s="27">
        <v>6</v>
      </c>
      <c r="O23" s="27">
        <v>6</v>
      </c>
      <c r="P23" s="27">
        <v>6</v>
      </c>
    </row>
    <row r="24" spans="1:16" ht="102.75" customHeight="1" x14ac:dyDescent="0.35">
      <c r="A24" s="33">
        <v>1</v>
      </c>
      <c r="B24" s="25" t="s">
        <v>81</v>
      </c>
      <c r="C24" s="38" t="s">
        <v>51</v>
      </c>
      <c r="D24" s="43" t="s">
        <v>27</v>
      </c>
      <c r="E24" s="34" t="s">
        <v>83</v>
      </c>
      <c r="F24" s="34">
        <v>1</v>
      </c>
      <c r="G24" s="34" t="s">
        <v>36</v>
      </c>
      <c r="H24" s="43">
        <v>100</v>
      </c>
      <c r="I24" s="43">
        <f t="shared" ref="I24:I29" si="10">H24*0.01</f>
        <v>1</v>
      </c>
      <c r="J24" s="43">
        <f t="shared" ref="J24:J29" si="11">F24*I24</f>
        <v>1</v>
      </c>
      <c r="K24" s="47">
        <f t="shared" ref="K24:K29" si="12">F24*100%</f>
        <v>1</v>
      </c>
      <c r="L24" s="44">
        <f t="shared" ref="L24:L29" si="13">K24*I24</f>
        <v>1</v>
      </c>
      <c r="M24" s="34">
        <v>1</v>
      </c>
      <c r="N24" s="44">
        <f t="shared" ref="N24:N29" si="14">I24*M24</f>
        <v>1</v>
      </c>
      <c r="O24" s="34">
        <v>1</v>
      </c>
      <c r="P24" s="44">
        <f t="shared" ref="P24:P29" si="15">I24*O24</f>
        <v>1</v>
      </c>
    </row>
    <row r="25" spans="1:16" ht="102.75" customHeight="1" x14ac:dyDescent="0.35">
      <c r="A25" s="33">
        <v>2</v>
      </c>
      <c r="B25" s="25" t="s">
        <v>82</v>
      </c>
      <c r="C25" s="38" t="s">
        <v>51</v>
      </c>
      <c r="D25" s="43" t="s">
        <v>27</v>
      </c>
      <c r="E25" s="34" t="s">
        <v>84</v>
      </c>
      <c r="F25" s="34">
        <v>1</v>
      </c>
      <c r="G25" s="34" t="s">
        <v>52</v>
      </c>
      <c r="H25" s="43">
        <v>100</v>
      </c>
      <c r="I25" s="43">
        <f t="shared" si="10"/>
        <v>1</v>
      </c>
      <c r="J25" s="43">
        <f t="shared" si="11"/>
        <v>1</v>
      </c>
      <c r="K25" s="47">
        <f t="shared" si="12"/>
        <v>1</v>
      </c>
      <c r="L25" s="44">
        <f t="shared" si="13"/>
        <v>1</v>
      </c>
      <c r="M25" s="34">
        <v>1</v>
      </c>
      <c r="N25" s="44">
        <f t="shared" si="14"/>
        <v>1</v>
      </c>
      <c r="O25" s="34">
        <v>1</v>
      </c>
      <c r="P25" s="44">
        <f t="shared" si="15"/>
        <v>1</v>
      </c>
    </row>
    <row r="26" spans="1:16" ht="102.75" customHeight="1" x14ac:dyDescent="0.35">
      <c r="A26" s="33">
        <v>3</v>
      </c>
      <c r="B26" s="25" t="s">
        <v>79</v>
      </c>
      <c r="C26" s="38" t="s">
        <v>56</v>
      </c>
      <c r="D26" s="43" t="s">
        <v>27</v>
      </c>
      <c r="E26" s="34" t="s">
        <v>80</v>
      </c>
      <c r="F26" s="34">
        <v>1</v>
      </c>
      <c r="G26" s="34" t="s">
        <v>36</v>
      </c>
      <c r="H26" s="43">
        <v>100</v>
      </c>
      <c r="I26" s="43">
        <f t="shared" si="10"/>
        <v>1</v>
      </c>
      <c r="J26" s="43">
        <f t="shared" si="11"/>
        <v>1</v>
      </c>
      <c r="K26" s="47">
        <f t="shared" si="12"/>
        <v>1</v>
      </c>
      <c r="L26" s="44">
        <f t="shared" si="13"/>
        <v>1</v>
      </c>
      <c r="M26" s="34">
        <v>1</v>
      </c>
      <c r="N26" s="44">
        <f t="shared" si="14"/>
        <v>1</v>
      </c>
      <c r="O26" s="34">
        <v>1</v>
      </c>
      <c r="P26" s="44">
        <f t="shared" si="15"/>
        <v>1</v>
      </c>
    </row>
    <row r="27" spans="1:16" ht="102.75" customHeight="1" x14ac:dyDescent="0.35">
      <c r="A27" s="33">
        <v>4</v>
      </c>
      <c r="B27" s="25" t="s">
        <v>78</v>
      </c>
      <c r="C27" s="38" t="s">
        <v>51</v>
      </c>
      <c r="D27" s="43" t="s">
        <v>27</v>
      </c>
      <c r="E27" s="34" t="s">
        <v>60</v>
      </c>
      <c r="F27" s="34">
        <v>1</v>
      </c>
      <c r="G27" s="34" t="s">
        <v>36</v>
      </c>
      <c r="H27" s="43">
        <v>100</v>
      </c>
      <c r="I27" s="43">
        <f t="shared" si="10"/>
        <v>1</v>
      </c>
      <c r="J27" s="43">
        <f t="shared" si="11"/>
        <v>1</v>
      </c>
      <c r="K27" s="47">
        <f t="shared" si="12"/>
        <v>1</v>
      </c>
      <c r="L27" s="44">
        <f t="shared" si="13"/>
        <v>1</v>
      </c>
      <c r="M27" s="34">
        <v>1</v>
      </c>
      <c r="N27" s="44">
        <f t="shared" si="14"/>
        <v>1</v>
      </c>
      <c r="O27" s="34">
        <v>1</v>
      </c>
      <c r="P27" s="44">
        <f t="shared" si="15"/>
        <v>1</v>
      </c>
    </row>
    <row r="28" spans="1:16" ht="102.75" customHeight="1" x14ac:dyDescent="0.35">
      <c r="A28" s="33">
        <v>5</v>
      </c>
      <c r="B28" s="25" t="s">
        <v>59</v>
      </c>
      <c r="C28" s="38" t="s">
        <v>51</v>
      </c>
      <c r="D28" s="43" t="s">
        <v>27</v>
      </c>
      <c r="E28" s="34" t="s">
        <v>60</v>
      </c>
      <c r="F28" s="34">
        <v>1</v>
      </c>
      <c r="G28" s="34" t="s">
        <v>36</v>
      </c>
      <c r="H28" s="43">
        <v>100</v>
      </c>
      <c r="I28" s="43">
        <f t="shared" si="10"/>
        <v>1</v>
      </c>
      <c r="J28" s="43">
        <f t="shared" si="11"/>
        <v>1</v>
      </c>
      <c r="K28" s="47">
        <f t="shared" si="12"/>
        <v>1</v>
      </c>
      <c r="L28" s="44">
        <f t="shared" si="13"/>
        <v>1</v>
      </c>
      <c r="M28" s="34">
        <v>1</v>
      </c>
      <c r="N28" s="44">
        <f t="shared" si="14"/>
        <v>1</v>
      </c>
      <c r="O28" s="34">
        <v>1</v>
      </c>
      <c r="P28" s="44">
        <f t="shared" si="15"/>
        <v>1</v>
      </c>
    </row>
    <row r="29" spans="1:16" ht="102.75" customHeight="1" x14ac:dyDescent="0.35">
      <c r="A29" s="33">
        <v>6</v>
      </c>
      <c r="B29" s="25" t="s">
        <v>69</v>
      </c>
      <c r="C29" s="38" t="s">
        <v>51</v>
      </c>
      <c r="D29" s="43" t="s">
        <v>27</v>
      </c>
      <c r="E29" s="34" t="s">
        <v>70</v>
      </c>
      <c r="F29" s="34">
        <v>1</v>
      </c>
      <c r="G29" s="34" t="s">
        <v>36</v>
      </c>
      <c r="H29" s="43">
        <v>100</v>
      </c>
      <c r="I29" s="43">
        <f t="shared" si="10"/>
        <v>1</v>
      </c>
      <c r="J29" s="43">
        <f t="shared" si="11"/>
        <v>1</v>
      </c>
      <c r="K29" s="47">
        <f t="shared" si="12"/>
        <v>1</v>
      </c>
      <c r="L29" s="44">
        <f t="shared" si="13"/>
        <v>1</v>
      </c>
      <c r="M29" s="34">
        <v>1</v>
      </c>
      <c r="N29" s="44">
        <f t="shared" si="14"/>
        <v>1</v>
      </c>
      <c r="O29" s="34">
        <v>1</v>
      </c>
      <c r="P29" s="44">
        <f t="shared" si="15"/>
        <v>1</v>
      </c>
    </row>
    <row r="30" spans="1:16" ht="48" customHeight="1" x14ac:dyDescent="0.35">
      <c r="A30" s="10">
        <v>4</v>
      </c>
      <c r="B30" s="79" t="s">
        <v>7</v>
      </c>
      <c r="C30" s="79"/>
      <c r="D30" s="79"/>
      <c r="E30" s="79"/>
      <c r="F30" s="10">
        <v>4</v>
      </c>
      <c r="G30" s="11"/>
      <c r="H30" s="11"/>
      <c r="I30" s="11"/>
      <c r="J30" s="10">
        <f t="shared" ref="J30:P30" si="16">SUM(J31:J34)</f>
        <v>1.9000000000000001</v>
      </c>
      <c r="K30" s="10">
        <f t="shared" si="16"/>
        <v>4</v>
      </c>
      <c r="L30" s="10">
        <f t="shared" si="16"/>
        <v>1.9000000000000001</v>
      </c>
      <c r="M30" s="10">
        <f t="shared" si="16"/>
        <v>4</v>
      </c>
      <c r="N30" s="10">
        <f t="shared" si="16"/>
        <v>2.6</v>
      </c>
      <c r="O30" s="10">
        <f t="shared" si="16"/>
        <v>4</v>
      </c>
      <c r="P30" s="10">
        <f t="shared" si="16"/>
        <v>1.9000000000000001</v>
      </c>
    </row>
    <row r="31" spans="1:16" ht="93" customHeight="1" x14ac:dyDescent="0.35">
      <c r="A31" s="12">
        <v>1</v>
      </c>
      <c r="B31" s="5" t="s">
        <v>96</v>
      </c>
      <c r="C31" s="6" t="s">
        <v>54</v>
      </c>
      <c r="D31" s="17" t="s">
        <v>27</v>
      </c>
      <c r="E31" s="6" t="s">
        <v>71</v>
      </c>
      <c r="F31" s="6">
        <v>1</v>
      </c>
      <c r="G31" s="6" t="s">
        <v>52</v>
      </c>
      <c r="H31" s="14">
        <f t="shared" ref="H31" si="17">IF(G31="Khó và phức tạp",200,IF(G31="Cao",150,IF(G31="Trungbình",120,100)))</f>
        <v>100</v>
      </c>
      <c r="I31" s="14">
        <f t="shared" ref="I31:I34" si="18">H31*0.01</f>
        <v>1</v>
      </c>
      <c r="J31" s="14">
        <f t="shared" ref="J31:J33" si="19">F31*I31</f>
        <v>1</v>
      </c>
      <c r="K31" s="16">
        <f t="shared" ref="K31:K33" si="20">F31*100%</f>
        <v>1</v>
      </c>
      <c r="L31" s="15">
        <f t="shared" ref="L31:L34" si="21">K31*I31</f>
        <v>1</v>
      </c>
      <c r="M31" s="6">
        <v>1</v>
      </c>
      <c r="N31" s="15">
        <f t="shared" ref="N31:N33" si="22">I31*M31</f>
        <v>1</v>
      </c>
      <c r="O31" s="6">
        <v>1</v>
      </c>
      <c r="P31" s="15">
        <f t="shared" ref="P31:P34" si="23">I31*O31</f>
        <v>1</v>
      </c>
    </row>
    <row r="32" spans="1:16" ht="118" customHeight="1" x14ac:dyDescent="0.35">
      <c r="A32" s="12">
        <v>2</v>
      </c>
      <c r="B32" s="5" t="s">
        <v>97</v>
      </c>
      <c r="C32" s="6" t="s">
        <v>54</v>
      </c>
      <c r="D32" s="17" t="s">
        <v>27</v>
      </c>
      <c r="E32" s="6" t="s">
        <v>100</v>
      </c>
      <c r="F32" s="6">
        <v>1</v>
      </c>
      <c r="G32" s="6" t="s">
        <v>52</v>
      </c>
      <c r="H32" s="14">
        <v>30</v>
      </c>
      <c r="I32" s="14">
        <f t="shared" si="18"/>
        <v>0.3</v>
      </c>
      <c r="J32" s="14">
        <f t="shared" si="19"/>
        <v>0.3</v>
      </c>
      <c r="K32" s="16">
        <f t="shared" si="20"/>
        <v>1</v>
      </c>
      <c r="L32" s="15">
        <f t="shared" si="21"/>
        <v>0.3</v>
      </c>
      <c r="M32" s="6">
        <v>1</v>
      </c>
      <c r="N32" s="15">
        <f t="shared" si="22"/>
        <v>0.3</v>
      </c>
      <c r="O32" s="6">
        <v>1</v>
      </c>
      <c r="P32" s="15">
        <f t="shared" si="23"/>
        <v>0.3</v>
      </c>
    </row>
    <row r="33" spans="1:16" ht="90" x14ac:dyDescent="0.35">
      <c r="A33" s="12">
        <v>3</v>
      </c>
      <c r="B33" s="5" t="s">
        <v>98</v>
      </c>
      <c r="C33" s="6" t="s">
        <v>54</v>
      </c>
      <c r="D33" s="17" t="s">
        <v>27</v>
      </c>
      <c r="E33" s="6" t="s">
        <v>53</v>
      </c>
      <c r="F33" s="6">
        <v>1</v>
      </c>
      <c r="G33" s="6" t="s">
        <v>36</v>
      </c>
      <c r="H33" s="14">
        <v>30</v>
      </c>
      <c r="I33" s="14">
        <f t="shared" si="18"/>
        <v>0.3</v>
      </c>
      <c r="J33" s="14">
        <f t="shared" si="19"/>
        <v>0.3</v>
      </c>
      <c r="K33" s="16">
        <f t="shared" si="20"/>
        <v>1</v>
      </c>
      <c r="L33" s="15">
        <f t="shared" si="21"/>
        <v>0.3</v>
      </c>
      <c r="M33" s="6">
        <v>1</v>
      </c>
      <c r="N33" s="15">
        <f t="shared" si="22"/>
        <v>0.3</v>
      </c>
      <c r="O33" s="6">
        <v>1</v>
      </c>
      <c r="P33" s="15">
        <f t="shared" si="23"/>
        <v>0.3</v>
      </c>
    </row>
    <row r="34" spans="1:16" ht="96" customHeight="1" x14ac:dyDescent="0.35">
      <c r="A34" s="17">
        <v>4</v>
      </c>
      <c r="B34" s="24" t="s">
        <v>99</v>
      </c>
      <c r="C34" s="6" t="s">
        <v>54</v>
      </c>
      <c r="D34" s="14" t="s">
        <v>23</v>
      </c>
      <c r="E34" s="6" t="s">
        <v>100</v>
      </c>
      <c r="F34" s="6">
        <v>1</v>
      </c>
      <c r="G34" s="6" t="s">
        <v>36</v>
      </c>
      <c r="H34" s="14">
        <v>30</v>
      </c>
      <c r="I34" s="14">
        <f t="shared" si="18"/>
        <v>0.3</v>
      </c>
      <c r="J34" s="14">
        <v>0.3</v>
      </c>
      <c r="K34" s="16">
        <v>1</v>
      </c>
      <c r="L34" s="15">
        <f t="shared" si="21"/>
        <v>0.3</v>
      </c>
      <c r="M34" s="6">
        <v>1</v>
      </c>
      <c r="N34" s="15">
        <v>1</v>
      </c>
      <c r="O34" s="6">
        <v>1</v>
      </c>
      <c r="P34" s="15">
        <f t="shared" si="23"/>
        <v>0.3</v>
      </c>
    </row>
    <row r="35" spans="1:16" ht="48.75" customHeight="1" x14ac:dyDescent="0.35">
      <c r="A35" s="10">
        <v>5</v>
      </c>
      <c r="B35" s="53" t="s">
        <v>8</v>
      </c>
      <c r="C35" s="53"/>
      <c r="D35" s="53"/>
      <c r="E35" s="53"/>
      <c r="F35" s="10">
        <f>SUM(F36:F37)</f>
        <v>2</v>
      </c>
      <c r="G35" s="11"/>
      <c r="H35" s="11"/>
      <c r="I35" s="11"/>
      <c r="J35" s="10">
        <f t="shared" ref="J35:P35" si="24">SUM(J36:J37)</f>
        <v>2</v>
      </c>
      <c r="K35" s="10">
        <f t="shared" si="24"/>
        <v>2</v>
      </c>
      <c r="L35" s="10">
        <f t="shared" si="24"/>
        <v>2</v>
      </c>
      <c r="M35" s="10">
        <f t="shared" si="24"/>
        <v>2</v>
      </c>
      <c r="N35" s="10">
        <f t="shared" si="24"/>
        <v>2</v>
      </c>
      <c r="O35" s="10">
        <f t="shared" si="24"/>
        <v>2</v>
      </c>
      <c r="P35" s="10">
        <f t="shared" si="24"/>
        <v>2</v>
      </c>
    </row>
    <row r="36" spans="1:16" ht="90" x14ac:dyDescent="0.35">
      <c r="A36" s="14">
        <v>1</v>
      </c>
      <c r="B36" s="5" t="s">
        <v>85</v>
      </c>
      <c r="C36" s="14" t="s">
        <v>56</v>
      </c>
      <c r="D36" s="14" t="s">
        <v>27</v>
      </c>
      <c r="E36" s="6" t="s">
        <v>86</v>
      </c>
      <c r="F36" s="6">
        <v>1</v>
      </c>
      <c r="G36" s="6" t="s">
        <v>36</v>
      </c>
      <c r="H36" s="14">
        <f t="shared" ref="H36:H37" si="25">IF(G36="Khó và phức tạp",200,IF(G36="Cao",150,IF(G36="Trungbình",120,100)))</f>
        <v>100</v>
      </c>
      <c r="I36" s="14">
        <f t="shared" ref="I36:I37" si="26">H36*0.01</f>
        <v>1</v>
      </c>
      <c r="J36" s="14">
        <f t="shared" ref="J36:J37" si="27">F36*I36</f>
        <v>1</v>
      </c>
      <c r="K36" s="16">
        <f t="shared" ref="K36:K37" si="28">F36*100%</f>
        <v>1</v>
      </c>
      <c r="L36" s="15">
        <f t="shared" ref="L36:L37" si="29">K36*I36</f>
        <v>1</v>
      </c>
      <c r="M36" s="6">
        <v>1</v>
      </c>
      <c r="N36" s="15">
        <f t="shared" ref="N36:N37" si="30">I36*M36</f>
        <v>1</v>
      </c>
      <c r="O36" s="6">
        <v>1</v>
      </c>
      <c r="P36" s="15">
        <f t="shared" ref="P36:P37" si="31">I36*O36</f>
        <v>1</v>
      </c>
    </row>
    <row r="37" spans="1:16" ht="81.75" customHeight="1" x14ac:dyDescent="0.35">
      <c r="A37" s="14">
        <v>2</v>
      </c>
      <c r="B37" s="5" t="s">
        <v>87</v>
      </c>
      <c r="C37" s="14" t="s">
        <v>56</v>
      </c>
      <c r="D37" s="14" t="s">
        <v>27</v>
      </c>
      <c r="E37" s="6" t="s">
        <v>88</v>
      </c>
      <c r="F37" s="6">
        <v>1</v>
      </c>
      <c r="G37" s="6" t="s">
        <v>36</v>
      </c>
      <c r="H37" s="14">
        <f t="shared" si="25"/>
        <v>100</v>
      </c>
      <c r="I37" s="14">
        <f t="shared" si="26"/>
        <v>1</v>
      </c>
      <c r="J37" s="14">
        <f t="shared" si="27"/>
        <v>1</v>
      </c>
      <c r="K37" s="16">
        <f t="shared" si="28"/>
        <v>1</v>
      </c>
      <c r="L37" s="15">
        <f t="shared" si="29"/>
        <v>1</v>
      </c>
      <c r="M37" s="6">
        <v>1</v>
      </c>
      <c r="N37" s="15">
        <f t="shared" si="30"/>
        <v>1</v>
      </c>
      <c r="O37" s="6">
        <v>1</v>
      </c>
      <c r="P37" s="15">
        <f t="shared" si="31"/>
        <v>1</v>
      </c>
    </row>
    <row r="38" spans="1:16" ht="58.5" customHeight="1" x14ac:dyDescent="0.35">
      <c r="A38" s="10">
        <v>6</v>
      </c>
      <c r="B38" s="75" t="s">
        <v>9</v>
      </c>
      <c r="C38" s="76"/>
      <c r="D38" s="76"/>
      <c r="E38" s="76"/>
      <c r="F38" s="10">
        <f>SUM(F39:F42)</f>
        <v>4</v>
      </c>
      <c r="G38" s="11"/>
      <c r="H38" s="11"/>
      <c r="I38" s="11"/>
      <c r="J38" s="10">
        <f>SUM(J39:J42)</f>
        <v>4</v>
      </c>
      <c r="K38" s="10">
        <f t="shared" ref="K38:P38" si="32">SUM(K39:K42)</f>
        <v>4</v>
      </c>
      <c r="L38" s="10">
        <f t="shared" si="32"/>
        <v>4</v>
      </c>
      <c r="M38" s="10">
        <f t="shared" si="32"/>
        <v>4</v>
      </c>
      <c r="N38" s="10">
        <f t="shared" si="32"/>
        <v>4</v>
      </c>
      <c r="O38" s="10">
        <f t="shared" si="32"/>
        <v>4</v>
      </c>
      <c r="P38" s="10">
        <f t="shared" si="32"/>
        <v>4</v>
      </c>
    </row>
    <row r="39" spans="1:16" ht="105" customHeight="1" x14ac:dyDescent="0.35">
      <c r="A39" s="12">
        <v>1</v>
      </c>
      <c r="B39" s="25" t="s">
        <v>89</v>
      </c>
      <c r="C39" s="6" t="s">
        <v>51</v>
      </c>
      <c r="D39" s="13" t="s">
        <v>27</v>
      </c>
      <c r="E39" s="6" t="s">
        <v>90</v>
      </c>
      <c r="F39" s="6">
        <v>1</v>
      </c>
      <c r="G39" s="6" t="s">
        <v>52</v>
      </c>
      <c r="H39" s="14">
        <f t="shared" ref="H39:H41" si="33">IF(G39="Khó và phức tạp",200,IF(G39="Cao",150,IF(G39="Trungbình",120,100)))</f>
        <v>100</v>
      </c>
      <c r="I39" s="14">
        <f t="shared" ref="I39:I41" si="34">H39*0.01</f>
        <v>1</v>
      </c>
      <c r="J39" s="14">
        <f t="shared" ref="J39:J42" si="35">F39*I39</f>
        <v>1</v>
      </c>
      <c r="K39" s="16">
        <f t="shared" ref="K39:K42" si="36">F39*100%</f>
        <v>1</v>
      </c>
      <c r="L39" s="15">
        <f t="shared" ref="L39:L42" si="37">K39*I39</f>
        <v>1</v>
      </c>
      <c r="M39" s="6">
        <v>1</v>
      </c>
      <c r="N39" s="15">
        <f t="shared" ref="N39:N42" si="38">I39*M39</f>
        <v>1</v>
      </c>
      <c r="O39" s="6">
        <v>1</v>
      </c>
      <c r="P39" s="15">
        <f t="shared" ref="P39:P42" si="39">I39*O39</f>
        <v>1</v>
      </c>
    </row>
    <row r="40" spans="1:16" ht="99.75" customHeight="1" x14ac:dyDescent="0.35">
      <c r="A40" s="12">
        <v>2</v>
      </c>
      <c r="B40" s="25" t="s">
        <v>91</v>
      </c>
      <c r="C40" s="7" t="s">
        <v>51</v>
      </c>
      <c r="D40" s="13" t="s">
        <v>27</v>
      </c>
      <c r="E40" s="4" t="s">
        <v>72</v>
      </c>
      <c r="F40" s="8">
        <v>1</v>
      </c>
      <c r="G40" s="6" t="s">
        <v>36</v>
      </c>
      <c r="H40" s="14">
        <f t="shared" si="33"/>
        <v>100</v>
      </c>
      <c r="I40" s="14">
        <f t="shared" si="34"/>
        <v>1</v>
      </c>
      <c r="J40" s="14">
        <f t="shared" si="35"/>
        <v>1</v>
      </c>
      <c r="K40" s="16">
        <f t="shared" si="36"/>
        <v>1</v>
      </c>
      <c r="L40" s="15">
        <f t="shared" si="37"/>
        <v>1</v>
      </c>
      <c r="M40" s="7">
        <v>1</v>
      </c>
      <c r="N40" s="15">
        <f t="shared" si="38"/>
        <v>1</v>
      </c>
      <c r="O40" s="7">
        <v>1</v>
      </c>
      <c r="P40" s="15">
        <f t="shared" si="39"/>
        <v>1</v>
      </c>
    </row>
    <row r="41" spans="1:16" ht="138" customHeight="1" x14ac:dyDescent="0.35">
      <c r="A41" s="14">
        <v>3</v>
      </c>
      <c r="B41" s="26" t="s">
        <v>92</v>
      </c>
      <c r="C41" s="9" t="s">
        <v>56</v>
      </c>
      <c r="D41" s="13" t="s">
        <v>27</v>
      </c>
      <c r="E41" s="6" t="s">
        <v>93</v>
      </c>
      <c r="F41" s="6">
        <v>1</v>
      </c>
      <c r="G41" s="9" t="s">
        <v>36</v>
      </c>
      <c r="H41" s="14">
        <f t="shared" si="33"/>
        <v>100</v>
      </c>
      <c r="I41" s="14">
        <f t="shared" si="34"/>
        <v>1</v>
      </c>
      <c r="J41" s="14">
        <f t="shared" si="35"/>
        <v>1</v>
      </c>
      <c r="K41" s="16">
        <f t="shared" si="36"/>
        <v>1</v>
      </c>
      <c r="L41" s="15">
        <f t="shared" si="37"/>
        <v>1</v>
      </c>
      <c r="M41" s="9">
        <v>1</v>
      </c>
      <c r="N41" s="15">
        <f t="shared" si="38"/>
        <v>1</v>
      </c>
      <c r="O41" s="9">
        <v>1</v>
      </c>
      <c r="P41" s="15">
        <f t="shared" si="39"/>
        <v>1</v>
      </c>
    </row>
    <row r="42" spans="1:16" ht="54" x14ac:dyDescent="0.35">
      <c r="A42" s="14">
        <v>4</v>
      </c>
      <c r="B42" s="26" t="s">
        <v>94</v>
      </c>
      <c r="C42" s="29" t="s">
        <v>50</v>
      </c>
      <c r="D42" s="30" t="s">
        <v>27</v>
      </c>
      <c r="E42" s="31" t="s">
        <v>95</v>
      </c>
      <c r="F42" s="29">
        <v>1</v>
      </c>
      <c r="G42" s="29" t="s">
        <v>36</v>
      </c>
      <c r="H42" s="32">
        <f>IF(G42="Khó và phức tạp",200,IF(G42="Cao",150,IF(G42="Trungbình",120,100)))</f>
        <v>100</v>
      </c>
      <c r="I42" s="32">
        <f>H42*0.01</f>
        <v>1</v>
      </c>
      <c r="J42" s="32">
        <f t="shared" si="35"/>
        <v>1</v>
      </c>
      <c r="K42" s="16">
        <f t="shared" si="36"/>
        <v>1</v>
      </c>
      <c r="L42" s="15">
        <f t="shared" si="37"/>
        <v>1</v>
      </c>
      <c r="M42" s="9">
        <v>1</v>
      </c>
      <c r="N42" s="15">
        <f t="shared" si="38"/>
        <v>1</v>
      </c>
      <c r="O42" s="9">
        <v>1</v>
      </c>
      <c r="P42" s="15">
        <f t="shared" si="39"/>
        <v>1</v>
      </c>
    </row>
    <row r="43" spans="1:16" ht="15" x14ac:dyDescent="0.35">
      <c r="A43" s="10" t="s">
        <v>10</v>
      </c>
      <c r="B43" s="77" t="s">
        <v>24</v>
      </c>
      <c r="C43" s="78"/>
      <c r="D43" s="78"/>
      <c r="E43" s="78"/>
      <c r="F43" s="10">
        <f>SUM(F44:F44)</f>
        <v>0</v>
      </c>
      <c r="G43" s="11"/>
      <c r="H43" s="11"/>
      <c r="I43" s="11"/>
      <c r="J43" s="10">
        <f t="shared" ref="J43:P43" si="40">SUM(J44:J44)</f>
        <v>0</v>
      </c>
      <c r="K43" s="10">
        <f t="shared" si="40"/>
        <v>0</v>
      </c>
      <c r="L43" s="10">
        <f t="shared" si="40"/>
        <v>0</v>
      </c>
      <c r="M43" s="10">
        <f t="shared" si="40"/>
        <v>0</v>
      </c>
      <c r="N43" s="10">
        <f t="shared" si="40"/>
        <v>0</v>
      </c>
      <c r="O43" s="10">
        <f t="shared" si="40"/>
        <v>0</v>
      </c>
      <c r="P43" s="10">
        <f t="shared" si="40"/>
        <v>0</v>
      </c>
    </row>
    <row r="44" spans="1:16" ht="15.5" x14ac:dyDescent="0.35">
      <c r="A44" s="14">
        <v>1</v>
      </c>
      <c r="B44" s="18"/>
      <c r="C44" s="14"/>
      <c r="D44" s="14"/>
      <c r="E44" s="14"/>
      <c r="F44" s="14"/>
      <c r="G44" s="14"/>
      <c r="H44" s="14"/>
      <c r="I44" s="14"/>
      <c r="J44" s="14"/>
      <c r="K44" s="16"/>
      <c r="L44" s="15"/>
      <c r="M44" s="16"/>
      <c r="N44" s="15"/>
      <c r="O44" s="16"/>
      <c r="P44" s="15"/>
    </row>
    <row r="45" spans="1:16" ht="15.5" x14ac:dyDescent="0.35">
      <c r="B45" s="74"/>
      <c r="C45" s="74"/>
      <c r="D45" s="74"/>
      <c r="E45" s="74"/>
      <c r="F45" s="74"/>
      <c r="G45" s="74"/>
      <c r="H45" s="74"/>
      <c r="I45" s="74"/>
      <c r="J45" s="74"/>
      <c r="K45" s="74"/>
      <c r="L45" s="74"/>
      <c r="M45" s="74"/>
      <c r="N45" s="74"/>
      <c r="O45" s="74"/>
      <c r="P45" s="74"/>
    </row>
    <row r="46" spans="1:16" s="1" customFormat="1" ht="130.5" customHeight="1" x14ac:dyDescent="0.35">
      <c r="A46" s="68" t="s">
        <v>55</v>
      </c>
      <c r="B46" s="68"/>
      <c r="C46" s="68"/>
      <c r="D46" s="19"/>
      <c r="G46" s="66" t="s">
        <v>111</v>
      </c>
      <c r="H46" s="66"/>
      <c r="I46" s="66"/>
      <c r="J46" s="66"/>
      <c r="K46" s="66"/>
      <c r="L46" s="67"/>
      <c r="M46" s="67"/>
      <c r="N46" s="67"/>
      <c r="O46" s="67"/>
      <c r="P46" s="67"/>
    </row>
    <row r="47" spans="1:16" ht="32.5" hidden="1" customHeight="1" x14ac:dyDescent="0.35"/>
    <row r="48" spans="1:16" ht="32.5" hidden="1" customHeight="1" x14ac:dyDescent="0.35"/>
    <row r="49" spans="1:16" ht="32.5" customHeight="1" x14ac:dyDescent="0.35">
      <c r="A49" s="48"/>
      <c r="B49" s="48"/>
      <c r="C49" s="48"/>
      <c r="D49" s="48"/>
      <c r="E49" s="48"/>
      <c r="F49" s="48"/>
      <c r="G49" s="48"/>
      <c r="H49" s="48"/>
      <c r="I49" s="48"/>
      <c r="J49" s="48"/>
      <c r="K49" s="48"/>
      <c r="L49" s="48"/>
      <c r="M49" s="48"/>
      <c r="N49" s="48"/>
      <c r="O49" s="48"/>
      <c r="P49" s="48"/>
    </row>
    <row r="50" spans="1:16" ht="32.5" customHeight="1" x14ac:dyDescent="0.35">
      <c r="A50" s="48"/>
      <c r="B50" s="48"/>
      <c r="C50" s="48"/>
      <c r="D50" s="48"/>
      <c r="E50" s="48"/>
      <c r="F50" s="48"/>
      <c r="G50" s="48"/>
      <c r="H50" s="48"/>
      <c r="I50" s="48"/>
      <c r="J50" s="48"/>
      <c r="K50" s="48"/>
      <c r="L50" s="48"/>
      <c r="M50" s="48"/>
      <c r="N50" s="48"/>
      <c r="O50" s="48"/>
      <c r="P50" s="48"/>
    </row>
    <row r="51" spans="1:16" ht="32.5" customHeight="1" x14ac:dyDescent="0.35">
      <c r="A51" s="48"/>
      <c r="B51" s="48"/>
      <c r="C51" s="48"/>
      <c r="D51" s="48"/>
      <c r="E51" s="48"/>
      <c r="F51" s="48"/>
      <c r="G51" s="48"/>
      <c r="H51" s="48"/>
      <c r="I51" s="48"/>
      <c r="J51" s="48"/>
      <c r="K51" s="48"/>
      <c r="L51" s="48"/>
      <c r="M51" s="48"/>
      <c r="N51" s="48"/>
      <c r="O51" s="48"/>
      <c r="P51" s="48"/>
    </row>
    <row r="52" spans="1:16" ht="32.5" customHeight="1" x14ac:dyDescent="0.35">
      <c r="A52" s="48"/>
      <c r="B52" s="48"/>
      <c r="C52" s="48"/>
      <c r="D52" s="48"/>
      <c r="E52" s="48"/>
      <c r="F52" s="48"/>
      <c r="G52" s="48"/>
      <c r="H52" s="48"/>
      <c r="I52" s="48"/>
      <c r="J52" s="48"/>
      <c r="K52" s="48"/>
      <c r="L52" s="48"/>
      <c r="M52" s="48"/>
      <c r="N52" s="48"/>
      <c r="O52" s="48"/>
      <c r="P52" s="48"/>
    </row>
    <row r="53" spans="1:16" ht="32.5" customHeight="1" x14ac:dyDescent="0.35">
      <c r="A53" s="48"/>
      <c r="B53" s="48"/>
      <c r="C53" s="48"/>
      <c r="D53" s="48"/>
      <c r="E53" s="48"/>
      <c r="F53" s="48"/>
      <c r="G53" s="48"/>
      <c r="H53" s="48"/>
      <c r="I53" s="48"/>
      <c r="J53" s="48"/>
      <c r="K53" s="48"/>
      <c r="L53" s="48"/>
      <c r="M53" s="48"/>
      <c r="N53" s="48"/>
      <c r="O53" s="48"/>
      <c r="P53" s="48"/>
    </row>
    <row r="54" spans="1:16" ht="32.5" customHeight="1" x14ac:dyDescent="0.35">
      <c r="A54" s="48"/>
      <c r="B54" s="48"/>
      <c r="C54" s="48"/>
      <c r="D54" s="48"/>
      <c r="E54" s="48"/>
      <c r="F54" s="48"/>
      <c r="G54" s="48"/>
      <c r="H54" s="48"/>
      <c r="I54" s="48"/>
      <c r="J54" s="48"/>
      <c r="K54" s="48"/>
      <c r="L54" s="48"/>
      <c r="M54" s="48"/>
      <c r="N54" s="48"/>
      <c r="O54" s="48"/>
      <c r="P54" s="48"/>
    </row>
    <row r="55" spans="1:16" ht="32.5" customHeight="1" x14ac:dyDescent="0.35">
      <c r="A55" s="48"/>
      <c r="B55" s="48"/>
      <c r="C55" s="48"/>
      <c r="D55" s="48"/>
      <c r="E55" s="48"/>
      <c r="F55" s="48"/>
      <c r="G55" s="48"/>
      <c r="H55" s="48"/>
      <c r="I55" s="48"/>
      <c r="J55" s="48"/>
      <c r="K55" s="48"/>
      <c r="L55" s="48"/>
      <c r="M55" s="48"/>
      <c r="N55" s="48"/>
      <c r="O55" s="48"/>
      <c r="P55" s="48"/>
    </row>
  </sheetData>
  <mergeCells count="30">
    <mergeCell ref="G46:P46"/>
    <mergeCell ref="A46:C46"/>
    <mergeCell ref="F5:F6"/>
    <mergeCell ref="G5:G6"/>
    <mergeCell ref="A5:A6"/>
    <mergeCell ref="B5:B6"/>
    <mergeCell ref="C5:C6"/>
    <mergeCell ref="D5:D6"/>
    <mergeCell ref="E5:E6"/>
    <mergeCell ref="B8:P8"/>
    <mergeCell ref="B45:P45"/>
    <mergeCell ref="B38:E38"/>
    <mergeCell ref="B43:E43"/>
    <mergeCell ref="B9:E9"/>
    <mergeCell ref="B20:E20"/>
    <mergeCell ref="B30:E30"/>
    <mergeCell ref="B23:E23"/>
    <mergeCell ref="B35:E35"/>
    <mergeCell ref="A3:P3"/>
    <mergeCell ref="H5:H6"/>
    <mergeCell ref="G1:P1"/>
    <mergeCell ref="G2:P2"/>
    <mergeCell ref="K5:L5"/>
    <mergeCell ref="M5:N5"/>
    <mergeCell ref="O5:P5"/>
    <mergeCell ref="A4:P4"/>
    <mergeCell ref="I5:I6"/>
    <mergeCell ref="J5:J6"/>
    <mergeCell ref="A1:C1"/>
    <mergeCell ref="A2:C2"/>
  </mergeCells>
  <conditionalFormatting sqref="C21:C22">
    <cfRule type="dataBar" priority="24">
      <dataBar>
        <cfvo type="min"/>
        <cfvo type="max"/>
        <color rgb="FF638EC6"/>
      </dataBar>
      <extLst>
        <ext xmlns:x14="http://schemas.microsoft.com/office/spreadsheetml/2009/9/main" uri="{B025F937-C7B1-47D3-B67F-A62EFF666E3E}">
          <x14:id>{CBD7B373-A4C1-41FB-A25C-F14BF1ED705A}</x14:id>
        </ext>
      </extLst>
    </cfRule>
  </conditionalFormatting>
  <conditionalFormatting sqref="C34">
    <cfRule type="dataBar" priority="27">
      <dataBar>
        <cfvo type="min"/>
        <cfvo type="max"/>
        <color rgb="FF638EC6"/>
      </dataBar>
      <extLst>
        <ext xmlns:x14="http://schemas.microsoft.com/office/spreadsheetml/2009/9/main" uri="{B025F937-C7B1-47D3-B67F-A62EFF666E3E}">
          <x14:id>{43AE063F-6FBA-4145-8E96-3B15FC0C4DF2}</x14:id>
        </ext>
      </extLst>
    </cfRule>
  </conditionalFormatting>
  <conditionalFormatting sqref="C36">
    <cfRule type="dataBar" priority="1">
      <dataBar>
        <cfvo type="min"/>
        <cfvo type="max"/>
        <color rgb="FF638EC6"/>
      </dataBar>
      <extLst>
        <ext xmlns:x14="http://schemas.microsoft.com/office/spreadsheetml/2009/9/main" uri="{B025F937-C7B1-47D3-B67F-A62EFF666E3E}">
          <x14:id>{B2DABE0F-7BA8-442A-B48E-1ECE74F6B597}</x14:id>
        </ext>
      </extLst>
    </cfRule>
  </conditionalFormatting>
  <conditionalFormatting sqref="C37">
    <cfRule type="dataBar" priority="25">
      <dataBar>
        <cfvo type="min"/>
        <cfvo type="max"/>
        <color rgb="FF638EC6"/>
      </dataBar>
      <extLst>
        <ext xmlns:x14="http://schemas.microsoft.com/office/spreadsheetml/2009/9/main" uri="{B025F937-C7B1-47D3-B67F-A62EFF666E3E}">
          <x14:id>{03A9939A-9B3D-4529-BE0E-4E6837550A17}</x14:id>
        </ext>
      </extLst>
    </cfRule>
  </conditionalFormatting>
  <conditionalFormatting sqref="C41:C42">
    <cfRule type="dataBar" priority="26">
      <dataBar>
        <cfvo type="min"/>
        <cfvo type="max"/>
        <color rgb="FF638EC6"/>
      </dataBar>
      <extLst>
        <ext xmlns:x14="http://schemas.microsoft.com/office/spreadsheetml/2009/9/main" uri="{B025F937-C7B1-47D3-B67F-A62EFF666E3E}">
          <x14:id>{7E1987A0-3211-4AC2-801D-3D223C64AEAA}</x14:id>
        </ext>
      </extLst>
    </cfRule>
  </conditionalFormatting>
  <conditionalFormatting sqref="C44">
    <cfRule type="dataBar" priority="14">
      <dataBar>
        <cfvo type="min"/>
        <cfvo type="max"/>
        <color rgb="FF638EC6"/>
      </dataBar>
      <extLst>
        <ext xmlns:x14="http://schemas.microsoft.com/office/spreadsheetml/2009/9/main" uri="{B025F937-C7B1-47D3-B67F-A62EFF666E3E}">
          <x14:id>{2EA7D65E-B8CA-499C-8421-2AC504B81EAC}</x14:id>
        </ext>
      </extLst>
    </cfRule>
  </conditionalFormatting>
  <dataValidations count="4">
    <dataValidation type="list" allowBlank="1" showInputMessage="1" sqref="D36:D37 D34 D44 D24:D29"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34 C44 C36:C37 C41:C42 C21:C22 C24:C29 C10:C19"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34 G44 G36:G37 G41:G42 G21:G22 G24:G29 G10:G19" xr:uid="{242DABCC-F988-4BD7-A39A-B18DD09F67B5}">
      <formula1>"Thấp,Trung bình,Cao,Khó và phức tạp"</formula1>
    </dataValidation>
    <dataValidation allowBlank="1" showInputMessage="1" sqref="H44:K44 E34 E44 H36:K37 E36:E37 H31:K34 E21:E22 H39:K42 E41:E42 E17:E19 H21:K22 E24:E29 H24:K29 E10:E15 H10:K19" xr:uid="{10642937-B860-4152-A8CB-DF82470CE8F3}"/>
  </dataValidations>
  <printOptions horizontalCentered="1"/>
  <pageMargins left="0.31496062992126" right="0.31496062992126" top="0.39370078740157499" bottom="0.39370078740157499" header="0.31496062992126" footer="0.31496062992126"/>
  <pageSetup paperSize="9" scale="53" orientation="landscape" r:id="rId1"/>
  <drawing r:id="rId2"/>
  <extLst>
    <ext xmlns:x14="http://schemas.microsoft.com/office/spreadsheetml/2009/9/main" uri="{78C0D931-6437-407d-A8EE-F0AAD7539E65}">
      <x14:conditionalFormattings>
        <x14:conditionalFormatting xmlns:xm="http://schemas.microsoft.com/office/excel/2006/main">
          <x14:cfRule type="dataBar" id="{CBD7B373-A4C1-41FB-A25C-F14BF1ED705A}">
            <x14:dataBar minLength="0" maxLength="100" gradient="0">
              <x14:cfvo type="autoMin"/>
              <x14:cfvo type="autoMax"/>
              <x14:negativeFillColor rgb="FFFF0000"/>
              <x14:axisColor rgb="FF000000"/>
            </x14:dataBar>
          </x14:cfRule>
          <xm:sqref>C21:C22</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C34</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C36</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C37</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C41:C42</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C44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BC THÁNG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phuc Nguyen</cp:lastModifiedBy>
  <cp:lastPrinted>2026-08-31T09:23:23Z</cp:lastPrinted>
  <dcterms:created xsi:type="dcterms:W3CDTF">2026-05-27T07:08:41Z</dcterms:created>
  <dcterms:modified xsi:type="dcterms:W3CDTF">2026-09-21T02:23:38Z</dcterms:modified>
</cp:coreProperties>
</file>