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ÔNG VIỆC\BÁO CÁO\BÁO CÁO THÁNG\THÁNG 9.2026\1. BAO CAO PL IIB\"/>
    </mc:Choice>
  </mc:AlternateContent>
  <xr:revisionPtr revIDLastSave="0" documentId="13_ncr:1_{5556036F-C0D1-4071-BA6C-8283411A6D4C}" xr6:coauthVersionLast="47" xr6:coauthVersionMax="47" xr10:uidLastSave="{00000000-0000-0000-0000-000000000000}"/>
  <bookViews>
    <workbookView xWindow="-110" yWindow="-110" windowWidth="19420" windowHeight="11500" xr2:uid="{CF09AA7D-F157-435F-8730-78D5FF9F5A39}"/>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1" l="1"/>
  <c r="O25" i="1"/>
  <c r="N25" i="1"/>
  <c r="M25" i="1"/>
  <c r="L25" i="1"/>
  <c r="K25" i="1"/>
  <c r="J25" i="1"/>
  <c r="F25" i="1"/>
  <c r="P23" i="1"/>
  <c r="O23" i="1"/>
  <c r="N23" i="1"/>
  <c r="M23" i="1"/>
  <c r="L23" i="1"/>
  <c r="K23" i="1"/>
  <c r="J23" i="1"/>
  <c r="F23" i="1"/>
  <c r="H15" i="1"/>
  <c r="I15" i="1" s="1"/>
  <c r="K15" i="1"/>
  <c r="M15" i="1"/>
  <c r="O15" i="1"/>
  <c r="H16" i="1"/>
  <c r="I16" i="1" s="1"/>
  <c r="K16" i="1"/>
  <c r="O16" i="1" s="1"/>
  <c r="M16" i="1"/>
  <c r="H17" i="1"/>
  <c r="I17" i="1"/>
  <c r="N17" i="1" s="1"/>
  <c r="J17" i="1"/>
  <c r="K17" i="1"/>
  <c r="O17" i="1" s="1"/>
  <c r="L17" i="1"/>
  <c r="M17" i="1"/>
  <c r="H18" i="1"/>
  <c r="I18" i="1"/>
  <c r="J18" i="1"/>
  <c r="K18" i="1"/>
  <c r="M18" i="1" s="1"/>
  <c r="L18" i="1"/>
  <c r="H19" i="1"/>
  <c r="I19" i="1"/>
  <c r="J19" i="1"/>
  <c r="K19" i="1"/>
  <c r="L19" i="1" s="1"/>
  <c r="H20" i="1"/>
  <c r="I20" i="1"/>
  <c r="L20" i="1" s="1"/>
  <c r="J20" i="1"/>
  <c r="K20" i="1"/>
  <c r="M20" i="1"/>
  <c r="O20" i="1"/>
  <c r="H21" i="1"/>
  <c r="I21" i="1"/>
  <c r="J21" i="1" s="1"/>
  <c r="K21" i="1"/>
  <c r="L21" i="1" s="1"/>
  <c r="M21" i="1"/>
  <c r="O21" i="1"/>
  <c r="H22" i="1"/>
  <c r="I22" i="1" s="1"/>
  <c r="K22" i="1"/>
  <c r="M22" i="1"/>
  <c r="O22" i="1"/>
  <c r="K14" i="1"/>
  <c r="O14" i="1" s="1"/>
  <c r="I14" i="1"/>
  <c r="P14" i="1" s="1"/>
  <c r="H14" i="1"/>
  <c r="K11" i="1"/>
  <c r="K10" i="1"/>
  <c r="O10" i="1" s="1"/>
  <c r="P16" i="1" l="1"/>
  <c r="N16" i="1"/>
  <c r="L16" i="1"/>
  <c r="J16" i="1"/>
  <c r="L22" i="1"/>
  <c r="J22" i="1"/>
  <c r="N22" i="1"/>
  <c r="P22" i="1"/>
  <c r="P15" i="1"/>
  <c r="J15" i="1"/>
  <c r="L15" i="1"/>
  <c r="N15" i="1"/>
  <c r="P21" i="1"/>
  <c r="O19" i="1"/>
  <c r="P19" i="1" s="1"/>
  <c r="N21" i="1"/>
  <c r="N20" i="1"/>
  <c r="O18" i="1"/>
  <c r="P18" i="1" s="1"/>
  <c r="P17" i="1"/>
  <c r="P20" i="1"/>
  <c r="M19" i="1"/>
  <c r="N19" i="1" s="1"/>
  <c r="N18" i="1"/>
  <c r="M14" i="1"/>
  <c r="N14" i="1"/>
  <c r="J14" i="1"/>
  <c r="L14" i="1"/>
  <c r="M10" i="1"/>
  <c r="K34" i="1"/>
  <c r="O34" i="1" s="1"/>
  <c r="K33" i="1"/>
  <c r="M33" i="1" s="1"/>
  <c r="K32" i="1"/>
  <c r="M32" i="1" s="1"/>
  <c r="J34" i="1"/>
  <c r="J33" i="1"/>
  <c r="J32" i="1"/>
  <c r="H11" i="1"/>
  <c r="I11" i="1" s="1"/>
  <c r="H12" i="1"/>
  <c r="I12" i="1" s="1"/>
  <c r="J12" i="1" s="1"/>
  <c r="H10" i="1"/>
  <c r="I10" i="1" s="1"/>
  <c r="F27" i="1"/>
  <c r="F29" i="1"/>
  <c r="F31" i="1"/>
  <c r="F13" i="1"/>
  <c r="K12" i="1"/>
  <c r="O11" i="1"/>
  <c r="F9" i="1"/>
  <c r="O12" i="1" l="1"/>
  <c r="M12" i="1"/>
  <c r="P34" i="1"/>
  <c r="M11" i="1"/>
  <c r="N11" i="1" s="1"/>
  <c r="N33" i="1"/>
  <c r="J29" i="1"/>
  <c r="P10" i="1"/>
  <c r="J10" i="1"/>
  <c r="K9" i="1"/>
  <c r="L10" i="1"/>
  <c r="J31" i="1"/>
  <c r="M34" i="1"/>
  <c r="N34" i="1" s="1"/>
  <c r="O9" i="1"/>
  <c r="J13" i="1"/>
  <c r="K13" i="1"/>
  <c r="L34" i="1"/>
  <c r="N32" i="1"/>
  <c r="O33" i="1"/>
  <c r="P33" i="1" s="1"/>
  <c r="K31" i="1"/>
  <c r="O32" i="1"/>
  <c r="L33" i="1"/>
  <c r="L32" i="1"/>
  <c r="M29" i="1"/>
  <c r="K29" i="1"/>
  <c r="J27" i="1"/>
  <c r="K27" i="1"/>
  <c r="P11" i="1"/>
  <c r="P12" i="1"/>
  <c r="N12" i="1"/>
  <c r="J11" i="1"/>
  <c r="L11" i="1"/>
  <c r="L12" i="1"/>
  <c r="P9" i="1" l="1"/>
  <c r="M31" i="1"/>
  <c r="L13" i="1"/>
  <c r="N29" i="1"/>
  <c r="M9" i="1"/>
  <c r="N10" i="1"/>
  <c r="N9" i="1" s="1"/>
  <c r="J9" i="1"/>
  <c r="N31" i="1"/>
  <c r="L31" i="1"/>
  <c r="L29" i="1"/>
  <c r="N13" i="1"/>
  <c r="M13" i="1"/>
  <c r="P32" i="1"/>
  <c r="P31" i="1" s="1"/>
  <c r="O31" i="1"/>
  <c r="P29" i="1"/>
  <c r="O29" i="1"/>
  <c r="M27" i="1"/>
  <c r="N27" i="1"/>
  <c r="L27" i="1"/>
  <c r="P27" i="1"/>
  <c r="O27" i="1"/>
  <c r="P13" i="1"/>
  <c r="O13" i="1"/>
  <c r="L9" i="1"/>
</calcChain>
</file>

<file path=xl/sharedStrings.xml><?xml version="1.0" encoding="utf-8"?>
<sst xmlns="http://schemas.openxmlformats.org/spreadsheetml/2006/main" count="116" uniqueCount="71">
  <si>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</si>
  <si>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</si>
  <si>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</si>
  <si>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</si>
  <si>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</si>
  <si>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</si>
  <si>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</si>
  <si>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</si>
  <si>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</si>
  <si>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</si>
  <si>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</si>
  <si>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</si>
  <si>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</si>
  <si>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</si>
  <si>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</si>
  <si>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</si>
  <si>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</si>
  <si>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</si>
  <si>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</si>
  <si>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</si>
  <si>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</si>
  <si>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</si>
  <si>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</si>
  <si>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</si>
  <si>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</si>
  <si>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</si>
  <si>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t>PHT Dương Văn Anh Dũng</t>
  </si>
  <si>
    <t>1.3</t>
  </si>
  <si>
    <t>Các nhiệm vụ đột xuất, phát sinh khác ngoài kế hoạch (nếu có)</t>
  </si>
  <si>
    <t>Quyết định</t>
  </si>
  <si>
    <t>Khó và phức tạp</t>
  </si>
  <si>
    <t>Điểm chấm công việc</t>
  </si>
  <si>
    <t>Hệ số quy đổi</t>
  </si>
  <si>
    <t>KPI (số lượng)</t>
  </si>
  <si>
    <t>KPI (chất lượng)</t>
  </si>
  <si>
    <t>KPI (tiến độ)</t>
  </si>
  <si>
    <t>Thực tế hoàn thành</t>
  </si>
  <si>
    <t>Quy đổi</t>
  </si>
  <si>
    <t>Số lượng quy đổi</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</si>
  <si>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</si>
  <si>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</si>
  <si>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</si>
  <si>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</si>
  <si>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</si>
  <si>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</si>
  <si>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</si>
  <si>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</si>
  <si>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</si>
  <si>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</si>
  <si>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</si>
  <si>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</si>
  <si>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Kế hoạch</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</si>
  <si>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 và QT;
- Các Bộ môn;
- Lưu: KYD.</t>
    </r>
  </si>
  <si>
    <t>Báo cáo</t>
  </si>
  <si>
    <t>BÁO CÁO
kết quả thực hiện công tác tháng 9 năm 2026</t>
  </si>
  <si>
    <t>Công văn</t>
  </si>
  <si>
    <r>
      <rPr>
        <i/>
        <sz val="14"/>
        <rFont val="Times New Roman"/>
        <family val="1"/>
        <charset val="163"/>
      </rPr>
      <t>Quảng Ngãi, ngày 14 tháng 9 năm 2026</t>
    </r>
    <r>
      <rPr>
        <sz val="14"/>
        <rFont val="Times New Roman"/>
        <family val="1"/>
      </rPr>
      <t xml:space="preserve">
</t>
    </r>
    <r>
      <rPr>
        <b/>
        <sz val="14"/>
        <rFont val="Times New Roman"/>
        <family val="1"/>
      </rPr>
      <t xml:space="preserve">TRƯỞNG KHOA
</t>
    </r>
  </si>
  <si>
    <t>KHOA SƯ PHẠM</t>
  </si>
  <si>
    <t>Báo cáo kết quả khắc phục hạn chế, tồn tại qua đợt đánh giá ngoài năm 2021 chương trình đào tạo trình độ cao đẳng ngành GDMN</t>
  </si>
  <si>
    <t>Hiệu trưởng Lê Trí Khải</t>
  </si>
  <si>
    <t>Khoa Sư phạm</t>
  </si>
  <si>
    <t>Quyết định ban hành Chuẩn đầu ra, chương trình đào tạo, chương trình dạy học và đề cương chi tiết các học phần, trình độ cao đẳng ngành GDMN rà soát, cập nhật năm 2026</t>
  </si>
  <si>
    <r>
      <t xml:space="preserve">Tham mưu Công văn </t>
    </r>
    <r>
      <rPr>
        <sz val="12"/>
        <color rgb="FF000000"/>
        <rFont val="Times New Roman"/>
        <family val="1"/>
      </rPr>
      <t>phối hợp tổ chức và hỗ trợ thực tập sư phạm cho sinh viên trình độ cao đẳng ngành Giáo dục Mầm non năm thứ 2, khóa học 2024–2027</t>
    </r>
  </si>
  <si>
    <t>Kế hoạch công tác cá nhân năm học 2026-2027, bộ môn Khoa học giáo dục và Tiếng Việt.</t>
  </si>
  <si>
    <t>Kế hoạch hoạt động của bộ môn GDMN và Nghệ thuật, Năm học 2026-2027</t>
  </si>
  <si>
    <t>Báo cáo kết quả thẩm định chuẩn đầu ra, chương trình đào tạo, chương trình dạy học trình độ cao đẳng ngành Giáo dục Mầm non, rà soát, cập nhật năm 2026</t>
  </si>
  <si>
    <t>Kế hoạch hoạt động của bộ môn Khoa học giáo dục và Tiếng Việt, Năm học 2026-2027</t>
  </si>
  <si>
    <t>Kế hoạch công tác cá nhân bộ môn GDMN và NT năm học 2026-2027</t>
  </si>
  <si>
    <t>Kế hoạch thực tập sư phạm năm thứ 2, trình độ cao đẳng ngành Giáo dục Mầm non, các lớp K7C GDMN1B,2B,3B,4B,5B,6B,7B,8B, khóa học 2024-2027</t>
  </si>
  <si>
    <t>Kế hoạch dự giờ chuyên môn nhà giáo tại khoa Sư phạm, học kỳ I, năm học 2026- 2027</t>
  </si>
  <si>
    <t>Kế hoạch chuẩn bị các điều kiện tổ chức bồi dưỡng theo tiêu chuẩn chức danh nghề nghiệp giáo viên mầm 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</si>
</sst>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8"/>
      <name val="Calibri"/>
      <family val="2"/>
      <scheme val="minor"/>
    </font>
    <font>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0">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9" fillId="0" borderId="2" xfId="0" applyFont="1" applyBorder="1" applyAlignment="1">
      <alignment horizontal="center" vertical="center" wrapText="1"/>
    </xf>
    <xf numFmtId="0" fontId="14" fillId="0" borderId="2" xfId="0" quotePrefix="1" applyFont="1" applyBorder="1" applyAlignment="1">
      <alignment horizontal="center" vertical="center" wrapText="1"/>
    </xf>
    <xf numFmtId="0" fontId="24" fillId="0" borderId="2" xfId="0" applyFont="1" applyBorder="1" applyAlignment="1">
      <alignment horizontal="center" vertical="center" wrapText="1"/>
    </xf>
    <xf numFmtId="0" fontId="3" fillId="0" borderId="2" xfId="0" applyFont="1" applyBorder="1" applyAlignment="1">
      <alignment horizontal="justify" vertical="center"/>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8" fillId="0" borderId="8" xfId="0" applyFont="1" applyBorder="1" applyAlignment="1">
      <alignment horizontal="center" vertical="center" wrapText="1"/>
    </xf>
    <xf numFmtId="0" fontId="22" fillId="0" borderId="10" xfId="0" applyFont="1" applyBorder="1"/>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8" fillId="0" borderId="6" xfId="0" applyFont="1" applyBorder="1" applyAlignment="1">
      <alignment horizontal="center" vertical="center"/>
    </xf>
    <xf numFmtId="0" fontId="8" fillId="0" borderId="6" xfId="0" applyFont="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horizontal="center" vertical="center"/>
    </xf>
    <xf numFmtId="0" fontId="8" fillId="0" borderId="7" xfId="0" applyFont="1" applyBorder="1" applyAlignment="1">
      <alignment horizontal="left" vertical="center"/>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448531</xdr:colOff>
      <xdr:row>2</xdr:row>
      <xdr:rowOff>45998</xdr:rowOff>
    </xdr:from>
    <xdr:to>
      <xdr:col>1</xdr:col>
      <xdr:colOff>1246390</xdr:colOff>
      <xdr:row>2</xdr:row>
      <xdr:rowOff>45998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793245" y="6447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2</xdr:row>
      <xdr:rowOff>49249</xdr:rowOff>
    </xdr:from>
    <xdr:to>
      <xdr:col>12</xdr:col>
      <xdr:colOff>381001</xdr:colOff>
      <xdr:row>2</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2</xdr:row>
      <xdr:rowOff>533400</xdr:rowOff>
    </xdr:from>
    <xdr:to>
      <xdr:col>6</xdr:col>
      <xdr:colOff>176892</xdr:colOff>
      <xdr:row>2</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36"/>
  <sheetViews>
    <sheetView tabSelected="1" topLeftCell="A12" zoomScale="70" zoomScaleNormal="70" zoomScaleSheetLayoutView="70" workbookViewId="0">
      <selection activeCell="B21" sqref="B21"/>
    </sheetView>
  </sheetViews>
  <sheetFormatPr defaultRowHeight="32.5" customHeight="1" x14ac:dyDescent="0.35"/>
  <cols>
    <col min="1" max="1" width="4.6328125" bestFit="1" customWidth="1"/>
    <col min="2" max="2" width="31.08984375" customWidth="1"/>
    <col min="3" max="3" width="16.453125" customWidth="1"/>
    <col min="4" max="4" width="17.08984375" customWidth="1"/>
    <col min="5" max="5" width="20.453125" bestFit="1"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s="1" customFormat="1" ht="17" x14ac:dyDescent="0.4">
      <c r="A1" s="49" t="s">
        <v>24</v>
      </c>
      <c r="B1" s="50"/>
      <c r="E1" s="5"/>
      <c r="F1" s="5"/>
      <c r="G1" s="42" t="s">
        <v>20</v>
      </c>
      <c r="H1" s="42"/>
      <c r="I1" s="42"/>
      <c r="J1" s="42"/>
      <c r="K1" s="42"/>
      <c r="L1" s="42"/>
      <c r="M1" s="42"/>
      <c r="N1" s="42"/>
      <c r="O1" s="42"/>
      <c r="P1" s="42"/>
    </row>
    <row r="2" spans="1:17" s="1" customFormat="1" ht="18.75" customHeight="1" x14ac:dyDescent="0.35">
      <c r="A2" s="51" t="s">
        <v>57</v>
      </c>
      <c r="B2" s="51"/>
      <c r="C2" s="2"/>
      <c r="E2" s="6"/>
      <c r="F2" s="6"/>
      <c r="G2" s="43" t="s">
        <v>21</v>
      </c>
      <c r="H2" s="43"/>
      <c r="I2" s="43"/>
      <c r="J2" s="43"/>
      <c r="K2" s="43"/>
      <c r="L2" s="43"/>
      <c r="M2" s="43"/>
      <c r="N2" s="43"/>
      <c r="O2" s="43"/>
      <c r="P2" s="43"/>
    </row>
    <row r="3" spans="1:17" ht="44.25" customHeight="1" x14ac:dyDescent="0.35">
      <c r="A3" s="43" t="s">
        <v>54</v>
      </c>
      <c r="B3" s="52"/>
      <c r="C3" s="52"/>
      <c r="D3" s="52"/>
      <c r="E3" s="52"/>
      <c r="F3" s="52"/>
      <c r="G3" s="52"/>
      <c r="H3" s="52"/>
      <c r="I3" s="52"/>
      <c r="J3" s="52"/>
      <c r="K3" s="52"/>
      <c r="L3" s="52"/>
      <c r="M3" s="52"/>
      <c r="N3" s="52"/>
      <c r="O3" s="52"/>
      <c r="P3" s="52"/>
    </row>
    <row r="4" spans="1:17" ht="9" customHeight="1" x14ac:dyDescent="0.35">
      <c r="A4" s="46"/>
      <c r="B4" s="46"/>
      <c r="C4" s="46"/>
      <c r="D4" s="46"/>
      <c r="E4" s="46"/>
      <c r="F4" s="46"/>
      <c r="G4" s="46"/>
      <c r="H4" s="46"/>
      <c r="I4" s="46"/>
      <c r="J4" s="46"/>
      <c r="K4" s="46"/>
      <c r="L4" s="46"/>
      <c r="M4" s="46"/>
      <c r="N4" s="46"/>
      <c r="O4" s="46"/>
      <c r="P4" s="46"/>
    </row>
    <row r="5" spans="1:17" ht="20.25" customHeight="1" x14ac:dyDescent="0.35">
      <c r="A5" s="28" t="s">
        <v>0</v>
      </c>
      <c r="B5" s="28" t="s">
        <v>1</v>
      </c>
      <c r="C5" s="28" t="s">
        <v>2</v>
      </c>
      <c r="D5" s="28" t="s">
        <v>25</v>
      </c>
      <c r="E5" s="28" t="s">
        <v>40</v>
      </c>
      <c r="F5" s="28" t="s">
        <v>12</v>
      </c>
      <c r="G5" s="30" t="s">
        <v>45</v>
      </c>
      <c r="H5" s="34" t="s">
        <v>31</v>
      </c>
      <c r="I5" s="34" t="s">
        <v>32</v>
      </c>
      <c r="J5" s="47" t="s">
        <v>38</v>
      </c>
      <c r="K5" s="44" t="s">
        <v>33</v>
      </c>
      <c r="L5" s="45"/>
      <c r="M5" s="44" t="s">
        <v>34</v>
      </c>
      <c r="N5" s="45"/>
      <c r="O5" s="44" t="s">
        <v>35</v>
      </c>
      <c r="P5" s="45"/>
      <c r="Q5" s="1"/>
    </row>
    <row r="6" spans="1:17" ht="65.25" customHeight="1" x14ac:dyDescent="0.35">
      <c r="A6" s="29"/>
      <c r="B6" s="29"/>
      <c r="C6" s="29"/>
      <c r="D6" s="29"/>
      <c r="E6" s="29"/>
      <c r="F6" s="29"/>
      <c r="G6" s="31"/>
      <c r="H6" s="35"/>
      <c r="I6" s="35"/>
      <c r="J6" s="48"/>
      <c r="K6" s="14" t="s">
        <v>36</v>
      </c>
      <c r="L6" s="14" t="s">
        <v>37</v>
      </c>
      <c r="M6" s="14" t="s">
        <v>36</v>
      </c>
      <c r="N6" s="14" t="s">
        <v>37</v>
      </c>
      <c r="O6" s="14" t="s">
        <v>36</v>
      </c>
      <c r="P6" s="14" t="s">
        <v>37</v>
      </c>
      <c r="Q6" s="1"/>
    </row>
    <row r="7" spans="1:17" ht="102" customHeight="1" x14ac:dyDescent="0.35">
      <c r="A7" s="22" t="s">
        <v>13</v>
      </c>
      <c r="B7" s="22" t="s">
        <v>14</v>
      </c>
      <c r="C7" s="22" t="s">
        <v>15</v>
      </c>
      <c r="D7" s="22" t="s">
        <v>16</v>
      </c>
      <c r="E7" s="22" t="s">
        <v>17</v>
      </c>
      <c r="F7" s="22" t="s">
        <v>18</v>
      </c>
      <c r="G7" s="22" t="s">
        <v>19</v>
      </c>
      <c r="H7" s="22" t="s">
        <v>41</v>
      </c>
      <c r="I7" s="22" t="s">
        <v>50</v>
      </c>
      <c r="J7" s="22" t="s">
        <v>49</v>
      </c>
      <c r="K7" s="22" t="s">
        <v>43</v>
      </c>
      <c r="L7" s="22" t="s">
        <v>48</v>
      </c>
      <c r="M7" s="22" t="s">
        <v>42</v>
      </c>
      <c r="N7" s="22" t="s">
        <v>46</v>
      </c>
      <c r="O7" s="22" t="s">
        <v>44</v>
      </c>
      <c r="P7" s="22" t="s">
        <v>47</v>
      </c>
    </row>
    <row r="8" spans="1:17" ht="31.5" customHeight="1" x14ac:dyDescent="0.35">
      <c r="A8" s="15" t="s">
        <v>3</v>
      </c>
      <c r="B8" s="32" t="s">
        <v>39</v>
      </c>
      <c r="C8" s="32"/>
      <c r="D8" s="32"/>
      <c r="E8" s="32"/>
      <c r="F8" s="32"/>
      <c r="G8" s="32"/>
      <c r="H8" s="32"/>
      <c r="I8" s="32"/>
      <c r="J8" s="32"/>
      <c r="K8" s="32"/>
      <c r="L8" s="32"/>
      <c r="M8" s="32"/>
      <c r="N8" s="32"/>
      <c r="O8" s="32"/>
      <c r="P8" s="32"/>
    </row>
    <row r="9" spans="1:17" ht="15" x14ac:dyDescent="0.35">
      <c r="A9" s="53">
        <v>1</v>
      </c>
      <c r="B9" s="54" t="s">
        <v>4</v>
      </c>
      <c r="C9" s="54"/>
      <c r="D9" s="54"/>
      <c r="E9" s="54"/>
      <c r="F9" s="53">
        <f>SUM(F10:F12)</f>
        <v>3</v>
      </c>
      <c r="G9" s="55"/>
      <c r="H9" s="55"/>
      <c r="I9" s="55"/>
      <c r="J9" s="53">
        <f>SUM(J10:J12)</f>
        <v>6</v>
      </c>
      <c r="K9" s="53">
        <f>SUM(K10:K12)</f>
        <v>3</v>
      </c>
      <c r="L9" s="53">
        <f>SUM(L10:L12)</f>
        <v>6</v>
      </c>
      <c r="M9" s="53">
        <f>SUM(M10:M12)</f>
        <v>3</v>
      </c>
      <c r="N9" s="53">
        <f>SUM(N10:N12)</f>
        <v>6</v>
      </c>
      <c r="O9" s="53">
        <f>SUM(O10:O12)</f>
        <v>3</v>
      </c>
      <c r="P9" s="53">
        <f>SUM(P10:P12)</f>
        <v>6</v>
      </c>
    </row>
    <row r="10" spans="1:17" ht="77.5" x14ac:dyDescent="0.35">
      <c r="A10" s="11" t="s">
        <v>22</v>
      </c>
      <c r="B10" s="58" t="s">
        <v>58</v>
      </c>
      <c r="C10" s="59" t="s">
        <v>59</v>
      </c>
      <c r="D10" s="59" t="s">
        <v>60</v>
      </c>
      <c r="E10" s="59" t="s">
        <v>53</v>
      </c>
      <c r="F10" s="59">
        <v>1</v>
      </c>
      <c r="G10" s="59" t="s">
        <v>30</v>
      </c>
      <c r="H10" s="11">
        <f>IF(G10="Khó và phức tạp",200,IF(G10="Cao",150,IF(G10="Trungbình",120,100)))</f>
        <v>200</v>
      </c>
      <c r="I10" s="11">
        <f>H10*0.01</f>
        <v>2</v>
      </c>
      <c r="J10" s="11">
        <f>F10*I10</f>
        <v>2</v>
      </c>
      <c r="K10" s="12">
        <f>F10*100%</f>
        <v>1</v>
      </c>
      <c r="L10" s="18">
        <f>K10*I10</f>
        <v>2</v>
      </c>
      <c r="M10" s="20">
        <f>K10*100%</f>
        <v>1</v>
      </c>
      <c r="N10" s="18">
        <f>I10*M10</f>
        <v>2</v>
      </c>
      <c r="O10" s="12">
        <f>K10*100%</f>
        <v>1</v>
      </c>
      <c r="P10" s="18">
        <f>I10*O10</f>
        <v>2</v>
      </c>
    </row>
    <row r="11" spans="1:17" ht="93" x14ac:dyDescent="0.35">
      <c r="A11" s="11" t="s">
        <v>23</v>
      </c>
      <c r="B11" s="58" t="s">
        <v>61</v>
      </c>
      <c r="C11" s="59" t="s">
        <v>59</v>
      </c>
      <c r="D11" s="59" t="s">
        <v>60</v>
      </c>
      <c r="E11" s="59" t="s">
        <v>29</v>
      </c>
      <c r="F11" s="59">
        <v>1</v>
      </c>
      <c r="G11" s="59" t="s">
        <v>30</v>
      </c>
      <c r="H11" s="11">
        <f t="shared" ref="H11:H12" si="0">IF(G11="Khó và phức tạp",200,IF(G11="Cao",150,IF(G11="Trungbình",120,100)))</f>
        <v>200</v>
      </c>
      <c r="I11" s="11">
        <f t="shared" ref="I11:I12" si="1">H11*0.01</f>
        <v>2</v>
      </c>
      <c r="J11" s="11">
        <f t="shared" ref="J11:J12" si="2">F11*I11</f>
        <v>2</v>
      </c>
      <c r="K11" s="12">
        <f>F11*100%</f>
        <v>1</v>
      </c>
      <c r="L11" s="18">
        <f t="shared" ref="L11:L12" si="3">K11*I11</f>
        <v>2</v>
      </c>
      <c r="M11" s="20">
        <f>K11*100%</f>
        <v>1</v>
      </c>
      <c r="N11" s="18">
        <f t="shared" ref="N11:N12" si="4">I11*M11</f>
        <v>2</v>
      </c>
      <c r="O11" s="20">
        <f>K11*100%</f>
        <v>1</v>
      </c>
      <c r="P11" s="18">
        <f t="shared" ref="P11:P12" si="5">I11*O11</f>
        <v>2</v>
      </c>
    </row>
    <row r="12" spans="1:17" ht="77.5" x14ac:dyDescent="0.35">
      <c r="A12" s="11" t="s">
        <v>27</v>
      </c>
      <c r="B12" s="58" t="s">
        <v>62</v>
      </c>
      <c r="C12" s="59" t="s">
        <v>59</v>
      </c>
      <c r="D12" s="59" t="s">
        <v>60</v>
      </c>
      <c r="E12" s="59" t="s">
        <v>55</v>
      </c>
      <c r="F12" s="59">
        <v>1</v>
      </c>
      <c r="G12" s="59" t="s">
        <v>30</v>
      </c>
      <c r="H12" s="11">
        <f t="shared" si="0"/>
        <v>200</v>
      </c>
      <c r="I12" s="11">
        <f t="shared" si="1"/>
        <v>2</v>
      </c>
      <c r="J12" s="11">
        <f t="shared" si="2"/>
        <v>2</v>
      </c>
      <c r="K12" s="12">
        <f>F12*100%</f>
        <v>1</v>
      </c>
      <c r="L12" s="18">
        <f t="shared" si="3"/>
        <v>2</v>
      </c>
      <c r="M12" s="20">
        <f>K12*100%</f>
        <v>1</v>
      </c>
      <c r="N12" s="18">
        <f t="shared" si="4"/>
        <v>2</v>
      </c>
      <c r="O12" s="20">
        <f>K12*100%</f>
        <v>1</v>
      </c>
      <c r="P12" s="18">
        <f t="shared" si="5"/>
        <v>2</v>
      </c>
    </row>
    <row r="13" spans="1:17" ht="15" x14ac:dyDescent="0.35">
      <c r="A13" s="16">
        <v>2</v>
      </c>
      <c r="B13" s="40" t="s">
        <v>6</v>
      </c>
      <c r="C13" s="40"/>
      <c r="D13" s="40"/>
      <c r="E13" s="40"/>
      <c r="F13" s="16">
        <f>SUM(F22:F22)</f>
        <v>1</v>
      </c>
      <c r="G13" s="17"/>
      <c r="H13" s="17"/>
      <c r="I13" s="17"/>
      <c r="J13" s="16">
        <f t="shared" ref="J13:P13" si="6">SUM(J22:J22)</f>
        <v>2</v>
      </c>
      <c r="K13" s="16">
        <f t="shared" si="6"/>
        <v>1</v>
      </c>
      <c r="L13" s="16">
        <f t="shared" si="6"/>
        <v>2</v>
      </c>
      <c r="M13" s="16">
        <f t="shared" si="6"/>
        <v>1</v>
      </c>
      <c r="N13" s="16">
        <f t="shared" si="6"/>
        <v>2</v>
      </c>
      <c r="O13" s="16">
        <f t="shared" si="6"/>
        <v>1</v>
      </c>
      <c r="P13" s="16">
        <f t="shared" si="6"/>
        <v>2</v>
      </c>
    </row>
    <row r="14" spans="1:17" ht="46.5" x14ac:dyDescent="0.35">
      <c r="A14" s="16">
        <v>2.1</v>
      </c>
      <c r="B14" s="58" t="s">
        <v>63</v>
      </c>
      <c r="C14" s="59" t="s">
        <v>26</v>
      </c>
      <c r="D14" s="59" t="s">
        <v>60</v>
      </c>
      <c r="E14" s="59" t="s">
        <v>51</v>
      </c>
      <c r="F14" s="59">
        <v>1</v>
      </c>
      <c r="G14" s="59" t="s">
        <v>30</v>
      </c>
      <c r="H14" s="11">
        <f t="shared" ref="H14" si="7">IF(G14="Khó và phức tạp",200,IF(G14="Cao",150,IF(G14="Trungbình",120,100)))</f>
        <v>200</v>
      </c>
      <c r="I14" s="11">
        <f t="shared" ref="I14" si="8">H14*0.01</f>
        <v>2</v>
      </c>
      <c r="J14" s="11">
        <f t="shared" ref="J14" si="9">F14*I14</f>
        <v>2</v>
      </c>
      <c r="K14" s="12">
        <f>F14*100%</f>
        <v>1</v>
      </c>
      <c r="L14" s="18">
        <f t="shared" ref="L14" si="10">K14*I14</f>
        <v>2</v>
      </c>
      <c r="M14" s="20">
        <f>K14*100%</f>
        <v>1</v>
      </c>
      <c r="N14" s="18">
        <f t="shared" ref="N14" si="11">I14*M14</f>
        <v>2</v>
      </c>
      <c r="O14" s="20">
        <f>K14*100%</f>
        <v>1</v>
      </c>
      <c r="P14" s="18">
        <f t="shared" ref="P14" si="12">I14*O14</f>
        <v>2</v>
      </c>
    </row>
    <row r="15" spans="1:17" ht="46.5" x14ac:dyDescent="0.35">
      <c r="A15" s="16">
        <v>2.2000000000000002</v>
      </c>
      <c r="B15" s="58" t="s">
        <v>64</v>
      </c>
      <c r="C15" s="59" t="s">
        <v>26</v>
      </c>
      <c r="D15" s="59" t="s">
        <v>60</v>
      </c>
      <c r="E15" s="59" t="s">
        <v>51</v>
      </c>
      <c r="F15" s="59">
        <v>1</v>
      </c>
      <c r="G15" s="59" t="s">
        <v>30</v>
      </c>
      <c r="H15" s="11">
        <f t="shared" ref="H15:H22" si="13">IF(G15="Khó và phức tạp",200,IF(G15="Cao",150,IF(G15="Trungbình",120,100)))</f>
        <v>200</v>
      </c>
      <c r="I15" s="11">
        <f t="shared" ref="I15:I22" si="14">H15*0.01</f>
        <v>2</v>
      </c>
      <c r="J15" s="11">
        <f t="shared" ref="J15:J22" si="15">F15*I15</f>
        <v>2</v>
      </c>
      <c r="K15" s="12">
        <f t="shared" ref="K15:K22" si="16">F15*100%</f>
        <v>1</v>
      </c>
      <c r="L15" s="18">
        <f t="shared" ref="L15:L22" si="17">K15*I15</f>
        <v>2</v>
      </c>
      <c r="M15" s="20">
        <f t="shared" ref="M15:M22" si="18">K15*100%</f>
        <v>1</v>
      </c>
      <c r="N15" s="18">
        <f t="shared" ref="N15:N22" si="19">I15*M15</f>
        <v>2</v>
      </c>
      <c r="O15" s="20">
        <f t="shared" ref="O15:O22" si="20">K15*100%</f>
        <v>1</v>
      </c>
      <c r="P15" s="18">
        <f t="shared" ref="P15:P22" si="21">I15*O15</f>
        <v>2</v>
      </c>
    </row>
    <row r="16" spans="1:17" ht="77.5" x14ac:dyDescent="0.35">
      <c r="A16" s="16">
        <v>2.2999999999999998</v>
      </c>
      <c r="B16" s="58" t="s">
        <v>65</v>
      </c>
      <c r="C16" s="59" t="s">
        <v>26</v>
      </c>
      <c r="D16" s="59" t="s">
        <v>60</v>
      </c>
      <c r="E16" s="59" t="s">
        <v>53</v>
      </c>
      <c r="F16" s="59">
        <v>1</v>
      </c>
      <c r="G16" s="59" t="s">
        <v>30</v>
      </c>
      <c r="H16" s="11">
        <f t="shared" si="13"/>
        <v>200</v>
      </c>
      <c r="I16" s="11">
        <f t="shared" si="14"/>
        <v>2</v>
      </c>
      <c r="J16" s="11">
        <f t="shared" si="15"/>
        <v>2</v>
      </c>
      <c r="K16" s="12">
        <f t="shared" si="16"/>
        <v>1</v>
      </c>
      <c r="L16" s="18">
        <f t="shared" si="17"/>
        <v>2</v>
      </c>
      <c r="M16" s="20">
        <f t="shared" si="18"/>
        <v>1</v>
      </c>
      <c r="N16" s="18">
        <f t="shared" si="19"/>
        <v>2</v>
      </c>
      <c r="O16" s="20">
        <f t="shared" si="20"/>
        <v>1</v>
      </c>
      <c r="P16" s="18">
        <f t="shared" si="21"/>
        <v>2</v>
      </c>
    </row>
    <row r="17" spans="1:16" ht="46.5" x14ac:dyDescent="0.35">
      <c r="A17" s="16">
        <v>2.4</v>
      </c>
      <c r="B17" s="58" t="s">
        <v>66</v>
      </c>
      <c r="C17" s="59" t="s">
        <v>26</v>
      </c>
      <c r="D17" s="59" t="s">
        <v>60</v>
      </c>
      <c r="E17" s="59" t="s">
        <v>51</v>
      </c>
      <c r="F17" s="59">
        <v>1</v>
      </c>
      <c r="G17" s="59" t="s">
        <v>30</v>
      </c>
      <c r="H17" s="11">
        <f t="shared" si="13"/>
        <v>200</v>
      </c>
      <c r="I17" s="11">
        <f t="shared" si="14"/>
        <v>2</v>
      </c>
      <c r="J17" s="11">
        <f t="shared" si="15"/>
        <v>2</v>
      </c>
      <c r="K17" s="12">
        <f t="shared" si="16"/>
        <v>1</v>
      </c>
      <c r="L17" s="18">
        <f t="shared" si="17"/>
        <v>2</v>
      </c>
      <c r="M17" s="20">
        <f t="shared" si="18"/>
        <v>1</v>
      </c>
      <c r="N17" s="18">
        <f t="shared" si="19"/>
        <v>2</v>
      </c>
      <c r="O17" s="20">
        <f t="shared" si="20"/>
        <v>1</v>
      </c>
      <c r="P17" s="18">
        <f t="shared" si="21"/>
        <v>2</v>
      </c>
    </row>
    <row r="18" spans="1:16" ht="46.5" x14ac:dyDescent="0.35">
      <c r="A18" s="16">
        <v>2.5</v>
      </c>
      <c r="B18" s="58" t="s">
        <v>63</v>
      </c>
      <c r="C18" s="59" t="s">
        <v>26</v>
      </c>
      <c r="D18" s="59" t="s">
        <v>60</v>
      </c>
      <c r="E18" s="59" t="s">
        <v>51</v>
      </c>
      <c r="F18" s="59">
        <v>1</v>
      </c>
      <c r="G18" s="59" t="s">
        <v>30</v>
      </c>
      <c r="H18" s="11">
        <f t="shared" si="13"/>
        <v>200</v>
      </c>
      <c r="I18" s="11">
        <f t="shared" si="14"/>
        <v>2</v>
      </c>
      <c r="J18" s="11">
        <f t="shared" si="15"/>
        <v>2</v>
      </c>
      <c r="K18" s="12">
        <f t="shared" si="16"/>
        <v>1</v>
      </c>
      <c r="L18" s="18">
        <f t="shared" si="17"/>
        <v>2</v>
      </c>
      <c r="M18" s="20">
        <f t="shared" si="18"/>
        <v>1</v>
      </c>
      <c r="N18" s="18">
        <f t="shared" si="19"/>
        <v>2</v>
      </c>
      <c r="O18" s="20">
        <f t="shared" si="20"/>
        <v>1</v>
      </c>
      <c r="P18" s="18">
        <f t="shared" si="21"/>
        <v>2</v>
      </c>
    </row>
    <row r="19" spans="1:16" ht="46.5" x14ac:dyDescent="0.35">
      <c r="A19" s="16">
        <v>2.6</v>
      </c>
      <c r="B19" s="58" t="s">
        <v>67</v>
      </c>
      <c r="C19" s="59" t="s">
        <v>26</v>
      </c>
      <c r="D19" s="59" t="s">
        <v>60</v>
      </c>
      <c r="E19" s="59" t="s">
        <v>51</v>
      </c>
      <c r="F19" s="59">
        <v>1</v>
      </c>
      <c r="G19" s="59" t="s">
        <v>30</v>
      </c>
      <c r="H19" s="11">
        <f t="shared" si="13"/>
        <v>200</v>
      </c>
      <c r="I19" s="11">
        <f t="shared" si="14"/>
        <v>2</v>
      </c>
      <c r="J19" s="11">
        <f t="shared" si="15"/>
        <v>2</v>
      </c>
      <c r="K19" s="12">
        <f t="shared" si="16"/>
        <v>1</v>
      </c>
      <c r="L19" s="18">
        <f t="shared" si="17"/>
        <v>2</v>
      </c>
      <c r="M19" s="20">
        <f t="shared" si="18"/>
        <v>1</v>
      </c>
      <c r="N19" s="18">
        <f t="shared" si="19"/>
        <v>2</v>
      </c>
      <c r="O19" s="20">
        <f t="shared" si="20"/>
        <v>1</v>
      </c>
      <c r="P19" s="18">
        <f t="shared" si="21"/>
        <v>2</v>
      </c>
    </row>
    <row r="20" spans="1:16" ht="77.5" x14ac:dyDescent="0.35">
      <c r="A20" s="16">
        <v>2.7</v>
      </c>
      <c r="B20" s="58" t="s">
        <v>68</v>
      </c>
      <c r="C20" s="59" t="s">
        <v>26</v>
      </c>
      <c r="D20" s="59" t="s">
        <v>60</v>
      </c>
      <c r="E20" s="59" t="s">
        <v>51</v>
      </c>
      <c r="F20" s="59">
        <v>1</v>
      </c>
      <c r="G20" s="59" t="s">
        <v>30</v>
      </c>
      <c r="H20" s="11">
        <f t="shared" si="13"/>
        <v>200</v>
      </c>
      <c r="I20" s="11">
        <f t="shared" si="14"/>
        <v>2</v>
      </c>
      <c r="J20" s="11">
        <f t="shared" si="15"/>
        <v>2</v>
      </c>
      <c r="K20" s="12">
        <f t="shared" si="16"/>
        <v>1</v>
      </c>
      <c r="L20" s="18">
        <f t="shared" si="17"/>
        <v>2</v>
      </c>
      <c r="M20" s="20">
        <f t="shared" si="18"/>
        <v>1</v>
      </c>
      <c r="N20" s="18">
        <f t="shared" si="19"/>
        <v>2</v>
      </c>
      <c r="O20" s="20">
        <f t="shared" si="20"/>
        <v>1</v>
      </c>
      <c r="P20" s="18">
        <f t="shared" si="21"/>
        <v>2</v>
      </c>
    </row>
    <row r="21" spans="1:16" ht="46.5" x14ac:dyDescent="0.35">
      <c r="A21" s="16">
        <v>2.8</v>
      </c>
      <c r="B21" s="58" t="s">
        <v>69</v>
      </c>
      <c r="C21" s="59" t="s">
        <v>26</v>
      </c>
      <c r="D21" s="59" t="s">
        <v>60</v>
      </c>
      <c r="E21" s="59" t="s">
        <v>51</v>
      </c>
      <c r="F21" s="59">
        <v>1</v>
      </c>
      <c r="G21" s="59" t="s">
        <v>30</v>
      </c>
      <c r="H21" s="11">
        <f t="shared" si="13"/>
        <v>200</v>
      </c>
      <c r="I21" s="11">
        <f t="shared" si="14"/>
        <v>2</v>
      </c>
      <c r="J21" s="11">
        <f t="shared" si="15"/>
        <v>2</v>
      </c>
      <c r="K21" s="12">
        <f t="shared" si="16"/>
        <v>1</v>
      </c>
      <c r="L21" s="18">
        <f t="shared" si="17"/>
        <v>2</v>
      </c>
      <c r="M21" s="20">
        <f t="shared" si="18"/>
        <v>1</v>
      </c>
      <c r="N21" s="18">
        <f t="shared" si="19"/>
        <v>2</v>
      </c>
      <c r="O21" s="20">
        <f t="shared" si="20"/>
        <v>1</v>
      </c>
      <c r="P21" s="18">
        <f t="shared" si="21"/>
        <v>2</v>
      </c>
    </row>
    <row r="22" spans="1:16" ht="62" x14ac:dyDescent="0.35">
      <c r="A22" s="16">
        <v>2.9</v>
      </c>
      <c r="B22" s="58" t="s">
        <v>70</v>
      </c>
      <c r="C22" s="59" t="s">
        <v>59</v>
      </c>
      <c r="D22" s="59" t="s">
        <v>60</v>
      </c>
      <c r="E22" s="59" t="s">
        <v>51</v>
      </c>
      <c r="F22" s="59">
        <v>1</v>
      </c>
      <c r="G22" s="59" t="s">
        <v>30</v>
      </c>
      <c r="H22" s="11">
        <f t="shared" si="13"/>
        <v>200</v>
      </c>
      <c r="I22" s="11">
        <f t="shared" si="14"/>
        <v>2</v>
      </c>
      <c r="J22" s="11">
        <f t="shared" si="15"/>
        <v>2</v>
      </c>
      <c r="K22" s="12">
        <f t="shared" si="16"/>
        <v>1</v>
      </c>
      <c r="L22" s="18">
        <f t="shared" si="17"/>
        <v>2</v>
      </c>
      <c r="M22" s="20">
        <f t="shared" si="18"/>
        <v>1</v>
      </c>
      <c r="N22" s="18">
        <f t="shared" si="19"/>
        <v>2</v>
      </c>
      <c r="O22" s="20">
        <f t="shared" si="20"/>
        <v>1</v>
      </c>
      <c r="P22" s="18">
        <f t="shared" si="21"/>
        <v>2</v>
      </c>
    </row>
    <row r="23" spans="1:16" ht="15" x14ac:dyDescent="0.35">
      <c r="A23" s="56">
        <v>3</v>
      </c>
      <c r="B23" s="57" t="s">
        <v>7</v>
      </c>
      <c r="C23" s="57"/>
      <c r="D23" s="57"/>
      <c r="E23" s="57"/>
      <c r="F23" s="16">
        <f>SUM(F24:F24)</f>
        <v>0</v>
      </c>
      <c r="G23" s="17"/>
      <c r="H23" s="17"/>
      <c r="I23" s="17"/>
      <c r="J23" s="16">
        <f t="shared" ref="J23:P23" si="22">SUM(J24:J24)</f>
        <v>0</v>
      </c>
      <c r="K23" s="16">
        <f t="shared" si="22"/>
        <v>0</v>
      </c>
      <c r="L23" s="16">
        <f t="shared" si="22"/>
        <v>0</v>
      </c>
      <c r="M23" s="16">
        <f t="shared" si="22"/>
        <v>0</v>
      </c>
      <c r="N23" s="16">
        <f t="shared" si="22"/>
        <v>0</v>
      </c>
      <c r="O23" s="16">
        <f t="shared" si="22"/>
        <v>0</v>
      </c>
      <c r="P23" s="16">
        <f t="shared" si="22"/>
        <v>0</v>
      </c>
    </row>
    <row r="24" spans="1:16" ht="15.5" x14ac:dyDescent="0.35">
      <c r="A24" s="16"/>
      <c r="B24" s="19"/>
      <c r="C24" s="11"/>
      <c r="D24" s="11"/>
      <c r="E24" s="11"/>
      <c r="F24" s="11"/>
      <c r="G24" s="11"/>
      <c r="H24" s="11"/>
      <c r="I24" s="11"/>
      <c r="J24" s="11"/>
      <c r="K24" s="12"/>
      <c r="L24" s="18"/>
      <c r="M24" s="12"/>
      <c r="N24" s="18"/>
      <c r="O24" s="12"/>
      <c r="P24" s="18"/>
    </row>
    <row r="25" spans="1:16" ht="15" x14ac:dyDescent="0.35">
      <c r="A25" s="16">
        <v>4</v>
      </c>
      <c r="B25" s="41" t="s">
        <v>8</v>
      </c>
      <c r="C25" s="41"/>
      <c r="D25" s="41"/>
      <c r="E25" s="41"/>
      <c r="F25" s="16">
        <f>SUM(F26:F26)</f>
        <v>0</v>
      </c>
      <c r="G25" s="17"/>
      <c r="H25" s="17"/>
      <c r="I25" s="17"/>
      <c r="J25" s="16">
        <f t="shared" ref="J25:P27" si="23">SUM(J26:J26)</f>
        <v>0</v>
      </c>
      <c r="K25" s="16">
        <f t="shared" si="23"/>
        <v>0</v>
      </c>
      <c r="L25" s="16">
        <f t="shared" si="23"/>
        <v>0</v>
      </c>
      <c r="M25" s="16">
        <f t="shared" si="23"/>
        <v>0</v>
      </c>
      <c r="N25" s="16">
        <f t="shared" si="23"/>
        <v>0</v>
      </c>
      <c r="O25" s="16">
        <f t="shared" si="23"/>
        <v>0</v>
      </c>
      <c r="P25" s="16">
        <f t="shared" si="23"/>
        <v>0</v>
      </c>
    </row>
    <row r="26" spans="1:16" ht="15.5" x14ac:dyDescent="0.35">
      <c r="A26" s="11"/>
      <c r="B26" s="24"/>
      <c r="C26" s="21"/>
      <c r="D26" s="11"/>
      <c r="E26" s="23"/>
      <c r="F26" s="23"/>
      <c r="G26" s="23"/>
      <c r="H26" s="11"/>
      <c r="I26" s="11"/>
      <c r="J26" s="11"/>
      <c r="K26" s="12"/>
      <c r="L26" s="18"/>
      <c r="M26" s="12"/>
      <c r="N26" s="18"/>
      <c r="O26" s="12"/>
      <c r="P26" s="18"/>
    </row>
    <row r="27" spans="1:16" ht="15" x14ac:dyDescent="0.35">
      <c r="A27" s="16">
        <v>5</v>
      </c>
      <c r="B27" s="40" t="s">
        <v>9</v>
      </c>
      <c r="C27" s="40"/>
      <c r="D27" s="40"/>
      <c r="E27" s="40"/>
      <c r="F27" s="16">
        <f>SUM(F28:F28)</f>
        <v>0</v>
      </c>
      <c r="G27" s="17"/>
      <c r="H27" s="17"/>
      <c r="I27" s="17"/>
      <c r="J27" s="16">
        <f t="shared" si="23"/>
        <v>0</v>
      </c>
      <c r="K27" s="16">
        <f t="shared" si="23"/>
        <v>0</v>
      </c>
      <c r="L27" s="16">
        <f t="shared" si="23"/>
        <v>0</v>
      </c>
      <c r="M27" s="16">
        <f t="shared" si="23"/>
        <v>0</v>
      </c>
      <c r="N27" s="16">
        <f t="shared" si="23"/>
        <v>0</v>
      </c>
      <c r="O27" s="16">
        <f t="shared" si="23"/>
        <v>0</v>
      </c>
      <c r="P27" s="16">
        <f t="shared" si="23"/>
        <v>0</v>
      </c>
    </row>
    <row r="28" spans="1:16" ht="15.5" x14ac:dyDescent="0.35">
      <c r="A28" s="11"/>
      <c r="B28" s="19"/>
      <c r="C28" s="11"/>
      <c r="D28" s="11"/>
      <c r="E28" s="11"/>
      <c r="F28" s="11"/>
      <c r="G28" s="11"/>
      <c r="H28" s="11"/>
      <c r="I28" s="11"/>
      <c r="J28" s="11"/>
      <c r="K28" s="12"/>
      <c r="L28" s="18"/>
      <c r="M28" s="12"/>
      <c r="N28" s="18"/>
      <c r="O28" s="12"/>
      <c r="P28" s="18"/>
    </row>
    <row r="29" spans="1:16" ht="15" x14ac:dyDescent="0.35">
      <c r="A29" s="16">
        <v>6</v>
      </c>
      <c r="B29" s="36" t="s">
        <v>10</v>
      </c>
      <c r="C29" s="37"/>
      <c r="D29" s="37"/>
      <c r="E29" s="37"/>
      <c r="F29" s="16">
        <f>SUM(F30:F30)</f>
        <v>0</v>
      </c>
      <c r="G29" s="17"/>
      <c r="H29" s="17"/>
      <c r="I29" s="17"/>
      <c r="J29" s="16">
        <f t="shared" ref="J29:P29" si="24">SUM(J30:J30)</f>
        <v>0</v>
      </c>
      <c r="K29" s="16">
        <f t="shared" si="24"/>
        <v>0</v>
      </c>
      <c r="L29" s="16">
        <f t="shared" si="24"/>
        <v>0</v>
      </c>
      <c r="M29" s="16">
        <f t="shared" si="24"/>
        <v>0</v>
      </c>
      <c r="N29" s="16">
        <f t="shared" si="24"/>
        <v>0</v>
      </c>
      <c r="O29" s="16">
        <f t="shared" si="24"/>
        <v>0</v>
      </c>
      <c r="P29" s="16">
        <f t="shared" si="24"/>
        <v>0</v>
      </c>
    </row>
    <row r="30" spans="1:16" ht="15.5" x14ac:dyDescent="0.35">
      <c r="A30" s="11"/>
      <c r="B30" s="19"/>
      <c r="C30" s="11"/>
      <c r="D30" s="11"/>
      <c r="E30" s="11"/>
      <c r="F30" s="11"/>
      <c r="G30" s="11"/>
      <c r="H30" s="11"/>
      <c r="I30" s="11"/>
      <c r="J30" s="11"/>
      <c r="K30" s="12"/>
      <c r="L30" s="18"/>
      <c r="M30" s="12"/>
      <c r="N30" s="18"/>
      <c r="O30" s="12"/>
      <c r="P30" s="18"/>
    </row>
    <row r="31" spans="1:16" ht="15" x14ac:dyDescent="0.35">
      <c r="A31" s="16" t="s">
        <v>11</v>
      </c>
      <c r="B31" s="38" t="s">
        <v>28</v>
      </c>
      <c r="C31" s="39"/>
      <c r="D31" s="39"/>
      <c r="E31" s="39"/>
      <c r="F31" s="16">
        <f>SUM(F32:F34)</f>
        <v>0</v>
      </c>
      <c r="G31" s="17"/>
      <c r="H31" s="17"/>
      <c r="I31" s="17"/>
      <c r="J31" s="16">
        <f t="shared" ref="J31:P31" si="25">SUM(J32:J34)</f>
        <v>0</v>
      </c>
      <c r="K31" s="16">
        <f t="shared" si="25"/>
        <v>0</v>
      </c>
      <c r="L31" s="16">
        <f t="shared" si="25"/>
        <v>0</v>
      </c>
      <c r="M31" s="16">
        <f t="shared" si="25"/>
        <v>0</v>
      </c>
      <c r="N31" s="16">
        <f t="shared" si="25"/>
        <v>0</v>
      </c>
      <c r="O31" s="16">
        <f t="shared" si="25"/>
        <v>0</v>
      </c>
      <c r="P31" s="16">
        <f t="shared" si="25"/>
        <v>0</v>
      </c>
    </row>
    <row r="32" spans="1:16" ht="15.5" x14ac:dyDescent="0.35">
      <c r="A32" s="11">
        <v>1</v>
      </c>
      <c r="B32" s="19"/>
      <c r="C32" s="11"/>
      <c r="D32" s="11"/>
      <c r="E32" s="11"/>
      <c r="F32" s="11"/>
      <c r="G32" s="11"/>
      <c r="H32" s="11"/>
      <c r="I32" s="11"/>
      <c r="J32" s="11">
        <f t="shared" ref="J32:J34" si="26">F32*I32</f>
        <v>0</v>
      </c>
      <c r="K32" s="12">
        <f t="shared" ref="K32:K34" si="27">F32*100%</f>
        <v>0</v>
      </c>
      <c r="L32" s="18">
        <f t="shared" ref="L32:L34" si="28">K32*I32</f>
        <v>0</v>
      </c>
      <c r="M32" s="12">
        <f t="shared" ref="M32:M34" si="29">K32*75%</f>
        <v>0</v>
      </c>
      <c r="N32" s="18">
        <f t="shared" ref="N32:N34" si="30">I32*M32</f>
        <v>0</v>
      </c>
      <c r="O32" s="12">
        <f t="shared" ref="O32:O34" si="31">K32*100%</f>
        <v>0</v>
      </c>
      <c r="P32" s="18">
        <f t="shared" ref="P32:P34" si="32">I32*O32</f>
        <v>0</v>
      </c>
    </row>
    <row r="33" spans="1:16" ht="15.5" x14ac:dyDescent="0.35">
      <c r="A33" s="11">
        <v>2</v>
      </c>
      <c r="B33" s="19"/>
      <c r="C33" s="11"/>
      <c r="D33" s="11"/>
      <c r="E33" s="11"/>
      <c r="F33" s="11"/>
      <c r="G33" s="11"/>
      <c r="H33" s="11"/>
      <c r="I33" s="11"/>
      <c r="J33" s="11">
        <f t="shared" si="26"/>
        <v>0</v>
      </c>
      <c r="K33" s="12">
        <f t="shared" si="27"/>
        <v>0</v>
      </c>
      <c r="L33" s="18">
        <f t="shared" si="28"/>
        <v>0</v>
      </c>
      <c r="M33" s="12">
        <f t="shared" si="29"/>
        <v>0</v>
      </c>
      <c r="N33" s="18">
        <f t="shared" si="30"/>
        <v>0</v>
      </c>
      <c r="O33" s="12">
        <f t="shared" si="31"/>
        <v>0</v>
      </c>
      <c r="P33" s="18">
        <f t="shared" si="32"/>
        <v>0</v>
      </c>
    </row>
    <row r="34" spans="1:16" ht="15.5" x14ac:dyDescent="0.35">
      <c r="A34" s="11" t="s">
        <v>5</v>
      </c>
      <c r="B34" s="19"/>
      <c r="C34" s="11"/>
      <c r="D34" s="11"/>
      <c r="E34" s="11"/>
      <c r="F34" s="11"/>
      <c r="G34" s="11"/>
      <c r="H34" s="11"/>
      <c r="I34" s="11"/>
      <c r="J34" s="11">
        <f t="shared" si="26"/>
        <v>0</v>
      </c>
      <c r="K34" s="12">
        <f t="shared" si="27"/>
        <v>0</v>
      </c>
      <c r="L34" s="18">
        <f t="shared" si="28"/>
        <v>0</v>
      </c>
      <c r="M34" s="12">
        <f t="shared" si="29"/>
        <v>0</v>
      </c>
      <c r="N34" s="18">
        <f t="shared" si="30"/>
        <v>0</v>
      </c>
      <c r="O34" s="12">
        <f t="shared" si="31"/>
        <v>0</v>
      </c>
      <c r="P34" s="18">
        <f t="shared" si="32"/>
        <v>0</v>
      </c>
    </row>
    <row r="35" spans="1:16" s="3" customFormat="1" ht="15.5" x14ac:dyDescent="0.35">
      <c r="B35" s="33"/>
      <c r="C35" s="33"/>
      <c r="D35" s="33"/>
      <c r="E35" s="33"/>
      <c r="F35" s="33"/>
      <c r="G35" s="33"/>
      <c r="H35" s="33"/>
      <c r="I35" s="33"/>
      <c r="J35" s="33"/>
      <c r="K35" s="33"/>
      <c r="L35" s="33"/>
      <c r="M35" s="33"/>
      <c r="N35" s="33"/>
      <c r="O35" s="33"/>
      <c r="P35" s="33"/>
    </row>
    <row r="36" spans="1:16" s="4" customFormat="1" ht="131.25" customHeight="1" x14ac:dyDescent="0.35">
      <c r="A36" s="27" t="s">
        <v>52</v>
      </c>
      <c r="B36" s="27"/>
      <c r="C36" s="27"/>
      <c r="D36" s="13"/>
      <c r="G36" s="25" t="s">
        <v>56</v>
      </c>
      <c r="H36" s="25"/>
      <c r="I36" s="25"/>
      <c r="J36" s="25"/>
      <c r="K36" s="25"/>
      <c r="L36" s="26"/>
      <c r="M36" s="26"/>
      <c r="N36" s="26"/>
      <c r="O36" s="26"/>
      <c r="P36" s="26"/>
    </row>
  </sheetData>
  <mergeCells count="30">
    <mergeCell ref="B25:E25"/>
    <mergeCell ref="B23:E23"/>
    <mergeCell ref="B27:E27"/>
    <mergeCell ref="G1:P1"/>
    <mergeCell ref="G2:P2"/>
    <mergeCell ref="K5:L5"/>
    <mergeCell ref="M5:N5"/>
    <mergeCell ref="O5:P5"/>
    <mergeCell ref="A4:P4"/>
    <mergeCell ref="I5:I6"/>
    <mergeCell ref="J5:J6"/>
    <mergeCell ref="A1:B1"/>
    <mergeCell ref="A2:B2"/>
    <mergeCell ref="A3:P3"/>
    <mergeCell ref="G36:P36"/>
    <mergeCell ref="A36:C36"/>
    <mergeCell ref="F5:F6"/>
    <mergeCell ref="G5:G6"/>
    <mergeCell ref="A5:A6"/>
    <mergeCell ref="B5:B6"/>
    <mergeCell ref="C5:C6"/>
    <mergeCell ref="D5:D6"/>
    <mergeCell ref="E5:E6"/>
    <mergeCell ref="B8:P8"/>
    <mergeCell ref="B35:P35"/>
    <mergeCell ref="H5:H6"/>
    <mergeCell ref="B29:E29"/>
    <mergeCell ref="B31:E31"/>
    <mergeCell ref="B9:E9"/>
    <mergeCell ref="B13:E13"/>
  </mergeCells>
  <phoneticPr fontId="23" type="noConversion"/>
  <conditionalFormatting sqref="C24">
    <cfRule type="dataBar" priority="4">
      <dataBar>
        <cfvo type="min"/>
        <cfvo type="max"/>
        <color rgb="FF638EC6"/>
      </dataBar>
      <extLst>
        <ext xmlns:x14="http://schemas.microsoft.com/office/spreadsheetml/2009/9/main" uri="{B025F937-C7B1-47D3-B67F-A62EFF666E3E}">
          <x14:id>{39E79D27-84AA-4331-AD50-E027FC466C67}</x14:id>
        </ext>
      </extLst>
    </cfRule>
  </conditionalFormatting>
  <conditionalFormatting sqref="C26">
    <cfRule type="dataBar" priority="5">
      <dataBar>
        <cfvo type="min"/>
        <cfvo type="max"/>
        <color rgb="FF638EC6"/>
      </dataBar>
      <extLst>
        <ext xmlns:x14="http://schemas.microsoft.com/office/spreadsheetml/2009/9/main" uri="{B025F937-C7B1-47D3-B67F-A62EFF666E3E}">
          <x14:id>{2D7B080D-138B-45FE-9E43-E2AE7302BE37}</x14:id>
        </ext>
      </extLst>
    </cfRule>
  </conditionalFormatting>
  <conditionalFormatting sqref="C28">
    <cfRule type="dataBar" priority="17">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0">
    <cfRule type="dataBar" priority="16">
      <dataBar>
        <cfvo type="min"/>
        <cfvo type="max"/>
        <color rgb="FF638EC6"/>
      </dataBar>
      <extLst>
        <ext xmlns:x14="http://schemas.microsoft.com/office/spreadsheetml/2009/9/main" uri="{B025F937-C7B1-47D3-B67F-A62EFF666E3E}">
          <x14:id>{7B7386AC-401E-4F5B-B788-18DAF607FC08}</x14:id>
        </ext>
      </extLst>
    </cfRule>
  </conditionalFormatting>
  <conditionalFormatting sqref="C32:C34">
    <cfRule type="dataBar" priority="19">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30 D26 D24 D28 D32:D34"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30 C26 C24 C28 C32:C34"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4 G28 G26 G30 G32:G34" xr:uid="{242DABCC-F988-4BD7-A39A-B18DD09F67B5}">
      <formula1>"Thấp,Trung bình,Cao,Khó và phức tạp"</formula1>
    </dataValidation>
    <dataValidation allowBlank="1" showInputMessage="1" sqref="H30:K30 E24 H26:K26 H32:K34 H28:K28 H24:K24 E28 E30 E32:E34 H14:K22 H10:K12" xr:uid="{10642937-B860-4152-A8CB-DF82470CE8F3}"/>
    <dataValidation type="list" allowBlank="1" showInputMessage="1" sqref="E26" xr:uid="{2AC14A8D-5A90-4040-B1D4-57BF14D5AD87}">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39E79D27-84AA-4331-AD50-E027FC466C67}">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2D7B080D-138B-45FE-9E43-E2AE7302BE37}">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7B7386AC-401E-4F5B-B788-18DAF607FC08}">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C32:C34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2026-09-21T02:29:32Z</dcterms:modified>
</cp:coreProperties>
</file>