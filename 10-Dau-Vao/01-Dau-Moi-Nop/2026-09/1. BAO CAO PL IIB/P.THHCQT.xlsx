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ÔNG VIỆC\BÁO CÁO\BÁO CÁO THÁNG\THÁNG 9.2026\1. BAO CAO PL 2B\"/>
    </mc:Choice>
  </mc:AlternateContent>
  <xr:revisionPtr revIDLastSave="0" documentId="13_ncr:1_{7BB9292F-E1BB-42E3-B7F6-95B9ED3034C6}" xr6:coauthVersionLast="47" xr6:coauthVersionMax="47" xr10:uidLastSave="{00000000-0000-0000-0000-000000000000}"/>
  <bookViews>
    <workbookView xWindow="-110" yWindow="-110" windowWidth="19420" windowHeight="11500" xr2:uid="{00000000-000D-0000-FFFF-FFFF00000000}"/>
  </bookViews>
  <sheets>
    <sheet name="Mẫu BC thá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5" i="1" l="1"/>
  <c r="O25" i="1"/>
  <c r="P25" i="1" s="1"/>
  <c r="N26" i="1"/>
  <c r="O26" i="1"/>
  <c r="P26" i="1"/>
  <c r="N27" i="1"/>
  <c r="O27" i="1"/>
  <c r="P27" i="1" s="1"/>
  <c r="N28" i="1"/>
  <c r="O28" i="1"/>
  <c r="P28" i="1" s="1"/>
  <c r="K35" i="1" l="1"/>
  <c r="O35" i="1" s="1"/>
  <c r="K34" i="1"/>
  <c r="M34" i="1" s="1"/>
  <c r="K33" i="1"/>
  <c r="M33" i="1" s="1"/>
  <c r="M31" i="1"/>
  <c r="M30" i="1"/>
  <c r="O24" i="1"/>
  <c r="P24" i="1" s="1"/>
  <c r="O21" i="1"/>
  <c r="M18" i="1"/>
  <c r="H35" i="1"/>
  <c r="I35" i="1" s="1"/>
  <c r="J35" i="1" s="1"/>
  <c r="H34" i="1"/>
  <c r="I34" i="1" s="1"/>
  <c r="J34" i="1" s="1"/>
  <c r="H33" i="1"/>
  <c r="I33" i="1" s="1"/>
  <c r="J33" i="1" s="1"/>
  <c r="F17" i="1"/>
  <c r="F19" i="1"/>
  <c r="F22" i="1"/>
  <c r="F29" i="1"/>
  <c r="F32" i="1"/>
  <c r="F14" i="1"/>
  <c r="F10" i="1"/>
  <c r="K17" i="1" l="1"/>
  <c r="N34" i="1"/>
  <c r="P35" i="1"/>
  <c r="J29" i="1"/>
  <c r="K10" i="1"/>
  <c r="N31" i="1"/>
  <c r="J32" i="1"/>
  <c r="M35" i="1"/>
  <c r="N35" i="1" s="1"/>
  <c r="P21" i="1"/>
  <c r="J14" i="1"/>
  <c r="N24" i="1"/>
  <c r="K14" i="1"/>
  <c r="M20" i="1"/>
  <c r="M21" i="1"/>
  <c r="N21" i="1" s="1"/>
  <c r="L35" i="1"/>
  <c r="L14" i="1"/>
  <c r="N33" i="1"/>
  <c r="O34" i="1"/>
  <c r="P34" i="1" s="1"/>
  <c r="K32" i="1"/>
  <c r="O33" i="1"/>
  <c r="L34" i="1"/>
  <c r="L33" i="1"/>
  <c r="N30" i="1"/>
  <c r="M29" i="1"/>
  <c r="O31" i="1"/>
  <c r="P31" i="1" s="1"/>
  <c r="O30" i="1"/>
  <c r="K29" i="1"/>
  <c r="J22" i="1"/>
  <c r="N23" i="1"/>
  <c r="O23" i="1"/>
  <c r="K22" i="1"/>
  <c r="J19" i="1"/>
  <c r="K19" i="1"/>
  <c r="O20" i="1"/>
  <c r="J17" i="1"/>
  <c r="N18" i="1"/>
  <c r="O18" i="1"/>
  <c r="O15" i="1"/>
  <c r="O10" i="1"/>
  <c r="M32" i="1" l="1"/>
  <c r="N29" i="1"/>
  <c r="L17" i="1"/>
  <c r="M19" i="1"/>
  <c r="M10" i="1"/>
  <c r="N10" i="1"/>
  <c r="N17" i="1"/>
  <c r="J10" i="1"/>
  <c r="N32" i="1"/>
  <c r="N20" i="1"/>
  <c r="N19" i="1" s="1"/>
  <c r="L32" i="1"/>
  <c r="L29" i="1"/>
  <c r="M17" i="1"/>
  <c r="N15" i="1"/>
  <c r="N14" i="1" s="1"/>
  <c r="M14" i="1"/>
  <c r="P33" i="1"/>
  <c r="P32" i="1" s="1"/>
  <c r="O32" i="1"/>
  <c r="P30" i="1"/>
  <c r="P29" i="1" s="1"/>
  <c r="O29" i="1"/>
  <c r="M22" i="1"/>
  <c r="N22" i="1"/>
  <c r="L22" i="1"/>
  <c r="P23" i="1"/>
  <c r="P22" i="1" s="1"/>
  <c r="O22" i="1"/>
  <c r="L19" i="1"/>
  <c r="P20" i="1"/>
  <c r="P19" i="1" s="1"/>
  <c r="O19" i="1"/>
  <c r="P18" i="1"/>
  <c r="P17" i="1" s="1"/>
  <c r="O17" i="1"/>
  <c r="P15" i="1"/>
  <c r="P14" i="1" s="1"/>
  <c r="O14" i="1"/>
  <c r="L10" i="1"/>
  <c r="P10" i="1"/>
</calcChain>
</file>

<file path=xl/sharedStrings.xml><?xml version="1.0" encoding="utf-8"?>
<sst xmlns="http://schemas.openxmlformats.org/spreadsheetml/2006/main" count="85" uniqueCount="69">
  <si>
    <t>TT</t>
  </si>
  <si>
    <t>NỘI DUNG CÔNG VIỆC</t>
  </si>
  <si>
    <t>Người trực tiếp chỉ đạo</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</si>
  <si>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</si>
  <si>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</si>
  <si>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</si>
  <si>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</si>
  <si>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</si>
  <si>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</si>
  <si>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</si>
  <si>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</si>
  <si>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</si>
  <si>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</si>
  <si>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</si>
  <si>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</si>
  <si>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</si>
  <si>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</si>
  <si>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</si>
  <si>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</si>
  <si>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</si>
  <si>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</si>
  <si>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</si>
  <si>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</si>
  <si>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TRƯỜNG CAO ĐẲNG KON TUM</t>
  </si>
  <si>
    <t>Đơn vị chủ trì</t>
  </si>
  <si>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</si>
  <si>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Hiệu trưởng</t>
  </si>
  <si>
    <t>1.3</t>
  </si>
  <si>
    <t>Phòng  TCCB&amp;CTHSSV</t>
  </si>
  <si>
    <t>Bí thư Đảng uỷ</t>
  </si>
  <si>
    <t>Phó Bí thư Đảng uỷ</t>
  </si>
  <si>
    <t>Các nhiệm vụ đột xuất, phát sinh khác ngoài kế hoạch (nếu có)</t>
  </si>
  <si>
    <t>Quyết định</t>
  </si>
  <si>
    <t>Khó và phức tạp</t>
  </si>
  <si>
    <t>Điểm chấm công việc</t>
  </si>
  <si>
    <t>Hệ số quy đổi</t>
  </si>
  <si>
    <t>KPI (số lượng)</t>
  </si>
  <si>
    <t>KPI (chất lượng)</t>
  </si>
  <si>
    <t>KPI (tiến độ)</t>
  </si>
  <si>
    <t>Thực tế hoàn thành</t>
  </si>
  <si>
    <t>Quy đổi</t>
  </si>
  <si>
    <t>Số lượng quy đổi</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</si>
  <si>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</si>
  <si>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</si>
  <si>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</si>
  <si>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</si>
  <si>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</si>
  <si>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</si>
  <si>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</si>
  <si>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</si>
  <si>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</si>
  <si>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</si>
  <si>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</si>
  <si>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</si>
  <si>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Phụ lục IIb
MẪU BÁO CÁO KẾT QUẢ THỰC  HIỆN CÔNG TÁC THÁNG CỦA TRƯỜNG CAO ĐẲNG KON TUM</t>
  </si>
  <si>
    <t>BÁO CÁO
kết quả thực hiện công tác tháng 9 năm 2026</t>
  </si>
  <si>
    <t>PHÒNG TH-HC&amp;QT</t>
  </si>
  <si>
    <t>Đề án thành lập Trung tâm Đăng kiểm xe cơ giới trực thuộc Trường Cao đẳng Kon Tum</t>
  </si>
  <si>
    <t>Báo cáo, thuyết minh để hoàn thiện phương án phân bổ vốn ngân sách trung ương giai đoạn 2026-2030, năm 2026 và kế hoạch năm 2027 thực hiện Chương trình MTQG hiện đại hóa, nâng cao chất lượng GDĐT giai đoạn 2026 - 2035, giai đoạn I: từ năm 2026 đến năm 2030</t>
  </si>
  <si>
    <t>Báo cáo đề xuất mục tiêu, nhiệm vụ và nhu cầu kinh phí thực hiện Chương trình mục tiêu quốc gia xây dựng nông thôn mới, giảm nghèo bền vững và phát triển kinh tế - xã hội vùng đồng bào dân tộc thiểu số và miền núi giai đoạn 2026 - 2035, giai đoạn I: Từ năm 2026 đến năm 2030 (lần 2)</t>
  </si>
  <si>
    <t>Thông báo rà soát, đánh giá các điều kiện bảo đảm chất lượng chương trình đào tạo theo quy định tại Thông tư số 55/2026/TT-BGDĐT</t>
  </si>
  <si>
    <t>Thông báo rà soát, sắp xếp máy móc, thiết bị theo tiêu chuẩn, định mức sử dụng</t>
  </si>
  <si>
    <t>Thông báo hướng dẫn kiểm tra, rà soát dự thảo văn bản trước khi ban hành bằng công cụ trí tuệ nhân tạo (KTC-Ra-Soat-897 v2)</t>
  </si>
  <si>
    <t>3.1</t>
  </si>
  <si>
    <t>Báo cáo tình hình hoạt động từ sau khi tổ chức lại (tháng 6/2023) và sắp xếp tổ chức bên trong (tháng 4/2026) đến nay</t>
  </si>
  <si>
    <t>4.1</t>
  </si>
  <si>
    <t>4.2</t>
  </si>
  <si>
    <t>Quyết định bãi bỏ Quyết định số 1340/QĐ-CĐKT ngày 09/10/2023 của Hiệu trưởng nhà trường ban hành Nội quy bảo vệ bí mật nhà nước</t>
  </si>
  <si>
    <r>
      <rPr>
        <i/>
        <sz val="14"/>
        <rFont val="Times New Roman"/>
        <family val="1"/>
        <charset val="163"/>
      </rPr>
      <t>Quảng Ngãi, ngày 15 tháng 9 năm 2026.</t>
    </r>
    <r>
      <rPr>
        <sz val="14"/>
        <rFont val="Times New Roman"/>
        <family val="1"/>
      </rPr>
      <t xml:space="preserve">
</t>
    </r>
    <r>
      <rPr>
        <b/>
        <sz val="14"/>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</si>
</sst>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3"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2">
    <xf numFmtId="0" fontId="0" fillId="0" borderId="0"/>
    <xf numFmtId="43" fontId="20" fillId="0" borderId="0" applyFont="0" applyFill="0" applyBorder="0" applyAlignment="0" applyProtection="0"/>
  </cellStyleXfs>
  <cellXfs count="58">
    <xf numFmtId="0" fontId="0" fillId="0" borderId="0" xfId="0"/>
    <xf numFmtId="0" fontId="5" fillId="0" borderId="0" xfId="0" applyFont="1"/>
    <xf numFmtId="0" fontId="4" fillId="0" borderId="0" xfId="0" applyFont="1" applyAlignment="1">
      <alignment vertical="center"/>
    </xf>
    <xf numFmtId="0" fontId="7" fillId="0" borderId="0" xfId="0" applyFont="1"/>
    <xf numFmtId="0" fontId="15" fillId="0" borderId="0" xfId="0" applyFont="1"/>
    <xf numFmtId="0" fontId="6" fillId="0" borderId="0" xfId="0" applyFont="1" applyAlignment="1">
      <alignment wrapText="1"/>
    </xf>
    <xf numFmtId="0" fontId="1" fillId="0" borderId="0" xfId="0" applyFont="1" applyAlignment="1">
      <alignment vertical="center" wrapText="1"/>
    </xf>
    <xf numFmtId="0" fontId="0" fillId="3" borderId="0" xfId="0" applyFill="1"/>
    <xf numFmtId="0" fontId="0" fillId="4" borderId="0" xfId="0" applyFill="1"/>
    <xf numFmtId="0" fontId="0" fillId="2" borderId="0" xfId="0" applyFill="1"/>
    <xf numFmtId="0" fontId="0" fillId="5" borderId="0" xfId="0" applyFill="1"/>
    <xf numFmtId="0" fontId="12" fillId="0" borderId="2" xfId="0" applyFont="1" applyBorder="1" applyAlignment="1">
      <alignment horizontal="center" vertical="center" wrapText="1"/>
    </xf>
    <xf numFmtId="43" fontId="12" fillId="0" borderId="2" xfId="1" applyFont="1" applyFill="1" applyBorder="1" applyAlignment="1">
      <alignment horizontal="center" vertical="center" wrapText="1"/>
    </xf>
    <xf numFmtId="0" fontId="12" fillId="0" borderId="0" xfId="0" applyFont="1" applyAlignment="1">
      <alignment horizontal="left" vertical="top" wrapText="1"/>
    </xf>
    <xf numFmtId="2" fontId="8" fillId="0" borderId="8"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xf>
    <xf numFmtId="164" fontId="12" fillId="0" borderId="2" xfId="1" applyNumberFormat="1" applyFont="1" applyFill="1" applyBorder="1" applyAlignment="1">
      <alignment horizontal="center" vertical="center" wrapText="1"/>
    </xf>
    <xf numFmtId="0" fontId="12" fillId="0" borderId="2" xfId="0" applyFont="1" applyBorder="1" applyAlignment="1">
      <alignment vertical="center" wrapText="1"/>
    </xf>
    <xf numFmtId="43" fontId="12" fillId="0" borderId="2" xfId="1" quotePrefix="1" applyFont="1" applyFill="1" applyBorder="1" applyAlignment="1">
      <alignment horizontal="center" vertical="center" wrapText="1"/>
    </xf>
    <xf numFmtId="0" fontId="9" fillId="0" borderId="2" xfId="0" applyFont="1" applyBorder="1" applyAlignment="1">
      <alignment vertical="center" wrapText="1"/>
    </xf>
    <xf numFmtId="0" fontId="14" fillId="0" borderId="2" xfId="0" quotePrefix="1"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applyAlignment="1">
      <alignment horizontal="center" vertical="center" wrapText="1"/>
    </xf>
    <xf numFmtId="0" fontId="9" fillId="0" borderId="2" xfId="0" applyFont="1" applyBorder="1" applyAlignment="1">
      <alignment vertical="top" wrapText="1"/>
    </xf>
    <xf numFmtId="0" fontId="9" fillId="0" borderId="0" xfId="0" applyFont="1" applyAlignment="1">
      <alignment horizontal="justify" vertical="center"/>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2" xfId="0" applyFont="1" applyBorder="1" applyAlignment="1">
      <alignment horizontal="left" vertical="center" wrapText="1"/>
    </xf>
    <xf numFmtId="0" fontId="8" fillId="0" borderId="2" xfId="0" applyFont="1" applyBorder="1" applyAlignment="1">
      <alignment horizontal="left" vertical="center"/>
    </xf>
    <xf numFmtId="0" fontId="8" fillId="0" borderId="14" xfId="0" applyFont="1" applyBorder="1" applyAlignment="1">
      <alignment horizontal="left" vertical="center"/>
    </xf>
    <xf numFmtId="0" fontId="6" fillId="0" borderId="0" xfId="0" applyFont="1" applyAlignment="1">
      <alignment horizontal="center" wrapText="1"/>
    </xf>
    <xf numFmtId="0" fontId="1" fillId="0" borderId="0" xfId="0" applyFont="1" applyAlignment="1">
      <alignment horizontal="center" vertical="center" wrapText="1"/>
    </xf>
    <xf numFmtId="2" fontId="8" fillId="0" borderId="8" xfId="0" applyNumberFormat="1" applyFont="1" applyBorder="1" applyAlignment="1">
      <alignment horizontal="center" vertical="center" wrapText="1"/>
    </xf>
    <xf numFmtId="2" fontId="22" fillId="0" borderId="9" xfId="0" applyNumberFormat="1" applyFont="1" applyBorder="1" applyAlignment="1">
      <alignment wrapText="1"/>
    </xf>
    <xf numFmtId="0" fontId="3" fillId="0" borderId="1" xfId="0" applyFont="1" applyBorder="1" applyAlignment="1">
      <alignment horizontal="left" vertical="center"/>
    </xf>
    <xf numFmtId="0" fontId="8" fillId="0" borderId="8" xfId="0" applyFont="1" applyBorder="1" applyAlignment="1">
      <alignment horizontal="center" vertical="center" wrapText="1"/>
    </xf>
    <xf numFmtId="0" fontId="22" fillId="0" borderId="10" xfId="0" applyFont="1" applyBorder="1"/>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19" fillId="0" borderId="0" xfId="0" applyFont="1" applyAlignment="1">
      <alignment horizontal="center" vertical="top" wrapText="1"/>
    </xf>
    <xf numFmtId="0" fontId="11" fillId="0" borderId="0" xfId="0" applyFont="1" applyAlignment="1">
      <alignment horizontal="center" vertical="top" wrapText="1"/>
    </xf>
    <xf numFmtId="0" fontId="12" fillId="0" borderId="0" xfId="0" applyFont="1" applyAlignment="1">
      <alignment horizontal="left" vertical="top" wrapText="1"/>
    </xf>
    <xf numFmtId="0" fontId="1" fillId="0" borderId="0" xfId="0" applyFont="1" applyAlignment="1">
      <alignment horizontal="center" vertic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8" fillId="0" borderId="2" xfId="0" applyFont="1" applyBorder="1" applyAlignment="1">
      <alignment vertical="center" wrapText="1"/>
    </xf>
    <xf numFmtId="0" fontId="9" fillId="0" borderId="3" xfId="0" applyFont="1" applyBorder="1" applyAlignment="1">
      <alignment horizontal="left" vertical="center" wrapText="1"/>
    </xf>
    <xf numFmtId="0" fontId="16" fillId="0" borderId="0" xfId="0" applyFont="1" applyAlignment="1">
      <alignment horizontal="center"/>
    </xf>
    <xf numFmtId="0" fontId="17" fillId="0" borderId="0" xfId="0" applyFont="1" applyAlignment="1">
      <alignment horizontal="center"/>
    </xf>
    <xf numFmtId="0" fontId="6" fillId="0" borderId="0" xfId="0" applyFont="1" applyAlignment="1">
      <alignment horizontal="center" vertical="center" wrapText="1"/>
    </xf>
    <xf numFmtId="0" fontId="1" fillId="0" borderId="13" xfId="0" applyFont="1" applyBorder="1" applyAlignment="1">
      <alignment horizontal="center" vertical="center" wrapText="1"/>
    </xf>
    <xf numFmtId="0" fontId="2" fillId="0" borderId="0" xfId="0" applyFont="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611817</xdr:colOff>
      <xdr:row>2</xdr:row>
      <xdr:rowOff>242848</xdr:rowOff>
    </xdr:from>
    <xdr:to>
      <xdr:col>1</xdr:col>
      <xdr:colOff>1409676</xdr:colOff>
      <xdr:row>2</xdr:row>
      <xdr:rowOff>242848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979210" y="1154527"/>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3</xdr:row>
      <xdr:rowOff>49249</xdr:rowOff>
    </xdr:from>
    <xdr:to>
      <xdr:col>12</xdr:col>
      <xdr:colOff>381001</xdr:colOff>
      <xdr:row>3</xdr:row>
      <xdr:rowOff>49249</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3</xdr:row>
      <xdr:rowOff>533400</xdr:rowOff>
    </xdr:from>
    <xdr:to>
      <xdr:col>6</xdr:col>
      <xdr:colOff>176892</xdr:colOff>
      <xdr:row>3</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816428</xdr:colOff>
      <xdr:row>0</xdr:row>
      <xdr:rowOff>504815</xdr:rowOff>
    </xdr:from>
    <xdr:to>
      <xdr:col>6</xdr:col>
      <xdr:colOff>403598</xdr:colOff>
      <xdr:row>0</xdr:row>
      <xdr:rowOff>504815</xdr:rowOff>
    </xdr:to>
    <xdr:cxnSp macro="">
      <xdr:nvCxnSpPr>
        <xdr:cNvPr id="6" name="Straight Connector 5">
          <a:extLst>
            <a:ext uri="{FF2B5EF4-FFF2-40B4-BE49-F238E27FC236}">
              <a16:creationId xmlns:a16="http://schemas.microsoft.com/office/drawing/2014/main" id="{09CE587A-C9FA-4F93-9F09-EB05934BA463}"/>
            </a:ext>
          </a:extLst>
        </xdr:cNvPr>
        <xdr:cNvCxnSpPr/>
      </xdr:nvCxnSpPr>
      <xdr:spPr>
        <a:xfrm>
          <a:off x="6109607" y="504815"/>
          <a:ext cx="122002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
  <sheetViews>
    <sheetView tabSelected="1" view="pageBreakPreview" zoomScale="65" zoomScaleNormal="70" zoomScaleSheetLayoutView="80" workbookViewId="0">
      <selection activeCell="C11" sqref="C11"/>
    </sheetView>
  </sheetViews>
  <sheetFormatPr defaultRowHeight="32.5" customHeight="1" x14ac:dyDescent="0.35"/>
  <cols>
    <col min="1" max="1" width="4.81640625" customWidth="1"/>
    <col min="2" max="2" width="31.1796875" customWidth="1"/>
    <col min="3" max="3" width="16.453125" customWidth="1"/>
    <col min="4" max="4" width="17.1796875" customWidth="1"/>
    <col min="5" max="5" width="28.453125" customWidth="1"/>
    <col min="6" max="6" width="7" style="9" customWidth="1"/>
    <col min="7" max="7" width="10.1796875" customWidth="1"/>
    <col min="8" max="8" width="8.453125" style="8" customWidth="1"/>
    <col min="9" max="9" width="6.81640625" style="7" customWidth="1"/>
    <col min="10" max="10" width="7.26953125" customWidth="1"/>
    <col min="11" max="11" width="11.453125" style="10" customWidth="1"/>
    <col min="12" max="12" width="6.54296875" customWidth="1"/>
    <col min="13" max="13" width="10.453125" style="10" customWidth="1"/>
    <col min="14" max="14" width="6.453125" customWidth="1"/>
    <col min="15" max="15" width="10.453125" style="10" customWidth="1"/>
    <col min="16" max="16" width="6.54296875" customWidth="1"/>
  </cols>
  <sheetData>
    <row r="1" spans="1:17" ht="42.75" customHeight="1" x14ac:dyDescent="0.35">
      <c r="A1" s="35" t="s">
        <v>54</v>
      </c>
      <c r="B1" s="46"/>
      <c r="C1" s="46"/>
      <c r="D1" s="46"/>
      <c r="E1" s="46"/>
      <c r="F1" s="46"/>
      <c r="G1" s="46"/>
      <c r="H1" s="46"/>
      <c r="I1" s="46"/>
      <c r="J1" s="46"/>
      <c r="K1" s="46"/>
      <c r="L1" s="46"/>
      <c r="M1" s="46"/>
      <c r="N1" s="46"/>
      <c r="O1" s="46"/>
      <c r="P1" s="46"/>
    </row>
    <row r="2" spans="1:17" s="1" customFormat="1" ht="28.5" customHeight="1" x14ac:dyDescent="0.4">
      <c r="A2" s="53" t="s">
        <v>23</v>
      </c>
      <c r="B2" s="54"/>
      <c r="E2" s="5"/>
      <c r="F2" s="5"/>
      <c r="G2" s="34" t="s">
        <v>20</v>
      </c>
      <c r="H2" s="34"/>
      <c r="I2" s="34"/>
      <c r="J2" s="34"/>
      <c r="K2" s="34"/>
      <c r="L2" s="34"/>
      <c r="M2" s="34"/>
      <c r="N2" s="34"/>
      <c r="O2" s="34"/>
      <c r="P2" s="34"/>
    </row>
    <row r="3" spans="1:17" s="1" customFormat="1" ht="18.75" customHeight="1" x14ac:dyDescent="0.35">
      <c r="A3" s="55" t="s">
        <v>56</v>
      </c>
      <c r="B3" s="55"/>
      <c r="C3" s="2"/>
      <c r="E3" s="6"/>
      <c r="F3" s="6"/>
      <c r="G3" s="35" t="s">
        <v>21</v>
      </c>
      <c r="H3" s="35"/>
      <c r="I3" s="35"/>
      <c r="J3" s="35"/>
      <c r="K3" s="35"/>
      <c r="L3" s="35"/>
      <c r="M3" s="35"/>
      <c r="N3" s="35"/>
      <c r="O3" s="35"/>
      <c r="P3" s="35"/>
    </row>
    <row r="4" spans="1:17" ht="44.25" customHeight="1" x14ac:dyDescent="0.35">
      <c r="A4" s="56" t="s">
        <v>55</v>
      </c>
      <c r="B4" s="57"/>
      <c r="C4" s="57"/>
      <c r="D4" s="57"/>
      <c r="E4" s="57"/>
      <c r="F4" s="57"/>
      <c r="G4" s="57"/>
      <c r="H4" s="57"/>
      <c r="I4" s="57"/>
      <c r="J4" s="57"/>
      <c r="K4" s="57"/>
      <c r="L4" s="57"/>
      <c r="M4" s="57"/>
      <c r="N4" s="57"/>
      <c r="O4" s="57"/>
      <c r="P4" s="57"/>
    </row>
    <row r="5" spans="1:17" ht="9" customHeight="1" x14ac:dyDescent="0.35">
      <c r="A5" s="38"/>
      <c r="B5" s="38"/>
      <c r="C5" s="38"/>
      <c r="D5" s="38"/>
      <c r="E5" s="38"/>
      <c r="F5" s="38"/>
      <c r="G5" s="38"/>
      <c r="H5" s="38"/>
      <c r="I5" s="38"/>
      <c r="J5" s="38"/>
      <c r="K5" s="38"/>
      <c r="L5" s="38"/>
      <c r="M5" s="38"/>
      <c r="N5" s="38"/>
      <c r="O5" s="38"/>
      <c r="P5" s="38"/>
    </row>
    <row r="6" spans="1:17" ht="31.5" customHeight="1" x14ac:dyDescent="0.35">
      <c r="A6" s="47" t="s">
        <v>0</v>
      </c>
      <c r="B6" s="47" t="s">
        <v>1</v>
      </c>
      <c r="C6" s="47" t="s">
        <v>2</v>
      </c>
      <c r="D6" s="47" t="s">
        <v>24</v>
      </c>
      <c r="E6" s="47" t="s">
        <v>43</v>
      </c>
      <c r="F6" s="47" t="s">
        <v>12</v>
      </c>
      <c r="G6" s="49" t="s">
        <v>48</v>
      </c>
      <c r="H6" s="39" t="s">
        <v>34</v>
      </c>
      <c r="I6" s="39" t="s">
        <v>35</v>
      </c>
      <c r="J6" s="41" t="s">
        <v>41</v>
      </c>
      <c r="K6" s="36" t="s">
        <v>36</v>
      </c>
      <c r="L6" s="37"/>
      <c r="M6" s="36" t="s">
        <v>37</v>
      </c>
      <c r="N6" s="37"/>
      <c r="O6" s="36" t="s">
        <v>38</v>
      </c>
      <c r="P6" s="37"/>
      <c r="Q6" s="1"/>
    </row>
    <row r="7" spans="1:17" ht="65.25" customHeight="1" x14ac:dyDescent="0.35">
      <c r="A7" s="48"/>
      <c r="B7" s="48"/>
      <c r="C7" s="48"/>
      <c r="D7" s="48"/>
      <c r="E7" s="48"/>
      <c r="F7" s="48"/>
      <c r="G7" s="50"/>
      <c r="H7" s="40"/>
      <c r="I7" s="40"/>
      <c r="J7" s="42"/>
      <c r="K7" s="14" t="s">
        <v>39</v>
      </c>
      <c r="L7" s="14" t="s">
        <v>40</v>
      </c>
      <c r="M7" s="14" t="s">
        <v>39</v>
      </c>
      <c r="N7" s="14" t="s">
        <v>40</v>
      </c>
      <c r="O7" s="14" t="s">
        <v>39</v>
      </c>
      <c r="P7" s="14" t="s">
        <v>40</v>
      </c>
      <c r="Q7" s="1"/>
    </row>
    <row r="8" spans="1:17" ht="102" customHeight="1" x14ac:dyDescent="0.35">
      <c r="A8" s="22" t="s">
        <v>13</v>
      </c>
      <c r="B8" s="22" t="s">
        <v>14</v>
      </c>
      <c r="C8" s="22" t="s">
        <v>15</v>
      </c>
      <c r="D8" s="22" t="s">
        <v>16</v>
      </c>
      <c r="E8" s="22" t="s">
        <v>17</v>
      </c>
      <c r="F8" s="22" t="s">
        <v>18</v>
      </c>
      <c r="G8" s="22" t="s">
        <v>19</v>
      </c>
      <c r="H8" s="22" t="s">
        <v>44</v>
      </c>
      <c r="I8" s="22" t="s">
        <v>53</v>
      </c>
      <c r="J8" s="22" t="s">
        <v>52</v>
      </c>
      <c r="K8" s="22" t="s">
        <v>46</v>
      </c>
      <c r="L8" s="22" t="s">
        <v>51</v>
      </c>
      <c r="M8" s="22" t="s">
        <v>45</v>
      </c>
      <c r="N8" s="22" t="s">
        <v>49</v>
      </c>
      <c r="O8" s="22" t="s">
        <v>47</v>
      </c>
      <c r="P8" s="22" t="s">
        <v>50</v>
      </c>
    </row>
    <row r="9" spans="1:17" ht="31.5" customHeight="1" x14ac:dyDescent="0.35">
      <c r="A9" s="15" t="s">
        <v>3</v>
      </c>
      <c r="B9" s="51" t="s">
        <v>42</v>
      </c>
      <c r="C9" s="51"/>
      <c r="D9" s="51"/>
      <c r="E9" s="51"/>
      <c r="F9" s="51"/>
      <c r="G9" s="51"/>
      <c r="H9" s="51"/>
      <c r="I9" s="51"/>
      <c r="J9" s="51"/>
      <c r="K9" s="51"/>
      <c r="L9" s="51"/>
      <c r="M9" s="51"/>
      <c r="N9" s="51"/>
      <c r="O9" s="51"/>
      <c r="P9" s="51"/>
    </row>
    <row r="10" spans="1:17" ht="36" customHeight="1" x14ac:dyDescent="0.35">
      <c r="A10" s="16">
        <v>1</v>
      </c>
      <c r="B10" s="31" t="s">
        <v>4</v>
      </c>
      <c r="C10" s="31"/>
      <c r="D10" s="31"/>
      <c r="E10" s="31"/>
      <c r="F10" s="16">
        <f>SUM(F11:F13)</f>
        <v>0</v>
      </c>
      <c r="G10" s="17"/>
      <c r="H10" s="17"/>
      <c r="I10" s="17"/>
      <c r="J10" s="16">
        <f t="shared" ref="J10:P10" si="0">SUM(J11:J13)</f>
        <v>0</v>
      </c>
      <c r="K10" s="16">
        <f t="shared" si="0"/>
        <v>0</v>
      </c>
      <c r="L10" s="16">
        <f t="shared" si="0"/>
        <v>0</v>
      </c>
      <c r="M10" s="16">
        <f t="shared" si="0"/>
        <v>0</v>
      </c>
      <c r="N10" s="16">
        <f t="shared" si="0"/>
        <v>0</v>
      </c>
      <c r="O10" s="16">
        <f t="shared" si="0"/>
        <v>0</v>
      </c>
      <c r="P10" s="16">
        <f t="shared" si="0"/>
        <v>0</v>
      </c>
    </row>
    <row r="11" spans="1:17" ht="139.5" x14ac:dyDescent="0.35">
      <c r="A11" s="24" t="s">
        <v>22</v>
      </c>
      <c r="B11" s="25" t="s">
        <v>58</v>
      </c>
      <c r="C11" s="11"/>
      <c r="D11" s="23"/>
      <c r="E11" s="23"/>
      <c r="F11" s="11"/>
      <c r="G11" s="11"/>
      <c r="H11" s="11"/>
      <c r="I11" s="11"/>
      <c r="J11" s="11"/>
      <c r="K11" s="12"/>
      <c r="L11" s="18"/>
      <c r="M11" s="12"/>
      <c r="N11" s="18"/>
      <c r="O11" s="12"/>
      <c r="P11" s="18"/>
    </row>
    <row r="12" spans="1:17" ht="46.5" x14ac:dyDescent="0.35">
      <c r="A12" s="11">
        <v>1.2</v>
      </c>
      <c r="B12" s="26" t="s">
        <v>57</v>
      </c>
      <c r="C12" s="11"/>
      <c r="D12" s="11"/>
      <c r="E12" s="11"/>
      <c r="F12" s="11"/>
      <c r="G12" s="11"/>
      <c r="H12" s="11"/>
      <c r="I12" s="11"/>
      <c r="J12" s="11"/>
      <c r="K12" s="12"/>
      <c r="L12" s="18"/>
      <c r="M12" s="20"/>
      <c r="N12" s="18"/>
      <c r="O12" s="20"/>
      <c r="P12" s="18"/>
    </row>
    <row r="13" spans="1:17" ht="139.5" x14ac:dyDescent="0.35">
      <c r="A13" s="11" t="s">
        <v>27</v>
      </c>
      <c r="B13" s="21" t="s">
        <v>59</v>
      </c>
      <c r="C13" s="11"/>
      <c r="D13" s="11"/>
      <c r="E13" s="11"/>
      <c r="F13" s="11"/>
      <c r="G13" s="11"/>
      <c r="H13" s="11"/>
      <c r="I13" s="11"/>
      <c r="J13" s="11"/>
      <c r="K13" s="12"/>
      <c r="L13" s="18"/>
      <c r="M13" s="12"/>
      <c r="N13" s="18"/>
      <c r="O13" s="12"/>
      <c r="P13" s="18"/>
    </row>
    <row r="14" spans="1:17" ht="39.75" customHeight="1" x14ac:dyDescent="0.35">
      <c r="A14" s="16">
        <v>2</v>
      </c>
      <c r="B14" s="31" t="s">
        <v>6</v>
      </c>
      <c r="C14" s="31"/>
      <c r="D14" s="31"/>
      <c r="E14" s="31"/>
      <c r="F14" s="16">
        <f>SUM(F15:F16)</f>
        <v>0</v>
      </c>
      <c r="G14" s="17"/>
      <c r="H14" s="17"/>
      <c r="I14" s="17"/>
      <c r="J14" s="16">
        <f t="shared" ref="J14:P14" si="1">SUM(J15:J16)</f>
        <v>0</v>
      </c>
      <c r="K14" s="16">
        <f t="shared" si="1"/>
        <v>0</v>
      </c>
      <c r="L14" s="16">
        <f t="shared" si="1"/>
        <v>0</v>
      </c>
      <c r="M14" s="16">
        <f t="shared" si="1"/>
        <v>0</v>
      </c>
      <c r="N14" s="16">
        <f t="shared" si="1"/>
        <v>0</v>
      </c>
      <c r="O14" s="16">
        <f t="shared" si="1"/>
        <v>0</v>
      </c>
      <c r="P14" s="16">
        <f t="shared" si="1"/>
        <v>0</v>
      </c>
    </row>
    <row r="15" spans="1:17" ht="77.5" x14ac:dyDescent="0.35">
      <c r="A15" s="11">
        <v>2.1</v>
      </c>
      <c r="B15" s="19" t="s">
        <v>60</v>
      </c>
      <c r="C15" s="11"/>
      <c r="D15" s="11"/>
      <c r="E15" s="11"/>
      <c r="F15" s="11"/>
      <c r="G15" s="11"/>
      <c r="H15" s="11"/>
      <c r="I15" s="11"/>
      <c r="J15" s="11"/>
      <c r="K15" s="12"/>
      <c r="L15" s="18"/>
      <c r="M15" s="12"/>
      <c r="N15" s="18">
        <f>I15*M15</f>
        <v>0</v>
      </c>
      <c r="O15" s="12">
        <f>K15*100%</f>
        <v>0</v>
      </c>
      <c r="P15" s="18">
        <f>I15*O15</f>
        <v>0</v>
      </c>
    </row>
    <row r="16" spans="1:17" ht="46.5" x14ac:dyDescent="0.35">
      <c r="A16" s="11">
        <v>2.2000000000000002</v>
      </c>
      <c r="B16" s="19" t="s">
        <v>61</v>
      </c>
      <c r="C16" s="11"/>
      <c r="D16" s="11"/>
      <c r="E16" s="11"/>
      <c r="F16" s="11"/>
      <c r="G16" s="11"/>
      <c r="H16" s="11"/>
      <c r="I16" s="11"/>
      <c r="J16" s="11"/>
      <c r="K16" s="12"/>
      <c r="L16" s="18"/>
      <c r="M16" s="12"/>
      <c r="N16" s="18"/>
      <c r="O16" s="12"/>
      <c r="P16" s="18"/>
    </row>
    <row r="17" spans="1:16" ht="15" x14ac:dyDescent="0.35">
      <c r="A17" s="16">
        <v>3</v>
      </c>
      <c r="B17" s="32" t="s">
        <v>7</v>
      </c>
      <c r="C17" s="32"/>
      <c r="D17" s="32"/>
      <c r="E17" s="32"/>
      <c r="F17" s="16">
        <f>SUM(F18:F18)</f>
        <v>0</v>
      </c>
      <c r="G17" s="17"/>
      <c r="H17" s="17"/>
      <c r="I17" s="17"/>
      <c r="J17" s="16">
        <f t="shared" ref="J17:P17" si="2">SUM(J18:J18)</f>
        <v>0</v>
      </c>
      <c r="K17" s="16">
        <f t="shared" si="2"/>
        <v>0</v>
      </c>
      <c r="L17" s="16">
        <f t="shared" si="2"/>
        <v>0</v>
      </c>
      <c r="M17" s="16">
        <f t="shared" si="2"/>
        <v>0</v>
      </c>
      <c r="N17" s="16">
        <f t="shared" si="2"/>
        <v>0</v>
      </c>
      <c r="O17" s="16">
        <f t="shared" si="2"/>
        <v>0</v>
      </c>
      <c r="P17" s="16">
        <f t="shared" si="2"/>
        <v>0</v>
      </c>
    </row>
    <row r="18" spans="1:16" ht="84" customHeight="1" x14ac:dyDescent="0.35">
      <c r="A18" s="11" t="s">
        <v>63</v>
      </c>
      <c r="B18" s="19" t="s">
        <v>62</v>
      </c>
      <c r="C18" s="11"/>
      <c r="D18" s="11"/>
      <c r="E18" s="11"/>
      <c r="F18" s="11"/>
      <c r="G18" s="11"/>
      <c r="H18" s="11"/>
      <c r="I18" s="11"/>
      <c r="J18" s="11"/>
      <c r="K18" s="12"/>
      <c r="L18" s="18"/>
      <c r="M18" s="12">
        <f>K18*75%</f>
        <v>0</v>
      </c>
      <c r="N18" s="18">
        <f>I18*M18</f>
        <v>0</v>
      </c>
      <c r="O18" s="12">
        <f>K18*100%</f>
        <v>0</v>
      </c>
      <c r="P18" s="18">
        <f>I18*O18</f>
        <v>0</v>
      </c>
    </row>
    <row r="19" spans="1:16" ht="15" x14ac:dyDescent="0.35">
      <c r="A19" s="16">
        <v>4</v>
      </c>
      <c r="B19" s="31" t="s">
        <v>8</v>
      </c>
      <c r="C19" s="31"/>
      <c r="D19" s="31"/>
      <c r="E19" s="31"/>
      <c r="F19" s="16">
        <f>SUM(F20:F21)</f>
        <v>0</v>
      </c>
      <c r="G19" s="17"/>
      <c r="H19" s="17"/>
      <c r="I19" s="17"/>
      <c r="J19" s="16">
        <f t="shared" ref="J19:P19" si="3">SUM(J20:J21)</f>
        <v>0</v>
      </c>
      <c r="K19" s="16">
        <f t="shared" si="3"/>
        <v>0</v>
      </c>
      <c r="L19" s="16">
        <f t="shared" si="3"/>
        <v>0</v>
      </c>
      <c r="M19" s="16">
        <f t="shared" si="3"/>
        <v>0</v>
      </c>
      <c r="N19" s="16">
        <f t="shared" si="3"/>
        <v>0</v>
      </c>
      <c r="O19" s="16">
        <f t="shared" si="3"/>
        <v>0</v>
      </c>
      <c r="P19" s="16">
        <f t="shared" si="3"/>
        <v>0</v>
      </c>
    </row>
    <row r="20" spans="1:16" ht="62" x14ac:dyDescent="0.35">
      <c r="A20" s="11" t="s">
        <v>65</v>
      </c>
      <c r="B20" s="19" t="s">
        <v>64</v>
      </c>
      <c r="C20" s="11"/>
      <c r="D20" s="11"/>
      <c r="E20" s="11"/>
      <c r="F20" s="11"/>
      <c r="G20" s="11"/>
      <c r="H20" s="11"/>
      <c r="I20" s="11"/>
      <c r="J20" s="11"/>
      <c r="K20" s="12"/>
      <c r="L20" s="18"/>
      <c r="M20" s="12">
        <f>K20*75%</f>
        <v>0</v>
      </c>
      <c r="N20" s="18">
        <f>I20*M20</f>
        <v>0</v>
      </c>
      <c r="O20" s="12">
        <f>K20*100%</f>
        <v>0</v>
      </c>
      <c r="P20" s="18">
        <f>I20*O20</f>
        <v>0</v>
      </c>
    </row>
    <row r="21" spans="1:16" ht="77.5" x14ac:dyDescent="0.35">
      <c r="A21" s="11" t="s">
        <v>66</v>
      </c>
      <c r="B21" s="19" t="s">
        <v>67</v>
      </c>
      <c r="C21" s="11"/>
      <c r="D21" s="11"/>
      <c r="E21" s="11"/>
      <c r="F21" s="11"/>
      <c r="G21" s="11"/>
      <c r="H21" s="11"/>
      <c r="I21" s="11"/>
      <c r="J21" s="11"/>
      <c r="K21" s="12"/>
      <c r="L21" s="18"/>
      <c r="M21" s="12">
        <f>K21*75%</f>
        <v>0</v>
      </c>
      <c r="N21" s="18">
        <f>I21*M21</f>
        <v>0</v>
      </c>
      <c r="O21" s="12">
        <f>K21*100%</f>
        <v>0</v>
      </c>
      <c r="P21" s="18">
        <f>I21*O21</f>
        <v>0</v>
      </c>
    </row>
    <row r="22" spans="1:16" ht="15" customHeight="1" x14ac:dyDescent="0.35">
      <c r="A22" s="16">
        <v>5</v>
      </c>
      <c r="B22" s="29" t="s">
        <v>9</v>
      </c>
      <c r="C22" s="30"/>
      <c r="D22" s="30"/>
      <c r="E22" s="33"/>
      <c r="F22" s="16">
        <f>SUM(F23:F28)</f>
        <v>0</v>
      </c>
      <c r="G22" s="17"/>
      <c r="H22" s="17"/>
      <c r="I22" s="17"/>
      <c r="J22" s="16">
        <f t="shared" ref="J22:P22" si="4">SUM(J23:J28)</f>
        <v>0</v>
      </c>
      <c r="K22" s="16">
        <f t="shared" si="4"/>
        <v>0</v>
      </c>
      <c r="L22" s="16">
        <f t="shared" si="4"/>
        <v>0</v>
      </c>
      <c r="M22" s="16">
        <f t="shared" si="4"/>
        <v>0</v>
      </c>
      <c r="N22" s="16">
        <f t="shared" si="4"/>
        <v>0</v>
      </c>
      <c r="O22" s="16">
        <f t="shared" si="4"/>
        <v>0</v>
      </c>
      <c r="P22" s="16">
        <f t="shared" si="4"/>
        <v>0</v>
      </c>
    </row>
    <row r="23" spans="1:16" ht="15.5" x14ac:dyDescent="0.35">
      <c r="A23" s="11"/>
      <c r="B23" s="19"/>
      <c r="C23" s="11"/>
      <c r="D23" s="11"/>
      <c r="E23" s="11"/>
      <c r="F23" s="11"/>
      <c r="G23" s="11"/>
      <c r="H23" s="11"/>
      <c r="I23" s="11"/>
      <c r="J23" s="11"/>
      <c r="K23" s="12"/>
      <c r="L23" s="18"/>
      <c r="M23" s="12"/>
      <c r="N23" s="18">
        <f t="shared" ref="N23:N28" si="5">I23*M23</f>
        <v>0</v>
      </c>
      <c r="O23" s="12">
        <f t="shared" ref="O23:O28" si="6">K23*100%</f>
        <v>0</v>
      </c>
      <c r="P23" s="18">
        <f t="shared" ref="P23:P28" si="7">I23*O23</f>
        <v>0</v>
      </c>
    </row>
    <row r="24" spans="1:16" ht="15.5" x14ac:dyDescent="0.35">
      <c r="A24" s="11"/>
      <c r="B24" s="19"/>
      <c r="C24" s="11"/>
      <c r="D24" s="11"/>
      <c r="E24" s="11"/>
      <c r="F24" s="11"/>
      <c r="G24" s="11"/>
      <c r="H24" s="11"/>
      <c r="I24" s="11"/>
      <c r="J24" s="11"/>
      <c r="K24" s="12"/>
      <c r="L24" s="18"/>
      <c r="M24" s="12"/>
      <c r="N24" s="18">
        <f t="shared" si="5"/>
        <v>0</v>
      </c>
      <c r="O24" s="12">
        <f t="shared" si="6"/>
        <v>0</v>
      </c>
      <c r="P24" s="18">
        <f t="shared" si="7"/>
        <v>0</v>
      </c>
    </row>
    <row r="25" spans="1:16" ht="15.5" x14ac:dyDescent="0.35">
      <c r="A25" s="11"/>
      <c r="B25" s="19" t="s">
        <v>5</v>
      </c>
      <c r="C25" s="11"/>
      <c r="D25" s="11"/>
      <c r="E25" s="11"/>
      <c r="F25" s="11"/>
      <c r="G25" s="11"/>
      <c r="H25" s="11"/>
      <c r="I25" s="11"/>
      <c r="J25" s="11"/>
      <c r="K25" s="12"/>
      <c r="L25" s="18"/>
      <c r="M25" s="12"/>
      <c r="N25" s="18">
        <f t="shared" si="5"/>
        <v>0</v>
      </c>
      <c r="O25" s="12">
        <f t="shared" si="6"/>
        <v>0</v>
      </c>
      <c r="P25" s="18">
        <f t="shared" si="7"/>
        <v>0</v>
      </c>
    </row>
    <row r="26" spans="1:16" ht="15.5" x14ac:dyDescent="0.35">
      <c r="A26" s="11"/>
      <c r="B26" s="19" t="s">
        <v>5</v>
      </c>
      <c r="C26" s="11"/>
      <c r="D26" s="11"/>
      <c r="E26" s="11"/>
      <c r="F26" s="11"/>
      <c r="G26" s="11"/>
      <c r="H26" s="11"/>
      <c r="I26" s="11"/>
      <c r="J26" s="11"/>
      <c r="K26" s="12"/>
      <c r="L26" s="18"/>
      <c r="M26" s="12"/>
      <c r="N26" s="18">
        <f t="shared" si="5"/>
        <v>0</v>
      </c>
      <c r="O26" s="12">
        <f t="shared" si="6"/>
        <v>0</v>
      </c>
      <c r="P26" s="18">
        <f t="shared" si="7"/>
        <v>0</v>
      </c>
    </row>
    <row r="27" spans="1:16" ht="15.5" x14ac:dyDescent="0.35">
      <c r="A27" s="11"/>
      <c r="B27" s="19" t="s">
        <v>5</v>
      </c>
      <c r="C27" s="11"/>
      <c r="D27" s="11"/>
      <c r="E27" s="11"/>
      <c r="F27" s="11"/>
      <c r="G27" s="11"/>
      <c r="H27" s="11"/>
      <c r="I27" s="11"/>
      <c r="J27" s="11"/>
      <c r="K27" s="12"/>
      <c r="L27" s="18"/>
      <c r="M27" s="12"/>
      <c r="N27" s="18">
        <f t="shared" si="5"/>
        <v>0</v>
      </c>
      <c r="O27" s="12">
        <f t="shared" si="6"/>
        <v>0</v>
      </c>
      <c r="P27" s="18">
        <f t="shared" si="7"/>
        <v>0</v>
      </c>
    </row>
    <row r="28" spans="1:16" ht="15.5" x14ac:dyDescent="0.35">
      <c r="A28" s="11"/>
      <c r="B28" s="19" t="s">
        <v>5</v>
      </c>
      <c r="C28" s="11"/>
      <c r="D28" s="11"/>
      <c r="E28" s="11"/>
      <c r="F28" s="11"/>
      <c r="G28" s="11"/>
      <c r="H28" s="11"/>
      <c r="I28" s="11"/>
      <c r="J28" s="11"/>
      <c r="K28" s="12"/>
      <c r="L28" s="18"/>
      <c r="M28" s="12"/>
      <c r="N28" s="18">
        <f t="shared" si="5"/>
        <v>0</v>
      </c>
      <c r="O28" s="12">
        <f t="shared" si="6"/>
        <v>0</v>
      </c>
      <c r="P28" s="18">
        <f t="shared" si="7"/>
        <v>0</v>
      </c>
    </row>
    <row r="29" spans="1:16" ht="15" x14ac:dyDescent="0.35">
      <c r="A29" s="16">
        <v>6</v>
      </c>
      <c r="B29" s="27" t="s">
        <v>10</v>
      </c>
      <c r="C29" s="28"/>
      <c r="D29" s="28"/>
      <c r="E29" s="28"/>
      <c r="F29" s="16">
        <f>SUM(F30:F31)</f>
        <v>0</v>
      </c>
      <c r="G29" s="17"/>
      <c r="H29" s="17"/>
      <c r="I29" s="17"/>
      <c r="J29" s="16">
        <f t="shared" ref="J29:P29" si="8">SUM(J30:J31)</f>
        <v>0</v>
      </c>
      <c r="K29" s="16">
        <f t="shared" si="8"/>
        <v>0</v>
      </c>
      <c r="L29" s="16">
        <f t="shared" si="8"/>
        <v>0</v>
      </c>
      <c r="M29" s="16">
        <f t="shared" si="8"/>
        <v>0</v>
      </c>
      <c r="N29" s="16">
        <f t="shared" si="8"/>
        <v>0</v>
      </c>
      <c r="O29" s="16">
        <f t="shared" si="8"/>
        <v>0</v>
      </c>
      <c r="P29" s="16">
        <f t="shared" si="8"/>
        <v>0</v>
      </c>
    </row>
    <row r="30" spans="1:16" ht="15.5" x14ac:dyDescent="0.35">
      <c r="A30" s="11"/>
      <c r="B30" s="19" t="s">
        <v>5</v>
      </c>
      <c r="C30" s="11"/>
      <c r="D30" s="11"/>
      <c r="E30" s="11"/>
      <c r="F30" s="11"/>
      <c r="G30" s="11"/>
      <c r="H30" s="11"/>
      <c r="I30" s="11"/>
      <c r="J30" s="11"/>
      <c r="K30" s="12"/>
      <c r="L30" s="18"/>
      <c r="M30" s="12">
        <f t="shared" ref="M30:M31" si="9">K30*75%</f>
        <v>0</v>
      </c>
      <c r="N30" s="18">
        <f t="shared" ref="N30:N31" si="10">I30*M30</f>
        <v>0</v>
      </c>
      <c r="O30" s="12">
        <f t="shared" ref="O30:O31" si="11">K30*100%</f>
        <v>0</v>
      </c>
      <c r="P30" s="18">
        <f t="shared" ref="P30:P31" si="12">I30*O30</f>
        <v>0</v>
      </c>
    </row>
    <row r="31" spans="1:16" ht="15.5" x14ac:dyDescent="0.35">
      <c r="A31" s="11"/>
      <c r="B31" s="19" t="s">
        <v>5</v>
      </c>
      <c r="C31" s="11"/>
      <c r="D31" s="11"/>
      <c r="E31" s="11"/>
      <c r="F31" s="11"/>
      <c r="G31" s="11"/>
      <c r="H31" s="11"/>
      <c r="I31" s="11"/>
      <c r="J31" s="11"/>
      <c r="K31" s="12"/>
      <c r="L31" s="18"/>
      <c r="M31" s="12">
        <f t="shared" si="9"/>
        <v>0</v>
      </c>
      <c r="N31" s="18">
        <f t="shared" si="10"/>
        <v>0</v>
      </c>
      <c r="O31" s="12">
        <f t="shared" si="11"/>
        <v>0</v>
      </c>
      <c r="P31" s="18">
        <f t="shared" si="12"/>
        <v>0</v>
      </c>
    </row>
    <row r="32" spans="1:16" ht="15" x14ac:dyDescent="0.35">
      <c r="A32" s="16" t="s">
        <v>11</v>
      </c>
      <c r="B32" s="29" t="s">
        <v>31</v>
      </c>
      <c r="C32" s="30"/>
      <c r="D32" s="30"/>
      <c r="E32" s="30"/>
      <c r="F32" s="16">
        <f>SUM(F33:F35)</f>
        <v>0</v>
      </c>
      <c r="G32" s="17"/>
      <c r="H32" s="17"/>
      <c r="I32" s="17"/>
      <c r="J32" s="16">
        <f t="shared" ref="J32:P32" si="13">SUM(J33:J35)</f>
        <v>0</v>
      </c>
      <c r="K32" s="16">
        <f t="shared" si="13"/>
        <v>0</v>
      </c>
      <c r="L32" s="16">
        <f t="shared" si="13"/>
        <v>0</v>
      </c>
      <c r="M32" s="16">
        <f t="shared" si="13"/>
        <v>0</v>
      </c>
      <c r="N32" s="16">
        <f t="shared" si="13"/>
        <v>0</v>
      </c>
      <c r="O32" s="16">
        <f t="shared" si="13"/>
        <v>0</v>
      </c>
      <c r="P32" s="16">
        <f t="shared" si="13"/>
        <v>0</v>
      </c>
    </row>
    <row r="33" spans="1:16" ht="31" x14ac:dyDescent="0.35">
      <c r="A33" s="11">
        <v>1</v>
      </c>
      <c r="B33" s="19"/>
      <c r="C33" s="11" t="s">
        <v>26</v>
      </c>
      <c r="D33" s="11" t="s">
        <v>28</v>
      </c>
      <c r="E33" s="11" t="s">
        <v>32</v>
      </c>
      <c r="F33" s="11"/>
      <c r="G33" s="11" t="s">
        <v>33</v>
      </c>
      <c r="H33" s="11">
        <f>IF(G33="Khó và phức tạp",200,IF(G33="Cao",150,IF(G33="Trungbình",120,100)))</f>
        <v>200</v>
      </c>
      <c r="I33" s="11">
        <f>H33*0.01</f>
        <v>2</v>
      </c>
      <c r="J33" s="11">
        <f t="shared" ref="J33:J35" si="14">F33*I33</f>
        <v>0</v>
      </c>
      <c r="K33" s="12">
        <f t="shared" ref="K33:K35" si="15">F33*100%</f>
        <v>0</v>
      </c>
      <c r="L33" s="18">
        <f t="shared" ref="L33:L35" si="16">K33*I33</f>
        <v>0</v>
      </c>
      <c r="M33" s="12">
        <f t="shared" ref="M33:M35" si="17">K33*75%</f>
        <v>0</v>
      </c>
      <c r="N33" s="18">
        <f t="shared" ref="N33:N35" si="18">I33*M33</f>
        <v>0</v>
      </c>
      <c r="O33" s="12">
        <f t="shared" ref="O33:O35" si="19">K33*100%</f>
        <v>0</v>
      </c>
      <c r="P33" s="18">
        <f t="shared" ref="P33:P35" si="20">I33*O33</f>
        <v>0</v>
      </c>
    </row>
    <row r="34" spans="1:16" ht="31" x14ac:dyDescent="0.35">
      <c r="A34" s="11">
        <v>2</v>
      </c>
      <c r="B34" s="19"/>
      <c r="C34" s="11" t="s">
        <v>29</v>
      </c>
      <c r="D34" s="11" t="s">
        <v>28</v>
      </c>
      <c r="E34" s="11" t="s">
        <v>32</v>
      </c>
      <c r="F34" s="11"/>
      <c r="G34" s="11" t="s">
        <v>33</v>
      </c>
      <c r="H34" s="11">
        <f>IF(G34="Khó và phức tạp",200,IF(G34="Cao",150,IF(G34="Trungbình",120,100)))</f>
        <v>200</v>
      </c>
      <c r="I34" s="11">
        <f>H34*0.01</f>
        <v>2</v>
      </c>
      <c r="J34" s="11">
        <f t="shared" si="14"/>
        <v>0</v>
      </c>
      <c r="K34" s="12">
        <f t="shared" si="15"/>
        <v>0</v>
      </c>
      <c r="L34" s="18">
        <f t="shared" si="16"/>
        <v>0</v>
      </c>
      <c r="M34" s="12">
        <f t="shared" si="17"/>
        <v>0</v>
      </c>
      <c r="N34" s="18">
        <f t="shared" si="18"/>
        <v>0</v>
      </c>
      <c r="O34" s="12">
        <f t="shared" si="19"/>
        <v>0</v>
      </c>
      <c r="P34" s="18">
        <f t="shared" si="20"/>
        <v>0</v>
      </c>
    </row>
    <row r="35" spans="1:16" ht="31" x14ac:dyDescent="0.35">
      <c r="A35" s="11" t="s">
        <v>5</v>
      </c>
      <c r="B35" s="19"/>
      <c r="C35" s="11" t="s">
        <v>30</v>
      </c>
      <c r="D35" s="11" t="s">
        <v>28</v>
      </c>
      <c r="E35" s="11" t="s">
        <v>32</v>
      </c>
      <c r="F35" s="11"/>
      <c r="G35" s="11" t="s">
        <v>33</v>
      </c>
      <c r="H35" s="11">
        <f>IF(G35="Khó và phức tạp",200,IF(G35="Cao",150,IF(G35="Trungbình",120,100)))</f>
        <v>200</v>
      </c>
      <c r="I35" s="11">
        <f>H35*0.01</f>
        <v>2</v>
      </c>
      <c r="J35" s="11">
        <f t="shared" si="14"/>
        <v>0</v>
      </c>
      <c r="K35" s="12">
        <f t="shared" si="15"/>
        <v>0</v>
      </c>
      <c r="L35" s="18">
        <f t="shared" si="16"/>
        <v>0</v>
      </c>
      <c r="M35" s="12">
        <f t="shared" si="17"/>
        <v>0</v>
      </c>
      <c r="N35" s="18">
        <f t="shared" si="18"/>
        <v>0</v>
      </c>
      <c r="O35" s="12">
        <f t="shared" si="19"/>
        <v>0</v>
      </c>
      <c r="P35" s="18">
        <f t="shared" si="20"/>
        <v>0</v>
      </c>
    </row>
    <row r="36" spans="1:16" s="3" customFormat="1" ht="15.5" x14ac:dyDescent="0.35">
      <c r="B36" s="52"/>
      <c r="C36" s="52"/>
      <c r="D36" s="52"/>
      <c r="E36" s="52"/>
      <c r="F36" s="52"/>
      <c r="G36" s="52"/>
      <c r="H36" s="52"/>
      <c r="I36" s="52"/>
      <c r="J36" s="52"/>
      <c r="K36" s="52"/>
      <c r="L36" s="52"/>
      <c r="M36" s="52"/>
      <c r="N36" s="52"/>
      <c r="O36" s="52"/>
      <c r="P36" s="52"/>
    </row>
    <row r="37" spans="1:16" s="4" customFormat="1" ht="131.25" customHeight="1" x14ac:dyDescent="0.35">
      <c r="A37" s="45" t="s">
        <v>25</v>
      </c>
      <c r="B37" s="45"/>
      <c r="C37" s="45"/>
      <c r="D37" s="13"/>
      <c r="G37" s="43" t="s">
        <v>68</v>
      </c>
      <c r="H37" s="43"/>
      <c r="I37" s="43"/>
      <c r="J37" s="43"/>
      <c r="K37" s="43"/>
      <c r="L37" s="44"/>
      <c r="M37" s="44"/>
      <c r="N37" s="44"/>
      <c r="O37" s="44"/>
      <c r="P37" s="44"/>
    </row>
  </sheetData>
  <mergeCells count="31">
    <mergeCell ref="G37:P37"/>
    <mergeCell ref="A37:C37"/>
    <mergeCell ref="A1:P1"/>
    <mergeCell ref="F6:F7"/>
    <mergeCell ref="G6:G7"/>
    <mergeCell ref="A6:A7"/>
    <mergeCell ref="B6:B7"/>
    <mergeCell ref="C6:C7"/>
    <mergeCell ref="D6:D7"/>
    <mergeCell ref="E6:E7"/>
    <mergeCell ref="B9:P9"/>
    <mergeCell ref="B36:P36"/>
    <mergeCell ref="A2:B2"/>
    <mergeCell ref="A3:B3"/>
    <mergeCell ref="A4:P4"/>
    <mergeCell ref="H6:H7"/>
    <mergeCell ref="G2:P2"/>
    <mergeCell ref="G3:P3"/>
    <mergeCell ref="K6:L6"/>
    <mergeCell ref="M6:N6"/>
    <mergeCell ref="O6:P6"/>
    <mergeCell ref="A5:P5"/>
    <mergeCell ref="I6:I7"/>
    <mergeCell ref="J6:J7"/>
    <mergeCell ref="B29:E29"/>
    <mergeCell ref="B32:E32"/>
    <mergeCell ref="B10:E10"/>
    <mergeCell ref="B14:E14"/>
    <mergeCell ref="B19:E19"/>
    <mergeCell ref="B17:E17"/>
    <mergeCell ref="B22:E22"/>
  </mergeCells>
  <conditionalFormatting sqref="C11:C13">
    <cfRule type="dataBar" priority="12">
      <dataBar>
        <cfvo type="min"/>
        <cfvo type="max"/>
        <color rgb="FF638EC6"/>
      </dataBar>
      <extLst>
        <ext xmlns:x14="http://schemas.microsoft.com/office/spreadsheetml/2009/9/main" uri="{B025F937-C7B1-47D3-B67F-A62EFF666E3E}">
          <x14:id>{503E23DC-A883-4E4A-9CEB-0585580125FE}</x14:id>
        </ext>
      </extLst>
    </cfRule>
  </conditionalFormatting>
  <conditionalFormatting sqref="C15:C16">
    <cfRule type="dataBar" priority="14">
      <dataBar>
        <cfvo type="min"/>
        <cfvo type="max"/>
        <color rgb="FF638EC6"/>
      </dataBar>
      <extLst>
        <ext xmlns:x14="http://schemas.microsoft.com/office/spreadsheetml/2009/9/main" uri="{B025F937-C7B1-47D3-B67F-A62EFF666E3E}">
          <x14:id>{CBD7B373-A4C1-41FB-A25C-F14BF1ED705A}</x14:id>
        </ext>
      </extLst>
    </cfRule>
  </conditionalFormatting>
  <conditionalFormatting sqref="C18">
    <cfRule type="dataBar" priority="8">
      <dataBar>
        <cfvo type="min"/>
        <cfvo type="max"/>
        <color rgb="FF638EC6"/>
      </dataBar>
      <extLst>
        <ext xmlns:x14="http://schemas.microsoft.com/office/spreadsheetml/2009/9/main" uri="{B025F937-C7B1-47D3-B67F-A62EFF666E3E}">
          <x14:id>{053ED826-4A3B-4E29-9CF6-C5C888A31A9A}</x14:id>
        </ext>
      </extLst>
    </cfRule>
  </conditionalFormatting>
  <conditionalFormatting sqref="C20:C21">
    <cfRule type="dataBar" priority="15">
      <dataBar>
        <cfvo type="min"/>
        <cfvo type="max"/>
        <color rgb="FF638EC6"/>
      </dataBar>
      <extLst>
        <ext xmlns:x14="http://schemas.microsoft.com/office/spreadsheetml/2009/9/main" uri="{B025F937-C7B1-47D3-B67F-A62EFF666E3E}">
          <x14:id>{43AE063F-6FBA-4145-8E96-3B15FC0C4DF2}</x14:id>
        </ext>
      </extLst>
    </cfRule>
  </conditionalFormatting>
  <conditionalFormatting sqref="C23">
    <cfRule type="dataBar" priority="1">
      <dataBar>
        <cfvo type="min"/>
        <cfvo type="max"/>
        <color rgb="FF638EC6"/>
      </dataBar>
      <extLst>
        <ext xmlns:x14="http://schemas.microsoft.com/office/spreadsheetml/2009/9/main" uri="{B025F937-C7B1-47D3-B67F-A62EFF666E3E}">
          <x14:id>{B2DABE0F-7BA8-442A-B48E-1ECE74F6B597}</x14:id>
        </ext>
      </extLst>
    </cfRule>
  </conditionalFormatting>
  <conditionalFormatting sqref="C24:C28">
    <cfRule type="dataBar" priority="5">
      <dataBar>
        <cfvo type="min"/>
        <cfvo type="max"/>
        <color rgb="FF638EC6"/>
      </dataBar>
      <extLst>
        <ext xmlns:x14="http://schemas.microsoft.com/office/spreadsheetml/2009/9/main" uri="{B025F937-C7B1-47D3-B67F-A62EFF666E3E}">
          <x14:id>{03A9939A-9B3D-4529-BE0E-4E6837550A17}</x14:id>
        </ext>
      </extLst>
    </cfRule>
  </conditionalFormatting>
  <conditionalFormatting sqref="C30:C31">
    <cfRule type="dataBar" priority="4">
      <dataBar>
        <cfvo type="min"/>
        <cfvo type="max"/>
        <color rgb="FF638EC6"/>
      </dataBar>
      <extLst>
        <ext xmlns:x14="http://schemas.microsoft.com/office/spreadsheetml/2009/9/main" uri="{B025F937-C7B1-47D3-B67F-A62EFF666E3E}">
          <x14:id>{7E1987A0-3211-4AC2-801D-3D223C64AEAA}</x14:id>
        </ext>
      </extLst>
    </cfRule>
  </conditionalFormatting>
  <conditionalFormatting sqref="C33:C35">
    <cfRule type="dataBar" priority="3">
      <dataBar>
        <cfvo type="min"/>
        <cfvo type="max"/>
        <color rgb="FF638EC6"/>
      </dataBar>
      <extLst>
        <ext xmlns:x14="http://schemas.microsoft.com/office/spreadsheetml/2009/9/main" uri="{B025F937-C7B1-47D3-B67F-A62EFF666E3E}">
          <x14:id>{2EA7D65E-B8CA-499C-8421-2AC504B81EAC}</x14:id>
        </ext>
      </extLst>
    </cfRule>
  </conditionalFormatting>
  <dataValidations count="4">
    <dataValidation type="list" allowBlank="1" showInputMessage="1" sqref="D11:D13 D15:D16 D18 D30:D31 D20:D21 D33:D35 D23:D28" xr:uid="{00000000-0002-0000-0000-000000000000}">
      <formula1>"Phòng QLĐT&amp;BĐCL, Phòng TH-HC&amp;QT, Phòng QLKHCN&amp;HTPT, Phòng TC-KT, Phòng  TCCB&amp;CTHSSV, Khoa Sư phạm, Khoa CKHCB, Khoa KT&amp;NL, Khoa Y – Dược, Khoa ĐT&amp;SHLX, Khoa KT&amp;CN"</formula1>
    </dataValidation>
    <dataValidation type="list" allowBlank="1" showInputMessage="1" sqref="C11:C13 C15:C16 C18 C20:C21 C33:C35 C30:C31 C23:C28" xr:uid="{00000000-0002-0000-0000-000001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18 G11:G13 G15:G16 G20:G21 G33:G35 G30:G31 G23:G28" xr:uid="{00000000-0002-0000-0000-000002000000}">
      <formula1>"Thấp,Trung bình,Cao,Khó và phức tạp"</formula1>
    </dataValidation>
    <dataValidation allowBlank="1" showInputMessage="1" sqref="H11:K13 H30:K31 E18 H20:K21 E11:E13 H33:K35 H23:K28 H18:K18 E20:E21 E23:E28 E30:E31 E33:E35 H15:K16 E15:E16" xr:uid="{00000000-0002-0000-0000-000003000000}"/>
  </dataValidations>
  <pageMargins left="0.31496062992125984" right="0.31496062992125984" top="0.39370078740157483" bottom="0.39370078740157483" header="0.31496062992125984" footer="0.31496062992125984"/>
  <pageSetup paperSize="9" scale="51" orientation="portrait" r:id="rId1"/>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C11:C13</xm:sqref>
        </x14:conditionalFormatting>
        <x14:conditionalFormatting xmlns:xm="http://schemas.microsoft.com/office/excel/2006/main">
          <x14:cfRule type="dataBar" id="{CBD7B373-A4C1-41FB-A25C-F14BF1ED705A}">
            <x14:dataBar minLength="0" maxLength="100" gradient="0">
              <x14:cfvo type="autoMin"/>
              <x14:cfvo type="autoMax"/>
              <x14:negativeFillColor rgb="FFFF0000"/>
              <x14:axisColor rgb="FF000000"/>
            </x14:dataBar>
          </x14:cfRule>
          <xm:sqref>C15:C16</xm:sqref>
        </x14:conditionalFormatting>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C18</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C20:C21</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C23</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C24:C28</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C30:C31</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C33:C35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BC tháng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phuc Nguyen</cp:lastModifiedBy>
  <cp:lastPrinted>2026-06-25T01:59:32Z</cp:lastPrinted>
  <dcterms:created xsi:type="dcterms:W3CDTF">2026-05-27T07:08:41Z</dcterms:created>
  <dcterms:modified xsi:type="dcterms:W3CDTF">2026-09-21T02:23:15Z</dcterms:modified>
</cp:coreProperties>
</file>