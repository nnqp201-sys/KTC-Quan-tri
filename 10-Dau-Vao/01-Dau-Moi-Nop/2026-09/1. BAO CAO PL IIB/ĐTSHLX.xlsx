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ÔNG VIỆC\BÁO CÁO\BÁO CÁO THÁNG\THÁNG 9.2026\1. BAO CAO PL 2B\"/>
    </mc:Choice>
  </mc:AlternateContent>
  <xr:revisionPtr revIDLastSave="0" documentId="13_ncr:1_{AEFC98A5-984A-43ED-87A9-B74131120E90}"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 i="1" l="1"/>
  <c r="M29" i="1"/>
  <c r="K29" i="1"/>
  <c r="H29" i="1"/>
  <c r="I29" i="1" s="1"/>
  <c r="K33" i="1"/>
  <c r="O33" i="1" s="1"/>
  <c r="H33" i="1"/>
  <c r="I33" i="1" s="1"/>
  <c r="J33" i="1" s="1"/>
  <c r="P29" i="1" l="1"/>
  <c r="L29" i="1"/>
  <c r="J29" i="1"/>
  <c r="N29" i="1"/>
  <c r="P33" i="1"/>
  <c r="L33" i="1"/>
  <c r="M33" i="1"/>
  <c r="N33" i="1" s="1"/>
  <c r="K23" i="1"/>
  <c r="H23" i="1"/>
  <c r="I23" i="1" s="1"/>
  <c r="J23" i="1" s="1"/>
  <c r="K19" i="1"/>
  <c r="O19" i="1" s="1"/>
  <c r="H19" i="1"/>
  <c r="I19" i="1" s="1"/>
  <c r="J19" i="1" s="1"/>
  <c r="K25" i="1"/>
  <c r="O25" i="1" s="1"/>
  <c r="H25" i="1"/>
  <c r="I25" i="1" s="1"/>
  <c r="J25" i="1" s="1"/>
  <c r="K28" i="1"/>
  <c r="M28" i="1" s="1"/>
  <c r="H28" i="1"/>
  <c r="I28" i="1" s="1"/>
  <c r="J28" i="1" s="1"/>
  <c r="K18" i="1"/>
  <c r="H18" i="1"/>
  <c r="I18" i="1" s="1"/>
  <c r="J18" i="1" s="1"/>
  <c r="K26" i="1"/>
  <c r="H26" i="1"/>
  <c r="I26" i="1" s="1"/>
  <c r="J26" i="1" s="1"/>
  <c r="K15" i="1"/>
  <c r="M15" i="1" s="1"/>
  <c r="H15" i="1"/>
  <c r="I15" i="1" s="1"/>
  <c r="J15" i="1" s="1"/>
  <c r="K14" i="1"/>
  <c r="O14" i="1" s="1"/>
  <c r="H14" i="1"/>
  <c r="I14" i="1" s="1"/>
  <c r="J14" i="1" s="1"/>
  <c r="K12" i="1"/>
  <c r="O12" i="1" s="1"/>
  <c r="H12" i="1"/>
  <c r="I12" i="1" s="1"/>
  <c r="K56" i="1"/>
  <c r="O56" i="1" s="1"/>
  <c r="P56" i="1" s="1"/>
  <c r="J56" i="1"/>
  <c r="K55" i="1"/>
  <c r="O55" i="1" s="1"/>
  <c r="P55" i="1" s="1"/>
  <c r="J55" i="1"/>
  <c r="K54" i="1"/>
  <c r="O54" i="1" s="1"/>
  <c r="J54" i="1"/>
  <c r="F53" i="1"/>
  <c r="K52" i="1"/>
  <c r="M52" i="1" s="1"/>
  <c r="N52" i="1" s="1"/>
  <c r="J52" i="1"/>
  <c r="K51" i="1"/>
  <c r="M51" i="1" s="1"/>
  <c r="H51" i="1"/>
  <c r="I51" i="1" s="1"/>
  <c r="J51" i="1" s="1"/>
  <c r="F50" i="1"/>
  <c r="K49" i="1"/>
  <c r="O49" i="1" s="1"/>
  <c r="P49" i="1" s="1"/>
  <c r="J49" i="1"/>
  <c r="H49" i="1"/>
  <c r="I49" i="1" s="1"/>
  <c r="K48" i="1"/>
  <c r="O48" i="1" s="1"/>
  <c r="P48" i="1" s="1"/>
  <c r="J48" i="1"/>
  <c r="H48" i="1"/>
  <c r="I48" i="1" s="1"/>
  <c r="K47" i="1"/>
  <c r="M47" i="1" s="1"/>
  <c r="N47" i="1" s="1"/>
  <c r="J47" i="1"/>
  <c r="H47" i="1"/>
  <c r="I47" i="1" s="1"/>
  <c r="K46" i="1"/>
  <c r="O46" i="1" s="1"/>
  <c r="P46" i="1" s="1"/>
  <c r="J46" i="1"/>
  <c r="H46" i="1"/>
  <c r="I46" i="1" s="1"/>
  <c r="K45" i="1"/>
  <c r="L45" i="1" s="1"/>
  <c r="J45" i="1"/>
  <c r="H45" i="1"/>
  <c r="I45" i="1" s="1"/>
  <c r="K44" i="1"/>
  <c r="O44" i="1" s="1"/>
  <c r="H44" i="1"/>
  <c r="I44" i="1" s="1"/>
  <c r="J44" i="1" s="1"/>
  <c r="F43" i="1"/>
  <c r="K42" i="1"/>
  <c r="M42" i="1" s="1"/>
  <c r="H42" i="1"/>
  <c r="I42" i="1" s="1"/>
  <c r="K41" i="1"/>
  <c r="M41" i="1" s="1"/>
  <c r="H41" i="1"/>
  <c r="I41" i="1" s="1"/>
  <c r="L40" i="1"/>
  <c r="H40" i="1"/>
  <c r="I40" i="1" s="1"/>
  <c r="L39" i="1"/>
  <c r="H39" i="1"/>
  <c r="I39" i="1" s="1"/>
  <c r="L38" i="1"/>
  <c r="H38" i="1"/>
  <c r="I38" i="1" s="1"/>
  <c r="K37" i="1"/>
  <c r="O37" i="1" s="1"/>
  <c r="H37" i="1"/>
  <c r="I37" i="1" s="1"/>
  <c r="F36" i="1"/>
  <c r="K35" i="1"/>
  <c r="H35" i="1"/>
  <c r="I35" i="1" s="1"/>
  <c r="F34" i="1"/>
  <c r="K32" i="1"/>
  <c r="K31" i="1" s="1"/>
  <c r="H32" i="1"/>
  <c r="I32" i="1" s="1"/>
  <c r="J32" i="1" s="1"/>
  <c r="J31" i="1" s="1"/>
  <c r="F31" i="1"/>
  <c r="K30" i="1"/>
  <c r="O30" i="1" s="1"/>
  <c r="H30" i="1"/>
  <c r="I30" i="1" s="1"/>
  <c r="K27" i="1"/>
  <c r="O27" i="1" s="1"/>
  <c r="H27" i="1"/>
  <c r="I27" i="1" s="1"/>
  <c r="K24" i="1"/>
  <c r="M24" i="1" s="1"/>
  <c r="H24" i="1"/>
  <c r="I24" i="1" s="1"/>
  <c r="K22" i="1"/>
  <c r="O22" i="1" s="1"/>
  <c r="H22" i="1"/>
  <c r="I22" i="1" s="1"/>
  <c r="K21" i="1"/>
  <c r="O21" i="1" s="1"/>
  <c r="H21" i="1"/>
  <c r="I21" i="1" s="1"/>
  <c r="J21" i="1" s="1"/>
  <c r="K20" i="1"/>
  <c r="O20" i="1" s="1"/>
  <c r="H20" i="1"/>
  <c r="I20" i="1" s="1"/>
  <c r="J20" i="1" s="1"/>
  <c r="K17" i="1"/>
  <c r="O17" i="1" s="1"/>
  <c r="H17" i="1"/>
  <c r="I17" i="1" s="1"/>
  <c r="J17" i="1" s="1"/>
  <c r="K16" i="1"/>
  <c r="O16" i="1" s="1"/>
  <c r="H16" i="1"/>
  <c r="I16" i="1" s="1"/>
  <c r="K13" i="1"/>
  <c r="M13" i="1" s="1"/>
  <c r="H13" i="1"/>
  <c r="I13" i="1" s="1"/>
  <c r="K11" i="1"/>
  <c r="O11" i="1" s="1"/>
  <c r="H11" i="1"/>
  <c r="I11" i="1" s="1"/>
  <c r="F10" i="1"/>
  <c r="L23" i="1" l="1"/>
  <c r="M23" i="1"/>
  <c r="N23" i="1" s="1"/>
  <c r="O23" i="1"/>
  <c r="P23" i="1" s="1"/>
  <c r="P19" i="1"/>
  <c r="L19" i="1"/>
  <c r="M19" i="1"/>
  <c r="N19" i="1" s="1"/>
  <c r="P25" i="1"/>
  <c r="L25" i="1"/>
  <c r="M25" i="1"/>
  <c r="N25" i="1" s="1"/>
  <c r="N28" i="1"/>
  <c r="L18" i="1"/>
  <c r="O28" i="1"/>
  <c r="P28" i="1" s="1"/>
  <c r="L28" i="1"/>
  <c r="M18" i="1"/>
  <c r="N18" i="1" s="1"/>
  <c r="O18" i="1"/>
  <c r="P18" i="1" s="1"/>
  <c r="L26" i="1"/>
  <c r="M26" i="1"/>
  <c r="N26" i="1" s="1"/>
  <c r="O26" i="1"/>
  <c r="P26" i="1" s="1"/>
  <c r="J50" i="1"/>
  <c r="K53" i="1"/>
  <c r="N15" i="1"/>
  <c r="L15" i="1"/>
  <c r="O15" i="1"/>
  <c r="P15" i="1" s="1"/>
  <c r="M44" i="1"/>
  <c r="N44" i="1" s="1"/>
  <c r="O52" i="1"/>
  <c r="P52" i="1" s="1"/>
  <c r="P14" i="1"/>
  <c r="L14" i="1"/>
  <c r="M14" i="1"/>
  <c r="N14" i="1" s="1"/>
  <c r="L12" i="1"/>
  <c r="J12" i="1"/>
  <c r="P12" i="1"/>
  <c r="M12" i="1"/>
  <c r="N12" i="1" s="1"/>
  <c r="N24" i="1"/>
  <c r="O47" i="1"/>
  <c r="P47" i="1" s="1"/>
  <c r="O53" i="1"/>
  <c r="L47" i="1"/>
  <c r="L55" i="1"/>
  <c r="M11" i="1"/>
  <c r="N11" i="1" s="1"/>
  <c r="M55" i="1"/>
  <c r="N55" i="1" s="1"/>
  <c r="O42" i="1"/>
  <c r="P42" i="1" s="1"/>
  <c r="L48" i="1"/>
  <c r="L56" i="1"/>
  <c r="O13" i="1"/>
  <c r="P13" i="1" s="1"/>
  <c r="K34" i="1"/>
  <c r="J43" i="1"/>
  <c r="O24" i="1"/>
  <c r="P24" i="1" s="1"/>
  <c r="P17" i="1"/>
  <c r="M37" i="1"/>
  <c r="N37" i="1" s="1"/>
  <c r="P20" i="1"/>
  <c r="M16" i="1"/>
  <c r="N16" i="1" s="1"/>
  <c r="M20" i="1"/>
  <c r="N20" i="1" s="1"/>
  <c r="M45" i="1"/>
  <c r="N45" i="1" s="1"/>
  <c r="J53" i="1"/>
  <c r="P27" i="1"/>
  <c r="O45" i="1"/>
  <c r="P45" i="1" s="1"/>
  <c r="P21" i="1"/>
  <c r="P30" i="1"/>
  <c r="O32" i="1"/>
  <c r="O31" i="1" s="1"/>
  <c r="O41" i="1"/>
  <c r="M22" i="1"/>
  <c r="N22" i="1" s="1"/>
  <c r="L54" i="1"/>
  <c r="M54" i="1"/>
  <c r="N54" i="1" s="1"/>
  <c r="L13" i="1"/>
  <c r="J13" i="1"/>
  <c r="P44" i="1"/>
  <c r="L11" i="1"/>
  <c r="J11" i="1"/>
  <c r="P37" i="1"/>
  <c r="P11" i="1"/>
  <c r="N13" i="1"/>
  <c r="J16" i="1"/>
  <c r="P16" i="1"/>
  <c r="L16" i="1"/>
  <c r="L27" i="1"/>
  <c r="J27" i="1"/>
  <c r="L37" i="1"/>
  <c r="J37" i="1"/>
  <c r="N41" i="1"/>
  <c r="L41" i="1"/>
  <c r="J41" i="1"/>
  <c r="L30" i="1"/>
  <c r="J30" i="1"/>
  <c r="M50" i="1"/>
  <c r="N51" i="1"/>
  <c r="N50" i="1" s="1"/>
  <c r="L22" i="1"/>
  <c r="J22" i="1"/>
  <c r="L42" i="1"/>
  <c r="J42" i="1"/>
  <c r="N42" i="1"/>
  <c r="P22" i="1"/>
  <c r="L35" i="1"/>
  <c r="J35" i="1"/>
  <c r="J34" i="1" s="1"/>
  <c r="L24" i="1"/>
  <c r="J24" i="1"/>
  <c r="L49" i="1"/>
  <c r="O51" i="1"/>
  <c r="K10" i="1"/>
  <c r="K36" i="1"/>
  <c r="M49" i="1"/>
  <c r="N49" i="1" s="1"/>
  <c r="M27" i="1"/>
  <c r="N27" i="1" s="1"/>
  <c r="P54" i="1"/>
  <c r="P53" i="1" s="1"/>
  <c r="L20" i="1"/>
  <c r="L52" i="1"/>
  <c r="K43" i="1"/>
  <c r="M35" i="1"/>
  <c r="L32" i="1"/>
  <c r="L31" i="1" s="1"/>
  <c r="K50" i="1"/>
  <c r="M32" i="1"/>
  <c r="O35" i="1"/>
  <c r="M30" i="1"/>
  <c r="N30" i="1" s="1"/>
  <c r="M48" i="1"/>
  <c r="N48" i="1" s="1"/>
  <c r="L21" i="1"/>
  <c r="L46" i="1"/>
  <c r="M21" i="1"/>
  <c r="N21" i="1" s="1"/>
  <c r="M46" i="1"/>
  <c r="N46" i="1" s="1"/>
  <c r="M56" i="1"/>
  <c r="L17" i="1"/>
  <c r="L44" i="1"/>
  <c r="M17" i="1"/>
  <c r="N17" i="1" s="1"/>
  <c r="L51" i="1"/>
  <c r="O36" i="1" l="1"/>
  <c r="P32" i="1"/>
  <c r="P31" i="1" s="1"/>
  <c r="P41" i="1"/>
  <c r="M36" i="1"/>
  <c r="L53" i="1"/>
  <c r="L50" i="1"/>
  <c r="L43" i="1"/>
  <c r="P43" i="1"/>
  <c r="N43" i="1"/>
  <c r="O43" i="1"/>
  <c r="J36" i="1"/>
  <c r="M43" i="1"/>
  <c r="L36" i="1"/>
  <c r="O50" i="1"/>
  <c r="P51" i="1"/>
  <c r="P50" i="1" s="1"/>
  <c r="L34" i="1"/>
  <c r="P36" i="1"/>
  <c r="M34" i="1"/>
  <c r="N35" i="1"/>
  <c r="N34" i="1" s="1"/>
  <c r="J10" i="1"/>
  <c r="L10" i="1"/>
  <c r="N10" i="1"/>
  <c r="N36" i="1"/>
  <c r="O10" i="1"/>
  <c r="P10" i="1"/>
  <c r="P35" i="1"/>
  <c r="P34" i="1" s="1"/>
  <c r="O34" i="1"/>
  <c r="N56" i="1"/>
  <c r="N53" i="1" s="1"/>
  <c r="M53" i="1"/>
  <c r="N32" i="1"/>
  <c r="N31" i="1" s="1"/>
  <c r="M31" i="1"/>
  <c r="M10" i="1"/>
</calcChain>
</file>

<file path=xl/sharedStrings.xml><?xml version="1.0" encoding="utf-8"?>
<sst xmlns="http://schemas.openxmlformats.org/spreadsheetml/2006/main" count="206" uniqueCount="116">
  <si>
    <t>Phụ lục IIb
MẪU BÁO CÁO KẾT QUẢ THỰC  HIỆN CÔNG TÁC THÁNG CỦA TRƯỜNG CAO ĐẲNG KON TUM</t>
  </si>
  <si>
    <t>TRƯỜNG CAO ĐẲNG KON TUM</t>
  </si>
  <si>
    <t>CỘNG HÒA XÃ HỘI CHỦ NGHĨA VIỆT NAM</t>
  </si>
  <si>
    <t>KHOA ĐT&amp;SHLX</t>
  </si>
  <si>
    <t>Độc lập - Tự do - Hạnh phúc</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</si>
  <si>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</si>
  <si>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</si>
  <si>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</si>
  <si>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</si>
  <si>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</si>
  <si>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</si>
  <si>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</si>
  <si>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</si>
  <si>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</si>
  <si>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</si>
  <si>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</si>
  <si>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</si>
  <si>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</si>
  <si>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</si>
  <si>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</si>
  <si>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</si>
  <si>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</si>
  <si>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</si>
  <si>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</si>
  <si>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</si>
  <si>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</si>
  <si>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</si>
  <si>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</si>
  <si>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</si>
  <si>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</si>
  <si>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</si>
  <si>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</si>
  <si>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</si>
  <si>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</si>
  <si>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</si>
  <si>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</si>
  <si>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</si>
  <si>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</si>
  <si>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1.1</t>
  </si>
  <si>
    <t>Hiệu trưởng</t>
  </si>
  <si>
    <t>Quyết định</t>
  </si>
  <si>
    <t>Khó và phức tạp</t>
  </si>
  <si>
    <t>1.2</t>
  </si>
  <si>
    <t>Trung bình</t>
  </si>
  <si>
    <t>1.3</t>
  </si>
  <si>
    <t>1.4</t>
  </si>
  <si>
    <t>PHT Dương Văn Anh Dũng</t>
  </si>
  <si>
    <t>Thấp</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</si>
  <si>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</si>
  <si>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</si>
  <si>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</si>
  <si>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</si>
  <si>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</si>
  <si>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</si>
  <si>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Các nhiệm vụ đột xuất, phát sinh khác ngoài kế hoạch (nếu có)</t>
  </si>
  <si>
    <t>Trục (1) - Thực hiện mục tiêu phát triển Kinh tế - xã hội và nhiệm vụ chính trị được giao</t>
  </si>
  <si>
    <t>Khoa ĐT&amp;SHLX</t>
  </si>
  <si>
    <t>Đề xuất</t>
  </si>
  <si>
    <t>1.5</t>
  </si>
  <si>
    <t>1.6</t>
  </si>
  <si>
    <t>Công văn</t>
  </si>
  <si>
    <t>1.7</t>
  </si>
  <si>
    <t>Hồ sơ xét điều kiện dự kiểm tra</t>
  </si>
  <si>
    <t>1.8</t>
  </si>
  <si>
    <t>1.9</t>
  </si>
  <si>
    <t>Báo cáo</t>
  </si>
  <si>
    <t>1.10</t>
  </si>
  <si>
    <t>1.11</t>
  </si>
  <si>
    <t>1.12</t>
  </si>
  <si>
    <t>Kế hoạch</t>
  </si>
  <si>
    <t>1.13</t>
  </si>
  <si>
    <t>1.14</t>
  </si>
  <si>
    <t>1.15</t>
  </si>
  <si>
    <t>1.16</t>
  </si>
  <si>
    <t>1.17</t>
  </si>
  <si>
    <t>1.18</t>
  </si>
  <si>
    <t>1.19</t>
  </si>
  <si>
    <t>Công văn số 590/CĐKT-ĐTSHLX ngày 12/8/2026 bổ sung nhà giáo giảng dạy thực hành lái xe ô tô của Trường Cao đẳng Kon Tum tháng 8 năm 2026;</t>
  </si>
  <si>
    <t>Xây dựng kế hoạch dự giờ nhà giáo để hợp đồng giảng dạy thực hành lái xe ô tô;</t>
  </si>
  <si>
    <t>Phần mềm, báo cáo</t>
  </si>
  <si>
    <t>Bí thư Chi bộ</t>
  </si>
  <si>
    <t>Tăng cường giáo dục chính trị tư tưởng cho viên chức và người học.</t>
  </si>
  <si>
    <t>Công tác tuyên truyền, giáo dục</t>
  </si>
  <si>
    <t>Thực hiện nghĩa vụ tham gia Dân quân tự vệ và biên chế vào các Trung đội tự vệ thuộc Ban Chỉ huy Quân sự Trường Cao đẳng Kon Tum.</t>
  </si>
  <si>
    <t>Thực hiện nhiệm vụ</t>
  </si>
  <si>
    <t>Nơi nhận:
- Lãnh đạo Trường;
- Phòng Tổng hợp - Hành chính và Quản trị;
- Lưu: ĐTSHLX</t>
  </si>
  <si>
    <t>Hồ sơ đào tạo lớp K9N Lái xe ô tô hạng B học xe chuyển số cơ khí (số sàn), khóa 59, năm 2026;</t>
  </si>
  <si>
    <t>Hồ sơ đào tạo lớp K9N Lái xe ô tô hạng B học xe chuyển số cơ khí (số sàn), khóa 58, năm 2026;</t>
  </si>
  <si>
    <t>Báo cáo, Kế hoạch</t>
  </si>
  <si>
    <t>Hồ sơ đào tạo lớp K9N Lái xe ô tô hạng B học xe chuyển số tự động (bao gồm cả xe ô tô điện), khóa 18, năm 2026;</t>
  </si>
  <si>
    <t>Hồ sơ đào tạo K9N Lái xe ô tô hạng C1 khóa 5, năm 2026;</t>
  </si>
  <si>
    <t>BÁO CÁO
kết quả thực hiện công tác tháng 9 năm 2026</t>
  </si>
  <si>
    <t>Đề xuất nghiệm thu khối lượng giảng dạy các lớp K9N Lái xe ô tô hạng B học xe chuyển số tự động (bao gồm cả xe ô tô điện), khóa 16; hạng B học xe chuyển số cơ khí khóa 55, 56 và hạng C1 khóa 4, năm 2026;</t>
  </si>
  <si>
    <t>Phối hợp Phòng Quản lý đào tạo và Bảo đảm chất lượng xét điều kiện dự kiểm tra hoàn thành khóa đào tạo lớp K9N Lái xe ô tô hạng B học xe chuyển số tự động khóa 17 và hạng B học xe chuyển số cơ khí khóa 57 năm 2026;</t>
  </si>
  <si>
    <t>Kế hoạch đào tạo lớp K9N lái xe mô tô hạng A1 khóa 131,132 năm 2026;</t>
  </si>
  <si>
    <t>Báo cáo đăng ký khóa đào tạo lái xe mô tô hạng A1 khóa 131,132;</t>
  </si>
  <si>
    <t>Báo cáo số 381/BC-CĐKT ngày 25/8/2026 đăng ký sát hạch lái xe mô tô hạng A1 khóa 131,132 và các khóa thi lại;</t>
  </si>
  <si>
    <t>Công văn số 640/CV-CĐKT ngày 07/9/2026 bổ sung nhà giáo giảng dạy thực hành lái xe ô tô của Trường Cao đẳng Kon Tum tháng 9 năm 2026</t>
  </si>
  <si>
    <t>Văn bản số 798/PC-CĐKT đề xuất điều chỉnh thời gian kiểm tra hoàn thành khóa đào tạo lớp K9N Lái xe ô tô hạng B học xe chuyển số cơ khí (số sàn), khóa 56 (51012K26B007), năm 2026</t>
  </si>
  <si>
    <t>Văn bản số 40/PT-CĐKT đề xuất hợp đồng nhà giáo tham gia giảng dạy thực hành các lớp lái xe ô tô hạng B học xe chuyển số cơ khí (số sàn), khóa 58, khóa 59 và hạng B số tự động khóa 18, năm 2026</t>
  </si>
  <si>
    <t>Thông báo số 961/TB-CĐKT ngày 19/8/2026 bổ sung kế hoạch học thực hành đối với người học Bùi Huy Duy lớp K9N Lái xe ô tô hạng B SCK, khóa 54, năm 2026 (lần 2)</t>
  </si>
  <si>
    <t>Biên bản số 186/BC-CĐKT ngày 14/9/2026 lựa chọn nhà đầu tư xe tập lái tháng 9 năm 2026</t>
  </si>
  <si>
    <t>Quyết định 1977/TB-CĐKT ngày 14/9/2026 điều chỉnh phân công nhà giáo giảng dạy nhóm học thực hành, xe tập lái Lớp K9N Lái xe ô tô hạng B học xe chuyển số tự động (bao gồm cả xe ô tô điện), khóa 18, năm 2026</t>
  </si>
  <si>
    <t>Văn bản số 954/CV-CĐKT ngày 14/9/2026 Danh sách đề nghị cấp lại giấy phép xe tập lái 82A-145.49</t>
  </si>
  <si>
    <t>Sở GD&amp;ĐT</t>
  </si>
  <si>
    <t>Công văn 656/CĐKT-ĐTSHLX góp ý dự thảo Thông tư Quy định điều kiện, trình tự, thủ tục cấp, đổi, cấp lại, thu hồi chứng chỉ điều khiển xe máy chuyên dùng cho người điều khiển máy kéo có giấy phép lái xe.</t>
  </si>
  <si>
    <t>Báo cáo kết quả thực hiện tháng 8 và nhiệm vụ tháng 9 của chi bộ Khoa ĐT&amp;SHLX;</t>
  </si>
  <si>
    <t>Báo cáo kết quả thực hành trên đường giao thông: Báo cáo số 387/BC-CĐKT ngày 26/8/2026 đối với lớp BSTĐ K17; Báo cáo số 398/BC-CĐKT ngày 07/9/2026 đối với lớp BSCK K57 và người học Bùi Huy Duy K54; Báo cáo số 386/BC-CĐKT ngày 26/8/2026 đối với lớp BSCK K56, năm 2026;</t>
  </si>
  <si>
    <t>Thông báo số 1053/TBCĐKT ngày 15/9/2026 tuyển sinh và đào tạo lái xe mô tô, lái xe ô tô các hạng năm 2026.</t>
  </si>
  <si>
    <t>Quyết định số 1929/TBCĐKT ngày 04/9/2026  ban hành Quy định về vị trí việc làm quản lý các khóa đào tạo lái xe ô tô tại khoa Đào tạo và Sát hạch lái xe</t>
  </si>
  <si>
    <t>Thông báo</t>
  </si>
  <si>
    <t>Biên bản</t>
  </si>
  <si>
    <t>Triển khai sử dụng phần mềm kiểm tra mô phỏng các tình huống giao thông theo Thông tư 17/2026/TT-BXD của Bộ Xây dựng;</t>
  </si>
  <si>
    <t>Kế hoạch, Nghị quyết chuyên đề quý III</t>
  </si>
  <si>
    <t>Kế hoạch, Nghị quyết</t>
  </si>
  <si>
    <r>
      <rPr>
        <i/>
        <sz val="14"/>
        <rFont val="Times New Roman"/>
        <family val="1"/>
      </rPr>
      <t>Quảng Ngãi, ngày…..tháng 9 năm 2026</t>
    </r>
    <r>
      <rPr>
        <b/>
        <sz val="14"/>
        <rFont val="Times New Roman"/>
        <family val="1"/>
      </rPr>
      <t xml:space="preserve">
TRƯỞNG KHOA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</si>
</sst>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x14ac:knownFonts="1">
    <font>
      <sz val="11"/>
      <color theme="1"/>
      <name val="Calibri"/>
    </font>
    <font>
      <b/>
      <sz val="14"/>
      <color theme="1"/>
      <name val="Times New Roman"/>
    </font>
    <font>
      <sz val="14"/>
      <color theme="1"/>
      <name val="Calibri"/>
    </font>
    <font>
      <sz val="12"/>
      <color theme="1"/>
      <name val="Times New Roman"/>
    </font>
    <font>
      <sz val="12"/>
      <color theme="1"/>
      <name val="Calibri"/>
    </font>
    <font>
      <b/>
      <sz val="13"/>
      <color theme="1"/>
      <name val="Times New Roman"/>
    </font>
    <font>
      <sz val="11"/>
      <name val="Calibri"/>
    </font>
    <font>
      <b/>
      <sz val="12"/>
      <name val="Times New Roman"/>
    </font>
    <font>
      <sz val="12"/>
      <name val="Times New Roman"/>
    </font>
    <font>
      <b/>
      <sz val="14"/>
      <name val="Times New Roman"/>
    </font>
    <font>
      <sz val="12"/>
      <name val="Times New Roman"/>
    </font>
    <font>
      <sz val="11"/>
      <name val="Times New Roman"/>
    </font>
    <font>
      <sz val="12"/>
      <name val="Calibri"/>
    </font>
    <font>
      <sz val="13"/>
      <color theme="1"/>
      <name val="Times New Roman"/>
    </font>
    <font>
      <b/>
      <sz val="14"/>
      <name val="Times New Roman"/>
    </font>
    <font>
      <sz val="11"/>
      <color theme="1"/>
      <name val="Calibri"/>
    </font>
    <font>
      <sz val="12"/>
      <name val="Times New Roman"/>
      <family val="1"/>
    </font>
    <font>
      <i/>
      <sz val="14"/>
      <name val="Times New Roman"/>
      <family val="1"/>
    </font>
    <font>
      <b/>
      <sz val="14"/>
      <name val="Times New Roman"/>
      <family val="1"/>
    </font>
    <font>
      <sz val="12"/>
      <color theme="1"/>
      <name val="Times New Roman"/>
      <family val="1"/>
    </font>
    <font>
      <sz val="8"/>
      <name val="Calibri"/>
      <family val="2"/>
    </font>
  </fonts>
  <fills count="2">
    <fill>
      <patternFill patternType="none"/>
    </fill>
    <fill>
      <patternFill patternType="gray125"/>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5" fillId="0" borderId="0" applyFont="0" applyFill="0" applyBorder="0" applyAlignment="0" applyProtection="0"/>
  </cellStyleXfs>
  <cellXfs count="53">
    <xf numFmtId="0" fontId="0" fillId="0" borderId="0" xfId="0"/>
    <xf numFmtId="0" fontId="4" fillId="0" borderId="0" xfId="0" applyFont="1"/>
    <xf numFmtId="0" fontId="6" fillId="0" borderId="0" xfId="0" applyFont="1"/>
    <xf numFmtId="0" fontId="12" fillId="0" borderId="0" xfId="0" applyFont="1"/>
    <xf numFmtId="0" fontId="5" fillId="0" borderId="0" xfId="0" applyFont="1" applyAlignment="1">
      <alignment wrapText="1"/>
    </xf>
    <xf numFmtId="0" fontId="1" fillId="0" borderId="0" xfId="0" applyFont="1" applyAlignment="1">
      <alignment vertical="center" wrapText="1"/>
    </xf>
    <xf numFmtId="0" fontId="10" fillId="0" borderId="0" xfId="0" applyFont="1" applyAlignment="1">
      <alignment horizontal="left" vertical="top" wrapText="1"/>
    </xf>
    <xf numFmtId="2" fontId="7" fillId="0" borderId="8"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11" fillId="0" borderId="2" xfId="0" applyFont="1" applyBorder="1" applyAlignment="1">
      <alignment horizontal="center" vertical="center" wrapText="1"/>
    </xf>
    <xf numFmtId="0" fontId="7" fillId="0" borderId="2" xfId="0" applyFont="1" applyBorder="1" applyAlignment="1">
      <alignment vertical="center" wrapText="1"/>
    </xf>
    <xf numFmtId="0" fontId="8" fillId="0" borderId="14" xfId="0" applyFont="1" applyBorder="1" applyAlignment="1">
      <alignment horizontal="center" vertical="center" wrapText="1"/>
    </xf>
    <xf numFmtId="2" fontId="7" fillId="0" borderId="2" xfId="0" applyNumberFormat="1" applyFont="1" applyBorder="1" applyAlignment="1">
      <alignment vertical="center" wrapText="1"/>
    </xf>
    <xf numFmtId="2" fontId="7" fillId="0" borderId="2" xfId="0" applyNumberFormat="1" applyFont="1" applyBorder="1" applyAlignment="1">
      <alignment horizontal="center" vertical="center" wrapText="1"/>
    </xf>
    <xf numFmtId="2" fontId="8" fillId="0" borderId="2"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8" fillId="0" borderId="2" xfId="0" applyNumberFormat="1" applyFont="1" applyBorder="1" applyAlignment="1">
      <alignment horizontal="center" vertical="center" wrapText="1"/>
    </xf>
    <xf numFmtId="1" fontId="8" fillId="0" borderId="14" xfId="0" applyNumberFormat="1" applyFont="1" applyBorder="1" applyAlignment="1">
      <alignment horizontal="center" vertical="center" wrapText="1"/>
    </xf>
    <xf numFmtId="1" fontId="7" fillId="0" borderId="2" xfId="0" applyNumberFormat="1" applyFont="1" applyBorder="1" applyAlignment="1">
      <alignment vertical="center" wrapText="1"/>
    </xf>
    <xf numFmtId="0" fontId="16" fillId="0" borderId="2" xfId="0" applyFont="1" applyBorder="1" applyAlignment="1">
      <alignment vertical="center" wrapText="1"/>
    </xf>
    <xf numFmtId="0" fontId="19" fillId="0" borderId="0" xfId="0" applyFont="1" applyAlignment="1">
      <alignment vertical="center" wrapText="1"/>
    </xf>
    <xf numFmtId="0" fontId="19" fillId="0" borderId="2" xfId="0" applyFont="1" applyBorder="1" applyAlignment="1">
      <alignment vertical="center" wrapText="1"/>
    </xf>
    <xf numFmtId="0" fontId="19" fillId="0" borderId="13" xfId="0" applyFont="1" applyBorder="1" applyAlignment="1">
      <alignment vertical="center" wrapText="1"/>
    </xf>
    <xf numFmtId="0" fontId="16" fillId="0" borderId="2" xfId="0" applyFont="1" applyBorder="1" applyAlignment="1">
      <alignment horizontal="center" vertical="center" wrapText="1"/>
    </xf>
    <xf numFmtId="0" fontId="16" fillId="0" borderId="14" xfId="0" applyFont="1" applyBorder="1" applyAlignment="1">
      <alignment horizontal="center" vertical="center" wrapText="1"/>
    </xf>
    <xf numFmtId="0" fontId="19" fillId="0" borderId="14" xfId="0" applyFont="1" applyBorder="1" applyAlignment="1">
      <alignment vertical="center" wrapText="1"/>
    </xf>
    <xf numFmtId="0" fontId="3" fillId="0" borderId="0" xfId="0" applyFont="1" applyAlignment="1">
      <alignment horizontal="left" vertical="center" wrapText="1"/>
    </xf>
    <xf numFmtId="0" fontId="18" fillId="0" borderId="0" xfId="0" applyFont="1" applyAlignment="1">
      <alignment horizontal="center" vertical="top" wrapText="1"/>
    </xf>
    <xf numFmtId="0" fontId="14" fillId="0" borderId="0" xfId="0" applyFont="1" applyAlignment="1">
      <alignment horizontal="center"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 xfId="0" applyFont="1" applyBorder="1" applyAlignment="1">
      <alignment vertical="center" wrapText="1"/>
    </xf>
    <xf numFmtId="0" fontId="8" fillId="0" borderId="3" xfId="0" applyFont="1" applyBorder="1" applyAlignment="1">
      <alignment horizontal="left" vertical="center" wrapText="1"/>
    </xf>
    <xf numFmtId="0" fontId="2" fillId="0" borderId="0" xfId="0" applyFont="1" applyAlignment="1">
      <alignment horizontal="center" vertical="center"/>
    </xf>
    <xf numFmtId="0" fontId="7" fillId="0" borderId="8" xfId="0" applyFont="1" applyBorder="1" applyAlignment="1">
      <alignment horizontal="center" vertical="center" wrapText="1"/>
    </xf>
    <xf numFmtId="0" fontId="12" fillId="0" borderId="10" xfId="0" applyFont="1" applyBorder="1" applyAlignment="1">
      <alignment vertical="center" wrapText="1"/>
    </xf>
    <xf numFmtId="0" fontId="5" fillId="0" borderId="0" xfId="0" applyFont="1" applyAlignment="1">
      <alignment horizontal="center" wrapText="1"/>
    </xf>
    <xf numFmtId="2" fontId="7" fillId="0" borderId="8" xfId="0" applyNumberFormat="1" applyFont="1" applyBorder="1" applyAlignment="1">
      <alignment horizontal="center" vertical="center" wrapText="1"/>
    </xf>
    <xf numFmtId="2" fontId="12" fillId="0" borderId="9" xfId="0" applyNumberFormat="1" applyFont="1" applyBorder="1" applyAlignment="1">
      <alignment vertical="center" wrapText="1"/>
    </xf>
    <xf numFmtId="0" fontId="3" fillId="0" borderId="1"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13" fillId="0" borderId="0" xfId="0" applyFont="1" applyAlignment="1">
      <alignment horizontal="center"/>
    </xf>
    <xf numFmtId="0" fontId="5" fillId="0" borderId="0" xfId="0" applyFont="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2" xfId="0" applyFont="1" applyBorder="1" applyAlignment="1">
      <alignment horizontal="left" vertical="center" wrapText="1"/>
    </xf>
  </cellXfs>
  <cellStyles count="2">
    <cellStyle name="Comma"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970001</xdr:colOff>
      <xdr:row>3</xdr:row>
      <xdr:rowOff>21868</xdr:rowOff>
    </xdr:from>
    <xdr:to>
      <xdr:col>1</xdr:col>
      <xdr:colOff>1935411</xdr:colOff>
      <xdr:row>3</xdr:row>
      <xdr:rowOff>21868</xdr:rowOff>
    </xdr:to>
    <xdr:sp macro="" textlink="">
      <xdr:nvSpPr>
        <xdr:cNvPr id="2" name="Straight Connector 1">
          <a:extLst>
            <a:ext uri="{FF2B5EF4-FFF2-40B4-BE49-F238E27FC236}">
              <a16:creationId xmlns:a16="http://schemas.microsoft.com/office/drawing/2014/main" id="{00000000-0008-0000-0000-000002000000}"/>
            </a:ext>
          </a:extLst>
        </xdr:cNvPr>
        <xdr:cNvSpPr>
          <a:spLocks noGrp="1"/>
        </xdr:cNvSpPr>
      </xdr:nvSpPr>
      <xdr:spPr>
        <a:xfrm>
          <a:off x="1305281" y="936268"/>
          <a:ext cx="965410"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9</xdr:col>
      <xdr:colOff>279735</xdr:colOff>
      <xdr:row>3</xdr:row>
      <xdr:rowOff>49249</xdr:rowOff>
    </xdr:from>
    <xdr:to>
      <xdr:col>12</xdr:col>
      <xdr:colOff>381001</xdr:colOff>
      <xdr:row>3</xdr:row>
      <xdr:rowOff>49249</xdr:rowOff>
    </xdr:to>
    <xdr:sp macro="" textlink="">
      <xdr:nvSpPr>
        <xdr:cNvPr id="3" name="Straight Connector 2">
          <a:extLst>
            <a:ext uri="{FF2B5EF4-FFF2-40B4-BE49-F238E27FC236}">
              <a16:creationId xmlns:a16="http://schemas.microsoft.com/office/drawing/2014/main" id="{00000000-0008-0000-0000-000003000000}"/>
            </a:ext>
          </a:extLst>
        </xdr:cNvPr>
        <xdr:cNvSpPr>
          <a:spLocks noGrp="1"/>
        </xdr:cNvSpPr>
      </xdr:nv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1006927</xdr:colOff>
      <xdr:row>3</xdr:row>
      <xdr:rowOff>533400</xdr:rowOff>
    </xdr:from>
    <xdr:to>
      <xdr:col>6</xdr:col>
      <xdr:colOff>176892</xdr:colOff>
      <xdr:row>4</xdr:row>
      <xdr:rowOff>0</xdr:rowOff>
    </xdr:to>
    <xdr:sp macro="" textlink="">
      <xdr:nvSpPr>
        <xdr:cNvPr id="4" name="Straight Connector 3">
          <a:extLst>
            <a:ext uri="{FF2B5EF4-FFF2-40B4-BE49-F238E27FC236}">
              <a16:creationId xmlns:a16="http://schemas.microsoft.com/office/drawing/2014/main" id="{00000000-0008-0000-0000-000004000000}"/>
            </a:ext>
          </a:extLst>
        </xdr:cNvPr>
        <xdr:cNvSpPr>
          <a:spLocks noGrp="1"/>
        </xdr:cNvSpPr>
      </xdr:nv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4</xdr:col>
      <xdr:colOff>816428</xdr:colOff>
      <xdr:row>0</xdr:row>
      <xdr:rowOff>504815</xdr:rowOff>
    </xdr:from>
    <xdr:to>
      <xdr:col>6</xdr:col>
      <xdr:colOff>403598</xdr:colOff>
      <xdr:row>1</xdr:row>
      <xdr:rowOff>4435</xdr:rowOff>
    </xdr:to>
    <xdr:sp macro="" textlink="">
      <xdr:nvSpPr>
        <xdr:cNvPr id="5" name="Straight Connector 5">
          <a:extLst>
            <a:ext uri="{FF2B5EF4-FFF2-40B4-BE49-F238E27FC236}">
              <a16:creationId xmlns:a16="http://schemas.microsoft.com/office/drawing/2014/main" id="{00000000-0008-0000-0000-000005000000}"/>
            </a:ext>
          </a:extLst>
        </xdr:cNvPr>
        <xdr:cNvSpPr>
          <a:spLocks noGrp="1"/>
        </xdr:cNvSpPr>
      </xdr:nvSpPr>
      <xdr:spPr>
        <a:xfrm>
          <a:off x="6109607" y="504815"/>
          <a:ext cx="1220027" cy="0"/>
        </a:xfrm>
        <a:prstGeom prst="line">
          <a:avLst/>
        </a:prstGeom>
      </xdr:spPr>
      <xdr:style>
        <a:lnRef idx="1">
          <a:schemeClr val="dk1"/>
        </a:lnRef>
        <a:fillRef idx="0">
          <a:schemeClr val="dk1"/>
        </a:fillRef>
        <a:effectRef idx="0">
          <a:schemeClr val="dk1"/>
        </a:effectRef>
        <a:fontRef idx="minor">
          <a:schemeClr val="tx1"/>
        </a:fontRef>
      </xdr:style>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8"/>
  <sheetViews>
    <sheetView tabSelected="1" zoomScale="115" zoomScaleNormal="115" workbookViewId="0">
      <selection activeCell="G58" sqref="G58:P58"/>
    </sheetView>
  </sheetViews>
  <sheetFormatPr defaultRowHeight="14.5" x14ac:dyDescent="0.35"/>
  <cols>
    <col min="1" max="1" width="4.90625" customWidth="1"/>
    <col min="2" max="2" width="31.08984375" customWidth="1"/>
    <col min="3" max="3" width="16.453125" customWidth="1"/>
    <col min="4" max="4" width="17.08984375" customWidth="1"/>
    <col min="5" max="5" width="14.36328125" customWidth="1"/>
    <col min="6" max="6" width="7" customWidth="1"/>
    <col min="7" max="7" width="10.08984375" customWidth="1"/>
    <col min="8" max="8" width="8.36328125" customWidth="1"/>
    <col min="9" max="9" width="6.90625" customWidth="1"/>
    <col min="10" max="10" width="7.1796875" customWidth="1"/>
    <col min="11" max="11" width="11.453125" customWidth="1"/>
    <col min="12" max="12" width="6.6328125" customWidth="1"/>
    <col min="13" max="13" width="10.453125" customWidth="1"/>
    <col min="14" max="14" width="6.36328125" customWidth="1"/>
    <col min="15" max="15" width="10.453125" customWidth="1"/>
    <col min="16" max="16" width="6.6328125" customWidth="1"/>
  </cols>
  <sheetData>
    <row r="1" spans="1:17" ht="34.25" customHeight="1" x14ac:dyDescent="0.35">
      <c r="A1" s="33" t="s">
        <v>0</v>
      </c>
      <c r="B1" s="34"/>
      <c r="C1" s="34"/>
      <c r="D1" s="34"/>
      <c r="E1" s="34"/>
      <c r="F1" s="34"/>
      <c r="G1" s="34"/>
      <c r="H1" s="34"/>
      <c r="I1" s="34"/>
      <c r="J1" s="34"/>
      <c r="K1" s="34"/>
      <c r="L1" s="34"/>
      <c r="M1" s="34"/>
      <c r="N1" s="34"/>
      <c r="O1" s="34"/>
      <c r="P1" s="34"/>
    </row>
    <row r="2" spans="1:17" s="1" customFormat="1" ht="22.75" customHeight="1" x14ac:dyDescent="0.35">
      <c r="A2" s="48" t="s">
        <v>1</v>
      </c>
      <c r="B2" s="48"/>
      <c r="C2" s="48"/>
      <c r="E2" s="4"/>
      <c r="F2" s="4"/>
      <c r="G2" s="42" t="s">
        <v>2</v>
      </c>
      <c r="H2" s="42"/>
      <c r="I2" s="42"/>
      <c r="J2" s="42"/>
      <c r="K2" s="42"/>
      <c r="L2" s="42"/>
      <c r="M2" s="42"/>
      <c r="N2" s="42"/>
      <c r="O2" s="42"/>
      <c r="P2" s="42"/>
    </row>
    <row r="3" spans="1:17" s="1" customFormat="1" ht="15" customHeight="1" x14ac:dyDescent="0.35">
      <c r="A3" s="49" t="s">
        <v>3</v>
      </c>
      <c r="B3" s="49"/>
      <c r="C3" s="49"/>
      <c r="E3" s="5"/>
      <c r="F3" s="5"/>
      <c r="G3" s="33" t="s">
        <v>4</v>
      </c>
      <c r="H3" s="33"/>
      <c r="I3" s="33"/>
      <c r="J3" s="33"/>
      <c r="K3" s="33"/>
      <c r="L3" s="33"/>
      <c r="M3" s="33"/>
      <c r="N3" s="33"/>
      <c r="O3" s="33"/>
      <c r="P3" s="33"/>
    </row>
    <row r="4" spans="1:17" ht="35.4" customHeight="1" x14ac:dyDescent="0.35">
      <c r="A4" s="33" t="s">
        <v>91</v>
      </c>
      <c r="B4" s="39"/>
      <c r="C4" s="39"/>
      <c r="D4" s="39"/>
      <c r="E4" s="39"/>
      <c r="F4" s="39"/>
      <c r="G4" s="39"/>
      <c r="H4" s="39"/>
      <c r="I4" s="39"/>
      <c r="J4" s="39"/>
      <c r="K4" s="39"/>
      <c r="L4" s="39"/>
      <c r="M4" s="39"/>
      <c r="N4" s="39"/>
      <c r="O4" s="39"/>
      <c r="P4" s="39"/>
    </row>
    <row r="5" spans="1:17" ht="7.25" customHeight="1" x14ac:dyDescent="0.35">
      <c r="A5" s="45"/>
      <c r="B5" s="45"/>
      <c r="C5" s="45"/>
      <c r="D5" s="45"/>
      <c r="E5" s="45"/>
      <c r="F5" s="45"/>
      <c r="G5" s="45"/>
      <c r="H5" s="45"/>
      <c r="I5" s="45"/>
      <c r="J5" s="45"/>
      <c r="K5" s="45"/>
      <c r="L5" s="45"/>
      <c r="M5" s="45"/>
      <c r="N5" s="45"/>
      <c r="O5" s="45"/>
      <c r="P5" s="45"/>
    </row>
    <row r="6" spans="1:17" ht="16.25" customHeight="1" x14ac:dyDescent="0.35">
      <c r="A6" s="35" t="s">
        <v>5</v>
      </c>
      <c r="B6" s="35" t="s">
        <v>6</v>
      </c>
      <c r="C6" s="35" t="s">
        <v>7</v>
      </c>
      <c r="D6" s="35" t="s">
        <v>8</v>
      </c>
      <c r="E6" s="35" t="s">
        <v>9</v>
      </c>
      <c r="F6" s="35" t="s">
        <v>10</v>
      </c>
      <c r="G6" s="35" t="s">
        <v>11</v>
      </c>
      <c r="H6" s="40" t="s">
        <v>12</v>
      </c>
      <c r="I6" s="40" t="s">
        <v>13</v>
      </c>
      <c r="J6" s="46" t="s">
        <v>14</v>
      </c>
      <c r="K6" s="43" t="s">
        <v>15</v>
      </c>
      <c r="L6" s="44"/>
      <c r="M6" s="43" t="s">
        <v>16</v>
      </c>
      <c r="N6" s="44"/>
      <c r="O6" s="43" t="s">
        <v>17</v>
      </c>
      <c r="P6" s="44"/>
      <c r="Q6" s="1"/>
    </row>
    <row r="7" spans="1:17" ht="52.25" customHeight="1" x14ac:dyDescent="0.35">
      <c r="A7" s="36"/>
      <c r="B7" s="36"/>
      <c r="C7" s="36"/>
      <c r="D7" s="36"/>
      <c r="E7" s="36"/>
      <c r="F7" s="36"/>
      <c r="G7" s="36"/>
      <c r="H7" s="41"/>
      <c r="I7" s="41"/>
      <c r="J7" s="47"/>
      <c r="K7" s="7" t="s">
        <v>18</v>
      </c>
      <c r="L7" s="7" t="s">
        <v>19</v>
      </c>
      <c r="M7" s="7" t="s">
        <v>18</v>
      </c>
      <c r="N7" s="7" t="s">
        <v>19</v>
      </c>
      <c r="O7" s="7" t="s">
        <v>18</v>
      </c>
      <c r="P7" s="7" t="s">
        <v>19</v>
      </c>
      <c r="Q7" s="1"/>
    </row>
    <row r="8" spans="1:17" ht="81.650000000000006" customHeight="1" x14ac:dyDescent="0.35">
      <c r="A8" s="11" t="s">
        <v>20</v>
      </c>
      <c r="B8" s="11" t="s">
        <v>21</v>
      </c>
      <c r="C8" s="11" t="s">
        <v>22</v>
      </c>
      <c r="D8" s="11" t="s">
        <v>23</v>
      </c>
      <c r="E8" s="11" t="s">
        <v>24</v>
      </c>
      <c r="F8" s="11" t="s">
        <v>25</v>
      </c>
      <c r="G8" s="11" t="s">
        <v>26</v>
      </c>
      <c r="H8" s="11" t="s">
        <v>27</v>
      </c>
      <c r="I8" s="11" t="s">
        <v>28</v>
      </c>
      <c r="J8" s="11" t="s">
        <v>29</v>
      </c>
      <c r="K8" s="11" t="s">
        <v>30</v>
      </c>
      <c r="L8" s="11" t="s">
        <v>31</v>
      </c>
      <c r="M8" s="11" t="s">
        <v>32</v>
      </c>
      <c r="N8" s="11" t="s">
        <v>33</v>
      </c>
      <c r="O8" s="11" t="s">
        <v>34</v>
      </c>
      <c r="P8" s="11" t="s">
        <v>35</v>
      </c>
    </row>
    <row r="9" spans="1:17" ht="25.25" customHeight="1" x14ac:dyDescent="0.35">
      <c r="A9" s="8" t="s">
        <v>36</v>
      </c>
      <c r="B9" s="37" t="s">
        <v>37</v>
      </c>
      <c r="C9" s="37"/>
      <c r="D9" s="37"/>
      <c r="E9" s="37"/>
      <c r="F9" s="37"/>
      <c r="G9" s="37"/>
      <c r="H9" s="37"/>
      <c r="I9" s="37"/>
      <c r="J9" s="37"/>
      <c r="K9" s="37"/>
      <c r="L9" s="37"/>
      <c r="M9" s="37"/>
      <c r="N9" s="37"/>
      <c r="O9" s="37"/>
      <c r="P9" s="37"/>
    </row>
    <row r="10" spans="1:17" ht="35.4" customHeight="1" x14ac:dyDescent="0.35">
      <c r="A10" s="8">
        <v>1</v>
      </c>
      <c r="B10" s="52" t="s">
        <v>55</v>
      </c>
      <c r="C10" s="52"/>
      <c r="D10" s="52"/>
      <c r="E10" s="52"/>
      <c r="F10" s="17">
        <f>SUM(F11:F30)</f>
        <v>33</v>
      </c>
      <c r="G10" s="12"/>
      <c r="H10" s="14"/>
      <c r="I10" s="14"/>
      <c r="J10" s="15">
        <f t="shared" ref="J10:P10" si="0">SUM(J11:J30)</f>
        <v>38.799999999999997</v>
      </c>
      <c r="K10" s="15">
        <f t="shared" si="0"/>
        <v>33</v>
      </c>
      <c r="L10" s="15">
        <f t="shared" si="0"/>
        <v>38.799999999999997</v>
      </c>
      <c r="M10" s="15">
        <f t="shared" si="0"/>
        <v>33</v>
      </c>
      <c r="N10" s="15">
        <f t="shared" si="0"/>
        <v>38.799999999999997</v>
      </c>
      <c r="O10" s="15">
        <f t="shared" si="0"/>
        <v>33</v>
      </c>
      <c r="P10" s="15">
        <f t="shared" si="0"/>
        <v>38.799999999999997</v>
      </c>
    </row>
    <row r="11" spans="1:17" ht="108.5" x14ac:dyDescent="0.35">
      <c r="A11" s="9" t="s">
        <v>38</v>
      </c>
      <c r="B11" s="21" t="s">
        <v>92</v>
      </c>
      <c r="C11" s="9" t="s">
        <v>39</v>
      </c>
      <c r="D11" s="9" t="s">
        <v>56</v>
      </c>
      <c r="E11" s="9" t="s">
        <v>57</v>
      </c>
      <c r="F11" s="18">
        <v>1</v>
      </c>
      <c r="G11" s="9" t="s">
        <v>47</v>
      </c>
      <c r="H11" s="18">
        <f>IF(G11="","",IF(G11="Khó và phức tạp",200,IF(G11="Cao",150,IF(G11="Trung bình",120,100))))</f>
        <v>100</v>
      </c>
      <c r="I11" s="16">
        <f>IF(H11="","",H11*0.01)</f>
        <v>1</v>
      </c>
      <c r="J11" s="16">
        <f>IF(F11="","",F11*I11)</f>
        <v>1</v>
      </c>
      <c r="K11" s="16">
        <f>IF(F11="","",F11*100%)</f>
        <v>1</v>
      </c>
      <c r="L11" s="16">
        <f>IF(K11="","",K11*I11)</f>
        <v>1</v>
      </c>
      <c r="M11" s="16">
        <f>IF(K11="","",K11*100%)</f>
        <v>1</v>
      </c>
      <c r="N11" s="16">
        <f>IF(M11="","",I11*M11)</f>
        <v>1</v>
      </c>
      <c r="O11" s="16">
        <f>IF(K11="","",K11*100%)</f>
        <v>1</v>
      </c>
      <c r="P11" s="16">
        <f>IF(O11="","",I11*O11)</f>
        <v>1</v>
      </c>
    </row>
    <row r="12" spans="1:17" ht="46.5" x14ac:dyDescent="0.35">
      <c r="A12" s="25" t="s">
        <v>42</v>
      </c>
      <c r="B12" s="22" t="s">
        <v>87</v>
      </c>
      <c r="C12" s="13" t="s">
        <v>46</v>
      </c>
      <c r="D12" s="9" t="s">
        <v>56</v>
      </c>
      <c r="E12" s="26" t="s">
        <v>88</v>
      </c>
      <c r="F12" s="19">
        <v>3</v>
      </c>
      <c r="G12" s="9" t="s">
        <v>43</v>
      </c>
      <c r="H12" s="18">
        <f t="shared" ref="H12:H30" si="1">IF(G12="","",IF(G12="Khó và phức tạp",200,IF(G12="Cao",150,IF(G12="Trung bình",120,100))))</f>
        <v>120</v>
      </c>
      <c r="I12" s="16">
        <f t="shared" ref="I12:I30" si="2">IF(H12="","",H12*0.01)</f>
        <v>1.2</v>
      </c>
      <c r="J12" s="16">
        <f t="shared" ref="J12:J30" si="3">IF(F12="","",F12*I12)</f>
        <v>3.5999999999999996</v>
      </c>
      <c r="K12" s="16">
        <f>IF(F12="","",F12*100%)</f>
        <v>3</v>
      </c>
      <c r="L12" s="16">
        <f t="shared" ref="L12:L30" si="4">IF(K12="","",K12*I12)</f>
        <v>3.5999999999999996</v>
      </c>
      <c r="M12" s="16">
        <f>IF(K12="","",K12*100%)</f>
        <v>3</v>
      </c>
      <c r="N12" s="16">
        <f t="shared" ref="N12:N30" si="5">IF(M12="","",I12*M12)</f>
        <v>3.5999999999999996</v>
      </c>
      <c r="O12" s="16">
        <f>IF(K12="","",K12*100%)</f>
        <v>3</v>
      </c>
      <c r="P12" s="16">
        <f t="shared" ref="P12:P30" si="6">IF(O12="","",I12*O12)</f>
        <v>3.5999999999999996</v>
      </c>
    </row>
    <row r="13" spans="1:17" ht="55.25" customHeight="1" x14ac:dyDescent="0.35">
      <c r="A13" s="9" t="s">
        <v>44</v>
      </c>
      <c r="B13" s="22" t="s">
        <v>86</v>
      </c>
      <c r="C13" s="13" t="s">
        <v>46</v>
      </c>
      <c r="D13" s="9" t="s">
        <v>56</v>
      </c>
      <c r="E13" s="26" t="s">
        <v>88</v>
      </c>
      <c r="F13" s="19">
        <v>3</v>
      </c>
      <c r="G13" s="9" t="s">
        <v>43</v>
      </c>
      <c r="H13" s="18">
        <f t="shared" si="1"/>
        <v>120</v>
      </c>
      <c r="I13" s="16">
        <f t="shared" si="2"/>
        <v>1.2</v>
      </c>
      <c r="J13" s="16">
        <f t="shared" si="3"/>
        <v>3.5999999999999996</v>
      </c>
      <c r="K13" s="16">
        <f>IF(F13="","",F13*100%)</f>
        <v>3</v>
      </c>
      <c r="L13" s="16">
        <f t="shared" si="4"/>
        <v>3.5999999999999996</v>
      </c>
      <c r="M13" s="16">
        <f t="shared" ref="M13:M27" si="7">IF(K13="","",K13*100%)</f>
        <v>3</v>
      </c>
      <c r="N13" s="16">
        <f t="shared" si="5"/>
        <v>3.5999999999999996</v>
      </c>
      <c r="O13" s="16">
        <f>IF(K13="","",K13*100%)</f>
        <v>3</v>
      </c>
      <c r="P13" s="16">
        <f t="shared" si="6"/>
        <v>3.5999999999999996</v>
      </c>
    </row>
    <row r="14" spans="1:17" ht="73.25" customHeight="1" x14ac:dyDescent="0.35">
      <c r="A14" s="9" t="s">
        <v>45</v>
      </c>
      <c r="B14" s="21" t="s">
        <v>89</v>
      </c>
      <c r="C14" s="13" t="s">
        <v>46</v>
      </c>
      <c r="D14" s="9" t="s">
        <v>56</v>
      </c>
      <c r="E14" s="26" t="s">
        <v>88</v>
      </c>
      <c r="F14" s="19">
        <v>2</v>
      </c>
      <c r="G14" s="9" t="s">
        <v>43</v>
      </c>
      <c r="H14" s="18">
        <f t="shared" ref="H14" si="8">IF(G14="","",IF(G14="Khó và phức tạp",200,IF(G14="Cao",150,IF(G14="Trung bình",120,100))))</f>
        <v>120</v>
      </c>
      <c r="I14" s="16">
        <f t="shared" ref="I14" si="9">IF(H14="","",H14*0.01)</f>
        <v>1.2</v>
      </c>
      <c r="J14" s="16">
        <f t="shared" ref="J14" si="10">IF(F14="","",F14*I14)</f>
        <v>2.4</v>
      </c>
      <c r="K14" s="16">
        <f>IF(F14="","",F14*100%)</f>
        <v>2</v>
      </c>
      <c r="L14" s="16">
        <f t="shared" ref="L14" si="11">IF(K14="","",K14*I14)</f>
        <v>2.4</v>
      </c>
      <c r="M14" s="16">
        <f t="shared" ref="M14" si="12">IF(K14="","",K14*100%)</f>
        <v>2</v>
      </c>
      <c r="N14" s="16">
        <f t="shared" ref="N14" si="13">IF(M14="","",I14*M14)</f>
        <v>2.4</v>
      </c>
      <c r="O14" s="16">
        <f>IF(K14="","",K14*100%)</f>
        <v>2</v>
      </c>
      <c r="P14" s="16">
        <f t="shared" ref="P14" si="14">IF(O14="","",I14*O14)</f>
        <v>2.4</v>
      </c>
    </row>
    <row r="15" spans="1:17" ht="57" customHeight="1" x14ac:dyDescent="0.35">
      <c r="A15" s="25" t="s">
        <v>58</v>
      </c>
      <c r="B15" s="27" t="s">
        <v>90</v>
      </c>
      <c r="C15" s="13" t="s">
        <v>46</v>
      </c>
      <c r="D15" s="9" t="s">
        <v>56</v>
      </c>
      <c r="E15" s="26" t="s">
        <v>88</v>
      </c>
      <c r="F15" s="19">
        <v>2</v>
      </c>
      <c r="G15" s="9" t="s">
        <v>43</v>
      </c>
      <c r="H15" s="18">
        <f t="shared" si="1"/>
        <v>120</v>
      </c>
      <c r="I15" s="16">
        <f t="shared" si="2"/>
        <v>1.2</v>
      </c>
      <c r="J15" s="16">
        <f t="shared" si="3"/>
        <v>2.4</v>
      </c>
      <c r="K15" s="16">
        <f>IF(F15="","",F15*100%)</f>
        <v>2</v>
      </c>
      <c r="L15" s="16">
        <f t="shared" si="4"/>
        <v>2.4</v>
      </c>
      <c r="M15" s="16">
        <f t="shared" si="7"/>
        <v>2</v>
      </c>
      <c r="N15" s="16">
        <f t="shared" si="5"/>
        <v>2.4</v>
      </c>
      <c r="O15" s="16">
        <f>IF(K15="","",K15*100%)</f>
        <v>2</v>
      </c>
      <c r="P15" s="16">
        <f t="shared" si="6"/>
        <v>2.4</v>
      </c>
    </row>
    <row r="16" spans="1:17" ht="125.4" customHeight="1" x14ac:dyDescent="0.35">
      <c r="A16" s="9" t="s">
        <v>59</v>
      </c>
      <c r="B16" s="23" t="s">
        <v>93</v>
      </c>
      <c r="C16" s="9" t="s">
        <v>46</v>
      </c>
      <c r="D16" s="9" t="s">
        <v>56</v>
      </c>
      <c r="E16" s="9" t="s">
        <v>62</v>
      </c>
      <c r="F16" s="18">
        <v>4</v>
      </c>
      <c r="G16" s="9" t="s">
        <v>43</v>
      </c>
      <c r="H16" s="18">
        <f t="shared" ref="H16:H29" si="15">IF(G16="","",IF(G16="Khó và phức tạp",200,IF(G16="Cao",150,IF(G16="Trung bình",120,100))))</f>
        <v>120</v>
      </c>
      <c r="I16" s="16">
        <f t="shared" si="2"/>
        <v>1.2</v>
      </c>
      <c r="J16" s="16">
        <f t="shared" si="3"/>
        <v>4.8</v>
      </c>
      <c r="K16" s="16">
        <f t="shared" ref="K16:K27" si="16">IF(F16="","",F16*100%)</f>
        <v>4</v>
      </c>
      <c r="L16" s="16">
        <f t="shared" si="4"/>
        <v>4.8</v>
      </c>
      <c r="M16" s="16">
        <f t="shared" si="7"/>
        <v>4</v>
      </c>
      <c r="N16" s="16">
        <f t="shared" si="5"/>
        <v>4.8</v>
      </c>
      <c r="O16" s="16">
        <f t="shared" ref="O16:O27" si="17">IF(K16="","",K16*100%)</f>
        <v>4</v>
      </c>
      <c r="P16" s="16">
        <f t="shared" si="6"/>
        <v>4.8</v>
      </c>
    </row>
    <row r="17" spans="1:16" ht="155" x14ac:dyDescent="0.35">
      <c r="A17" s="9" t="s">
        <v>61</v>
      </c>
      <c r="B17" s="23" t="s">
        <v>107</v>
      </c>
      <c r="C17" s="9" t="s">
        <v>46</v>
      </c>
      <c r="D17" s="9" t="s">
        <v>56</v>
      </c>
      <c r="E17" s="9" t="s">
        <v>65</v>
      </c>
      <c r="F17" s="18">
        <v>3</v>
      </c>
      <c r="G17" s="9" t="s">
        <v>43</v>
      </c>
      <c r="H17" s="18">
        <f t="shared" si="15"/>
        <v>120</v>
      </c>
      <c r="I17" s="16">
        <f t="shared" si="2"/>
        <v>1.2</v>
      </c>
      <c r="J17" s="16">
        <f t="shared" si="3"/>
        <v>3.5999999999999996</v>
      </c>
      <c r="K17" s="16">
        <f t="shared" si="16"/>
        <v>3</v>
      </c>
      <c r="L17" s="16">
        <f t="shared" si="4"/>
        <v>3.5999999999999996</v>
      </c>
      <c r="M17" s="16">
        <f t="shared" si="7"/>
        <v>3</v>
      </c>
      <c r="N17" s="16">
        <f t="shared" si="5"/>
        <v>3.5999999999999996</v>
      </c>
      <c r="O17" s="16">
        <f t="shared" si="17"/>
        <v>3</v>
      </c>
      <c r="P17" s="16">
        <f t="shared" si="6"/>
        <v>3.5999999999999996</v>
      </c>
    </row>
    <row r="18" spans="1:16" ht="92" customHeight="1" x14ac:dyDescent="0.35">
      <c r="A18" s="25" t="s">
        <v>63</v>
      </c>
      <c r="B18" s="23" t="s">
        <v>100</v>
      </c>
      <c r="C18" s="9" t="s">
        <v>46</v>
      </c>
      <c r="D18" s="9" t="s">
        <v>56</v>
      </c>
      <c r="E18" s="25" t="s">
        <v>110</v>
      </c>
      <c r="F18" s="18">
        <v>1</v>
      </c>
      <c r="G18" s="9" t="s">
        <v>43</v>
      </c>
      <c r="H18" s="18">
        <f t="shared" ref="H18" si="18">IF(G18="","",IF(G18="Khó và phức tạp",200,IF(G18="Cao",150,IF(G18="Trung bình",120,100))))</f>
        <v>120</v>
      </c>
      <c r="I18" s="16">
        <f t="shared" ref="I18" si="19">IF(H18="","",H18*0.01)</f>
        <v>1.2</v>
      </c>
      <c r="J18" s="16">
        <f t="shared" ref="J18" si="20">IF(F18="","",F18*I18)</f>
        <v>1.2</v>
      </c>
      <c r="K18" s="16">
        <f t="shared" ref="K18" si="21">IF(F18="","",F18*100%)</f>
        <v>1</v>
      </c>
      <c r="L18" s="16">
        <f t="shared" ref="L18" si="22">IF(K18="","",K18*I18)</f>
        <v>1.2</v>
      </c>
      <c r="M18" s="16">
        <f t="shared" ref="M18" si="23">IF(K18="","",K18*100%)</f>
        <v>1</v>
      </c>
      <c r="N18" s="16">
        <f t="shared" ref="N18" si="24">IF(M18="","",I18*M18)</f>
        <v>1.2</v>
      </c>
      <c r="O18" s="16">
        <f t="shared" ref="O18" si="25">IF(K18="","",K18*100%)</f>
        <v>1</v>
      </c>
      <c r="P18" s="16">
        <f t="shared" ref="P18" si="26">IF(O18="","",I18*O18)</f>
        <v>1.2</v>
      </c>
    </row>
    <row r="19" spans="1:16" ht="111" customHeight="1" x14ac:dyDescent="0.35">
      <c r="A19" s="9" t="s">
        <v>64</v>
      </c>
      <c r="B19" s="23" t="s">
        <v>102</v>
      </c>
      <c r="C19" s="9" t="s">
        <v>46</v>
      </c>
      <c r="D19" s="9" t="s">
        <v>56</v>
      </c>
      <c r="E19" s="25" t="s">
        <v>40</v>
      </c>
      <c r="F19" s="18">
        <v>1</v>
      </c>
      <c r="G19" s="9" t="s">
        <v>47</v>
      </c>
      <c r="H19" s="18">
        <f t="shared" ref="H19" si="27">IF(G19="","",IF(G19="Khó và phức tạp",200,IF(G19="Cao",150,IF(G19="Trung bình",120,100))))</f>
        <v>100</v>
      </c>
      <c r="I19" s="16">
        <f t="shared" ref="I19" si="28">IF(H19="","",H19*0.01)</f>
        <v>1</v>
      </c>
      <c r="J19" s="16">
        <f t="shared" ref="J19" si="29">IF(F19="","",F19*I19)</f>
        <v>1</v>
      </c>
      <c r="K19" s="16">
        <f t="shared" ref="K19" si="30">IF(F19="","",F19*100%)</f>
        <v>1</v>
      </c>
      <c r="L19" s="16">
        <f t="shared" ref="L19" si="31">IF(K19="","",K19*I19)</f>
        <v>1</v>
      </c>
      <c r="M19" s="16">
        <f t="shared" ref="M19" si="32">IF(K19="","",K19*100%)</f>
        <v>1</v>
      </c>
      <c r="N19" s="16">
        <f t="shared" ref="N19" si="33">IF(M19="","",I19*M19)</f>
        <v>1</v>
      </c>
      <c r="O19" s="16">
        <f t="shared" ref="O19" si="34">IF(K19="","",K19*100%)</f>
        <v>1</v>
      </c>
      <c r="P19" s="16">
        <f t="shared" ref="P19" si="35">IF(O19="","",I19*O19)</f>
        <v>1</v>
      </c>
    </row>
    <row r="20" spans="1:16" ht="57.65" customHeight="1" x14ac:dyDescent="0.35">
      <c r="A20" s="9" t="s">
        <v>66</v>
      </c>
      <c r="B20" s="23" t="s">
        <v>94</v>
      </c>
      <c r="C20" s="9" t="s">
        <v>46</v>
      </c>
      <c r="D20" s="9" t="s">
        <v>56</v>
      </c>
      <c r="E20" s="9" t="s">
        <v>69</v>
      </c>
      <c r="F20" s="18">
        <v>2</v>
      </c>
      <c r="G20" s="9" t="s">
        <v>43</v>
      </c>
      <c r="H20" s="18">
        <f t="shared" si="15"/>
        <v>120</v>
      </c>
      <c r="I20" s="16">
        <f t="shared" si="2"/>
        <v>1.2</v>
      </c>
      <c r="J20" s="16">
        <f t="shared" si="3"/>
        <v>2.4</v>
      </c>
      <c r="K20" s="16">
        <f t="shared" si="16"/>
        <v>2</v>
      </c>
      <c r="L20" s="16">
        <f t="shared" si="4"/>
        <v>2.4</v>
      </c>
      <c r="M20" s="16">
        <f t="shared" si="7"/>
        <v>2</v>
      </c>
      <c r="N20" s="16">
        <f t="shared" si="5"/>
        <v>2.4</v>
      </c>
      <c r="O20" s="16">
        <f t="shared" si="17"/>
        <v>2</v>
      </c>
      <c r="P20" s="16">
        <f t="shared" si="6"/>
        <v>2.4</v>
      </c>
    </row>
    <row r="21" spans="1:16" ht="39" customHeight="1" x14ac:dyDescent="0.35">
      <c r="A21" s="25" t="s">
        <v>67</v>
      </c>
      <c r="B21" s="23" t="s">
        <v>95</v>
      </c>
      <c r="C21" s="9" t="s">
        <v>46</v>
      </c>
      <c r="D21" s="9" t="s">
        <v>56</v>
      </c>
      <c r="E21" s="9" t="s">
        <v>65</v>
      </c>
      <c r="F21" s="18">
        <v>2</v>
      </c>
      <c r="G21" s="9" t="s">
        <v>43</v>
      </c>
      <c r="H21" s="18">
        <f t="shared" si="15"/>
        <v>120</v>
      </c>
      <c r="I21" s="16">
        <f t="shared" si="2"/>
        <v>1.2</v>
      </c>
      <c r="J21" s="16">
        <f t="shared" si="3"/>
        <v>2.4</v>
      </c>
      <c r="K21" s="16">
        <f t="shared" si="16"/>
        <v>2</v>
      </c>
      <c r="L21" s="16">
        <f t="shared" si="4"/>
        <v>2.4</v>
      </c>
      <c r="M21" s="16">
        <f t="shared" si="7"/>
        <v>2</v>
      </c>
      <c r="N21" s="16">
        <f t="shared" si="5"/>
        <v>2.4</v>
      </c>
      <c r="O21" s="16">
        <f t="shared" si="17"/>
        <v>2</v>
      </c>
      <c r="P21" s="16">
        <f t="shared" si="6"/>
        <v>2.4</v>
      </c>
    </row>
    <row r="22" spans="1:16" ht="77.400000000000006" customHeight="1" x14ac:dyDescent="0.35">
      <c r="A22" s="9" t="s">
        <v>68</v>
      </c>
      <c r="B22" s="21" t="s">
        <v>96</v>
      </c>
      <c r="C22" s="9" t="s">
        <v>46</v>
      </c>
      <c r="D22" s="9" t="s">
        <v>56</v>
      </c>
      <c r="E22" s="9" t="s">
        <v>65</v>
      </c>
      <c r="F22" s="18">
        <v>1</v>
      </c>
      <c r="G22" s="9" t="s">
        <v>43</v>
      </c>
      <c r="H22" s="18">
        <f t="shared" si="15"/>
        <v>120</v>
      </c>
      <c r="I22" s="16">
        <f>IF(H22="","",H22*0.01)</f>
        <v>1.2</v>
      </c>
      <c r="J22" s="16">
        <f>IF(F22="","",F22*I22)</f>
        <v>1.2</v>
      </c>
      <c r="K22" s="16">
        <f t="shared" si="16"/>
        <v>1</v>
      </c>
      <c r="L22" s="16">
        <f>IF(K22="","",K22*I22)</f>
        <v>1.2</v>
      </c>
      <c r="M22" s="16">
        <f t="shared" si="7"/>
        <v>1</v>
      </c>
      <c r="N22" s="16">
        <f>IF(M22="","",I22*M22)</f>
        <v>1.2</v>
      </c>
      <c r="O22" s="16">
        <f t="shared" si="17"/>
        <v>1</v>
      </c>
      <c r="P22" s="16">
        <f>IF(O22="","",I22*O22)</f>
        <v>1.2</v>
      </c>
    </row>
    <row r="23" spans="1:16" ht="62" x14ac:dyDescent="0.35">
      <c r="A23" s="9" t="s">
        <v>70</v>
      </c>
      <c r="B23" s="23" t="s">
        <v>103</v>
      </c>
      <c r="C23" s="9" t="s">
        <v>46</v>
      </c>
      <c r="D23" s="9" t="s">
        <v>56</v>
      </c>
      <c r="E23" s="25" t="s">
        <v>57</v>
      </c>
      <c r="F23" s="18">
        <v>1</v>
      </c>
      <c r="G23" s="9" t="s">
        <v>47</v>
      </c>
      <c r="H23" s="18">
        <f t="shared" ref="H23" si="36">IF(G23="","",IF(G23="Khó và phức tạp",200,IF(G23="Cao",150,IF(G23="Trung bình",120,100))))</f>
        <v>100</v>
      </c>
      <c r="I23" s="16">
        <f t="shared" ref="I23" si="37">IF(H23="","",H23*0.01)</f>
        <v>1</v>
      </c>
      <c r="J23" s="16">
        <f t="shared" ref="J23" si="38">IF(F23="","",F23*I23)</f>
        <v>1</v>
      </c>
      <c r="K23" s="16">
        <f t="shared" ref="K23" si="39">IF(F23="","",F23*100%)</f>
        <v>1</v>
      </c>
      <c r="L23" s="16">
        <f t="shared" ref="L23" si="40">IF(K23="","",K23*I23)</f>
        <v>1</v>
      </c>
      <c r="M23" s="16">
        <f t="shared" ref="M23" si="41">IF(K23="","",K23*100%)</f>
        <v>1</v>
      </c>
      <c r="N23" s="16">
        <f t="shared" ref="N23" si="42">IF(M23="","",I23*M23)</f>
        <v>1</v>
      </c>
      <c r="O23" s="16">
        <f t="shared" ref="O23" si="43">IF(K23="","",K23*100%)</f>
        <v>1</v>
      </c>
      <c r="P23" s="16">
        <f t="shared" ref="P23" si="44">IF(O23="","",I23*O23)</f>
        <v>1</v>
      </c>
    </row>
    <row r="24" spans="1:16" ht="88.75" customHeight="1" x14ac:dyDescent="0.35">
      <c r="A24" s="25" t="s">
        <v>71</v>
      </c>
      <c r="B24" s="23" t="s">
        <v>97</v>
      </c>
      <c r="C24" s="9" t="s">
        <v>46</v>
      </c>
      <c r="D24" s="9" t="s">
        <v>56</v>
      </c>
      <c r="E24" s="9" t="s">
        <v>60</v>
      </c>
      <c r="F24" s="18">
        <v>1</v>
      </c>
      <c r="G24" s="9" t="s">
        <v>47</v>
      </c>
      <c r="H24" s="18">
        <f t="shared" si="15"/>
        <v>100</v>
      </c>
      <c r="I24" s="16">
        <f t="shared" ref="I24:I29" si="45">IF(H24="","",H24*0.01)</f>
        <v>1</v>
      </c>
      <c r="J24" s="16">
        <f t="shared" ref="J24:J29" si="46">IF(F24="","",F24*I24)</f>
        <v>1</v>
      </c>
      <c r="K24" s="16">
        <f t="shared" si="16"/>
        <v>1</v>
      </c>
      <c r="L24" s="16">
        <f t="shared" ref="L24:L29" si="47">IF(K24="","",K24*I24)</f>
        <v>1</v>
      </c>
      <c r="M24" s="16">
        <f t="shared" si="7"/>
        <v>1</v>
      </c>
      <c r="N24" s="16">
        <f t="shared" ref="N24:N29" si="48">IF(M24="","",I24*M24)</f>
        <v>1</v>
      </c>
      <c r="O24" s="16">
        <f t="shared" si="17"/>
        <v>1</v>
      </c>
      <c r="P24" s="16">
        <f t="shared" ref="P24:P29" si="49">IF(O24="","",I24*O24)</f>
        <v>1</v>
      </c>
    </row>
    <row r="25" spans="1:16" ht="67" customHeight="1" x14ac:dyDescent="0.35">
      <c r="A25" s="9" t="s">
        <v>72</v>
      </c>
      <c r="B25" s="27" t="s">
        <v>101</v>
      </c>
      <c r="C25" s="9" t="s">
        <v>39</v>
      </c>
      <c r="D25" s="9" t="s">
        <v>56</v>
      </c>
      <c r="E25" s="25" t="s">
        <v>111</v>
      </c>
      <c r="F25" s="18">
        <v>1</v>
      </c>
      <c r="G25" s="9" t="s">
        <v>43</v>
      </c>
      <c r="H25" s="18">
        <f t="shared" ref="H25" si="50">IF(G25="","",IF(G25="Khó và phức tạp",200,IF(G25="Cao",150,IF(G25="Trung bình",120,100))))</f>
        <v>120</v>
      </c>
      <c r="I25" s="16">
        <f t="shared" ref="I25" si="51">IF(H25="","",H25*0.01)</f>
        <v>1.2</v>
      </c>
      <c r="J25" s="16">
        <f t="shared" ref="J25" si="52">IF(F25="","",F25*I25)</f>
        <v>1.2</v>
      </c>
      <c r="K25" s="16">
        <f>IF(F25="","",F25*100%)</f>
        <v>1</v>
      </c>
      <c r="L25" s="16">
        <f t="shared" ref="L25" si="53">IF(K25="","",K25*I25)</f>
        <v>1.2</v>
      </c>
      <c r="M25" s="16">
        <f>IF(K25="","",K25*100%)</f>
        <v>1</v>
      </c>
      <c r="N25" s="16">
        <f t="shared" ref="N25" si="54">IF(M25="","",I25*M25)</f>
        <v>1.2</v>
      </c>
      <c r="O25" s="16">
        <f>IF(K25="","",K25*100%)</f>
        <v>1</v>
      </c>
      <c r="P25" s="16">
        <f t="shared" ref="P25" si="55">IF(O25="","",I25*O25)</f>
        <v>1.2</v>
      </c>
    </row>
    <row r="26" spans="1:16" ht="105.5" customHeight="1" x14ac:dyDescent="0.35">
      <c r="A26" s="9" t="s">
        <v>73</v>
      </c>
      <c r="B26" s="27" t="s">
        <v>98</v>
      </c>
      <c r="C26" s="9" t="s">
        <v>46</v>
      </c>
      <c r="D26" s="9" t="s">
        <v>56</v>
      </c>
      <c r="E26" s="9" t="s">
        <v>57</v>
      </c>
      <c r="F26" s="18">
        <v>1</v>
      </c>
      <c r="G26" s="9" t="s">
        <v>47</v>
      </c>
      <c r="H26" s="18">
        <f t="shared" ref="H26" si="56">IF(G26="","",IF(G26="Khó và phức tạp",200,IF(G26="Cao",150,IF(G26="Trung bình",120,100))))</f>
        <v>100</v>
      </c>
      <c r="I26" s="16">
        <f t="shared" ref="I26" si="57">IF(H26="","",H26*0.01)</f>
        <v>1</v>
      </c>
      <c r="J26" s="16">
        <f t="shared" ref="J26" si="58">IF(F26="","",F26*I26)</f>
        <v>1</v>
      </c>
      <c r="K26" s="16">
        <f t="shared" ref="K26" si="59">IF(F26="","",F26*100%)</f>
        <v>1</v>
      </c>
      <c r="L26" s="16">
        <f t="shared" ref="L26" si="60">IF(K26="","",K26*I26)</f>
        <v>1</v>
      </c>
      <c r="M26" s="16">
        <f t="shared" ref="M26" si="61">IF(K26="","",K26*100%)</f>
        <v>1</v>
      </c>
      <c r="N26" s="16">
        <f t="shared" ref="N26" si="62">IF(M26="","",I26*M26)</f>
        <v>1</v>
      </c>
      <c r="O26" s="16">
        <f t="shared" ref="O26" si="63">IF(K26="","",K26*100%)</f>
        <v>1</v>
      </c>
      <c r="P26" s="16">
        <f t="shared" ref="P26" si="64">IF(O26="","",I26*O26)</f>
        <v>1</v>
      </c>
    </row>
    <row r="27" spans="1:16" ht="108.5" x14ac:dyDescent="0.35">
      <c r="A27" s="25" t="s">
        <v>74</v>
      </c>
      <c r="B27" s="24" t="s">
        <v>99</v>
      </c>
      <c r="C27" s="9" t="s">
        <v>46</v>
      </c>
      <c r="D27" s="9" t="s">
        <v>56</v>
      </c>
      <c r="E27" s="9" t="s">
        <v>57</v>
      </c>
      <c r="F27" s="18">
        <v>1</v>
      </c>
      <c r="G27" s="9" t="s">
        <v>47</v>
      </c>
      <c r="H27" s="18">
        <f t="shared" si="15"/>
        <v>100</v>
      </c>
      <c r="I27" s="16">
        <f t="shared" si="45"/>
        <v>1</v>
      </c>
      <c r="J27" s="16">
        <f t="shared" si="46"/>
        <v>1</v>
      </c>
      <c r="K27" s="16">
        <f t="shared" si="16"/>
        <v>1</v>
      </c>
      <c r="L27" s="16">
        <f t="shared" si="47"/>
        <v>1</v>
      </c>
      <c r="M27" s="16">
        <f t="shared" si="7"/>
        <v>1</v>
      </c>
      <c r="N27" s="16">
        <f t="shared" si="48"/>
        <v>1</v>
      </c>
      <c r="O27" s="16">
        <f t="shared" si="17"/>
        <v>1</v>
      </c>
      <c r="P27" s="16">
        <f t="shared" si="49"/>
        <v>1</v>
      </c>
    </row>
    <row r="28" spans="1:16" ht="91.75" customHeight="1" x14ac:dyDescent="0.35">
      <c r="A28" s="9" t="s">
        <v>75</v>
      </c>
      <c r="B28" s="21" t="s">
        <v>77</v>
      </c>
      <c r="C28" s="9" t="s">
        <v>39</v>
      </c>
      <c r="D28" s="9" t="s">
        <v>56</v>
      </c>
      <c r="E28" s="9" t="s">
        <v>60</v>
      </c>
      <c r="F28" s="18">
        <v>1</v>
      </c>
      <c r="G28" s="9" t="s">
        <v>47</v>
      </c>
      <c r="H28" s="18">
        <f t="shared" si="15"/>
        <v>100</v>
      </c>
      <c r="I28" s="16">
        <f t="shared" si="45"/>
        <v>1</v>
      </c>
      <c r="J28" s="16">
        <f t="shared" si="46"/>
        <v>1</v>
      </c>
      <c r="K28" s="16">
        <f>IF(F28="","",F28*100%)</f>
        <v>1</v>
      </c>
      <c r="L28" s="16">
        <f t="shared" si="47"/>
        <v>1</v>
      </c>
      <c r="M28" s="16">
        <f>IF(K28="","",K28*100%)</f>
        <v>1</v>
      </c>
      <c r="N28" s="16">
        <f t="shared" si="48"/>
        <v>1</v>
      </c>
      <c r="O28" s="16">
        <f>IF(K28="","",K28*100%)</f>
        <v>1</v>
      </c>
      <c r="P28" s="16">
        <f t="shared" si="49"/>
        <v>1</v>
      </c>
    </row>
    <row r="29" spans="1:16" ht="88.25" customHeight="1" x14ac:dyDescent="0.35">
      <c r="A29" s="9" t="s">
        <v>76</v>
      </c>
      <c r="B29" s="21" t="s">
        <v>108</v>
      </c>
      <c r="C29" s="9" t="s">
        <v>46</v>
      </c>
      <c r="D29" s="9" t="s">
        <v>56</v>
      </c>
      <c r="E29" s="25" t="s">
        <v>110</v>
      </c>
      <c r="F29" s="18">
        <v>1</v>
      </c>
      <c r="G29" s="9" t="s">
        <v>47</v>
      </c>
      <c r="H29" s="18">
        <f t="shared" si="15"/>
        <v>100</v>
      </c>
      <c r="I29" s="16">
        <f t="shared" si="45"/>
        <v>1</v>
      </c>
      <c r="J29" s="16">
        <f t="shared" si="46"/>
        <v>1</v>
      </c>
      <c r="K29" s="16">
        <f>IF(F29="","",F29*100%)</f>
        <v>1</v>
      </c>
      <c r="L29" s="16">
        <f t="shared" si="47"/>
        <v>1</v>
      </c>
      <c r="M29" s="16">
        <f>IF(K29="","",K29*100%)</f>
        <v>1</v>
      </c>
      <c r="N29" s="16">
        <f t="shared" si="48"/>
        <v>1</v>
      </c>
      <c r="O29" s="16">
        <f>IF(K29="","",K29*100%)</f>
        <v>1</v>
      </c>
      <c r="P29" s="16">
        <f t="shared" si="49"/>
        <v>1</v>
      </c>
    </row>
    <row r="30" spans="1:16" ht="81.650000000000006" customHeight="1" x14ac:dyDescent="0.35">
      <c r="A30" s="9" t="s">
        <v>76</v>
      </c>
      <c r="B30" s="21" t="s">
        <v>109</v>
      </c>
      <c r="C30" s="9" t="s">
        <v>39</v>
      </c>
      <c r="D30" s="9" t="s">
        <v>56</v>
      </c>
      <c r="E30" s="25" t="s">
        <v>40</v>
      </c>
      <c r="F30" s="18">
        <v>1</v>
      </c>
      <c r="G30" s="9" t="s">
        <v>41</v>
      </c>
      <c r="H30" s="18">
        <f t="shared" si="1"/>
        <v>200</v>
      </c>
      <c r="I30" s="16">
        <f t="shared" si="2"/>
        <v>2</v>
      </c>
      <c r="J30" s="16">
        <f t="shared" si="3"/>
        <v>2</v>
      </c>
      <c r="K30" s="16">
        <f>IF(F30="","",F30*100%)</f>
        <v>1</v>
      </c>
      <c r="L30" s="16">
        <f t="shared" si="4"/>
        <v>2</v>
      </c>
      <c r="M30" s="16">
        <f>IF(K30="","",K30*100%)</f>
        <v>1</v>
      </c>
      <c r="N30" s="16">
        <f t="shared" si="5"/>
        <v>2</v>
      </c>
      <c r="O30" s="16">
        <f>IF(K30="","",K30*100%)</f>
        <v>1</v>
      </c>
      <c r="P30" s="16">
        <f t="shared" si="6"/>
        <v>2</v>
      </c>
    </row>
    <row r="31" spans="1:16" ht="37.25" customHeight="1" x14ac:dyDescent="0.35">
      <c r="A31" s="8">
        <v>2</v>
      </c>
      <c r="B31" s="52" t="s">
        <v>48</v>
      </c>
      <c r="C31" s="52"/>
      <c r="D31" s="52"/>
      <c r="E31" s="52"/>
      <c r="F31" s="17">
        <f>SUM(F32:F33)</f>
        <v>2</v>
      </c>
      <c r="G31" s="12"/>
      <c r="H31" s="20"/>
      <c r="I31" s="14"/>
      <c r="J31" s="15">
        <f t="shared" ref="J31:P31" si="65">SUM(J32:J33)</f>
        <v>2.4</v>
      </c>
      <c r="K31" s="15">
        <f t="shared" si="65"/>
        <v>2</v>
      </c>
      <c r="L31" s="15">
        <f t="shared" si="65"/>
        <v>2.4</v>
      </c>
      <c r="M31" s="15">
        <f t="shared" si="65"/>
        <v>2</v>
      </c>
      <c r="N31" s="15">
        <f t="shared" si="65"/>
        <v>2.4</v>
      </c>
      <c r="O31" s="15">
        <f t="shared" si="65"/>
        <v>2</v>
      </c>
      <c r="P31" s="15">
        <f t="shared" si="65"/>
        <v>2.4</v>
      </c>
    </row>
    <row r="32" spans="1:16" ht="46.5" x14ac:dyDescent="0.35">
      <c r="A32" s="9">
        <v>2.1</v>
      </c>
      <c r="B32" s="28" t="s">
        <v>78</v>
      </c>
      <c r="C32" s="9" t="s">
        <v>46</v>
      </c>
      <c r="D32" s="9" t="s">
        <v>56</v>
      </c>
      <c r="E32" s="9" t="s">
        <v>69</v>
      </c>
      <c r="F32" s="18">
        <v>1</v>
      </c>
      <c r="G32" s="9" t="s">
        <v>43</v>
      </c>
      <c r="H32" s="18">
        <f>IF(G32="","",IF(G32="Khó và phức tạp",200,IF(G32="Cao",150,IF(G32="Trung bình",120,100))))</f>
        <v>120</v>
      </c>
      <c r="I32" s="16">
        <f>IF(H32="","",H32*0.01)</f>
        <v>1.2</v>
      </c>
      <c r="J32" s="16">
        <f>IF(F32="","",F32*I32)</f>
        <v>1.2</v>
      </c>
      <c r="K32" s="16">
        <f>IF(F32="","",F32*100%)</f>
        <v>1</v>
      </c>
      <c r="L32" s="16">
        <f t="shared" ref="L32:L33" si="66">IF(K32="","",K32*I32)</f>
        <v>1.2</v>
      </c>
      <c r="M32" s="16">
        <f>IF(K32="","",K32*100%)</f>
        <v>1</v>
      </c>
      <c r="N32" s="16">
        <f>IF(M32="","",I32*M32)</f>
        <v>1.2</v>
      </c>
      <c r="O32" s="16">
        <f>IF(K32="","",K32*100%)</f>
        <v>1</v>
      </c>
      <c r="P32" s="16">
        <f>IF(O32="","",I32*O32)</f>
        <v>1.2</v>
      </c>
    </row>
    <row r="33" spans="1:16" ht="115.75" customHeight="1" x14ac:dyDescent="0.35">
      <c r="A33" s="9">
        <v>2.2000000000000002</v>
      </c>
      <c r="B33" s="21" t="s">
        <v>105</v>
      </c>
      <c r="C33" s="25" t="s">
        <v>104</v>
      </c>
      <c r="D33" s="9" t="s">
        <v>56</v>
      </c>
      <c r="E33" s="9"/>
      <c r="F33" s="18">
        <v>1</v>
      </c>
      <c r="G33" s="9" t="s">
        <v>43</v>
      </c>
      <c r="H33" s="18">
        <f>IF(G33="","",IF(G33="Khó và phức tạp",200,IF(G33="Cao",150,IF(G33="Trung bình",120,100))))</f>
        <v>120</v>
      </c>
      <c r="I33" s="16">
        <f>IF(H33="","",H33*0.01)</f>
        <v>1.2</v>
      </c>
      <c r="J33" s="16">
        <f>IF(F33="","",F33*I33)</f>
        <v>1.2</v>
      </c>
      <c r="K33" s="16">
        <f>IF(F33="","",F33*100%)</f>
        <v>1</v>
      </c>
      <c r="L33" s="16">
        <f t="shared" si="66"/>
        <v>1.2</v>
      </c>
      <c r="M33" s="16">
        <f>IF(K33="","",K33*100%)</f>
        <v>1</v>
      </c>
      <c r="N33" s="16">
        <f>IF(M33="","",I33*M33)</f>
        <v>1.2</v>
      </c>
      <c r="O33" s="16">
        <f>IF(K33="","",K33*100%)</f>
        <v>1</v>
      </c>
      <c r="P33" s="16">
        <f>IF(O33="","",I33*O33)</f>
        <v>1.2</v>
      </c>
    </row>
    <row r="34" spans="1:16" ht="28.25" customHeight="1" x14ac:dyDescent="0.35">
      <c r="A34" s="8">
        <v>3</v>
      </c>
      <c r="B34" s="52" t="s">
        <v>49</v>
      </c>
      <c r="C34" s="52"/>
      <c r="D34" s="52"/>
      <c r="E34" s="52"/>
      <c r="F34" s="17">
        <f>SUM(F35:F35)</f>
        <v>2</v>
      </c>
      <c r="G34" s="12"/>
      <c r="H34" s="20"/>
      <c r="I34" s="14"/>
      <c r="J34" s="15">
        <f t="shared" ref="J34:P34" si="67">SUM(J35:J35)</f>
        <v>4</v>
      </c>
      <c r="K34" s="15">
        <f t="shared" si="67"/>
        <v>2</v>
      </c>
      <c r="L34" s="15">
        <f t="shared" si="67"/>
        <v>4</v>
      </c>
      <c r="M34" s="15">
        <f t="shared" si="67"/>
        <v>2</v>
      </c>
      <c r="N34" s="15">
        <f t="shared" si="67"/>
        <v>4</v>
      </c>
      <c r="O34" s="15">
        <f t="shared" si="67"/>
        <v>2</v>
      </c>
      <c r="P34" s="15">
        <f t="shared" si="67"/>
        <v>4</v>
      </c>
    </row>
    <row r="35" spans="1:16" ht="77.5" x14ac:dyDescent="0.35">
      <c r="A35" s="9">
        <v>3.1</v>
      </c>
      <c r="B35" s="10" t="s">
        <v>112</v>
      </c>
      <c r="C35" s="9" t="s">
        <v>39</v>
      </c>
      <c r="D35" s="9" t="s">
        <v>56</v>
      </c>
      <c r="E35" s="9" t="s">
        <v>79</v>
      </c>
      <c r="F35" s="18">
        <v>2</v>
      </c>
      <c r="G35" s="9" t="s">
        <v>41</v>
      </c>
      <c r="H35" s="18">
        <f>IF(G35="","",IF(G35="Khó và phức tạp",200,IF(G35="Cao",150,IF(G35="Trung bình",120,100))))</f>
        <v>200</v>
      </c>
      <c r="I35" s="16">
        <f>IF(H35="","",H35*0.01)</f>
        <v>2</v>
      </c>
      <c r="J35" s="16">
        <f>IF(F35="","",F35*I35)</f>
        <v>4</v>
      </c>
      <c r="K35" s="16">
        <f>IF(F35="","",F35*100%)</f>
        <v>2</v>
      </c>
      <c r="L35" s="16">
        <f t="shared" ref="L35" si="68">IF(K35="","",K35*I35)</f>
        <v>4</v>
      </c>
      <c r="M35" s="16">
        <f>IF(K35="","",K35*100%)</f>
        <v>2</v>
      </c>
      <c r="N35" s="16">
        <f>IF(M35="","",I35*M35)</f>
        <v>4</v>
      </c>
      <c r="O35" s="16">
        <f>IF(K35="","",K35*100%)</f>
        <v>2</v>
      </c>
      <c r="P35" s="16">
        <f>IF(O35="","",I35*O35)</f>
        <v>4</v>
      </c>
    </row>
    <row r="36" spans="1:16" ht="34.25" customHeight="1" x14ac:dyDescent="0.35">
      <c r="A36" s="8">
        <v>4</v>
      </c>
      <c r="B36" s="52" t="s">
        <v>50</v>
      </c>
      <c r="C36" s="52"/>
      <c r="D36" s="52"/>
      <c r="E36" s="52"/>
      <c r="F36" s="17">
        <f>SUM(F37:F42)</f>
        <v>3</v>
      </c>
      <c r="G36" s="12"/>
      <c r="H36" s="20"/>
      <c r="I36" s="14"/>
      <c r="J36" s="15" t="e">
        <f t="shared" ref="J36:P36" si="69">SUM(J37:J42)</f>
        <v>#VALUE!</v>
      </c>
      <c r="K36" s="15">
        <f t="shared" si="69"/>
        <v>1</v>
      </c>
      <c r="L36" s="15" t="e">
        <f t="shared" si="69"/>
        <v>#VALUE!</v>
      </c>
      <c r="M36" s="15">
        <f t="shared" si="69"/>
        <v>1</v>
      </c>
      <c r="N36" s="15" t="e">
        <f t="shared" si="69"/>
        <v>#VALUE!</v>
      </c>
      <c r="O36" s="15">
        <f t="shared" si="69"/>
        <v>1</v>
      </c>
      <c r="P36" s="15" t="e">
        <f t="shared" si="69"/>
        <v>#VALUE!</v>
      </c>
    </row>
    <row r="37" spans="1:16" ht="55.75" customHeight="1" x14ac:dyDescent="0.35">
      <c r="A37" s="9">
        <v>4.0999999999999996</v>
      </c>
      <c r="B37" s="21" t="s">
        <v>106</v>
      </c>
      <c r="C37" s="9" t="s">
        <v>80</v>
      </c>
      <c r="D37" s="9" t="s">
        <v>56</v>
      </c>
      <c r="E37" s="9" t="s">
        <v>65</v>
      </c>
      <c r="F37" s="18">
        <v>1</v>
      </c>
      <c r="G37" s="9" t="s">
        <v>43</v>
      </c>
      <c r="H37" s="18">
        <f t="shared" ref="H37:H42" si="70">IF(G37="","",IF(G37="Khó và phức tạp",200,IF(G37="Cao",150,IF(G37="Trung bình",120,100))))</f>
        <v>120</v>
      </c>
      <c r="I37" s="16">
        <f t="shared" ref="I37:I42" si="71">IF(H37="","",H37*0.01)</f>
        <v>1.2</v>
      </c>
      <c r="J37" s="16">
        <f>IF(F37="","",F37*I37)</f>
        <v>1.2</v>
      </c>
      <c r="K37" s="16">
        <f>IF(F37="","",F37*100%)</f>
        <v>1</v>
      </c>
      <c r="L37" s="16">
        <f t="shared" ref="L37:L42" si="72">IF(K37="","",K37*I37)</f>
        <v>1.2</v>
      </c>
      <c r="M37" s="16">
        <f>IF(K37="","",K37*100%)</f>
        <v>1</v>
      </c>
      <c r="N37" s="16">
        <f>IF(M37="","",I37*M37)</f>
        <v>1.2</v>
      </c>
      <c r="O37" s="16">
        <f>IF(K37="","",K37*100%)</f>
        <v>1</v>
      </c>
      <c r="P37" s="16">
        <f>IF(O37="","",I37*O37)</f>
        <v>1.2</v>
      </c>
    </row>
    <row r="38" spans="1:16" ht="16" customHeight="1" x14ac:dyDescent="0.35">
      <c r="A38" s="9"/>
      <c r="B38" s="10" t="s">
        <v>113</v>
      </c>
      <c r="C38" s="9"/>
      <c r="D38" s="9" t="s">
        <v>56</v>
      </c>
      <c r="E38" s="9" t="s">
        <v>114</v>
      </c>
      <c r="F38" s="18">
        <v>2</v>
      </c>
      <c r="G38" s="9" t="s">
        <v>41</v>
      </c>
      <c r="H38" s="18">
        <f t="shared" si="70"/>
        <v>200</v>
      </c>
      <c r="I38" s="16">
        <f t="shared" si="71"/>
        <v>2</v>
      </c>
      <c r="J38" s="16"/>
      <c r="K38" s="16"/>
      <c r="L38" s="16" t="str">
        <f t="shared" si="72"/>
        <v/>
      </c>
      <c r="M38" s="16"/>
      <c r="N38" s="16"/>
      <c r="O38" s="16"/>
      <c r="P38" s="16"/>
    </row>
    <row r="39" spans="1:16" ht="16" customHeight="1" x14ac:dyDescent="0.35">
      <c r="A39" s="9"/>
      <c r="B39" s="10"/>
      <c r="C39" s="9"/>
      <c r="D39" s="9"/>
      <c r="E39" s="9"/>
      <c r="F39" s="18"/>
      <c r="G39" s="9"/>
      <c r="H39" s="18" t="str">
        <f t="shared" si="70"/>
        <v/>
      </c>
      <c r="I39" s="16" t="str">
        <f t="shared" si="71"/>
        <v/>
      </c>
      <c r="J39" s="16"/>
      <c r="K39" s="16"/>
      <c r="L39" s="16" t="str">
        <f t="shared" si="72"/>
        <v/>
      </c>
      <c r="M39" s="16"/>
      <c r="N39" s="16"/>
      <c r="O39" s="16"/>
      <c r="P39" s="16"/>
    </row>
    <row r="40" spans="1:16" ht="16" customHeight="1" x14ac:dyDescent="0.35">
      <c r="A40" s="9"/>
      <c r="B40" s="10"/>
      <c r="C40" s="9"/>
      <c r="D40" s="9"/>
      <c r="E40" s="9"/>
      <c r="F40" s="18"/>
      <c r="G40" s="9"/>
      <c r="H40" s="18" t="str">
        <f t="shared" si="70"/>
        <v/>
      </c>
      <c r="I40" s="16" t="str">
        <f t="shared" si="71"/>
        <v/>
      </c>
      <c r="J40" s="16"/>
      <c r="K40" s="16"/>
      <c r="L40" s="16" t="str">
        <f t="shared" si="72"/>
        <v/>
      </c>
      <c r="M40" s="16"/>
      <c r="N40" s="16"/>
      <c r="O40" s="16"/>
      <c r="P40" s="16"/>
    </row>
    <row r="41" spans="1:16" ht="16" customHeight="1" x14ac:dyDescent="0.35">
      <c r="A41" s="9"/>
      <c r="B41" s="10"/>
      <c r="C41" s="9"/>
      <c r="D41" s="9"/>
      <c r="E41" s="9"/>
      <c r="F41" s="18"/>
      <c r="G41" s="9"/>
      <c r="H41" s="18" t="str">
        <f t="shared" si="70"/>
        <v/>
      </c>
      <c r="I41" s="16" t="str">
        <f t="shared" si="71"/>
        <v/>
      </c>
      <c r="J41" s="16" t="e">
        <f t="shared" ref="J41:J42" si="73">F41*I41</f>
        <v>#VALUE!</v>
      </c>
      <c r="K41" s="16">
        <f t="shared" ref="K41:K42" si="74">F41*100%</f>
        <v>0</v>
      </c>
      <c r="L41" s="16" t="e">
        <f t="shared" si="72"/>
        <v>#VALUE!</v>
      </c>
      <c r="M41" s="16">
        <f t="shared" ref="M41:M42" si="75">K41*75%</f>
        <v>0</v>
      </c>
      <c r="N41" s="16" t="e">
        <f t="shared" ref="N41:N42" si="76">I41*M41</f>
        <v>#VALUE!</v>
      </c>
      <c r="O41" s="16">
        <f t="shared" ref="O41:O42" si="77">K41*100%</f>
        <v>0</v>
      </c>
      <c r="P41" s="16" t="e">
        <f t="shared" ref="P41:P42" si="78">I41*O41</f>
        <v>#VALUE!</v>
      </c>
    </row>
    <row r="42" spans="1:16" ht="16" customHeight="1" x14ac:dyDescent="0.35">
      <c r="A42" s="9"/>
      <c r="B42" s="10"/>
      <c r="C42" s="9"/>
      <c r="D42" s="9"/>
      <c r="E42" s="9"/>
      <c r="F42" s="18"/>
      <c r="G42" s="9"/>
      <c r="H42" s="18" t="str">
        <f t="shared" si="70"/>
        <v/>
      </c>
      <c r="I42" s="16" t="str">
        <f t="shared" si="71"/>
        <v/>
      </c>
      <c r="J42" s="16" t="e">
        <f t="shared" si="73"/>
        <v>#VALUE!</v>
      </c>
      <c r="K42" s="16">
        <f t="shared" si="74"/>
        <v>0</v>
      </c>
      <c r="L42" s="16" t="e">
        <f t="shared" si="72"/>
        <v>#VALUE!</v>
      </c>
      <c r="M42" s="16">
        <f t="shared" si="75"/>
        <v>0</v>
      </c>
      <c r="N42" s="16" t="e">
        <f t="shared" si="76"/>
        <v>#VALUE!</v>
      </c>
      <c r="O42" s="16">
        <f t="shared" si="77"/>
        <v>0</v>
      </c>
      <c r="P42" s="16" t="e">
        <f t="shared" si="78"/>
        <v>#VALUE!</v>
      </c>
    </row>
    <row r="43" spans="1:16" ht="39.65" customHeight="1" x14ac:dyDescent="0.35">
      <c r="A43" s="8">
        <v>5</v>
      </c>
      <c r="B43" s="52" t="s">
        <v>51</v>
      </c>
      <c r="C43" s="52"/>
      <c r="D43" s="52"/>
      <c r="E43" s="52"/>
      <c r="F43" s="17">
        <f>SUM(F44:F49)</f>
        <v>1</v>
      </c>
      <c r="G43" s="12"/>
      <c r="H43" s="20"/>
      <c r="I43" s="14"/>
      <c r="J43" s="15">
        <f t="shared" ref="J43:P43" si="79">SUM(J44:J49)</f>
        <v>1</v>
      </c>
      <c r="K43" s="15">
        <f t="shared" si="79"/>
        <v>1</v>
      </c>
      <c r="L43" s="15">
        <f t="shared" si="79"/>
        <v>1</v>
      </c>
      <c r="M43" s="15">
        <f t="shared" si="79"/>
        <v>1</v>
      </c>
      <c r="N43" s="15">
        <f t="shared" si="79"/>
        <v>1</v>
      </c>
      <c r="O43" s="15">
        <f t="shared" si="79"/>
        <v>1</v>
      </c>
      <c r="P43" s="15">
        <f t="shared" si="79"/>
        <v>1</v>
      </c>
    </row>
    <row r="44" spans="1:16" ht="45" customHeight="1" x14ac:dyDescent="0.35">
      <c r="A44" s="9">
        <v>5.0999999999999996</v>
      </c>
      <c r="B44" s="10" t="s">
        <v>81</v>
      </c>
      <c r="C44" s="9" t="s">
        <v>39</v>
      </c>
      <c r="D44" s="9" t="s">
        <v>56</v>
      </c>
      <c r="E44" s="9" t="s">
        <v>82</v>
      </c>
      <c r="F44" s="18">
        <v>1</v>
      </c>
      <c r="G44" s="9" t="s">
        <v>47</v>
      </c>
      <c r="H44" s="18">
        <f t="shared" ref="H44:H49" si="80">IF(G44="","",IF(G44="Khó và phức tạp",200,IF(G44="Cao",150,IF(G44="Trung bình",120,100))))</f>
        <v>100</v>
      </c>
      <c r="I44" s="16">
        <f t="shared" ref="I44:I49" si="81">IF(H44="","",H44*0.01)</f>
        <v>1</v>
      </c>
      <c r="J44" s="16">
        <f t="shared" ref="J44:J49" si="82">IF(F44="","",F44*I44)</f>
        <v>1</v>
      </c>
      <c r="K44" s="16">
        <f t="shared" ref="K44:K49" si="83">IF(F44="","",F44*100%)</f>
        <v>1</v>
      </c>
      <c r="L44" s="16">
        <f t="shared" ref="L44:L49" si="84">IF(K44="","",K44*I44)</f>
        <v>1</v>
      </c>
      <c r="M44" s="16">
        <f t="shared" ref="M44:M49" si="85">IF(K44="","",K44*100%)</f>
        <v>1</v>
      </c>
      <c r="N44" s="16">
        <f t="shared" ref="N44:N49" si="86">IF(M44="","",I44*M44)</f>
        <v>1</v>
      </c>
      <c r="O44" s="16">
        <f t="shared" ref="O44:O49" si="87">IF(K44="","",K44*100%)</f>
        <v>1</v>
      </c>
      <c r="P44" s="16">
        <f t="shared" ref="P44:P49" si="88">IF(O44="","",I44*O44)</f>
        <v>1</v>
      </c>
    </row>
    <row r="45" spans="1:16" ht="16" customHeight="1" x14ac:dyDescent="0.35">
      <c r="A45" s="9"/>
      <c r="B45" s="10"/>
      <c r="C45" s="9"/>
      <c r="D45" s="9"/>
      <c r="E45" s="9"/>
      <c r="F45" s="18"/>
      <c r="G45" s="9"/>
      <c r="H45" s="18" t="str">
        <f t="shared" si="80"/>
        <v/>
      </c>
      <c r="I45" s="16" t="str">
        <f t="shared" si="81"/>
        <v/>
      </c>
      <c r="J45" s="16" t="str">
        <f t="shared" si="82"/>
        <v/>
      </c>
      <c r="K45" s="16" t="str">
        <f t="shared" si="83"/>
        <v/>
      </c>
      <c r="L45" s="16" t="str">
        <f t="shared" si="84"/>
        <v/>
      </c>
      <c r="M45" s="16" t="str">
        <f t="shared" si="85"/>
        <v/>
      </c>
      <c r="N45" s="16" t="str">
        <f t="shared" si="86"/>
        <v/>
      </c>
      <c r="O45" s="16" t="str">
        <f t="shared" si="87"/>
        <v/>
      </c>
      <c r="P45" s="16" t="str">
        <f t="shared" si="88"/>
        <v/>
      </c>
    </row>
    <row r="46" spans="1:16" ht="16" customHeight="1" x14ac:dyDescent="0.35">
      <c r="A46" s="9"/>
      <c r="B46" s="10"/>
      <c r="C46" s="9"/>
      <c r="D46" s="9"/>
      <c r="E46" s="9"/>
      <c r="F46" s="18"/>
      <c r="G46" s="9"/>
      <c r="H46" s="18" t="str">
        <f t="shared" si="80"/>
        <v/>
      </c>
      <c r="I46" s="16" t="str">
        <f t="shared" si="81"/>
        <v/>
      </c>
      <c r="J46" s="16" t="str">
        <f t="shared" si="82"/>
        <v/>
      </c>
      <c r="K46" s="16" t="str">
        <f t="shared" si="83"/>
        <v/>
      </c>
      <c r="L46" s="16" t="str">
        <f t="shared" si="84"/>
        <v/>
      </c>
      <c r="M46" s="16" t="str">
        <f t="shared" si="85"/>
        <v/>
      </c>
      <c r="N46" s="16" t="str">
        <f t="shared" si="86"/>
        <v/>
      </c>
      <c r="O46" s="16" t="str">
        <f t="shared" si="87"/>
        <v/>
      </c>
      <c r="P46" s="16" t="str">
        <f t="shared" si="88"/>
        <v/>
      </c>
    </row>
    <row r="47" spans="1:16" ht="16" customHeight="1" x14ac:dyDescent="0.35">
      <c r="A47" s="9"/>
      <c r="B47" s="10"/>
      <c r="C47" s="9"/>
      <c r="D47" s="9"/>
      <c r="E47" s="9"/>
      <c r="F47" s="18"/>
      <c r="G47" s="9"/>
      <c r="H47" s="18" t="str">
        <f t="shared" si="80"/>
        <v/>
      </c>
      <c r="I47" s="16" t="str">
        <f t="shared" si="81"/>
        <v/>
      </c>
      <c r="J47" s="16" t="str">
        <f t="shared" si="82"/>
        <v/>
      </c>
      <c r="K47" s="16" t="str">
        <f t="shared" si="83"/>
        <v/>
      </c>
      <c r="L47" s="16" t="str">
        <f t="shared" si="84"/>
        <v/>
      </c>
      <c r="M47" s="16" t="str">
        <f t="shared" si="85"/>
        <v/>
      </c>
      <c r="N47" s="16" t="str">
        <f t="shared" si="86"/>
        <v/>
      </c>
      <c r="O47" s="16" t="str">
        <f t="shared" si="87"/>
        <v/>
      </c>
      <c r="P47" s="16" t="str">
        <f t="shared" si="88"/>
        <v/>
      </c>
    </row>
    <row r="48" spans="1:16" ht="16" customHeight="1" x14ac:dyDescent="0.35">
      <c r="A48" s="9"/>
      <c r="B48" s="10"/>
      <c r="C48" s="9"/>
      <c r="D48" s="9"/>
      <c r="E48" s="9"/>
      <c r="F48" s="18"/>
      <c r="G48" s="9"/>
      <c r="H48" s="18" t="str">
        <f t="shared" si="80"/>
        <v/>
      </c>
      <c r="I48" s="16" t="str">
        <f t="shared" si="81"/>
        <v/>
      </c>
      <c r="J48" s="16" t="str">
        <f t="shared" si="82"/>
        <v/>
      </c>
      <c r="K48" s="16" t="str">
        <f t="shared" si="83"/>
        <v/>
      </c>
      <c r="L48" s="16" t="str">
        <f t="shared" si="84"/>
        <v/>
      </c>
      <c r="M48" s="16" t="str">
        <f t="shared" si="85"/>
        <v/>
      </c>
      <c r="N48" s="16" t="str">
        <f t="shared" si="86"/>
        <v/>
      </c>
      <c r="O48" s="16" t="str">
        <f t="shared" si="87"/>
        <v/>
      </c>
      <c r="P48" s="16" t="str">
        <f t="shared" si="88"/>
        <v/>
      </c>
    </row>
    <row r="49" spans="1:16" ht="16" customHeight="1" x14ac:dyDescent="0.35">
      <c r="A49" s="9"/>
      <c r="B49" s="10"/>
      <c r="C49" s="9"/>
      <c r="D49" s="9"/>
      <c r="E49" s="9"/>
      <c r="F49" s="18"/>
      <c r="G49" s="9"/>
      <c r="H49" s="18" t="str">
        <f t="shared" si="80"/>
        <v/>
      </c>
      <c r="I49" s="16" t="str">
        <f t="shared" si="81"/>
        <v/>
      </c>
      <c r="J49" s="16" t="str">
        <f t="shared" si="82"/>
        <v/>
      </c>
      <c r="K49" s="16" t="str">
        <f t="shared" si="83"/>
        <v/>
      </c>
      <c r="L49" s="16" t="str">
        <f t="shared" si="84"/>
        <v/>
      </c>
      <c r="M49" s="16" t="str">
        <f t="shared" si="85"/>
        <v/>
      </c>
      <c r="N49" s="16" t="str">
        <f t="shared" si="86"/>
        <v/>
      </c>
      <c r="O49" s="16" t="str">
        <f t="shared" si="87"/>
        <v/>
      </c>
      <c r="P49" s="16" t="str">
        <f t="shared" si="88"/>
        <v/>
      </c>
    </row>
    <row r="50" spans="1:16" ht="34.75" customHeight="1" x14ac:dyDescent="0.35">
      <c r="A50" s="8">
        <v>6</v>
      </c>
      <c r="B50" s="50" t="s">
        <v>52</v>
      </c>
      <c r="C50" s="51"/>
      <c r="D50" s="51"/>
      <c r="E50" s="51"/>
      <c r="F50" s="17">
        <f>SUM(F51:F52)</f>
        <v>1</v>
      </c>
      <c r="G50" s="12"/>
      <c r="H50" s="20"/>
      <c r="I50" s="14"/>
      <c r="J50" s="15">
        <f t="shared" ref="J50:P50" si="89">SUM(J51:J52)</f>
        <v>2</v>
      </c>
      <c r="K50" s="15">
        <f t="shared" si="89"/>
        <v>1</v>
      </c>
      <c r="L50" s="15">
        <f t="shared" si="89"/>
        <v>2</v>
      </c>
      <c r="M50" s="15">
        <f t="shared" si="89"/>
        <v>1</v>
      </c>
      <c r="N50" s="15">
        <f t="shared" si="89"/>
        <v>2</v>
      </c>
      <c r="O50" s="15">
        <f t="shared" si="89"/>
        <v>1</v>
      </c>
      <c r="P50" s="15">
        <f t="shared" si="89"/>
        <v>2</v>
      </c>
    </row>
    <row r="51" spans="1:16" ht="77.5" x14ac:dyDescent="0.35">
      <c r="A51" s="9">
        <v>6.1</v>
      </c>
      <c r="B51" s="10" t="s">
        <v>83</v>
      </c>
      <c r="C51" s="9" t="s">
        <v>39</v>
      </c>
      <c r="D51" s="9" t="s">
        <v>56</v>
      </c>
      <c r="E51" s="9" t="s">
        <v>84</v>
      </c>
      <c r="F51" s="18">
        <v>1</v>
      </c>
      <c r="G51" s="9" t="s">
        <v>41</v>
      </c>
      <c r="H51" s="18">
        <f>IF(G51="","",IF(G51="Khó và phức tạp",200,IF(G51="Cao",150,IF(G51="Trung bình",120,100))))</f>
        <v>200</v>
      </c>
      <c r="I51" s="16">
        <f>IF(H51="","",H51*0.01)</f>
        <v>2</v>
      </c>
      <c r="J51" s="16">
        <f t="shared" ref="J51:J52" si="90">IF(F51="","",F51*I51)</f>
        <v>2</v>
      </c>
      <c r="K51" s="16">
        <f t="shared" ref="K51:K52" si="91">IF(F51="","",F51*100%)</f>
        <v>1</v>
      </c>
      <c r="L51" s="16">
        <f t="shared" ref="L51:L52" si="92">IF(K51="","",K51*I51)</f>
        <v>2</v>
      </c>
      <c r="M51" s="16">
        <f t="shared" ref="M51:M52" si="93">IF(K51="","",K51*100%)</f>
        <v>1</v>
      </c>
      <c r="N51" s="16">
        <f t="shared" ref="N51:N52" si="94">IF(M51="","",I51*M51)</f>
        <v>2</v>
      </c>
      <c r="O51" s="16">
        <f t="shared" ref="O51:O52" si="95">IF(K51="","",K51*100%)</f>
        <v>1</v>
      </c>
      <c r="P51" s="16">
        <f t="shared" ref="P51:P52" si="96">IF(O51="","",I51*O51)</f>
        <v>2</v>
      </c>
    </row>
    <row r="52" spans="1:16" ht="16" customHeight="1" x14ac:dyDescent="0.35">
      <c r="A52" s="9"/>
      <c r="B52" s="10"/>
      <c r="C52" s="9"/>
      <c r="D52" s="9"/>
      <c r="E52" s="9"/>
      <c r="F52" s="18"/>
      <c r="G52" s="9"/>
      <c r="H52" s="18"/>
      <c r="I52" s="16"/>
      <c r="J52" s="16" t="str">
        <f t="shared" si="90"/>
        <v/>
      </c>
      <c r="K52" s="16" t="str">
        <f t="shared" si="91"/>
        <v/>
      </c>
      <c r="L52" s="16" t="str">
        <f t="shared" si="92"/>
        <v/>
      </c>
      <c r="M52" s="16" t="str">
        <f t="shared" si="93"/>
        <v/>
      </c>
      <c r="N52" s="16" t="str">
        <f t="shared" si="94"/>
        <v/>
      </c>
      <c r="O52" s="16" t="str">
        <f t="shared" si="95"/>
        <v/>
      </c>
      <c r="P52" s="16" t="str">
        <f t="shared" si="96"/>
        <v/>
      </c>
    </row>
    <row r="53" spans="1:16" ht="20.9" customHeight="1" x14ac:dyDescent="0.35">
      <c r="A53" s="8" t="s">
        <v>53</v>
      </c>
      <c r="B53" s="50" t="s">
        <v>54</v>
      </c>
      <c r="C53" s="51"/>
      <c r="D53" s="51"/>
      <c r="E53" s="51"/>
      <c r="F53" s="17">
        <f>SUM(F54:F56)</f>
        <v>0</v>
      </c>
      <c r="G53" s="12"/>
      <c r="H53" s="14"/>
      <c r="I53" s="14"/>
      <c r="J53" s="15">
        <f t="shared" ref="J53:P53" si="97">SUM(J54:J56)</f>
        <v>0</v>
      </c>
      <c r="K53" s="15">
        <f t="shared" si="97"/>
        <v>0</v>
      </c>
      <c r="L53" s="15">
        <f t="shared" si="97"/>
        <v>0</v>
      </c>
      <c r="M53" s="15">
        <f t="shared" si="97"/>
        <v>0</v>
      </c>
      <c r="N53" s="15">
        <f t="shared" si="97"/>
        <v>0</v>
      </c>
      <c r="O53" s="15">
        <f t="shared" si="97"/>
        <v>0</v>
      </c>
      <c r="P53" s="15">
        <f t="shared" si="97"/>
        <v>0</v>
      </c>
    </row>
    <row r="54" spans="1:16" ht="16" customHeight="1" x14ac:dyDescent="0.35">
      <c r="A54" s="9"/>
      <c r="B54" s="10"/>
      <c r="C54" s="9"/>
      <c r="D54" s="9"/>
      <c r="E54" s="9"/>
      <c r="F54" s="18"/>
      <c r="G54" s="9"/>
      <c r="H54" s="16"/>
      <c r="I54" s="16"/>
      <c r="J54" s="16">
        <f t="shared" ref="J54:J56" si="98">F54*I54</f>
        <v>0</v>
      </c>
      <c r="K54" s="16">
        <f t="shared" ref="K54:K56" si="99">F54*100%</f>
        <v>0</v>
      </c>
      <c r="L54" s="16">
        <f t="shared" ref="L54:L56" si="100">K54*I54</f>
        <v>0</v>
      </c>
      <c r="M54" s="16">
        <f t="shared" ref="M54:M56" si="101">K54*75%</f>
        <v>0</v>
      </c>
      <c r="N54" s="16">
        <f t="shared" ref="N54:N56" si="102">I54*M54</f>
        <v>0</v>
      </c>
      <c r="O54" s="16">
        <f t="shared" ref="O54:O56" si="103">K54*100%</f>
        <v>0</v>
      </c>
      <c r="P54" s="16">
        <f t="shared" ref="P54:P56" si="104">I54*O54</f>
        <v>0</v>
      </c>
    </row>
    <row r="55" spans="1:16" ht="16" customHeight="1" x14ac:dyDescent="0.35">
      <c r="A55" s="9"/>
      <c r="B55" s="10"/>
      <c r="C55" s="9"/>
      <c r="D55" s="9"/>
      <c r="E55" s="9"/>
      <c r="F55" s="18"/>
      <c r="G55" s="9"/>
      <c r="H55" s="16"/>
      <c r="I55" s="16"/>
      <c r="J55" s="16">
        <f t="shared" si="98"/>
        <v>0</v>
      </c>
      <c r="K55" s="16">
        <f t="shared" si="99"/>
        <v>0</v>
      </c>
      <c r="L55" s="16">
        <f t="shared" si="100"/>
        <v>0</v>
      </c>
      <c r="M55" s="16">
        <f t="shared" si="101"/>
        <v>0</v>
      </c>
      <c r="N55" s="16">
        <f t="shared" si="102"/>
        <v>0</v>
      </c>
      <c r="O55" s="16">
        <f t="shared" si="103"/>
        <v>0</v>
      </c>
      <c r="P55" s="16">
        <f t="shared" si="104"/>
        <v>0</v>
      </c>
    </row>
    <row r="56" spans="1:16" ht="16" customHeight="1" x14ac:dyDescent="0.35">
      <c r="A56" s="9"/>
      <c r="B56" s="10"/>
      <c r="C56" s="9"/>
      <c r="D56" s="9"/>
      <c r="E56" s="9"/>
      <c r="F56" s="18"/>
      <c r="G56" s="9"/>
      <c r="H56" s="16"/>
      <c r="I56" s="16"/>
      <c r="J56" s="16">
        <f t="shared" si="98"/>
        <v>0</v>
      </c>
      <c r="K56" s="16">
        <f t="shared" si="99"/>
        <v>0</v>
      </c>
      <c r="L56" s="16">
        <f t="shared" si="100"/>
        <v>0</v>
      </c>
      <c r="M56" s="16">
        <f t="shared" si="101"/>
        <v>0</v>
      </c>
      <c r="N56" s="16">
        <f t="shared" si="102"/>
        <v>0</v>
      </c>
      <c r="O56" s="16">
        <f t="shared" si="103"/>
        <v>0</v>
      </c>
      <c r="P56" s="16">
        <f t="shared" si="104"/>
        <v>0</v>
      </c>
    </row>
    <row r="57" spans="1:16" s="2" customFormat="1" ht="15.5" x14ac:dyDescent="0.35">
      <c r="B57" s="38"/>
      <c r="C57" s="38"/>
      <c r="D57" s="38"/>
      <c r="E57" s="38"/>
      <c r="F57" s="38"/>
      <c r="G57" s="38"/>
      <c r="H57" s="38"/>
      <c r="I57" s="38"/>
      <c r="J57" s="38"/>
      <c r="K57" s="38"/>
      <c r="L57" s="38"/>
      <c r="M57" s="38"/>
      <c r="N57" s="38"/>
      <c r="O57" s="38"/>
      <c r="P57" s="38"/>
    </row>
    <row r="58" spans="1:16" s="3" customFormat="1" ht="105" customHeight="1" x14ac:dyDescent="0.35">
      <c r="A58" s="32" t="s">
        <v>85</v>
      </c>
      <c r="B58" s="32"/>
      <c r="C58" s="32"/>
      <c r="D58" s="6"/>
      <c r="G58" s="29" t="s">
        <v>115</v>
      </c>
      <c r="H58" s="30"/>
      <c r="I58" s="30"/>
      <c r="J58" s="30"/>
      <c r="K58" s="30"/>
      <c r="L58" s="31"/>
      <c r="M58" s="31"/>
      <c r="N58" s="31"/>
      <c r="O58" s="31"/>
      <c r="P58" s="31"/>
    </row>
  </sheetData>
  <mergeCells count="31">
    <mergeCell ref="A2:C2"/>
    <mergeCell ref="A3:C3"/>
    <mergeCell ref="B50:E50"/>
    <mergeCell ref="B53:E53"/>
    <mergeCell ref="B10:E10"/>
    <mergeCell ref="B31:E31"/>
    <mergeCell ref="B36:E36"/>
    <mergeCell ref="B34:E34"/>
    <mergeCell ref="B43:E43"/>
    <mergeCell ref="K6:L6"/>
    <mergeCell ref="M6:N6"/>
    <mergeCell ref="O6:P6"/>
    <mergeCell ref="A5:P5"/>
    <mergeCell ref="I6:I7"/>
    <mergeCell ref="J6:J7"/>
    <mergeCell ref="G58:P58"/>
    <mergeCell ref="A58:C58"/>
    <mergeCell ref="A1:P1"/>
    <mergeCell ref="F6:F7"/>
    <mergeCell ref="G6:G7"/>
    <mergeCell ref="A6:A7"/>
    <mergeCell ref="B6:B7"/>
    <mergeCell ref="C6:C7"/>
    <mergeCell ref="D6:D7"/>
    <mergeCell ref="E6:E7"/>
    <mergeCell ref="B9:P9"/>
    <mergeCell ref="B57:P57"/>
    <mergeCell ref="A4:P4"/>
    <mergeCell ref="H6:H7"/>
    <mergeCell ref="G2:P2"/>
    <mergeCell ref="G3:P3"/>
  </mergeCells>
  <phoneticPr fontId="20" type="noConversion"/>
  <conditionalFormatting sqref="C11:C30">
    <cfRule type="dataBar" priority="57">
      <dataBar>
        <cfvo type="min"/>
        <cfvo type="max"/>
        <color rgb="FF638EC6"/>
      </dataBar>
      <extLst>
        <ext xmlns:x14="http://schemas.microsoft.com/office/spreadsheetml/2009/9/main" uri="{B025F937-C7B1-47D3-B67F-A62EFF666E3E}">
          <x14:id>{AD5DDE69-E26F-41BE-8870-09BB121B74F1}</x14:id>
        </ext>
      </extLst>
    </cfRule>
    <cfRule type="dataBar" priority="58">
      <dataBar>
        <cfvo type="min"/>
        <cfvo type="max"/>
        <color rgb="FF638EC6"/>
      </dataBar>
      <extLst>
        <ext xmlns:x14="http://schemas.microsoft.com/office/spreadsheetml/2009/9/main" uri="{B025F937-C7B1-47D3-B67F-A62EFF666E3E}">
          <x14:id>{503E23DC-A883-4E4A-9CEB-0585580125FE}</x14:id>
        </ext>
      </extLst>
    </cfRule>
  </conditionalFormatting>
  <conditionalFormatting sqref="C32">
    <cfRule type="dataBar" priority="11">
      <dataBar>
        <cfvo type="min"/>
        <cfvo type="max"/>
        <color rgb="FF638EC6"/>
      </dataBar>
      <extLst>
        <ext xmlns:x14="http://schemas.microsoft.com/office/spreadsheetml/2009/9/main" uri="{B025F937-C7B1-47D3-B67F-A62EFF666E3E}">
          <x14:id>{B6A8FE37-83C2-4345-9C43-6760EC4B1C36}</x14:id>
        </ext>
      </extLst>
    </cfRule>
    <cfRule type="dataBar" priority="15">
      <dataBar>
        <cfvo type="min"/>
        <cfvo type="max"/>
        <color rgb="FF638EC6"/>
      </dataBar>
      <extLst>
        <ext xmlns:x14="http://schemas.microsoft.com/office/spreadsheetml/2009/9/main" uri="{B025F937-C7B1-47D3-B67F-A62EFF666E3E}">
          <x14:id>{CBD7B373-A4C1-41FB-A25C-F14BF1ED705A}</x14:id>
        </ext>
      </extLst>
    </cfRule>
  </conditionalFormatting>
  <conditionalFormatting sqref="C33">
    <cfRule type="dataBar" priority="1">
      <dataBar>
        <cfvo type="min"/>
        <cfvo type="max"/>
        <color rgb="FF638EC6"/>
      </dataBar>
      <extLst>
        <ext xmlns:x14="http://schemas.microsoft.com/office/spreadsheetml/2009/9/main" uri="{B025F937-C7B1-47D3-B67F-A62EFF666E3E}">
          <x14:id>{324E14D5-4783-47B7-B739-B82422470E73}</x14:id>
        </ext>
      </extLst>
    </cfRule>
    <cfRule type="dataBar" priority="2">
      <dataBar>
        <cfvo type="min"/>
        <cfvo type="max"/>
        <color rgb="FF638EC6"/>
      </dataBar>
      <extLst>
        <ext xmlns:x14="http://schemas.microsoft.com/office/spreadsheetml/2009/9/main" uri="{B025F937-C7B1-47D3-B67F-A62EFF666E3E}">
          <x14:id>{AEE73A56-4F59-4AB3-9A93-15E0A58E561B}</x14:id>
        </ext>
      </extLst>
    </cfRule>
  </conditionalFormatting>
  <conditionalFormatting sqref="C35">
    <cfRule type="dataBar" priority="10">
      <dataBar>
        <cfvo type="min"/>
        <cfvo type="max"/>
        <color rgb="FF638EC6"/>
      </dataBar>
      <extLst>
        <ext xmlns:x14="http://schemas.microsoft.com/office/spreadsheetml/2009/9/main" uri="{B025F937-C7B1-47D3-B67F-A62EFF666E3E}">
          <x14:id>{71A07E31-32A5-4716-86EE-579B79BEF4D3}</x14:id>
        </ext>
      </extLst>
    </cfRule>
    <cfRule type="dataBar" priority="16">
      <dataBar>
        <cfvo type="min"/>
        <cfvo type="max"/>
        <color rgb="FF638EC6"/>
      </dataBar>
      <extLst>
        <ext xmlns:x14="http://schemas.microsoft.com/office/spreadsheetml/2009/9/main" uri="{B025F937-C7B1-47D3-B67F-A62EFF666E3E}">
          <x14:id>{053ED826-4A3B-4E29-9CF6-C5C888A31A9A}</x14:id>
        </ext>
      </extLst>
    </cfRule>
  </conditionalFormatting>
  <conditionalFormatting sqref="C37:C42">
    <cfRule type="dataBar" priority="8">
      <dataBar>
        <cfvo type="min"/>
        <cfvo type="max"/>
        <color rgb="FF638EC6"/>
      </dataBar>
      <extLst>
        <ext xmlns:x14="http://schemas.microsoft.com/office/spreadsheetml/2009/9/main" uri="{B025F937-C7B1-47D3-B67F-A62EFF666E3E}">
          <x14:id>{2B83E0A8-77DA-487D-8518-4B7CEAA9871D}</x14:id>
        </ext>
      </extLst>
    </cfRule>
    <cfRule type="dataBar" priority="18">
      <dataBar>
        <cfvo type="min"/>
        <cfvo type="max"/>
        <color rgb="FF638EC6"/>
      </dataBar>
      <extLst>
        <ext xmlns:x14="http://schemas.microsoft.com/office/spreadsheetml/2009/9/main" uri="{B025F937-C7B1-47D3-B67F-A62EFF666E3E}">
          <x14:id>{43AE063F-6FBA-4145-8E96-3B15FC0C4DF2}</x14:id>
        </ext>
      </extLst>
    </cfRule>
  </conditionalFormatting>
  <conditionalFormatting sqref="C44">
    <cfRule type="dataBar" priority="3">
      <dataBar>
        <cfvo type="min"/>
        <cfvo type="max"/>
        <color rgb="FF638EC6"/>
      </dataBar>
      <extLst>
        <ext xmlns:x14="http://schemas.microsoft.com/office/spreadsheetml/2009/9/main" uri="{B025F937-C7B1-47D3-B67F-A62EFF666E3E}">
          <x14:id>{9CCAE4E3-3658-42DB-A94B-587DEEE27DF0}</x14:id>
        </ext>
      </extLst>
    </cfRule>
    <cfRule type="dataBar" priority="19">
      <dataBar>
        <cfvo type="min"/>
        <cfvo type="max"/>
        <color rgb="FF638EC6"/>
      </dataBar>
      <extLst>
        <ext xmlns:x14="http://schemas.microsoft.com/office/spreadsheetml/2009/9/main" uri="{B025F937-C7B1-47D3-B67F-A62EFF666E3E}">
          <x14:id>{B2DABE0F-7BA8-442A-B48E-1ECE74F6B597}</x14:id>
        </ext>
      </extLst>
    </cfRule>
  </conditionalFormatting>
  <conditionalFormatting sqref="C45:C49">
    <cfRule type="dataBar" priority="7">
      <dataBar>
        <cfvo type="min"/>
        <cfvo type="max"/>
        <color rgb="FF638EC6"/>
      </dataBar>
      <extLst>
        <ext xmlns:x14="http://schemas.microsoft.com/office/spreadsheetml/2009/9/main" uri="{B025F937-C7B1-47D3-B67F-A62EFF666E3E}">
          <x14:id>{99192E55-FB06-435C-B408-7D30282A1F16}</x14:id>
        </ext>
      </extLst>
    </cfRule>
    <cfRule type="dataBar" priority="20">
      <dataBar>
        <cfvo type="min"/>
        <cfvo type="max"/>
        <color rgb="FF638EC6"/>
      </dataBar>
      <extLst>
        <ext xmlns:x14="http://schemas.microsoft.com/office/spreadsheetml/2009/9/main" uri="{B025F937-C7B1-47D3-B67F-A62EFF666E3E}">
          <x14:id>{03A9939A-9B3D-4529-BE0E-4E6837550A17}</x14:id>
        </ext>
      </extLst>
    </cfRule>
  </conditionalFormatting>
  <conditionalFormatting sqref="C51:C52">
    <cfRule type="dataBar" priority="6">
      <dataBar>
        <cfvo type="min"/>
        <cfvo type="max"/>
        <color rgb="FF638EC6"/>
      </dataBar>
      <extLst>
        <ext xmlns:x14="http://schemas.microsoft.com/office/spreadsheetml/2009/9/main" uri="{B025F937-C7B1-47D3-B67F-A62EFF666E3E}">
          <x14:id>{B8831BF6-9681-4498-A1F3-1954F48C6856}</x14:id>
        </ext>
      </extLst>
    </cfRule>
    <cfRule type="dataBar" priority="21">
      <dataBar>
        <cfvo type="min"/>
        <cfvo type="max"/>
        <color rgb="FF638EC6"/>
      </dataBar>
      <extLst>
        <ext xmlns:x14="http://schemas.microsoft.com/office/spreadsheetml/2009/9/main" uri="{B025F937-C7B1-47D3-B67F-A62EFF666E3E}">
          <x14:id>{7E1987A0-3211-4AC2-801D-3D223C64AEAA}</x14:id>
        </ext>
      </extLst>
    </cfRule>
  </conditionalFormatting>
  <conditionalFormatting sqref="C54:C56">
    <cfRule type="dataBar" priority="5">
      <dataBar>
        <cfvo type="min"/>
        <cfvo type="max"/>
        <color rgb="FF638EC6"/>
      </dataBar>
      <extLst>
        <ext xmlns:x14="http://schemas.microsoft.com/office/spreadsheetml/2009/9/main" uri="{B025F937-C7B1-47D3-B67F-A62EFF666E3E}">
          <x14:id>{329FB385-5BEA-4E80-BB5D-3A73CE41BBDA}</x14:id>
        </ext>
      </extLst>
    </cfRule>
    <cfRule type="dataBar" priority="22">
      <dataBar>
        <cfvo type="min"/>
        <cfvo type="max"/>
        <color rgb="FF638EC6"/>
      </dataBar>
      <extLst>
        <ext xmlns:x14="http://schemas.microsoft.com/office/spreadsheetml/2009/9/main" uri="{B025F937-C7B1-47D3-B67F-A62EFF666E3E}">
          <x14:id>{2EA7D65E-B8CA-499C-8421-2AC504B81EAC}</x14:id>
        </ext>
      </extLst>
    </cfRule>
  </conditionalFormatting>
  <dataValidations count="4">
    <dataValidation type="list" allowBlank="1" showInputMessage="1" sqref="D44:D49 D35 D51:D52 D11:D30 D54:D56 D32:D33 D37:D42"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44:C49 C35 C37:C42 C54:C56 C51:C52 C32:C33 C11:C30"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35 G44:G49 G37:G42 G54:G56 G51:G52 G32:G33 G11:G30" xr:uid="{00000000-0002-0000-0000-000002000000}">
      <formula1>"Thấp,Trung bình,Cao,Khó và phức tạp"</formula1>
    </dataValidation>
    <dataValidation allowBlank="1" showInputMessage="1" sqref="H51:K52 E35 H37:K42 H32:K33 H54:K56 H44:K49 H35:K35 E37:E42 E44:E49 E51:E52 E54:E56 E32:E33 E11:E30 H11:K30" xr:uid="{00000000-0002-0000-0000-000003000000}"/>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AD5DDE69-E26F-41BE-8870-09BB121B74F1}">
            <x14:dataBar minLength="0" maxLength="100" gradient="0">
              <x14:cfvo type="autoMin"/>
              <x14:cfvo type="autoMax"/>
              <x14:negativeFillColor rgb="FFFF0000"/>
              <x14:axisColor rgb="FF000000"/>
            </x14:dataBar>
          </x14:cfRule>
          <x14:cfRule type="dataBar" id="{503E23DC-A883-4E4A-9CEB-0585580125FE}">
            <x14:dataBar minLength="0" maxLength="100" gradient="0">
              <x14:cfvo type="autoMin"/>
              <x14:cfvo type="autoMax"/>
              <x14:negativeFillColor rgb="FFFF0000"/>
              <x14:axisColor rgb="FF000000"/>
            </x14:dataBar>
          </x14:cfRule>
          <xm:sqref>C11:C30</xm:sqref>
        </x14:conditionalFormatting>
        <x14:conditionalFormatting xmlns:xm="http://schemas.microsoft.com/office/excel/2006/main">
          <x14:cfRule type="dataBar" id="{B6A8FE37-83C2-4345-9C43-6760EC4B1C36}">
            <x14:dataBar minLength="0" maxLength="100" gradient="0">
              <x14:cfvo type="autoMin"/>
              <x14:cfvo type="autoMax"/>
              <x14:negativeFillColor rgb="FFFF0000"/>
              <x14:axisColor rgb="FF000000"/>
            </x14:dataBar>
          </x14:cfRule>
          <x14:cfRule type="dataBar" id="{CBD7B373-A4C1-41FB-A25C-F14BF1ED705A}">
            <x14:dataBar minLength="0" maxLength="100" gradient="0">
              <x14:cfvo type="autoMin"/>
              <x14:cfvo type="autoMax"/>
              <x14:negativeFillColor rgb="FFFF0000"/>
              <x14:axisColor rgb="FF000000"/>
            </x14:dataBar>
          </x14:cfRule>
          <xm:sqref>C32</xm:sqref>
        </x14:conditionalFormatting>
        <x14:conditionalFormatting xmlns:xm="http://schemas.microsoft.com/office/excel/2006/main">
          <x14:cfRule type="dataBar" id="{324E14D5-4783-47B7-B739-B82422470E73}">
            <x14:dataBar minLength="0" maxLength="100" gradient="0">
              <x14:cfvo type="autoMin"/>
              <x14:cfvo type="autoMax"/>
              <x14:negativeFillColor rgb="FFFF0000"/>
              <x14:axisColor rgb="FF000000"/>
            </x14:dataBar>
          </x14:cfRule>
          <x14:cfRule type="dataBar" id="{AEE73A56-4F59-4AB3-9A93-15E0A58E561B}">
            <x14:dataBar minLength="0" maxLength="100" gradient="0">
              <x14:cfvo type="autoMin"/>
              <x14:cfvo type="autoMax"/>
              <x14:negativeFillColor rgb="FFFF0000"/>
              <x14:axisColor rgb="FF000000"/>
            </x14:dataBar>
          </x14:cfRule>
          <xm:sqref>C33</xm:sqref>
        </x14:conditionalFormatting>
        <x14:conditionalFormatting xmlns:xm="http://schemas.microsoft.com/office/excel/2006/main">
          <x14:cfRule type="dataBar" id="{71A07E31-32A5-4716-86EE-579B79BEF4D3}">
            <x14:dataBar minLength="0" maxLength="100" gradient="0">
              <x14:cfvo type="autoMin"/>
              <x14:cfvo type="autoMax"/>
              <x14:negativeFillColor rgb="FFFF0000"/>
              <x14:axisColor rgb="FF000000"/>
            </x14:dataBar>
          </x14:cfRule>
          <x14:cfRule type="dataBar" id="{053ED826-4A3B-4E29-9CF6-C5C888A31A9A}">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2B83E0A8-77DA-487D-8518-4B7CEAA9871D}">
            <x14:dataBar minLength="0" maxLength="100" gradient="0">
              <x14:cfvo type="autoMin"/>
              <x14:cfvo type="autoMax"/>
              <x14:negativeFillColor rgb="FFFF0000"/>
              <x14:axisColor rgb="FF000000"/>
            </x14:dataBar>
          </x14:cfRule>
          <x14:cfRule type="dataBar" id="{43AE063F-6FBA-4145-8E96-3B15FC0C4DF2}">
            <x14:dataBar minLength="0" maxLength="100" gradient="0">
              <x14:cfvo type="autoMin"/>
              <x14:cfvo type="autoMax"/>
              <x14:negativeFillColor rgb="FFFF0000"/>
              <x14:axisColor rgb="FF000000"/>
            </x14:dataBar>
          </x14:cfRule>
          <xm:sqref>C37:C42</xm:sqref>
        </x14:conditionalFormatting>
        <x14:conditionalFormatting xmlns:xm="http://schemas.microsoft.com/office/excel/2006/main">
          <x14:cfRule type="dataBar" id="{9CCAE4E3-3658-42DB-A94B-587DEEE27DF0}">
            <x14:dataBar minLength="0" maxLength="100" gradient="0">
              <x14:cfvo type="autoMin"/>
              <x14:cfvo type="autoMax"/>
              <x14:negativeFillColor rgb="FFFF0000"/>
              <x14:axisColor rgb="FF000000"/>
            </x14:dataBar>
          </x14:cfRule>
          <x14:cfRule type="dataBar" id="{B2DABE0F-7BA8-442A-B48E-1ECE74F6B597}">
            <x14:dataBar minLength="0" maxLength="100" gradient="0">
              <x14:cfvo type="autoMin"/>
              <x14:cfvo type="autoMax"/>
              <x14:negativeFillColor rgb="FFFF0000"/>
              <x14:axisColor rgb="FF000000"/>
            </x14:dataBar>
          </x14:cfRule>
          <xm:sqref>C44</xm:sqref>
        </x14:conditionalFormatting>
        <x14:conditionalFormatting xmlns:xm="http://schemas.microsoft.com/office/excel/2006/main">
          <x14:cfRule type="dataBar" id="{99192E55-FB06-435C-B408-7D30282A1F16}">
            <x14:dataBar minLength="0" maxLength="100" gradient="0">
              <x14:cfvo type="autoMin"/>
              <x14:cfvo type="autoMax"/>
              <x14:negativeFillColor rgb="FFFF0000"/>
              <x14:axisColor rgb="FF000000"/>
            </x14:dataBar>
          </x14:cfRule>
          <x14:cfRule type="dataBar" id="{03A9939A-9B3D-4529-BE0E-4E6837550A17}">
            <x14:dataBar minLength="0" maxLength="100" gradient="0">
              <x14:cfvo type="autoMin"/>
              <x14:cfvo type="autoMax"/>
              <x14:negativeFillColor rgb="FFFF0000"/>
              <x14:axisColor rgb="FF000000"/>
            </x14:dataBar>
          </x14:cfRule>
          <xm:sqref>C45:C49</xm:sqref>
        </x14:conditionalFormatting>
        <x14:conditionalFormatting xmlns:xm="http://schemas.microsoft.com/office/excel/2006/main">
          <x14:cfRule type="dataBar" id="{B8831BF6-9681-4498-A1F3-1954F48C6856}">
            <x14:dataBar minLength="0" maxLength="100" gradient="0">
              <x14:cfvo type="autoMin"/>
              <x14:cfvo type="autoMax"/>
              <x14:negativeFillColor rgb="FFFF0000"/>
              <x14:axisColor rgb="FF000000"/>
            </x14:dataBar>
          </x14:cfRule>
          <x14:cfRule type="dataBar" id="{7E1987A0-3211-4AC2-801D-3D223C64AEAA}">
            <x14:dataBar minLength="0" maxLength="100" gradient="0">
              <x14:cfvo type="autoMin"/>
              <x14:cfvo type="autoMax"/>
              <x14:negativeFillColor rgb="FFFF0000"/>
              <x14:axisColor rgb="FF000000"/>
            </x14:dataBar>
          </x14:cfRule>
          <xm:sqref>C51:C52</xm:sqref>
        </x14:conditionalFormatting>
        <x14:conditionalFormatting xmlns:xm="http://schemas.microsoft.com/office/excel/2006/main">
          <x14:cfRule type="dataBar" id="{329FB385-5BEA-4E80-BB5D-3A73CE41BBDA}">
            <x14:dataBar minLength="0" maxLength="100" gradient="0">
              <x14:cfvo type="autoMin"/>
              <x14:cfvo type="autoMax"/>
              <x14:negativeFillColor rgb="FFFF0000"/>
              <x14:axisColor rgb="FF000000"/>
            </x14:dataBar>
          </x14:cfRule>
          <x14:cfRule type="dataBar" id="{2EA7D65E-B8CA-499C-8421-2AC504B81EAC}">
            <x14:dataBar minLength="0" maxLength="100" gradient="0">
              <x14:cfvo type="autoMin"/>
              <x14:cfvo type="autoMax"/>
              <x14:negativeFillColor rgb="FFFF0000"/>
              <x14:axisColor rgb="FF000000"/>
            </x14:dataBar>
          </x14:cfRule>
          <xm:sqref>C54:C56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Mẫu BC tháng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phuc Nguyen</cp:lastModifiedBy>
  <dcterms:modified xsi:type="dcterms:W3CDTF">2026-09-21T02:22:34Z</dcterms:modified>
</cp:coreProperties>
</file>