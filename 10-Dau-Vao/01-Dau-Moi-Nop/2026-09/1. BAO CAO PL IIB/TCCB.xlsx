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ÔNG VIỆC\BÁO CÁO\BÁO CÁO THÁNG\THÁNG 9.2026\1. BAO CAO PL 2B\"/>
    </mc:Choice>
  </mc:AlternateContent>
  <xr:revisionPtr revIDLastSave="0" documentId="13_ncr:1_{B604664E-56D9-42BB-8C3E-EF99FE09A841}" xr6:coauthVersionLast="47" xr6:coauthVersionMax="47" xr10:uidLastSave="{00000000-0000-0000-0000-000000000000}"/>
  <bookViews>
    <workbookView xWindow="-110" yWindow="-110" windowWidth="19420" windowHeight="11500" xr2:uid="{CF09AA7D-F157-435F-8730-78D5FF9F5A39}"/>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1" l="1"/>
  <c r="O31" i="1" s="1"/>
  <c r="H31" i="1"/>
  <c r="I31" i="1" s="1"/>
  <c r="H29" i="1"/>
  <c r="I29" i="1" s="1"/>
  <c r="K30" i="1"/>
  <c r="O30" i="1" s="1"/>
  <c r="H30" i="1"/>
  <c r="I30" i="1" s="1"/>
  <c r="K24" i="1"/>
  <c r="M24" i="1" s="1"/>
  <c r="H24" i="1"/>
  <c r="I24" i="1" s="1"/>
  <c r="K23" i="1"/>
  <c r="O23" i="1" s="1"/>
  <c r="H23" i="1"/>
  <c r="I23" i="1" s="1"/>
  <c r="K22" i="1"/>
  <c r="M22" i="1" s="1"/>
  <c r="H22" i="1"/>
  <c r="I22" i="1" s="1"/>
  <c r="K21" i="1"/>
  <c r="O21" i="1" s="1"/>
  <c r="H21" i="1"/>
  <c r="I21" i="1" s="1"/>
  <c r="K20" i="1"/>
  <c r="O20" i="1" s="1"/>
  <c r="H20" i="1"/>
  <c r="I20" i="1" s="1"/>
  <c r="K19" i="1"/>
  <c r="O19" i="1" s="1"/>
  <c r="H19" i="1"/>
  <c r="I19" i="1" s="1"/>
  <c r="K18" i="1"/>
  <c r="O18" i="1" s="1"/>
  <c r="H18" i="1"/>
  <c r="I18" i="1" s="1"/>
  <c r="K17" i="1"/>
  <c r="O17" i="1" s="1"/>
  <c r="H17" i="1"/>
  <c r="I17" i="1" s="1"/>
  <c r="K16" i="1"/>
  <c r="O16" i="1" s="1"/>
  <c r="H16" i="1"/>
  <c r="I16" i="1" s="1"/>
  <c r="K15" i="1"/>
  <c r="O15" i="1" s="1"/>
  <c r="H15" i="1"/>
  <c r="I15" i="1" s="1"/>
  <c r="K37" i="1"/>
  <c r="M37" i="1" s="1"/>
  <c r="H37" i="1"/>
  <c r="I37" i="1" s="1"/>
  <c r="J37" i="1" s="1"/>
  <c r="K29" i="1"/>
  <c r="O29" i="1" s="1"/>
  <c r="K14" i="1"/>
  <c r="O14" i="1" s="1"/>
  <c r="H14" i="1"/>
  <c r="I14" i="1" s="1"/>
  <c r="H11" i="1"/>
  <c r="I11" i="1" s="1"/>
  <c r="K11" i="1"/>
  <c r="M11" i="1" s="1"/>
  <c r="P23" i="1" l="1"/>
  <c r="P31" i="1"/>
  <c r="J31" i="1"/>
  <c r="L31" i="1"/>
  <c r="M31" i="1"/>
  <c r="N31" i="1" s="1"/>
  <c r="P30" i="1"/>
  <c r="J30" i="1"/>
  <c r="L30" i="1"/>
  <c r="M30" i="1"/>
  <c r="N30" i="1"/>
  <c r="O24" i="1"/>
  <c r="P24" i="1" s="1"/>
  <c r="N24" i="1"/>
  <c r="J24" i="1"/>
  <c r="L24" i="1"/>
  <c r="P18" i="1"/>
  <c r="M18" i="1"/>
  <c r="N18" i="1" s="1"/>
  <c r="J23" i="1"/>
  <c r="L23" i="1"/>
  <c r="M23" i="1"/>
  <c r="N23" i="1" s="1"/>
  <c r="J22" i="1"/>
  <c r="O22" i="1"/>
  <c r="P22" i="1" s="1"/>
  <c r="L22" i="1"/>
  <c r="N22" i="1"/>
  <c r="J21" i="1"/>
  <c r="P21" i="1"/>
  <c r="L21" i="1"/>
  <c r="M21" i="1"/>
  <c r="N21" i="1" s="1"/>
  <c r="J20" i="1"/>
  <c r="P20" i="1"/>
  <c r="L20" i="1"/>
  <c r="M20" i="1"/>
  <c r="N20" i="1" s="1"/>
  <c r="J19" i="1"/>
  <c r="P19" i="1"/>
  <c r="L19" i="1"/>
  <c r="M19" i="1"/>
  <c r="N19" i="1" s="1"/>
  <c r="J18" i="1"/>
  <c r="L18" i="1"/>
  <c r="P17" i="1"/>
  <c r="J17" i="1"/>
  <c r="L17" i="1"/>
  <c r="M17" i="1"/>
  <c r="N17" i="1" s="1"/>
  <c r="P16" i="1"/>
  <c r="J16" i="1"/>
  <c r="L16" i="1"/>
  <c r="M16" i="1"/>
  <c r="N16" i="1" s="1"/>
  <c r="P15" i="1"/>
  <c r="J15" i="1"/>
  <c r="L15" i="1"/>
  <c r="M15" i="1"/>
  <c r="N15" i="1" s="1"/>
  <c r="N37" i="1"/>
  <c r="O37" i="1"/>
  <c r="P37" i="1" s="1"/>
  <c r="L37" i="1"/>
  <c r="P29" i="1"/>
  <c r="J29" i="1"/>
  <c r="L29" i="1"/>
  <c r="M29" i="1"/>
  <c r="N29" i="1" s="1"/>
  <c r="P14" i="1"/>
  <c r="J14" i="1"/>
  <c r="L14" i="1"/>
  <c r="M14" i="1"/>
  <c r="N14" i="1" s="1"/>
  <c r="N11" i="1"/>
  <c r="J11" i="1"/>
  <c r="O11" i="1"/>
  <c r="L11" i="1"/>
  <c r="K56" i="1"/>
  <c r="O56" i="1" s="1"/>
  <c r="K55" i="1"/>
  <c r="M55" i="1" s="1"/>
  <c r="K54" i="1"/>
  <c r="M54" i="1" s="1"/>
  <c r="K52" i="1"/>
  <c r="M52" i="1" s="1"/>
  <c r="K51" i="1"/>
  <c r="M51" i="1" s="1"/>
  <c r="H49" i="1"/>
  <c r="I49" i="1" s="1"/>
  <c r="J49" i="1" s="1"/>
  <c r="K49" i="1"/>
  <c r="O49" i="1" s="1"/>
  <c r="K48" i="1"/>
  <c r="M48" i="1" s="1"/>
  <c r="K47" i="1"/>
  <c r="M47" i="1" s="1"/>
  <c r="K46" i="1"/>
  <c r="K45" i="1"/>
  <c r="O45" i="1" s="1"/>
  <c r="K44" i="1"/>
  <c r="M44" i="1" s="1"/>
  <c r="K42" i="1"/>
  <c r="M42" i="1" s="1"/>
  <c r="K41" i="1"/>
  <c r="M41" i="1" s="1"/>
  <c r="K40" i="1"/>
  <c r="M40" i="1" s="1"/>
  <c r="K39" i="1"/>
  <c r="M39" i="1" s="1"/>
  <c r="K38" i="1"/>
  <c r="O38" i="1" s="1"/>
  <c r="K35" i="1"/>
  <c r="K34" i="1"/>
  <c r="M34" i="1" s="1"/>
  <c r="H56" i="1"/>
  <c r="I56" i="1" s="1"/>
  <c r="J56" i="1" s="1"/>
  <c r="H55" i="1"/>
  <c r="I55" i="1" s="1"/>
  <c r="J55" i="1" s="1"/>
  <c r="H54" i="1"/>
  <c r="I54" i="1" s="1"/>
  <c r="J54" i="1" s="1"/>
  <c r="H52" i="1"/>
  <c r="I52" i="1" s="1"/>
  <c r="J52" i="1" s="1"/>
  <c r="H51" i="1"/>
  <c r="I51" i="1" s="1"/>
  <c r="J51" i="1" s="1"/>
  <c r="H48" i="1"/>
  <c r="I48" i="1" s="1"/>
  <c r="J48" i="1" s="1"/>
  <c r="H47" i="1"/>
  <c r="I47" i="1" s="1"/>
  <c r="J47" i="1" s="1"/>
  <c r="H46" i="1"/>
  <c r="I46" i="1" s="1"/>
  <c r="J46" i="1" s="1"/>
  <c r="H45" i="1"/>
  <c r="I45" i="1" s="1"/>
  <c r="J45" i="1" s="1"/>
  <c r="H44" i="1"/>
  <c r="I44" i="1" s="1"/>
  <c r="J44" i="1" s="1"/>
  <c r="H42" i="1"/>
  <c r="I42" i="1" s="1"/>
  <c r="J42" i="1" s="1"/>
  <c r="H41" i="1"/>
  <c r="I41" i="1" s="1"/>
  <c r="J41" i="1" s="1"/>
  <c r="H40" i="1"/>
  <c r="I40" i="1" s="1"/>
  <c r="J40" i="1" s="1"/>
  <c r="H39" i="1"/>
  <c r="I39" i="1" s="1"/>
  <c r="J39" i="1" s="1"/>
  <c r="H38" i="1"/>
  <c r="I38" i="1" s="1"/>
  <c r="H34" i="1"/>
  <c r="I34" i="1" s="1"/>
  <c r="J34" i="1" s="1"/>
  <c r="H12" i="1"/>
  <c r="I12" i="1" s="1"/>
  <c r="H13" i="1"/>
  <c r="I13" i="1" s="1"/>
  <c r="J13" i="1" s="1"/>
  <c r="F33" i="1"/>
  <c r="F36" i="1"/>
  <c r="F43" i="1"/>
  <c r="F50" i="1"/>
  <c r="F53" i="1"/>
  <c r="F28" i="1"/>
  <c r="K13" i="1"/>
  <c r="O13" i="1" s="1"/>
  <c r="K12" i="1"/>
  <c r="O12" i="1" s="1"/>
  <c r="F10" i="1"/>
  <c r="K33" i="1" l="1"/>
  <c r="L38" i="1"/>
  <c r="P45" i="1"/>
  <c r="N55" i="1"/>
  <c r="P56" i="1"/>
  <c r="M12" i="1"/>
  <c r="N12" i="1" s="1"/>
  <c r="J50" i="1"/>
  <c r="P11" i="1"/>
  <c r="J38" i="1"/>
  <c r="J36" i="1" s="1"/>
  <c r="K10" i="1"/>
  <c r="N52" i="1"/>
  <c r="J53" i="1"/>
  <c r="M56" i="1"/>
  <c r="N56" i="1" s="1"/>
  <c r="N40" i="1"/>
  <c r="N42" i="1"/>
  <c r="L46" i="1"/>
  <c r="P38" i="1"/>
  <c r="N39" i="1"/>
  <c r="L45" i="1"/>
  <c r="M46" i="1"/>
  <c r="N46" i="1" s="1"/>
  <c r="N48" i="1"/>
  <c r="J28" i="1"/>
  <c r="L35" i="1"/>
  <c r="N41" i="1"/>
  <c r="M45" i="1"/>
  <c r="N45" i="1" s="1"/>
  <c r="K28" i="1"/>
  <c r="L34" i="1"/>
  <c r="M35" i="1"/>
  <c r="N35" i="1" s="1"/>
  <c r="M38" i="1"/>
  <c r="N38" i="1" s="1"/>
  <c r="L40" i="1"/>
  <c r="N47" i="1"/>
  <c r="L56" i="1"/>
  <c r="L28" i="1"/>
  <c r="N54" i="1"/>
  <c r="O55" i="1"/>
  <c r="P55" i="1" s="1"/>
  <c r="K53" i="1"/>
  <c r="O54" i="1"/>
  <c r="L55" i="1"/>
  <c r="L54" i="1"/>
  <c r="N51" i="1"/>
  <c r="M50" i="1"/>
  <c r="O52" i="1"/>
  <c r="P52" i="1" s="1"/>
  <c r="O51" i="1"/>
  <c r="L52" i="1"/>
  <c r="K50" i="1"/>
  <c r="L51" i="1"/>
  <c r="J43" i="1"/>
  <c r="P49" i="1"/>
  <c r="L49" i="1"/>
  <c r="M49" i="1"/>
  <c r="N49" i="1" s="1"/>
  <c r="N44" i="1"/>
  <c r="O44" i="1"/>
  <c r="O48" i="1"/>
  <c r="P48" i="1" s="1"/>
  <c r="L44" i="1"/>
  <c r="L48" i="1"/>
  <c r="K43" i="1"/>
  <c r="O46" i="1"/>
  <c r="P46" i="1" s="1"/>
  <c r="L47" i="1"/>
  <c r="O47" i="1"/>
  <c r="P47" i="1" s="1"/>
  <c r="O42" i="1"/>
  <c r="P42" i="1" s="1"/>
  <c r="O41" i="1"/>
  <c r="P41" i="1" s="1"/>
  <c r="L42" i="1"/>
  <c r="L41" i="1"/>
  <c r="O40" i="1"/>
  <c r="P40" i="1" s="1"/>
  <c r="O39" i="1"/>
  <c r="P39" i="1" s="1"/>
  <c r="K36" i="1"/>
  <c r="L39" i="1"/>
  <c r="J33" i="1"/>
  <c r="O35" i="1"/>
  <c r="P35" i="1" s="1"/>
  <c r="N34" i="1"/>
  <c r="O34" i="1"/>
  <c r="P12" i="1"/>
  <c r="P13" i="1"/>
  <c r="M13" i="1"/>
  <c r="N13" i="1" s="1"/>
  <c r="J12" i="1"/>
  <c r="L12" i="1"/>
  <c r="L13" i="1"/>
  <c r="N50" i="1" l="1"/>
  <c r="O10" i="1"/>
  <c r="L33" i="1"/>
  <c r="M53" i="1"/>
  <c r="M36" i="1"/>
  <c r="M10" i="1"/>
  <c r="N10" i="1"/>
  <c r="N33" i="1"/>
  <c r="J10" i="1"/>
  <c r="N53" i="1"/>
  <c r="N36" i="1"/>
  <c r="L53" i="1"/>
  <c r="L50" i="1"/>
  <c r="M33" i="1"/>
  <c r="N28" i="1"/>
  <c r="M28" i="1"/>
  <c r="P54" i="1"/>
  <c r="P53" i="1" s="1"/>
  <c r="O53" i="1"/>
  <c r="P51" i="1"/>
  <c r="P50" i="1" s="1"/>
  <c r="O50" i="1"/>
  <c r="M43" i="1"/>
  <c r="N43" i="1"/>
  <c r="L43" i="1"/>
  <c r="P44" i="1"/>
  <c r="P43" i="1" s="1"/>
  <c r="O43" i="1"/>
  <c r="L36" i="1"/>
  <c r="P36" i="1"/>
  <c r="O36" i="1"/>
  <c r="P34" i="1"/>
  <c r="P33" i="1" s="1"/>
  <c r="O33" i="1"/>
  <c r="P28" i="1"/>
  <c r="O28" i="1"/>
  <c r="L10" i="1"/>
  <c r="P10" i="1"/>
</calcChain>
</file>

<file path=xl/sharedStrings.xml><?xml version="1.0" encoding="utf-8"?>
<sst xmlns="http://schemas.openxmlformats.org/spreadsheetml/2006/main" count="218" uniqueCount="86">
  <si>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</si>
  <si>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</si>
  <si>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</si>
  <si>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</si>
  <si>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</si>
  <si>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</si>
  <si>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</si>
  <si>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</si>
  <si>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</si>
  <si>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</si>
  <si>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</si>
  <si>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</si>
  <si>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</si>
  <si>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</si>
  <si>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</si>
  <si>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</si>
  <si>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</si>
  <si>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</si>
  <si>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</si>
  <si>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</si>
  <si>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</si>
  <si>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</si>
  <si>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</si>
  <si>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</si>
  <si>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</si>
  <si>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t>
  </si>
  <si>
    <t>Đơn vị chủ trì</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</si>
  <si>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</si>
  <si>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</si>
  <si>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Hiệu trưởng</t>
  </si>
  <si>
    <t>1.3</t>
  </si>
  <si>
    <t>Phòng  TCCB&amp;CTHSSV</t>
  </si>
  <si>
    <t>Bí thư Đảng uỷ</t>
  </si>
  <si>
    <t>Phó Bí thư Đảng uỷ</t>
  </si>
  <si>
    <t>Uỷ viên BTV</t>
  </si>
  <si>
    <t>Chủ tịch Công đoàn</t>
  </si>
  <si>
    <t>Bí thư ĐTN</t>
  </si>
  <si>
    <t>Chủ tịch HSV</t>
  </si>
  <si>
    <t>Các nhiệm vụ đột xuất, phát sinh khác ngoài kế hoạch (nếu có)</t>
  </si>
  <si>
    <t>Quyết định</t>
  </si>
  <si>
    <t>Trung bình</t>
  </si>
  <si>
    <t>Cao</t>
  </si>
  <si>
    <t>Khó và phức tạp</t>
  </si>
  <si>
    <t>Phòng TH-HC&amp;QT</t>
  </si>
  <si>
    <t>1.4</t>
  </si>
  <si>
    <t>Điểm chấm công việc</t>
  </si>
  <si>
    <t>Hệ số quy đổi</t>
  </si>
  <si>
    <t>KPI (số lượng)</t>
  </si>
  <si>
    <t>KPI (chất lượng)</t>
  </si>
  <si>
    <t>KPI (tiến độ)</t>
  </si>
  <si>
    <t>Thực tế hoàn thành</t>
  </si>
  <si>
    <t>Quy đổi</t>
  </si>
  <si>
    <t>Số lượng quy đổi</t>
  </si>
  <si>
    <t>Phòng TC-KT</t>
  </si>
  <si>
    <t>Khoa Sư phạm</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</si>
  <si>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</si>
  <si>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</si>
  <si>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</si>
  <si>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</si>
  <si>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</si>
  <si>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</si>
  <si>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</si>
  <si>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</si>
  <si>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</si>
  <si>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</si>
  <si>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</si>
  <si>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</si>
  <si>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IIb
MẪU BÁO CÁO KẾT QUẢ THỰC  HIỆN CÔNG TÁC THÁNG CỦA TRƯỜNG CAO ĐẲNG KON TUM</t>
  </si>
  <si>
    <t>Kế hoạch</t>
  </si>
  <si>
    <t>cao</t>
  </si>
  <si>
    <t>Công văn</t>
  </si>
  <si>
    <t>thông báo</t>
  </si>
  <si>
    <t>Báo cáo</t>
  </si>
  <si>
    <t>BÁO CÁO
kết quả thực hiện công tác tháng 9 năm 2026</t>
  </si>
  <si>
    <t>Tham mưu Quy trình, hồ sơ thủ tục bổ nhiệm lại Phó Trưởng phòng TH-HC&amp;QT</t>
  </si>
  <si>
    <t>KH, BB,QĐ</t>
  </si>
  <si>
    <t xml:space="preserve"> kế hoạch triển khai thực hiện Phong trào thi đua Quyết tâm thực hiện thắng lợi mục tiêu tăng trưởng bền vững “2 con số” giai đoạn 2026 - 2030 trên địa bàn tỉnh theo Kế hoạch số 303/KH-UBND ngày 10/8/2026 của UBND tỉnh.</t>
  </si>
  <si>
    <t>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</si>
  <si>
    <t>Kế hoạch triển khai Thông tư số 59/2026/TT-BGDĐT của Bộ trưởng Bộ Giáo dục và Đào tạo quy định về nhà giáo hợp đồng toàn thời gian sau khi nghỉ hưu và nhà giáo thỉnh giảng.</t>
  </si>
  <si>
    <t>kế hoạch triển khai thực hiện Tuần lễ hưởng ứng học tập suốt đời năm 2026 (01-07/10/2026</t>
  </si>
  <si>
    <t>Quyết định số 988/QĐ-CĐKT ngày 12/5/2026 của Hiệu trưởng Trường Cao đẳng Kon Tum ban hành Quy chế tổ chức và hoạt động của Trường Cao đẳng Kon Tum, theo quy định tại Điều 5 Điều lệ trường trung cấp, trường cao đẳng ban hành kèm theo Thông tư số 63/2026/TT-BGDĐT; hoàn thành trước ngày 28/8/2026 để lấy ý kiến góp ý và trình thông qua tại cuộc họp chuyên đề sáng ngày 31/8/2026 và ban hành vào ngày 14/9/2026 (ngày Thông tư số 63/2026/TT-BGD ĐT có hiệu lực thi hành).</t>
  </si>
  <si>
    <t>Quy chế làm việc của Trường Cao đẳng Kon Tum (thay thế Quyết định số 1299/QĐ-CĐKT ngày 27/5/2026).</t>
  </si>
  <si>
    <t>trung bình</t>
  </si>
  <si>
    <t>Quyết định thành lập Tổ kiểm toán nội bộ</t>
  </si>
  <si>
    <t>kế hoạch triển khai phần mềm VNPT KPI – Hệ thống quản lý đánh giá, xếp loại chất lượng CBCCVC.</t>
  </si>
  <si>
    <t xml:space="preserve">…Tham mưu giải quyết chế độ phụ cấp ưu đãi nghề đối với nhân viên y tế trường học của Trường theo quy định tại Nghị định số 350/2026/NĐ-CP ngày 09/9/2026 của Chính phủ quy định chế độ phụ cấp ưu đãi nghề đối với nhân viên y tế;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</si>
</sst>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4"/>
      <color theme="1"/>
      <name val="Times New Roman"/>
      <family val="1"/>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55">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14" fillId="0" borderId="2" xfId="0" quotePrefix="1" applyFont="1" applyBorder="1" applyAlignment="1">
      <alignment horizontal="center" vertical="center" wrapText="1"/>
    </xf>
    <xf numFmtId="0" fontId="23" fillId="0" borderId="0" xfId="0" applyFont="1" applyAlignment="1">
      <alignment horizontal="justify" vertical="center"/>
    </xf>
    <xf numFmtId="0" fontId="3" fillId="0" borderId="0" xfId="0" applyFont="1" applyAlignment="1">
      <alignment wrapText="1"/>
    </xf>
    <xf numFmtId="0" fontId="23" fillId="0" borderId="0" xfId="0" applyFont="1" applyAlignment="1">
      <alignment wrapText="1"/>
    </xf>
    <xf numFmtId="0" fontId="23" fillId="0" borderId="0" xfId="0" applyFont="1" applyAlignment="1">
      <alignment horizontal="justify"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8" xfId="0" applyFont="1" applyBorder="1" applyAlignment="1">
      <alignment horizontal="center" vertical="center" wrapText="1"/>
    </xf>
    <xf numFmtId="0" fontId="22" fillId="0" borderId="10" xfId="0" applyFont="1" applyBorder="1"/>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9CE587A-C9FA-4F93-9F09-EB05934BA463}"/>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58"/>
  <sheetViews>
    <sheetView tabSelected="1" view="pageBreakPreview" zoomScale="70" zoomScaleNormal="70" zoomScaleSheetLayoutView="70" workbookViewId="0">
      <selection activeCell="B10" sqref="B10:E10"/>
    </sheetView>
  </sheetViews>
  <sheetFormatPr defaultRowHeight="32.5" customHeight="1" x14ac:dyDescent="0.35"/>
  <cols>
    <col min="1" max="1" width="4.90625" customWidth="1"/>
    <col min="2" max="2" width="31.08984375" customWidth="1"/>
    <col min="3" max="3" width="16.453125" customWidth="1"/>
    <col min="4" max="4" width="17.08984375" customWidth="1"/>
    <col min="5" max="5" width="14.36328125"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ht="42.75" customHeight="1" x14ac:dyDescent="0.35">
      <c r="A1" s="33" t="s">
        <v>67</v>
      </c>
      <c r="B1" s="44"/>
      <c r="C1" s="44"/>
      <c r="D1" s="44"/>
      <c r="E1" s="44"/>
      <c r="F1" s="44"/>
      <c r="G1" s="44"/>
      <c r="H1" s="44"/>
      <c r="I1" s="44"/>
      <c r="J1" s="44"/>
      <c r="K1" s="44"/>
      <c r="L1" s="44"/>
      <c r="M1" s="44"/>
      <c r="N1" s="44"/>
      <c r="O1" s="44"/>
      <c r="P1" s="44"/>
    </row>
    <row r="2" spans="1:17" s="1" customFormat="1" ht="28.5" customHeight="1" x14ac:dyDescent="0.4">
      <c r="A2" s="51" t="s">
        <v>24</v>
      </c>
      <c r="B2" s="52"/>
      <c r="E2" s="5"/>
      <c r="F2" s="5"/>
      <c r="G2" s="32" t="s">
        <v>20</v>
      </c>
      <c r="H2" s="32"/>
      <c r="I2" s="32"/>
      <c r="J2" s="32"/>
      <c r="K2" s="32"/>
      <c r="L2" s="32"/>
      <c r="M2" s="32"/>
      <c r="N2" s="32"/>
      <c r="O2" s="32"/>
      <c r="P2" s="32"/>
    </row>
    <row r="3" spans="1:17" s="1" customFormat="1" ht="18.75" customHeight="1" x14ac:dyDescent="0.35">
      <c r="A3" s="53" t="s">
        <v>25</v>
      </c>
      <c r="B3" s="53"/>
      <c r="C3" s="2"/>
      <c r="E3" s="6"/>
      <c r="F3" s="6"/>
      <c r="G3" s="33" t="s">
        <v>21</v>
      </c>
      <c r="H3" s="33"/>
      <c r="I3" s="33"/>
      <c r="J3" s="33"/>
      <c r="K3" s="33"/>
      <c r="L3" s="33"/>
      <c r="M3" s="33"/>
      <c r="N3" s="33"/>
      <c r="O3" s="33"/>
      <c r="P3" s="33"/>
    </row>
    <row r="4" spans="1:17" ht="44.25" customHeight="1" x14ac:dyDescent="0.35">
      <c r="A4" s="33" t="s">
        <v>73</v>
      </c>
      <c r="B4" s="54"/>
      <c r="C4" s="54"/>
      <c r="D4" s="54"/>
      <c r="E4" s="54"/>
      <c r="F4" s="54"/>
      <c r="G4" s="54"/>
      <c r="H4" s="54"/>
      <c r="I4" s="54"/>
      <c r="J4" s="54"/>
      <c r="K4" s="54"/>
      <c r="L4" s="54"/>
      <c r="M4" s="54"/>
      <c r="N4" s="54"/>
      <c r="O4" s="54"/>
      <c r="P4" s="54"/>
    </row>
    <row r="5" spans="1:17" ht="9" customHeight="1" x14ac:dyDescent="0.35">
      <c r="A5" s="36"/>
      <c r="B5" s="36"/>
      <c r="C5" s="36"/>
      <c r="D5" s="36"/>
      <c r="E5" s="36"/>
      <c r="F5" s="36"/>
      <c r="G5" s="36"/>
      <c r="H5" s="36"/>
      <c r="I5" s="36"/>
      <c r="J5" s="36"/>
      <c r="K5" s="36"/>
      <c r="L5" s="36"/>
      <c r="M5" s="36"/>
      <c r="N5" s="36"/>
      <c r="O5" s="36"/>
      <c r="P5" s="36"/>
    </row>
    <row r="6" spans="1:17" ht="20.25" customHeight="1" x14ac:dyDescent="0.35">
      <c r="A6" s="45" t="s">
        <v>0</v>
      </c>
      <c r="B6" s="45" t="s">
        <v>1</v>
      </c>
      <c r="C6" s="45" t="s">
        <v>2</v>
      </c>
      <c r="D6" s="45" t="s">
        <v>26</v>
      </c>
      <c r="E6" s="45" t="s">
        <v>56</v>
      </c>
      <c r="F6" s="45" t="s">
        <v>12</v>
      </c>
      <c r="G6" s="47" t="s">
        <v>61</v>
      </c>
      <c r="H6" s="37" t="s">
        <v>45</v>
      </c>
      <c r="I6" s="37" t="s">
        <v>46</v>
      </c>
      <c r="J6" s="39" t="s">
        <v>52</v>
      </c>
      <c r="K6" s="34" t="s">
        <v>47</v>
      </c>
      <c r="L6" s="35"/>
      <c r="M6" s="34" t="s">
        <v>48</v>
      </c>
      <c r="N6" s="35"/>
      <c r="O6" s="34" t="s">
        <v>49</v>
      </c>
      <c r="P6" s="35"/>
      <c r="Q6" s="1"/>
    </row>
    <row r="7" spans="1:17" ht="65.25" customHeight="1" x14ac:dyDescent="0.35">
      <c r="A7" s="46"/>
      <c r="B7" s="46"/>
      <c r="C7" s="46"/>
      <c r="D7" s="46"/>
      <c r="E7" s="46"/>
      <c r="F7" s="46"/>
      <c r="G7" s="48"/>
      <c r="H7" s="38"/>
      <c r="I7" s="38"/>
      <c r="J7" s="40"/>
      <c r="K7" s="14" t="s">
        <v>50</v>
      </c>
      <c r="L7" s="14" t="s">
        <v>51</v>
      </c>
      <c r="M7" s="14" t="s">
        <v>50</v>
      </c>
      <c r="N7" s="14" t="s">
        <v>51</v>
      </c>
      <c r="O7" s="14" t="s">
        <v>50</v>
      </c>
      <c r="P7" s="14" t="s">
        <v>51</v>
      </c>
      <c r="Q7" s="1"/>
    </row>
    <row r="8" spans="1:17" ht="102" customHeight="1" x14ac:dyDescent="0.35">
      <c r="A8" s="21" t="s">
        <v>13</v>
      </c>
      <c r="B8" s="21" t="s">
        <v>14</v>
      </c>
      <c r="C8" s="21" t="s">
        <v>15</v>
      </c>
      <c r="D8" s="21" t="s">
        <v>16</v>
      </c>
      <c r="E8" s="21" t="s">
        <v>17</v>
      </c>
      <c r="F8" s="21" t="s">
        <v>18</v>
      </c>
      <c r="G8" s="21" t="s">
        <v>19</v>
      </c>
      <c r="H8" s="21" t="s">
        <v>57</v>
      </c>
      <c r="I8" s="21" t="s">
        <v>66</v>
      </c>
      <c r="J8" s="21" t="s">
        <v>65</v>
      </c>
      <c r="K8" s="21" t="s">
        <v>59</v>
      </c>
      <c r="L8" s="21" t="s">
        <v>64</v>
      </c>
      <c r="M8" s="21" t="s">
        <v>58</v>
      </c>
      <c r="N8" s="21" t="s">
        <v>62</v>
      </c>
      <c r="O8" s="21" t="s">
        <v>60</v>
      </c>
      <c r="P8" s="21" t="s">
        <v>63</v>
      </c>
    </row>
    <row r="9" spans="1:17" ht="31.5" customHeight="1" x14ac:dyDescent="0.35">
      <c r="A9" s="15" t="s">
        <v>3</v>
      </c>
      <c r="B9" s="49" t="s">
        <v>55</v>
      </c>
      <c r="C9" s="49"/>
      <c r="D9" s="49"/>
      <c r="E9" s="49"/>
      <c r="F9" s="49"/>
      <c r="G9" s="49"/>
      <c r="H9" s="49"/>
      <c r="I9" s="49"/>
      <c r="J9" s="49"/>
      <c r="K9" s="49"/>
      <c r="L9" s="49"/>
      <c r="M9" s="49"/>
      <c r="N9" s="49"/>
      <c r="O9" s="49"/>
      <c r="P9" s="49"/>
    </row>
    <row r="10" spans="1:17" ht="15" x14ac:dyDescent="0.35">
      <c r="A10" s="16">
        <v>1</v>
      </c>
      <c r="B10" s="30" t="s">
        <v>4</v>
      </c>
      <c r="C10" s="30"/>
      <c r="D10" s="30"/>
      <c r="E10" s="30"/>
      <c r="F10" s="16">
        <f>SUM(F11:F27)</f>
        <v>5</v>
      </c>
      <c r="G10" s="17"/>
      <c r="H10" s="17"/>
      <c r="I10" s="17"/>
      <c r="J10" s="16">
        <f t="shared" ref="J10:P10" si="0">SUM(J11:J27)</f>
        <v>6</v>
      </c>
      <c r="K10" s="16">
        <f t="shared" si="0"/>
        <v>4.5</v>
      </c>
      <c r="L10" s="16">
        <f t="shared" si="0"/>
        <v>5.25</v>
      </c>
      <c r="M10" s="16">
        <f t="shared" si="0"/>
        <v>3.5</v>
      </c>
      <c r="N10" s="16">
        <f t="shared" si="0"/>
        <v>4.125</v>
      </c>
      <c r="O10" s="16">
        <f t="shared" si="0"/>
        <v>3</v>
      </c>
      <c r="P10" s="16">
        <f t="shared" si="0"/>
        <v>3.75</v>
      </c>
    </row>
    <row r="11" spans="1:17" ht="46.5" x14ac:dyDescent="0.35">
      <c r="A11" s="11" t="s">
        <v>22</v>
      </c>
      <c r="B11" s="23" t="s">
        <v>74</v>
      </c>
      <c r="C11" s="11" t="s">
        <v>29</v>
      </c>
      <c r="D11" s="11" t="s">
        <v>31</v>
      </c>
      <c r="E11" s="11" t="s">
        <v>75</v>
      </c>
      <c r="F11" s="11">
        <v>1</v>
      </c>
      <c r="G11" s="11" t="s">
        <v>41</v>
      </c>
      <c r="H11" s="11">
        <f>IF(G11="Khó và phức tạp",200,IF(G11="Cao",150,IF(G11="Trungbình",120,100)))</f>
        <v>150</v>
      </c>
      <c r="I11" s="11">
        <f>H11*0.01</f>
        <v>1.5</v>
      </c>
      <c r="J11" s="11">
        <f>F11*I11</f>
        <v>1.5</v>
      </c>
      <c r="K11" s="12">
        <f>F11*100%</f>
        <v>1</v>
      </c>
      <c r="L11" s="18">
        <f>K11*I11</f>
        <v>1.5</v>
      </c>
      <c r="M11" s="12">
        <f>K11*75%</f>
        <v>0.75</v>
      </c>
      <c r="N11" s="18">
        <f>I11*M11</f>
        <v>1.125</v>
      </c>
      <c r="O11" s="12">
        <f>K11*100%</f>
        <v>1</v>
      </c>
      <c r="P11" s="18">
        <f>I11*O11</f>
        <v>1.5</v>
      </c>
    </row>
    <row r="12" spans="1:17" ht="124" x14ac:dyDescent="0.35">
      <c r="A12" s="11" t="s">
        <v>23</v>
      </c>
      <c r="B12" s="19" t="s">
        <v>76</v>
      </c>
      <c r="C12" s="11" t="s">
        <v>29</v>
      </c>
      <c r="D12" s="11" t="s">
        <v>31</v>
      </c>
      <c r="E12" s="11" t="s">
        <v>68</v>
      </c>
      <c r="F12" s="11">
        <v>1</v>
      </c>
      <c r="G12" s="11" t="s">
        <v>69</v>
      </c>
      <c r="H12" s="11">
        <f t="shared" ref="H12:H13" si="1">IF(G12="Khó và phức tạp",200,IF(G12="Cao",150,IF(G12="Trungbình",120,100)))</f>
        <v>150</v>
      </c>
      <c r="I12" s="11">
        <f t="shared" ref="I12:I13" si="2">H12*0.01</f>
        <v>1.5</v>
      </c>
      <c r="J12" s="11">
        <f t="shared" ref="J12:J13" si="3">F12*I12</f>
        <v>1.5</v>
      </c>
      <c r="K12" s="12">
        <f>F12*50%</f>
        <v>0.5</v>
      </c>
      <c r="L12" s="18">
        <f t="shared" ref="L12:L13" si="4">K12*I12</f>
        <v>0.75</v>
      </c>
      <c r="M12" s="20">
        <f>K12*100%</f>
        <v>0.5</v>
      </c>
      <c r="N12" s="18">
        <f t="shared" ref="N12:N13" si="5">I12*M12</f>
        <v>0.75</v>
      </c>
      <c r="O12" s="20">
        <f>K12*100%</f>
        <v>0.5</v>
      </c>
      <c r="P12" s="18">
        <f t="shared" ref="P12:P13" si="6">I12*O12</f>
        <v>0.75</v>
      </c>
    </row>
    <row r="13" spans="1:17" ht="124" x14ac:dyDescent="0.35">
      <c r="A13" s="11" t="s">
        <v>30</v>
      </c>
      <c r="B13" s="19" t="s">
        <v>77</v>
      </c>
      <c r="C13" s="11" t="s">
        <v>29</v>
      </c>
      <c r="D13" s="11" t="s">
        <v>31</v>
      </c>
      <c r="E13" s="11" t="s">
        <v>68</v>
      </c>
      <c r="F13" s="11">
        <v>1</v>
      </c>
      <c r="G13" s="11" t="s">
        <v>40</v>
      </c>
      <c r="H13" s="11">
        <f t="shared" si="1"/>
        <v>100</v>
      </c>
      <c r="I13" s="11">
        <f t="shared" si="2"/>
        <v>1</v>
      </c>
      <c r="J13" s="11">
        <f t="shared" si="3"/>
        <v>1</v>
      </c>
      <c r="K13" s="12">
        <f t="shared" ref="K13:K14" si="7">F13*100%</f>
        <v>1</v>
      </c>
      <c r="L13" s="18">
        <f t="shared" si="4"/>
        <v>1</v>
      </c>
      <c r="M13" s="12">
        <f t="shared" ref="M13:M14" si="8">K13*75%</f>
        <v>0.75</v>
      </c>
      <c r="N13" s="18">
        <f t="shared" si="5"/>
        <v>0.75</v>
      </c>
      <c r="O13" s="12">
        <f t="shared" ref="O13:O14" si="9">K13*50%</f>
        <v>0.5</v>
      </c>
      <c r="P13" s="18">
        <f t="shared" si="6"/>
        <v>0.5</v>
      </c>
    </row>
    <row r="14" spans="1:17" ht="126" x14ac:dyDescent="0.35">
      <c r="A14" s="11" t="s">
        <v>44</v>
      </c>
      <c r="B14" s="22" t="s">
        <v>78</v>
      </c>
      <c r="C14" s="11" t="s">
        <v>29</v>
      </c>
      <c r="D14" s="11" t="s">
        <v>31</v>
      </c>
      <c r="E14" s="11" t="s">
        <v>68</v>
      </c>
      <c r="F14" s="11">
        <v>1</v>
      </c>
      <c r="G14" s="11" t="s">
        <v>40</v>
      </c>
      <c r="H14" s="11">
        <f t="shared" ref="H14" si="10">IF(G14="Khó và phức tạp",200,IF(G14="Cao",150,IF(G14="Trungbình",120,100)))</f>
        <v>100</v>
      </c>
      <c r="I14" s="11">
        <f t="shared" ref="I14" si="11">H14*0.01</f>
        <v>1</v>
      </c>
      <c r="J14" s="11">
        <f t="shared" ref="J14" si="12">F14*I14</f>
        <v>1</v>
      </c>
      <c r="K14" s="12">
        <f t="shared" si="7"/>
        <v>1</v>
      </c>
      <c r="L14" s="18">
        <f t="shared" ref="L14" si="13">K14*I14</f>
        <v>1</v>
      </c>
      <c r="M14" s="12">
        <f t="shared" si="8"/>
        <v>0.75</v>
      </c>
      <c r="N14" s="18">
        <f t="shared" ref="N14" si="14">I14*M14</f>
        <v>0.75</v>
      </c>
      <c r="O14" s="12">
        <f t="shared" si="9"/>
        <v>0.5</v>
      </c>
      <c r="P14" s="18">
        <f t="shared" ref="P14" si="15">I14*O14</f>
        <v>0.5</v>
      </c>
    </row>
    <row r="15" spans="1:17" ht="72" x14ac:dyDescent="0.35">
      <c r="A15" s="11"/>
      <c r="B15" s="22" t="s">
        <v>79</v>
      </c>
      <c r="C15" s="11" t="s">
        <v>29</v>
      </c>
      <c r="D15" s="11" t="s">
        <v>31</v>
      </c>
      <c r="E15" s="11" t="s">
        <v>68</v>
      </c>
      <c r="F15" s="11">
        <v>1</v>
      </c>
      <c r="G15" s="11" t="s">
        <v>40</v>
      </c>
      <c r="H15" s="11">
        <f t="shared" ref="H15" si="16">IF(G15="Khó và phức tạp",200,IF(G15="Cao",150,IF(G15="Trungbình",120,100)))</f>
        <v>100</v>
      </c>
      <c r="I15" s="11">
        <f t="shared" ref="I15" si="17">H15*0.01</f>
        <v>1</v>
      </c>
      <c r="J15" s="11">
        <f t="shared" ref="J15" si="18">F15*I15</f>
        <v>1</v>
      </c>
      <c r="K15" s="12">
        <f t="shared" ref="K15" si="19">F15*100%</f>
        <v>1</v>
      </c>
      <c r="L15" s="18">
        <f t="shared" ref="L15" si="20">K15*I15</f>
        <v>1</v>
      </c>
      <c r="M15" s="12">
        <f t="shared" ref="M15" si="21">K15*75%</f>
        <v>0.75</v>
      </c>
      <c r="N15" s="18">
        <f t="shared" ref="N15" si="22">I15*M15</f>
        <v>0.75</v>
      </c>
      <c r="O15" s="12">
        <f t="shared" ref="O15" si="23">K15*50%</f>
        <v>0.5</v>
      </c>
      <c r="P15" s="18">
        <f t="shared" ref="P15" si="24">I15*O15</f>
        <v>0.5</v>
      </c>
    </row>
    <row r="16" spans="1:17" ht="31" x14ac:dyDescent="0.35">
      <c r="A16" s="11"/>
      <c r="B16" s="22"/>
      <c r="C16" s="11" t="s">
        <v>29</v>
      </c>
      <c r="D16" s="11" t="s">
        <v>31</v>
      </c>
      <c r="E16" s="11" t="s">
        <v>70</v>
      </c>
      <c r="F16" s="11"/>
      <c r="G16" s="11" t="s">
        <v>40</v>
      </c>
      <c r="H16" s="11">
        <f t="shared" ref="H16" si="25">IF(G16="Khó và phức tạp",200,IF(G16="Cao",150,IF(G16="Trungbình",120,100)))</f>
        <v>100</v>
      </c>
      <c r="I16" s="11">
        <f t="shared" ref="I16" si="26">H16*0.01</f>
        <v>1</v>
      </c>
      <c r="J16" s="11">
        <f t="shared" ref="J16" si="27">F16*I16</f>
        <v>0</v>
      </c>
      <c r="K16" s="12">
        <f t="shared" ref="K16" si="28">F16*100%</f>
        <v>0</v>
      </c>
      <c r="L16" s="18">
        <f t="shared" ref="L16" si="29">K16*I16</f>
        <v>0</v>
      </c>
      <c r="M16" s="12">
        <f t="shared" ref="M16" si="30">K16*75%</f>
        <v>0</v>
      </c>
      <c r="N16" s="18">
        <f t="shared" ref="N16" si="31">I16*M16</f>
        <v>0</v>
      </c>
      <c r="O16" s="12">
        <f t="shared" ref="O16" si="32">K16*50%</f>
        <v>0</v>
      </c>
      <c r="P16" s="18">
        <f t="shared" ref="P16" si="33">I16*O16</f>
        <v>0</v>
      </c>
    </row>
    <row r="17" spans="1:16" ht="31" x14ac:dyDescent="0.35">
      <c r="A17" s="11"/>
      <c r="B17" s="22"/>
      <c r="C17" s="11" t="s">
        <v>29</v>
      </c>
      <c r="D17" s="11" t="s">
        <v>31</v>
      </c>
      <c r="E17" s="11" t="s">
        <v>70</v>
      </c>
      <c r="F17" s="11"/>
      <c r="G17" s="11" t="s">
        <v>40</v>
      </c>
      <c r="H17" s="11">
        <f t="shared" ref="H17" si="34">IF(G17="Khó và phức tạp",200,IF(G17="Cao",150,IF(G17="Trungbình",120,100)))</f>
        <v>100</v>
      </c>
      <c r="I17" s="11">
        <f t="shared" ref="I17" si="35">H17*0.01</f>
        <v>1</v>
      </c>
      <c r="J17" s="11">
        <f t="shared" ref="J17" si="36">F17*I17</f>
        <v>0</v>
      </c>
      <c r="K17" s="12">
        <f t="shared" ref="K17" si="37">F17*100%</f>
        <v>0</v>
      </c>
      <c r="L17" s="18">
        <f t="shared" ref="L17" si="38">K17*I17</f>
        <v>0</v>
      </c>
      <c r="M17" s="12">
        <f t="shared" ref="M17" si="39">K17*75%</f>
        <v>0</v>
      </c>
      <c r="N17" s="18">
        <f t="shared" ref="N17" si="40">I17*M17</f>
        <v>0</v>
      </c>
      <c r="O17" s="12">
        <f t="shared" ref="O17" si="41">K17*50%</f>
        <v>0</v>
      </c>
      <c r="P17" s="18">
        <f t="shared" ref="P17" si="42">I17*O17</f>
        <v>0</v>
      </c>
    </row>
    <row r="18" spans="1:16" ht="31" x14ac:dyDescent="0.4">
      <c r="A18" s="11"/>
      <c r="B18" s="24"/>
      <c r="C18" s="11" t="s">
        <v>29</v>
      </c>
      <c r="D18" s="11" t="s">
        <v>31</v>
      </c>
      <c r="E18" s="11" t="s">
        <v>70</v>
      </c>
      <c r="F18" s="11"/>
      <c r="G18" s="11" t="s">
        <v>40</v>
      </c>
      <c r="H18" s="11">
        <f t="shared" ref="H18" si="43">IF(G18="Khó và phức tạp",200,IF(G18="Cao",150,IF(G18="Trungbình",120,100)))</f>
        <v>100</v>
      </c>
      <c r="I18" s="11">
        <f t="shared" ref="I18" si="44">H18*0.01</f>
        <v>1</v>
      </c>
      <c r="J18" s="11">
        <f t="shared" ref="J18" si="45">F18*I18</f>
        <v>0</v>
      </c>
      <c r="K18" s="12">
        <f t="shared" ref="K18" si="46">F18*100%</f>
        <v>0</v>
      </c>
      <c r="L18" s="18">
        <f t="shared" ref="L18" si="47">K18*I18</f>
        <v>0</v>
      </c>
      <c r="M18" s="12">
        <f t="shared" ref="M18" si="48">K18*75%</f>
        <v>0</v>
      </c>
      <c r="N18" s="18">
        <f t="shared" ref="N18" si="49">I18*M18</f>
        <v>0</v>
      </c>
      <c r="O18" s="12">
        <f t="shared" ref="O18" si="50">K18*50%</f>
        <v>0</v>
      </c>
      <c r="P18" s="18">
        <f t="shared" ref="P18" si="51">I18*O18</f>
        <v>0</v>
      </c>
    </row>
    <row r="19" spans="1:16" ht="31" x14ac:dyDescent="0.4">
      <c r="A19" s="11"/>
      <c r="B19" s="24"/>
      <c r="C19" s="11" t="s">
        <v>29</v>
      </c>
      <c r="D19" s="11" t="s">
        <v>31</v>
      </c>
      <c r="E19" s="11" t="s">
        <v>68</v>
      </c>
      <c r="F19" s="11"/>
      <c r="G19" s="11" t="s">
        <v>40</v>
      </c>
      <c r="H19" s="11">
        <f t="shared" ref="H19" si="52">IF(G19="Khó và phức tạp",200,IF(G19="Cao",150,IF(G19="Trungbình",120,100)))</f>
        <v>100</v>
      </c>
      <c r="I19" s="11">
        <f t="shared" ref="I19" si="53">H19*0.01</f>
        <v>1</v>
      </c>
      <c r="J19" s="11">
        <f t="shared" ref="J19" si="54">F19*I19</f>
        <v>0</v>
      </c>
      <c r="K19" s="12">
        <f t="shared" ref="K19" si="55">F19*100%</f>
        <v>0</v>
      </c>
      <c r="L19" s="18">
        <f t="shared" ref="L19" si="56">K19*I19</f>
        <v>0</v>
      </c>
      <c r="M19" s="12">
        <f t="shared" ref="M19" si="57">K19*75%</f>
        <v>0</v>
      </c>
      <c r="N19" s="18">
        <f t="shared" ref="N19" si="58">I19*M19</f>
        <v>0</v>
      </c>
      <c r="O19" s="12">
        <f t="shared" ref="O19" si="59">K19*50%</f>
        <v>0</v>
      </c>
      <c r="P19" s="18">
        <f t="shared" ref="P19" si="60">I19*O19</f>
        <v>0</v>
      </c>
    </row>
    <row r="20" spans="1:16" ht="31" x14ac:dyDescent="0.35">
      <c r="A20" s="11"/>
      <c r="B20" s="22"/>
      <c r="C20" s="11" t="s">
        <v>29</v>
      </c>
      <c r="D20" s="11" t="s">
        <v>31</v>
      </c>
      <c r="E20" s="11" t="s">
        <v>71</v>
      </c>
      <c r="F20" s="11"/>
      <c r="G20" s="11" t="s">
        <v>40</v>
      </c>
      <c r="H20" s="11">
        <f t="shared" ref="H20" si="61">IF(G20="Khó và phức tạp",200,IF(G20="Cao",150,IF(G20="Trungbình",120,100)))</f>
        <v>100</v>
      </c>
      <c r="I20" s="11">
        <f t="shared" ref="I20" si="62">H20*0.01</f>
        <v>1</v>
      </c>
      <c r="J20" s="11">
        <f t="shared" ref="J20" si="63">F20*I20</f>
        <v>0</v>
      </c>
      <c r="K20" s="12">
        <f t="shared" ref="K20" si="64">F20*100%</f>
        <v>0</v>
      </c>
      <c r="L20" s="18">
        <f t="shared" ref="L20" si="65">K20*I20</f>
        <v>0</v>
      </c>
      <c r="M20" s="12">
        <f t="shared" ref="M20" si="66">K20*75%</f>
        <v>0</v>
      </c>
      <c r="N20" s="18">
        <f t="shared" ref="N20" si="67">I20*M20</f>
        <v>0</v>
      </c>
      <c r="O20" s="12">
        <f t="shared" ref="O20" si="68">K20*50%</f>
        <v>0</v>
      </c>
      <c r="P20" s="18">
        <f t="shared" ref="P20" si="69">I20*O20</f>
        <v>0</v>
      </c>
    </row>
    <row r="21" spans="1:16" ht="31" x14ac:dyDescent="0.35">
      <c r="A21" s="11"/>
      <c r="B21" s="19"/>
      <c r="C21" s="11" t="s">
        <v>29</v>
      </c>
      <c r="D21" s="11" t="s">
        <v>31</v>
      </c>
      <c r="E21" s="11" t="s">
        <v>68</v>
      </c>
      <c r="F21" s="11"/>
      <c r="G21" s="11" t="s">
        <v>40</v>
      </c>
      <c r="H21" s="11">
        <f t="shared" ref="H21" si="70">IF(G21="Khó và phức tạp",200,IF(G21="Cao",150,IF(G21="Trungbình",120,100)))</f>
        <v>100</v>
      </c>
      <c r="I21" s="11">
        <f t="shared" ref="I21" si="71">H21*0.01</f>
        <v>1</v>
      </c>
      <c r="J21" s="11">
        <f t="shared" ref="J21" si="72">F21*I21</f>
        <v>0</v>
      </c>
      <c r="K21" s="12">
        <f t="shared" ref="K21" si="73">F21*100%</f>
        <v>0</v>
      </c>
      <c r="L21" s="18">
        <f t="shared" ref="L21" si="74">K21*I21</f>
        <v>0</v>
      </c>
      <c r="M21" s="12">
        <f t="shared" ref="M21" si="75">K21*75%</f>
        <v>0</v>
      </c>
      <c r="N21" s="18">
        <f t="shared" ref="N21" si="76">I21*M21</f>
        <v>0</v>
      </c>
      <c r="O21" s="12">
        <f t="shared" ref="O21" si="77">K21*50%</f>
        <v>0</v>
      </c>
      <c r="P21" s="18">
        <f t="shared" ref="P21" si="78">I21*O21</f>
        <v>0</v>
      </c>
    </row>
    <row r="22" spans="1:16" ht="31" x14ac:dyDescent="0.35">
      <c r="A22" s="11"/>
      <c r="B22" s="19"/>
      <c r="C22" s="11" t="s">
        <v>29</v>
      </c>
      <c r="D22" s="11" t="s">
        <v>31</v>
      </c>
      <c r="E22" s="11" t="s">
        <v>39</v>
      </c>
      <c r="F22" s="11"/>
      <c r="G22" s="11" t="s">
        <v>40</v>
      </c>
      <c r="H22" s="11">
        <f t="shared" ref="H22" si="79">IF(G22="Khó và phức tạp",200,IF(G22="Cao",150,IF(G22="Trungbình",120,100)))</f>
        <v>100</v>
      </c>
      <c r="I22" s="11">
        <f t="shared" ref="I22" si="80">H22*0.01</f>
        <v>1</v>
      </c>
      <c r="J22" s="11">
        <f t="shared" ref="J22" si="81">F22*I22</f>
        <v>0</v>
      </c>
      <c r="K22" s="12">
        <f t="shared" ref="K22" si="82">F22*100%</f>
        <v>0</v>
      </c>
      <c r="L22" s="18">
        <f t="shared" ref="L22" si="83">K22*I22</f>
        <v>0</v>
      </c>
      <c r="M22" s="12">
        <f t="shared" ref="M22" si="84">K22*75%</f>
        <v>0</v>
      </c>
      <c r="N22" s="18">
        <f t="shared" ref="N22" si="85">I22*M22</f>
        <v>0</v>
      </c>
      <c r="O22" s="12">
        <f t="shared" ref="O22" si="86">K22*50%</f>
        <v>0</v>
      </c>
      <c r="P22" s="18">
        <f t="shared" ref="P22" si="87">I22*O22</f>
        <v>0</v>
      </c>
    </row>
    <row r="23" spans="1:16" ht="31" x14ac:dyDescent="0.35">
      <c r="A23" s="11"/>
      <c r="B23" s="19"/>
      <c r="C23" s="11" t="s">
        <v>29</v>
      </c>
      <c r="D23" s="11" t="s">
        <v>31</v>
      </c>
      <c r="E23" s="11" t="s">
        <v>71</v>
      </c>
      <c r="F23" s="11"/>
      <c r="G23" s="11" t="s">
        <v>40</v>
      </c>
      <c r="H23" s="11">
        <f t="shared" ref="H23" si="88">IF(G23="Khó và phức tạp",200,IF(G23="Cao",150,IF(G23="Trungbình",120,100)))</f>
        <v>100</v>
      </c>
      <c r="I23" s="11">
        <f t="shared" ref="I23" si="89">H23*0.01</f>
        <v>1</v>
      </c>
      <c r="J23" s="11">
        <f t="shared" ref="J23" si="90">F23*I23</f>
        <v>0</v>
      </c>
      <c r="K23" s="12">
        <f t="shared" ref="K23" si="91">F23*100%</f>
        <v>0</v>
      </c>
      <c r="L23" s="18">
        <f t="shared" ref="L23" si="92">K23*I23</f>
        <v>0</v>
      </c>
      <c r="M23" s="12">
        <f t="shared" ref="M23" si="93">K23*75%</f>
        <v>0</v>
      </c>
      <c r="N23" s="18">
        <f t="shared" ref="N23" si="94">I23*M23</f>
        <v>0</v>
      </c>
      <c r="O23" s="12">
        <f t="shared" ref="O23" si="95">K23*50%</f>
        <v>0</v>
      </c>
      <c r="P23" s="18">
        <f t="shared" ref="P23" si="96">I23*O23</f>
        <v>0</v>
      </c>
    </row>
    <row r="24" spans="1:16" ht="31" x14ac:dyDescent="0.35">
      <c r="A24" s="11"/>
      <c r="B24" s="19"/>
      <c r="C24" s="11" t="s">
        <v>29</v>
      </c>
      <c r="D24" s="11" t="s">
        <v>31</v>
      </c>
      <c r="E24" s="11" t="s">
        <v>71</v>
      </c>
      <c r="F24" s="11"/>
      <c r="G24" s="11" t="s">
        <v>40</v>
      </c>
      <c r="H24" s="11">
        <f t="shared" ref="H24" si="97">IF(G24="Khó và phức tạp",200,IF(G24="Cao",150,IF(G24="Trungbình",120,100)))</f>
        <v>100</v>
      </c>
      <c r="I24" s="11">
        <f t="shared" ref="I24" si="98">H24*0.01</f>
        <v>1</v>
      </c>
      <c r="J24" s="11">
        <f t="shared" ref="J24" si="99">F24*I24</f>
        <v>0</v>
      </c>
      <c r="K24" s="12">
        <f t="shared" ref="K24" si="100">F24*100%</f>
        <v>0</v>
      </c>
      <c r="L24" s="18">
        <f t="shared" ref="L24" si="101">K24*I24</f>
        <v>0</v>
      </c>
      <c r="M24" s="12">
        <f t="shared" ref="M24" si="102">K24*75%</f>
        <v>0</v>
      </c>
      <c r="N24" s="18">
        <f t="shared" ref="N24" si="103">I24*M24</f>
        <v>0</v>
      </c>
      <c r="O24" s="12">
        <f t="shared" ref="O24" si="104">K24*50%</f>
        <v>0</v>
      </c>
      <c r="P24" s="18">
        <f t="shared" ref="P24" si="105">I24*O24</f>
        <v>0</v>
      </c>
    </row>
    <row r="25" spans="1:16" ht="15.5" x14ac:dyDescent="0.35">
      <c r="A25" s="11"/>
      <c r="B25" s="19"/>
      <c r="C25" s="11"/>
      <c r="D25" s="11"/>
      <c r="E25" s="11"/>
      <c r="F25" s="11"/>
      <c r="G25" s="11"/>
      <c r="H25" s="11"/>
      <c r="I25" s="11"/>
      <c r="J25" s="11"/>
      <c r="K25" s="12"/>
      <c r="L25" s="18"/>
      <c r="M25" s="12"/>
      <c r="N25" s="18"/>
      <c r="O25" s="12"/>
      <c r="P25" s="18"/>
    </row>
    <row r="26" spans="1:16" ht="15.5" x14ac:dyDescent="0.35">
      <c r="A26" s="11"/>
      <c r="B26" s="19"/>
      <c r="C26" s="11"/>
      <c r="D26" s="11"/>
      <c r="E26" s="11"/>
      <c r="F26" s="11"/>
      <c r="G26" s="11"/>
      <c r="H26" s="11"/>
      <c r="I26" s="11"/>
      <c r="J26" s="11"/>
      <c r="K26" s="12"/>
      <c r="L26" s="18"/>
      <c r="M26" s="12"/>
      <c r="N26" s="18"/>
      <c r="O26" s="12"/>
      <c r="P26" s="18"/>
    </row>
    <row r="27" spans="1:16" ht="15.5" x14ac:dyDescent="0.35">
      <c r="A27" s="11"/>
      <c r="B27" s="19"/>
      <c r="C27" s="11"/>
      <c r="D27" s="11"/>
      <c r="E27" s="11"/>
      <c r="F27" s="11"/>
      <c r="G27" s="11"/>
      <c r="H27" s="11"/>
      <c r="I27" s="11"/>
      <c r="J27" s="11"/>
      <c r="K27" s="12"/>
      <c r="L27" s="18"/>
      <c r="M27" s="12"/>
      <c r="N27" s="18"/>
      <c r="O27" s="12"/>
      <c r="P27" s="18"/>
    </row>
    <row r="28" spans="1:16" ht="15" x14ac:dyDescent="0.35">
      <c r="A28" s="16">
        <v>2</v>
      </c>
      <c r="B28" s="30" t="s">
        <v>6</v>
      </c>
      <c r="C28" s="30"/>
      <c r="D28" s="30"/>
      <c r="E28" s="30"/>
      <c r="F28" s="16">
        <f>SUM(F29:F32)</f>
        <v>3</v>
      </c>
      <c r="G28" s="17"/>
      <c r="H28" s="17"/>
      <c r="I28" s="17"/>
      <c r="J28" s="16">
        <f t="shared" ref="J28:P28" si="106">SUM(J29:J32)</f>
        <v>3.5</v>
      </c>
      <c r="K28" s="16">
        <f t="shared" si="106"/>
        <v>3</v>
      </c>
      <c r="L28" s="16">
        <f t="shared" si="106"/>
        <v>3.5</v>
      </c>
      <c r="M28" s="16">
        <f t="shared" si="106"/>
        <v>2.25</v>
      </c>
      <c r="N28" s="16">
        <f t="shared" si="106"/>
        <v>2.625</v>
      </c>
      <c r="O28" s="16">
        <f t="shared" si="106"/>
        <v>1.5</v>
      </c>
      <c r="P28" s="16">
        <f t="shared" si="106"/>
        <v>1.75</v>
      </c>
    </row>
    <row r="29" spans="1:16" ht="342" x14ac:dyDescent="0.35">
      <c r="A29" s="11">
        <v>1.1000000000000001</v>
      </c>
      <c r="B29" s="22" t="s">
        <v>80</v>
      </c>
      <c r="C29" s="11" t="s">
        <v>29</v>
      </c>
      <c r="D29" s="11" t="s">
        <v>31</v>
      </c>
      <c r="E29" s="11" t="s">
        <v>39</v>
      </c>
      <c r="F29" s="11">
        <v>1</v>
      </c>
      <c r="G29" s="11" t="s">
        <v>41</v>
      </c>
      <c r="H29" s="11">
        <f t="shared" ref="H29" si="107">IF(G29="Khó và phức tạp",200,IF(G29="Cao",150,IF(G29="Trungbình",120,100)))</f>
        <v>150</v>
      </c>
      <c r="I29" s="11">
        <f t="shared" ref="I29" si="108">H29*0.01</f>
        <v>1.5</v>
      </c>
      <c r="J29" s="11">
        <f t="shared" ref="J29" si="109">F29*I29</f>
        <v>1.5</v>
      </c>
      <c r="K29" s="12">
        <f>F29*100%</f>
        <v>1</v>
      </c>
      <c r="L29" s="18">
        <f t="shared" ref="L29" si="110">K29*I29</f>
        <v>1.5</v>
      </c>
      <c r="M29" s="12">
        <f>K29*75%</f>
        <v>0.75</v>
      </c>
      <c r="N29" s="18">
        <f t="shared" ref="N29" si="111">I29*M29</f>
        <v>1.125</v>
      </c>
      <c r="O29" s="12">
        <f>K29*50%</f>
        <v>0.5</v>
      </c>
      <c r="P29" s="18">
        <f t="shared" ref="P29" si="112">I29*O29</f>
        <v>0.75</v>
      </c>
    </row>
    <row r="30" spans="1:16" ht="90" x14ac:dyDescent="0.35">
      <c r="A30" s="11"/>
      <c r="B30" s="25" t="s">
        <v>81</v>
      </c>
      <c r="C30" s="11" t="s">
        <v>29</v>
      </c>
      <c r="D30" s="11" t="s">
        <v>31</v>
      </c>
      <c r="E30" s="11" t="s">
        <v>39</v>
      </c>
      <c r="F30" s="11">
        <v>1</v>
      </c>
      <c r="G30" s="11" t="s">
        <v>82</v>
      </c>
      <c r="H30" s="11">
        <f t="shared" ref="H30" si="113">IF(G30="Khó và phức tạp",200,IF(G30="Cao",150,IF(G30="Trungbình",120,100)))</f>
        <v>100</v>
      </c>
      <c r="I30" s="11">
        <f t="shared" ref="I30" si="114">H30*0.01</f>
        <v>1</v>
      </c>
      <c r="J30" s="11">
        <f t="shared" ref="J30" si="115">F30*I30</f>
        <v>1</v>
      </c>
      <c r="K30" s="12">
        <f>F30*100%</f>
        <v>1</v>
      </c>
      <c r="L30" s="18">
        <f t="shared" ref="L30" si="116">K30*I30</f>
        <v>1</v>
      </c>
      <c r="M30" s="12">
        <f>K30*75%</f>
        <v>0.75</v>
      </c>
      <c r="N30" s="18">
        <f t="shared" ref="N30" si="117">I30*M30</f>
        <v>0.75</v>
      </c>
      <c r="O30" s="12">
        <f>K30*50%</f>
        <v>0.5</v>
      </c>
      <c r="P30" s="18">
        <f t="shared" ref="P30" si="118">I30*O30</f>
        <v>0.5</v>
      </c>
    </row>
    <row r="31" spans="1:16" ht="36" x14ac:dyDescent="0.35">
      <c r="A31" s="11"/>
      <c r="B31" s="25" t="s">
        <v>83</v>
      </c>
      <c r="C31" s="11" t="s">
        <v>29</v>
      </c>
      <c r="D31" s="11" t="s">
        <v>31</v>
      </c>
      <c r="E31" s="11" t="s">
        <v>39</v>
      </c>
      <c r="F31" s="11">
        <v>1</v>
      </c>
      <c r="G31" s="11" t="s">
        <v>82</v>
      </c>
      <c r="H31" s="11">
        <f t="shared" ref="H31" si="119">IF(G31="Khó và phức tạp",200,IF(G31="Cao",150,IF(G31="Trungbình",120,100)))</f>
        <v>100</v>
      </c>
      <c r="I31" s="11">
        <f t="shared" ref="I31" si="120">H31*0.01</f>
        <v>1</v>
      </c>
      <c r="J31" s="11">
        <f t="shared" ref="J31" si="121">F31*I31</f>
        <v>1</v>
      </c>
      <c r="K31" s="12">
        <f>F31*100%</f>
        <v>1</v>
      </c>
      <c r="L31" s="18">
        <f t="shared" ref="L31" si="122">K31*I31</f>
        <v>1</v>
      </c>
      <c r="M31" s="12">
        <f>K31*75%</f>
        <v>0.75</v>
      </c>
      <c r="N31" s="18">
        <f t="shared" ref="N31" si="123">I31*M31</f>
        <v>0.75</v>
      </c>
      <c r="O31" s="12">
        <f>K31*50%</f>
        <v>0.5</v>
      </c>
      <c r="P31" s="18">
        <f t="shared" ref="P31" si="124">I31*O31</f>
        <v>0.5</v>
      </c>
    </row>
    <row r="32" spans="1:16" ht="18" x14ac:dyDescent="0.35">
      <c r="A32" s="11">
        <v>1.2</v>
      </c>
      <c r="B32" s="25"/>
      <c r="C32" s="11"/>
      <c r="D32" s="11"/>
      <c r="E32" s="11"/>
      <c r="F32" s="11"/>
      <c r="G32" s="11"/>
      <c r="H32" s="11"/>
      <c r="I32" s="11"/>
      <c r="J32" s="11"/>
      <c r="K32" s="12"/>
      <c r="L32" s="18"/>
      <c r="M32" s="12"/>
      <c r="N32" s="18"/>
      <c r="O32" s="12"/>
      <c r="P32" s="18"/>
    </row>
    <row r="33" spans="1:16" ht="15" x14ac:dyDescent="0.35">
      <c r="A33" s="16">
        <v>3</v>
      </c>
      <c r="B33" s="30" t="s">
        <v>7</v>
      </c>
      <c r="C33" s="30"/>
      <c r="D33" s="30"/>
      <c r="E33" s="30"/>
      <c r="F33" s="16">
        <f>SUM(F34:F35)</f>
        <v>1</v>
      </c>
      <c r="G33" s="17"/>
      <c r="H33" s="17"/>
      <c r="I33" s="17"/>
      <c r="J33" s="16">
        <f t="shared" ref="J33:P33" si="125">SUM(J34:J35)</f>
        <v>1</v>
      </c>
      <c r="K33" s="16">
        <f t="shared" si="125"/>
        <v>1</v>
      </c>
      <c r="L33" s="16">
        <f t="shared" si="125"/>
        <v>1</v>
      </c>
      <c r="M33" s="16">
        <f t="shared" si="125"/>
        <v>0.75</v>
      </c>
      <c r="N33" s="16">
        <f t="shared" si="125"/>
        <v>0.75</v>
      </c>
      <c r="O33" s="16">
        <f t="shared" si="125"/>
        <v>1</v>
      </c>
      <c r="P33" s="16">
        <f t="shared" si="125"/>
        <v>1</v>
      </c>
    </row>
    <row r="34" spans="1:16" ht="72" x14ac:dyDescent="0.35">
      <c r="A34" s="11"/>
      <c r="B34" s="22" t="s">
        <v>84</v>
      </c>
      <c r="C34" s="11" t="s">
        <v>29</v>
      </c>
      <c r="D34" s="11" t="s">
        <v>31</v>
      </c>
      <c r="E34" s="11" t="s">
        <v>68</v>
      </c>
      <c r="F34" s="11">
        <v>1</v>
      </c>
      <c r="G34" s="11" t="s">
        <v>40</v>
      </c>
      <c r="H34" s="11">
        <f>IF(G34="Khó và phức tạp",200,IF(G34="Cao",150,IF(G34="Trungbình",120,100)))</f>
        <v>100</v>
      </c>
      <c r="I34" s="11">
        <f>H34*0.01</f>
        <v>1</v>
      </c>
      <c r="J34" s="11">
        <f>F34*I34</f>
        <v>1</v>
      </c>
      <c r="K34" s="12">
        <f>F34*100%</f>
        <v>1</v>
      </c>
      <c r="L34" s="18">
        <f t="shared" ref="L34:L35" si="126">K34*I34</f>
        <v>1</v>
      </c>
      <c r="M34" s="12">
        <f>K34*75%</f>
        <v>0.75</v>
      </c>
      <c r="N34" s="18">
        <f>I34*M34</f>
        <v>0.75</v>
      </c>
      <c r="O34" s="12">
        <f>K34*100%</f>
        <v>1</v>
      </c>
      <c r="P34" s="18">
        <f>I34*O34</f>
        <v>1</v>
      </c>
    </row>
    <row r="35" spans="1:16" ht="15.5" x14ac:dyDescent="0.35">
      <c r="A35" s="11"/>
      <c r="B35" s="19" t="s">
        <v>5</v>
      </c>
      <c r="C35" s="11"/>
      <c r="D35" s="11"/>
      <c r="E35" s="11"/>
      <c r="F35" s="11"/>
      <c r="G35" s="11"/>
      <c r="H35" s="11"/>
      <c r="I35" s="11"/>
      <c r="J35" s="11"/>
      <c r="K35" s="12">
        <f>F35*100%</f>
        <v>0</v>
      </c>
      <c r="L35" s="18">
        <f t="shared" si="126"/>
        <v>0</v>
      </c>
      <c r="M35" s="12">
        <f>K35*75%</f>
        <v>0</v>
      </c>
      <c r="N35" s="18">
        <f>I35*M35</f>
        <v>0</v>
      </c>
      <c r="O35" s="12">
        <f>K35*100%</f>
        <v>0</v>
      </c>
      <c r="P35" s="18">
        <f>I35*O35</f>
        <v>0</v>
      </c>
    </row>
    <row r="36" spans="1:16" ht="15" x14ac:dyDescent="0.35">
      <c r="A36" s="16">
        <v>4</v>
      </c>
      <c r="B36" s="31" t="s">
        <v>8</v>
      </c>
      <c r="C36" s="31"/>
      <c r="D36" s="31"/>
      <c r="E36" s="31"/>
      <c r="F36" s="16">
        <f>SUM(F37:F42)</f>
        <v>0</v>
      </c>
      <c r="G36" s="17"/>
      <c r="H36" s="17"/>
      <c r="I36" s="17"/>
      <c r="J36" s="16">
        <f t="shared" ref="J36:P36" si="127">SUM(J37:J42)</f>
        <v>0</v>
      </c>
      <c r="K36" s="16">
        <f t="shared" si="127"/>
        <v>0</v>
      </c>
      <c r="L36" s="16">
        <f t="shared" si="127"/>
        <v>0</v>
      </c>
      <c r="M36" s="16">
        <f t="shared" si="127"/>
        <v>0</v>
      </c>
      <c r="N36" s="16">
        <f t="shared" si="127"/>
        <v>0</v>
      </c>
      <c r="O36" s="16">
        <f t="shared" si="127"/>
        <v>0</v>
      </c>
      <c r="P36" s="16">
        <f t="shared" si="127"/>
        <v>0</v>
      </c>
    </row>
    <row r="37" spans="1:16" ht="31" x14ac:dyDescent="0.35">
      <c r="A37" s="11"/>
      <c r="B37" s="22"/>
      <c r="C37" s="11" t="s">
        <v>32</v>
      </c>
      <c r="D37" s="11" t="s">
        <v>31</v>
      </c>
      <c r="E37" s="11" t="s">
        <v>72</v>
      </c>
      <c r="F37" s="11"/>
      <c r="G37" s="11" t="s">
        <v>40</v>
      </c>
      <c r="H37" s="11">
        <f t="shared" ref="H37" si="128">IF(G37="Khó và phức tạp",200,IF(G37="Cao",150,IF(G37="Trungbình",120,100)))</f>
        <v>100</v>
      </c>
      <c r="I37" s="11">
        <f t="shared" ref="I37" si="129">H37*0.01</f>
        <v>1</v>
      </c>
      <c r="J37" s="11">
        <f t="shared" ref="J37" si="130">F37*I37</f>
        <v>0</v>
      </c>
      <c r="K37" s="12">
        <f>F37*100%</f>
        <v>0</v>
      </c>
      <c r="L37" s="18">
        <f t="shared" ref="L37" si="131">K37*I37</f>
        <v>0</v>
      </c>
      <c r="M37" s="12">
        <f>K37*75%</f>
        <v>0</v>
      </c>
      <c r="N37" s="18">
        <f t="shared" ref="N37" si="132">I37*M37</f>
        <v>0</v>
      </c>
      <c r="O37" s="12">
        <f>K37*50%</f>
        <v>0</v>
      </c>
      <c r="P37" s="18">
        <f t="shared" ref="P37" si="133">I37*O37</f>
        <v>0</v>
      </c>
    </row>
    <row r="38" spans="1:16" ht="31" x14ac:dyDescent="0.35">
      <c r="A38" s="11"/>
      <c r="B38" s="22"/>
      <c r="C38" s="11" t="s">
        <v>33</v>
      </c>
      <c r="D38" s="11" t="s">
        <v>31</v>
      </c>
      <c r="E38" s="11" t="s">
        <v>72</v>
      </c>
      <c r="F38" s="11"/>
      <c r="G38" s="11" t="s">
        <v>40</v>
      </c>
      <c r="H38" s="11">
        <f t="shared" ref="H38:H42" si="134">IF(G38="Khó và phức tạp",200,IF(G38="Cao",150,IF(G38="Trungbình",120,100)))</f>
        <v>100</v>
      </c>
      <c r="I38" s="11">
        <f t="shared" ref="I38:I42" si="135">H38*0.01</f>
        <v>1</v>
      </c>
      <c r="J38" s="11">
        <f>F38*I38</f>
        <v>0</v>
      </c>
      <c r="K38" s="12">
        <f>F38*100%</f>
        <v>0</v>
      </c>
      <c r="L38" s="18">
        <f t="shared" ref="L38:L42" si="136">K38*I38</f>
        <v>0</v>
      </c>
      <c r="M38" s="12">
        <f>K38*75%</f>
        <v>0</v>
      </c>
      <c r="N38" s="18">
        <f>I38*M38</f>
        <v>0</v>
      </c>
      <c r="O38" s="12">
        <f>K38*100%</f>
        <v>0</v>
      </c>
      <c r="P38" s="18">
        <f>I38*O38</f>
        <v>0</v>
      </c>
    </row>
    <row r="39" spans="1:16" ht="31" x14ac:dyDescent="0.35">
      <c r="A39" s="11"/>
      <c r="B39" s="22"/>
      <c r="C39" s="11" t="s">
        <v>34</v>
      </c>
      <c r="D39" s="11" t="s">
        <v>54</v>
      </c>
      <c r="E39" s="11" t="s">
        <v>39</v>
      </c>
      <c r="F39" s="11"/>
      <c r="G39" s="11" t="s">
        <v>40</v>
      </c>
      <c r="H39" s="11">
        <f t="shared" si="134"/>
        <v>100</v>
      </c>
      <c r="I39" s="11">
        <f t="shared" si="135"/>
        <v>1</v>
      </c>
      <c r="J39" s="11">
        <f>F39*I39</f>
        <v>0</v>
      </c>
      <c r="K39" s="12">
        <f>F39*100%</f>
        <v>0</v>
      </c>
      <c r="L39" s="18">
        <f t="shared" si="136"/>
        <v>0</v>
      </c>
      <c r="M39" s="12">
        <f>K39*75%</f>
        <v>0</v>
      </c>
      <c r="N39" s="18">
        <f>I39*M39</f>
        <v>0</v>
      </c>
      <c r="O39" s="12">
        <f>K39*100%</f>
        <v>0</v>
      </c>
      <c r="P39" s="18">
        <f>I39*O39</f>
        <v>0</v>
      </c>
    </row>
    <row r="40" spans="1:16" ht="31" x14ac:dyDescent="0.35">
      <c r="A40" s="11"/>
      <c r="B40" s="22"/>
      <c r="C40" s="11" t="s">
        <v>35</v>
      </c>
      <c r="D40" s="11" t="s">
        <v>53</v>
      </c>
      <c r="E40" s="11" t="s">
        <v>68</v>
      </c>
      <c r="F40" s="11"/>
      <c r="G40" s="11" t="s">
        <v>40</v>
      </c>
      <c r="H40" s="11">
        <f t="shared" si="134"/>
        <v>100</v>
      </c>
      <c r="I40" s="11">
        <f t="shared" si="135"/>
        <v>1</v>
      </c>
      <c r="J40" s="11">
        <f>F40*I40</f>
        <v>0</v>
      </c>
      <c r="K40" s="12">
        <f>F40*100%</f>
        <v>0</v>
      </c>
      <c r="L40" s="18">
        <f t="shared" si="136"/>
        <v>0</v>
      </c>
      <c r="M40" s="12">
        <f>K40*75%</f>
        <v>0</v>
      </c>
      <c r="N40" s="18">
        <f>I40*M40</f>
        <v>0</v>
      </c>
      <c r="O40" s="12">
        <f>K40*100%</f>
        <v>0</v>
      </c>
      <c r="P40" s="18">
        <f>I40*O40</f>
        <v>0</v>
      </c>
    </row>
    <row r="41" spans="1:16" ht="31" x14ac:dyDescent="0.35">
      <c r="A41" s="11"/>
      <c r="B41" s="19" t="s">
        <v>5</v>
      </c>
      <c r="C41" s="11" t="s">
        <v>36</v>
      </c>
      <c r="D41" s="11" t="s">
        <v>43</v>
      </c>
      <c r="E41" s="11" t="s">
        <v>39</v>
      </c>
      <c r="F41" s="11"/>
      <c r="G41" s="11" t="s">
        <v>42</v>
      </c>
      <c r="H41" s="11">
        <f t="shared" si="134"/>
        <v>200</v>
      </c>
      <c r="I41" s="11">
        <f t="shared" si="135"/>
        <v>2</v>
      </c>
      <c r="J41" s="11">
        <f t="shared" ref="J41:J42" si="137">F41*I41</f>
        <v>0</v>
      </c>
      <c r="K41" s="12">
        <f t="shared" ref="K41:K42" si="138">F41*100%</f>
        <v>0</v>
      </c>
      <c r="L41" s="18">
        <f t="shared" si="136"/>
        <v>0</v>
      </c>
      <c r="M41" s="12">
        <f t="shared" ref="M41:M42" si="139">K41*75%</f>
        <v>0</v>
      </c>
      <c r="N41" s="18">
        <f t="shared" ref="N41:N42" si="140">I41*M41</f>
        <v>0</v>
      </c>
      <c r="O41" s="12">
        <f t="shared" ref="O41:O42" si="141">K41*100%</f>
        <v>0</v>
      </c>
      <c r="P41" s="18">
        <f t="shared" ref="P41:P42" si="142">I41*O41</f>
        <v>0</v>
      </c>
    </row>
    <row r="42" spans="1:16" ht="31" x14ac:dyDescent="0.35">
      <c r="A42" s="11"/>
      <c r="B42" s="19" t="s">
        <v>5</v>
      </c>
      <c r="C42" s="11" t="s">
        <v>37</v>
      </c>
      <c r="D42" s="11" t="s">
        <v>31</v>
      </c>
      <c r="E42" s="11" t="s">
        <v>39</v>
      </c>
      <c r="F42" s="11"/>
      <c r="G42" s="11" t="s">
        <v>42</v>
      </c>
      <c r="H42" s="11">
        <f t="shared" si="134"/>
        <v>200</v>
      </c>
      <c r="I42" s="11">
        <f t="shared" si="135"/>
        <v>2</v>
      </c>
      <c r="J42" s="11">
        <f t="shared" si="137"/>
        <v>0</v>
      </c>
      <c r="K42" s="12">
        <f t="shared" si="138"/>
        <v>0</v>
      </c>
      <c r="L42" s="18">
        <f t="shared" si="136"/>
        <v>0</v>
      </c>
      <c r="M42" s="12">
        <f t="shared" si="139"/>
        <v>0</v>
      </c>
      <c r="N42" s="18">
        <f t="shared" si="140"/>
        <v>0</v>
      </c>
      <c r="O42" s="12">
        <f t="shared" si="141"/>
        <v>0</v>
      </c>
      <c r="P42" s="18">
        <f t="shared" si="142"/>
        <v>0</v>
      </c>
    </row>
    <row r="43" spans="1:16" ht="15" x14ac:dyDescent="0.35">
      <c r="A43" s="16">
        <v>5</v>
      </c>
      <c r="B43" s="30" t="s">
        <v>9</v>
      </c>
      <c r="C43" s="30"/>
      <c r="D43" s="30"/>
      <c r="E43" s="30"/>
      <c r="F43" s="16">
        <f>SUM(F44:F49)</f>
        <v>1</v>
      </c>
      <c r="G43" s="17"/>
      <c r="H43" s="17"/>
      <c r="I43" s="17"/>
      <c r="J43" s="16">
        <f t="shared" ref="J43:P43" si="143">SUM(J44:J49)</f>
        <v>1</v>
      </c>
      <c r="K43" s="16">
        <f t="shared" si="143"/>
        <v>1</v>
      </c>
      <c r="L43" s="16">
        <f t="shared" si="143"/>
        <v>1</v>
      </c>
      <c r="M43" s="16">
        <f t="shared" si="143"/>
        <v>0.75</v>
      </c>
      <c r="N43" s="16">
        <f t="shared" si="143"/>
        <v>0.75</v>
      </c>
      <c r="O43" s="16">
        <f t="shared" si="143"/>
        <v>1</v>
      </c>
      <c r="P43" s="16">
        <f t="shared" si="143"/>
        <v>1</v>
      </c>
    </row>
    <row r="44" spans="1:16" ht="124" x14ac:dyDescent="0.35">
      <c r="A44" s="11"/>
      <c r="B44" s="19" t="s">
        <v>85</v>
      </c>
      <c r="C44" s="11" t="s">
        <v>29</v>
      </c>
      <c r="D44" s="11" t="s">
        <v>31</v>
      </c>
      <c r="E44" s="11" t="s">
        <v>39</v>
      </c>
      <c r="F44" s="11">
        <v>1</v>
      </c>
      <c r="G44" s="11" t="s">
        <v>82</v>
      </c>
      <c r="H44" s="11">
        <f t="shared" ref="H44:H49" si="144">IF(G44="Khó và phức tạp",200,IF(G44="Cao",150,IF(G44="Trungbình",120,100)))</f>
        <v>100</v>
      </c>
      <c r="I44" s="11">
        <f t="shared" ref="I44:I49" si="145">H44*0.01</f>
        <v>1</v>
      </c>
      <c r="J44" s="11">
        <f t="shared" ref="J44:J49" si="146">F44*I44</f>
        <v>1</v>
      </c>
      <c r="K44" s="12">
        <f t="shared" ref="K44:K49" si="147">F44*100%</f>
        <v>1</v>
      </c>
      <c r="L44" s="18">
        <f t="shared" ref="L44:L49" si="148">K44*I44</f>
        <v>1</v>
      </c>
      <c r="M44" s="12">
        <f t="shared" ref="M44:M49" si="149">K44*75%</f>
        <v>0.75</v>
      </c>
      <c r="N44" s="18">
        <f t="shared" ref="N44:N49" si="150">I44*M44</f>
        <v>0.75</v>
      </c>
      <c r="O44" s="12">
        <f t="shared" ref="O44:O49" si="151">K44*100%</f>
        <v>1</v>
      </c>
      <c r="P44" s="18">
        <f t="shared" ref="P44:P49" si="152">I44*O44</f>
        <v>1</v>
      </c>
    </row>
    <row r="45" spans="1:16" ht="31" x14ac:dyDescent="0.35">
      <c r="A45" s="11"/>
      <c r="B45" s="19" t="s">
        <v>5</v>
      </c>
      <c r="C45" s="11" t="s">
        <v>33</v>
      </c>
      <c r="D45" s="11" t="s">
        <v>31</v>
      </c>
      <c r="E45" s="11" t="s">
        <v>39</v>
      </c>
      <c r="F45" s="11"/>
      <c r="G45" s="11" t="s">
        <v>42</v>
      </c>
      <c r="H45" s="11">
        <f t="shared" si="144"/>
        <v>200</v>
      </c>
      <c r="I45" s="11">
        <f t="shared" si="145"/>
        <v>2</v>
      </c>
      <c r="J45" s="11">
        <f t="shared" si="146"/>
        <v>0</v>
      </c>
      <c r="K45" s="12">
        <f t="shared" si="147"/>
        <v>0</v>
      </c>
      <c r="L45" s="18">
        <f t="shared" si="148"/>
        <v>0</v>
      </c>
      <c r="M45" s="12">
        <f t="shared" si="149"/>
        <v>0</v>
      </c>
      <c r="N45" s="18">
        <f t="shared" si="150"/>
        <v>0</v>
      </c>
      <c r="O45" s="12">
        <f t="shared" si="151"/>
        <v>0</v>
      </c>
      <c r="P45" s="18">
        <f t="shared" si="152"/>
        <v>0</v>
      </c>
    </row>
    <row r="46" spans="1:16" ht="31" x14ac:dyDescent="0.35">
      <c r="A46" s="11"/>
      <c r="B46" s="19" t="s">
        <v>5</v>
      </c>
      <c r="C46" s="11" t="s">
        <v>34</v>
      </c>
      <c r="D46" s="11" t="s">
        <v>31</v>
      </c>
      <c r="E46" s="11" t="s">
        <v>39</v>
      </c>
      <c r="F46" s="11"/>
      <c r="G46" s="11" t="s">
        <v>42</v>
      </c>
      <c r="H46" s="11">
        <f t="shared" si="144"/>
        <v>200</v>
      </c>
      <c r="I46" s="11">
        <f t="shared" si="145"/>
        <v>2</v>
      </c>
      <c r="J46" s="11">
        <f t="shared" si="146"/>
        <v>0</v>
      </c>
      <c r="K46" s="12">
        <f t="shared" si="147"/>
        <v>0</v>
      </c>
      <c r="L46" s="18">
        <f t="shared" si="148"/>
        <v>0</v>
      </c>
      <c r="M46" s="12">
        <f t="shared" si="149"/>
        <v>0</v>
      </c>
      <c r="N46" s="18">
        <f t="shared" si="150"/>
        <v>0</v>
      </c>
      <c r="O46" s="12">
        <f t="shared" si="151"/>
        <v>0</v>
      </c>
      <c r="P46" s="18">
        <f t="shared" si="152"/>
        <v>0</v>
      </c>
    </row>
    <row r="47" spans="1:16" ht="31" x14ac:dyDescent="0.35">
      <c r="A47" s="11"/>
      <c r="B47" s="19" t="s">
        <v>5</v>
      </c>
      <c r="C47" s="11" t="s">
        <v>35</v>
      </c>
      <c r="D47" s="11" t="s">
        <v>31</v>
      </c>
      <c r="E47" s="11" t="s">
        <v>39</v>
      </c>
      <c r="F47" s="11"/>
      <c r="G47" s="11" t="s">
        <v>42</v>
      </c>
      <c r="H47" s="11">
        <f t="shared" si="144"/>
        <v>200</v>
      </c>
      <c r="I47" s="11">
        <f t="shared" si="145"/>
        <v>2</v>
      </c>
      <c r="J47" s="11">
        <f t="shared" si="146"/>
        <v>0</v>
      </c>
      <c r="K47" s="12">
        <f t="shared" si="147"/>
        <v>0</v>
      </c>
      <c r="L47" s="18">
        <f t="shared" si="148"/>
        <v>0</v>
      </c>
      <c r="M47" s="12">
        <f t="shared" si="149"/>
        <v>0</v>
      </c>
      <c r="N47" s="18">
        <f t="shared" si="150"/>
        <v>0</v>
      </c>
      <c r="O47" s="12">
        <f t="shared" si="151"/>
        <v>0</v>
      </c>
      <c r="P47" s="18">
        <f t="shared" si="152"/>
        <v>0</v>
      </c>
    </row>
    <row r="48" spans="1:16" ht="31" x14ac:dyDescent="0.35">
      <c r="A48" s="11"/>
      <c r="B48" s="19" t="s">
        <v>5</v>
      </c>
      <c r="C48" s="11" t="s">
        <v>36</v>
      </c>
      <c r="D48" s="11" t="s">
        <v>31</v>
      </c>
      <c r="E48" s="11" t="s">
        <v>39</v>
      </c>
      <c r="F48" s="11"/>
      <c r="G48" s="11" t="s">
        <v>42</v>
      </c>
      <c r="H48" s="11">
        <f t="shared" si="144"/>
        <v>200</v>
      </c>
      <c r="I48" s="11">
        <f t="shared" si="145"/>
        <v>2</v>
      </c>
      <c r="J48" s="11">
        <f t="shared" si="146"/>
        <v>0</v>
      </c>
      <c r="K48" s="12">
        <f t="shared" si="147"/>
        <v>0</v>
      </c>
      <c r="L48" s="18">
        <f t="shared" si="148"/>
        <v>0</v>
      </c>
      <c r="M48" s="12">
        <f t="shared" si="149"/>
        <v>0</v>
      </c>
      <c r="N48" s="18">
        <f t="shared" si="150"/>
        <v>0</v>
      </c>
      <c r="O48" s="12">
        <f t="shared" si="151"/>
        <v>0</v>
      </c>
      <c r="P48" s="18">
        <f t="shared" si="152"/>
        <v>0</v>
      </c>
    </row>
    <row r="49" spans="1:16" ht="31" x14ac:dyDescent="0.35">
      <c r="A49" s="11"/>
      <c r="B49" s="19" t="s">
        <v>5</v>
      </c>
      <c r="C49" s="11" t="s">
        <v>37</v>
      </c>
      <c r="D49" s="11" t="s">
        <v>31</v>
      </c>
      <c r="E49" s="11" t="s">
        <v>39</v>
      </c>
      <c r="F49" s="11"/>
      <c r="G49" s="11" t="s">
        <v>42</v>
      </c>
      <c r="H49" s="11">
        <f t="shared" si="144"/>
        <v>200</v>
      </c>
      <c r="I49" s="11">
        <f t="shared" si="145"/>
        <v>2</v>
      </c>
      <c r="J49" s="11">
        <f t="shared" si="146"/>
        <v>0</v>
      </c>
      <c r="K49" s="12">
        <f t="shared" si="147"/>
        <v>0</v>
      </c>
      <c r="L49" s="18">
        <f t="shared" si="148"/>
        <v>0</v>
      </c>
      <c r="M49" s="12">
        <f t="shared" si="149"/>
        <v>0</v>
      </c>
      <c r="N49" s="18">
        <f t="shared" si="150"/>
        <v>0</v>
      </c>
      <c r="O49" s="12">
        <f t="shared" si="151"/>
        <v>0</v>
      </c>
      <c r="P49" s="18">
        <f t="shared" si="152"/>
        <v>0</v>
      </c>
    </row>
    <row r="50" spans="1:16" ht="15" x14ac:dyDescent="0.35">
      <c r="A50" s="16">
        <v>6</v>
      </c>
      <c r="B50" s="26" t="s">
        <v>10</v>
      </c>
      <c r="C50" s="27"/>
      <c r="D50" s="27"/>
      <c r="E50" s="27"/>
      <c r="F50" s="16">
        <f>SUM(F51:F52)</f>
        <v>0</v>
      </c>
      <c r="G50" s="17"/>
      <c r="H50" s="17"/>
      <c r="I50" s="17"/>
      <c r="J50" s="16">
        <f t="shared" ref="J50:P50" si="153">SUM(J51:J52)</f>
        <v>0</v>
      </c>
      <c r="K50" s="16">
        <f t="shared" si="153"/>
        <v>0</v>
      </c>
      <c r="L50" s="16">
        <f t="shared" si="153"/>
        <v>0</v>
      </c>
      <c r="M50" s="16">
        <f t="shared" si="153"/>
        <v>0</v>
      </c>
      <c r="N50" s="16">
        <f t="shared" si="153"/>
        <v>0</v>
      </c>
      <c r="O50" s="16">
        <f t="shared" si="153"/>
        <v>0</v>
      </c>
      <c r="P50" s="16">
        <f t="shared" si="153"/>
        <v>0</v>
      </c>
    </row>
    <row r="51" spans="1:16" ht="31" x14ac:dyDescent="0.35">
      <c r="A51" s="11"/>
      <c r="B51" s="19" t="s">
        <v>5</v>
      </c>
      <c r="C51" s="11" t="s">
        <v>32</v>
      </c>
      <c r="D51" s="11" t="s">
        <v>31</v>
      </c>
      <c r="E51" s="11" t="s">
        <v>39</v>
      </c>
      <c r="F51" s="11"/>
      <c r="G51" s="11" t="s">
        <v>42</v>
      </c>
      <c r="H51" s="11">
        <f>IF(G51="Khó và phức tạp",200,IF(G51="Cao",150,IF(G51="Trungbình",120,100)))</f>
        <v>200</v>
      </c>
      <c r="I51" s="11">
        <f>H51*0.01</f>
        <v>2</v>
      </c>
      <c r="J51" s="11">
        <f t="shared" ref="J51:J52" si="154">F51*I51</f>
        <v>0</v>
      </c>
      <c r="K51" s="12">
        <f t="shared" ref="K51:K52" si="155">F51*100%</f>
        <v>0</v>
      </c>
      <c r="L51" s="18">
        <f t="shared" ref="L51:L52" si="156">K51*I51</f>
        <v>0</v>
      </c>
      <c r="M51" s="12">
        <f t="shared" ref="M51:M52" si="157">K51*75%</f>
        <v>0</v>
      </c>
      <c r="N51" s="18">
        <f t="shared" ref="N51:N52" si="158">I51*M51</f>
        <v>0</v>
      </c>
      <c r="O51" s="12">
        <f t="shared" ref="O51:O52" si="159">K51*100%</f>
        <v>0</v>
      </c>
      <c r="P51" s="18">
        <f t="shared" ref="P51:P52" si="160">I51*O51</f>
        <v>0</v>
      </c>
    </row>
    <row r="52" spans="1:16" ht="31" x14ac:dyDescent="0.35">
      <c r="A52" s="11"/>
      <c r="B52" s="19" t="s">
        <v>5</v>
      </c>
      <c r="C52" s="11" t="s">
        <v>33</v>
      </c>
      <c r="D52" s="11" t="s">
        <v>31</v>
      </c>
      <c r="E52" s="11" t="s">
        <v>39</v>
      </c>
      <c r="F52" s="11"/>
      <c r="G52" s="11" t="s">
        <v>42</v>
      </c>
      <c r="H52" s="11">
        <f>IF(G52="Khó và phức tạp",200,IF(G52="Cao",150,IF(G52="Trungbình",120,100)))</f>
        <v>200</v>
      </c>
      <c r="I52" s="11">
        <f>H52*0.01</f>
        <v>2</v>
      </c>
      <c r="J52" s="11">
        <f t="shared" si="154"/>
        <v>0</v>
      </c>
      <c r="K52" s="12">
        <f t="shared" si="155"/>
        <v>0</v>
      </c>
      <c r="L52" s="18">
        <f t="shared" si="156"/>
        <v>0</v>
      </c>
      <c r="M52" s="12">
        <f t="shared" si="157"/>
        <v>0</v>
      </c>
      <c r="N52" s="18">
        <f t="shared" si="158"/>
        <v>0</v>
      </c>
      <c r="O52" s="12">
        <f t="shared" si="159"/>
        <v>0</v>
      </c>
      <c r="P52" s="18">
        <f t="shared" si="160"/>
        <v>0</v>
      </c>
    </row>
    <row r="53" spans="1:16" ht="15" x14ac:dyDescent="0.35">
      <c r="A53" s="16" t="s">
        <v>11</v>
      </c>
      <c r="B53" s="28" t="s">
        <v>38</v>
      </c>
      <c r="C53" s="29"/>
      <c r="D53" s="29"/>
      <c r="E53" s="29"/>
      <c r="F53" s="16">
        <f>SUM(F54:F56)</f>
        <v>0</v>
      </c>
      <c r="G53" s="17"/>
      <c r="H53" s="17"/>
      <c r="I53" s="17"/>
      <c r="J53" s="16">
        <f t="shared" ref="J53:P53" si="161">SUM(J54:J56)</f>
        <v>0</v>
      </c>
      <c r="K53" s="16">
        <f t="shared" si="161"/>
        <v>0</v>
      </c>
      <c r="L53" s="16">
        <f t="shared" si="161"/>
        <v>0</v>
      </c>
      <c r="M53" s="16">
        <f t="shared" si="161"/>
        <v>0</v>
      </c>
      <c r="N53" s="16">
        <f t="shared" si="161"/>
        <v>0</v>
      </c>
      <c r="O53" s="16">
        <f t="shared" si="161"/>
        <v>0</v>
      </c>
      <c r="P53" s="16">
        <f t="shared" si="161"/>
        <v>0</v>
      </c>
    </row>
    <row r="54" spans="1:16" ht="31" x14ac:dyDescent="0.35">
      <c r="A54" s="11">
        <v>1</v>
      </c>
      <c r="B54" s="19"/>
      <c r="C54" s="11" t="s">
        <v>29</v>
      </c>
      <c r="D54" s="11" t="s">
        <v>31</v>
      </c>
      <c r="E54" s="11" t="s">
        <v>39</v>
      </c>
      <c r="F54" s="11"/>
      <c r="G54" s="11" t="s">
        <v>42</v>
      </c>
      <c r="H54" s="11">
        <f>IF(G54="Khó và phức tạp",200,IF(G54="Cao",150,IF(G54="Trungbình",120,100)))</f>
        <v>200</v>
      </c>
      <c r="I54" s="11">
        <f>H54*0.01</f>
        <v>2</v>
      </c>
      <c r="J54" s="11">
        <f t="shared" ref="J54:J56" si="162">F54*I54</f>
        <v>0</v>
      </c>
      <c r="K54" s="12">
        <f t="shared" ref="K54:K56" si="163">F54*100%</f>
        <v>0</v>
      </c>
      <c r="L54" s="18">
        <f t="shared" ref="L54:L56" si="164">K54*I54</f>
        <v>0</v>
      </c>
      <c r="M54" s="12">
        <f t="shared" ref="M54:M56" si="165">K54*75%</f>
        <v>0</v>
      </c>
      <c r="N54" s="18">
        <f t="shared" ref="N54:N56" si="166">I54*M54</f>
        <v>0</v>
      </c>
      <c r="O54" s="12">
        <f t="shared" ref="O54:O56" si="167">K54*100%</f>
        <v>0</v>
      </c>
      <c r="P54" s="18">
        <f t="shared" ref="P54:P56" si="168">I54*O54</f>
        <v>0</v>
      </c>
    </row>
    <row r="55" spans="1:16" ht="31" x14ac:dyDescent="0.35">
      <c r="A55" s="11">
        <v>2</v>
      </c>
      <c r="B55" s="19"/>
      <c r="C55" s="11" t="s">
        <v>32</v>
      </c>
      <c r="D55" s="11" t="s">
        <v>31</v>
      </c>
      <c r="E55" s="11" t="s">
        <v>39</v>
      </c>
      <c r="F55" s="11"/>
      <c r="G55" s="11" t="s">
        <v>42</v>
      </c>
      <c r="H55" s="11">
        <f>IF(G55="Khó và phức tạp",200,IF(G55="Cao",150,IF(G55="Trungbình",120,100)))</f>
        <v>200</v>
      </c>
      <c r="I55" s="11">
        <f>H55*0.01</f>
        <v>2</v>
      </c>
      <c r="J55" s="11">
        <f t="shared" si="162"/>
        <v>0</v>
      </c>
      <c r="K55" s="12">
        <f t="shared" si="163"/>
        <v>0</v>
      </c>
      <c r="L55" s="18">
        <f t="shared" si="164"/>
        <v>0</v>
      </c>
      <c r="M55" s="12">
        <f t="shared" si="165"/>
        <v>0</v>
      </c>
      <c r="N55" s="18">
        <f t="shared" si="166"/>
        <v>0</v>
      </c>
      <c r="O55" s="12">
        <f t="shared" si="167"/>
        <v>0</v>
      </c>
      <c r="P55" s="18">
        <f t="shared" si="168"/>
        <v>0</v>
      </c>
    </row>
    <row r="56" spans="1:16" ht="31" x14ac:dyDescent="0.35">
      <c r="A56" s="11" t="s">
        <v>5</v>
      </c>
      <c r="B56" s="19"/>
      <c r="C56" s="11" t="s">
        <v>33</v>
      </c>
      <c r="D56" s="11" t="s">
        <v>31</v>
      </c>
      <c r="E56" s="11" t="s">
        <v>39</v>
      </c>
      <c r="F56" s="11"/>
      <c r="G56" s="11" t="s">
        <v>42</v>
      </c>
      <c r="H56" s="11">
        <f>IF(G56="Khó và phức tạp",200,IF(G56="Cao",150,IF(G56="Trungbình",120,100)))</f>
        <v>200</v>
      </c>
      <c r="I56" s="11">
        <f>H56*0.01</f>
        <v>2</v>
      </c>
      <c r="J56" s="11">
        <f t="shared" si="162"/>
        <v>0</v>
      </c>
      <c r="K56" s="12">
        <f t="shared" si="163"/>
        <v>0</v>
      </c>
      <c r="L56" s="18">
        <f t="shared" si="164"/>
        <v>0</v>
      </c>
      <c r="M56" s="12">
        <f t="shared" si="165"/>
        <v>0</v>
      </c>
      <c r="N56" s="18">
        <f t="shared" si="166"/>
        <v>0</v>
      </c>
      <c r="O56" s="12">
        <f t="shared" si="167"/>
        <v>0</v>
      </c>
      <c r="P56" s="18">
        <f t="shared" si="168"/>
        <v>0</v>
      </c>
    </row>
    <row r="57" spans="1:16" s="3" customFormat="1" ht="15.5" x14ac:dyDescent="0.35">
      <c r="B57" s="50"/>
      <c r="C57" s="50"/>
      <c r="D57" s="50"/>
      <c r="E57" s="50"/>
      <c r="F57" s="50"/>
      <c r="G57" s="50"/>
      <c r="H57" s="50"/>
      <c r="I57" s="50"/>
      <c r="J57" s="50"/>
      <c r="K57" s="50"/>
      <c r="L57" s="50"/>
      <c r="M57" s="50"/>
      <c r="N57" s="50"/>
      <c r="O57" s="50"/>
      <c r="P57" s="50"/>
    </row>
    <row r="58" spans="1:16" s="4" customFormat="1" ht="131.25" customHeight="1" x14ac:dyDescent="0.35">
      <c r="A58" s="43" t="s">
        <v>28</v>
      </c>
      <c r="B58" s="43"/>
      <c r="C58" s="43"/>
      <c r="D58" s="13"/>
      <c r="G58" s="41" t="s">
        <v>27</v>
      </c>
      <c r="H58" s="41"/>
      <c r="I58" s="41"/>
      <c r="J58" s="41"/>
      <c r="K58" s="41"/>
      <c r="L58" s="42"/>
      <c r="M58" s="42"/>
      <c r="N58" s="42"/>
      <c r="O58" s="42"/>
      <c r="P58" s="42"/>
    </row>
  </sheetData>
  <mergeCells count="31">
    <mergeCell ref="G58:P58"/>
    <mergeCell ref="A58:C58"/>
    <mergeCell ref="A1:P1"/>
    <mergeCell ref="F6:F7"/>
    <mergeCell ref="G6:G7"/>
    <mergeCell ref="A6:A7"/>
    <mergeCell ref="B6:B7"/>
    <mergeCell ref="C6:C7"/>
    <mergeCell ref="D6:D7"/>
    <mergeCell ref="E6:E7"/>
    <mergeCell ref="B9:P9"/>
    <mergeCell ref="B57:P57"/>
    <mergeCell ref="A2:B2"/>
    <mergeCell ref="A3:B3"/>
    <mergeCell ref="A4:P4"/>
    <mergeCell ref="H6:H7"/>
    <mergeCell ref="G2:P2"/>
    <mergeCell ref="G3:P3"/>
    <mergeCell ref="K6:L6"/>
    <mergeCell ref="M6:N6"/>
    <mergeCell ref="O6:P6"/>
    <mergeCell ref="A5:P5"/>
    <mergeCell ref="I6:I7"/>
    <mergeCell ref="J6:J7"/>
    <mergeCell ref="B50:E50"/>
    <mergeCell ref="B53:E53"/>
    <mergeCell ref="B10:E10"/>
    <mergeCell ref="B28:E28"/>
    <mergeCell ref="B36:E36"/>
    <mergeCell ref="B33:E33"/>
    <mergeCell ref="B43:E43"/>
  </mergeCells>
  <phoneticPr fontId="24" type="noConversion"/>
  <conditionalFormatting sqref="C11:C27">
    <cfRule type="dataBar" priority="17">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9:C32">
    <cfRule type="dataBar" priority="16">
      <dataBar>
        <cfvo type="min"/>
        <cfvo type="max"/>
        <color rgb="FF638EC6"/>
      </dataBar>
      <extLst>
        <ext xmlns:x14="http://schemas.microsoft.com/office/spreadsheetml/2009/9/main" uri="{B025F937-C7B1-47D3-B67F-A62EFF666E3E}">
          <x14:id>{6DD61475-5CC3-4BA6-A339-74AE97984AC0}</x14:id>
        </ext>
      </extLst>
    </cfRule>
  </conditionalFormatting>
  <conditionalFormatting sqref="C34">
    <cfRule type="dataBar" priority="9">
      <dataBar>
        <cfvo type="min"/>
        <cfvo type="max"/>
        <color rgb="FF638EC6"/>
      </dataBar>
      <extLst>
        <ext xmlns:x14="http://schemas.microsoft.com/office/spreadsheetml/2009/9/main" uri="{B025F937-C7B1-47D3-B67F-A62EFF666E3E}">
          <x14:id>{053ED826-4A3B-4E29-9CF6-C5C888A31A9A}</x14:id>
        </ext>
      </extLst>
    </cfRule>
  </conditionalFormatting>
  <conditionalFormatting sqref="C35">
    <cfRule type="dataBar" priority="8">
      <dataBar>
        <cfvo type="min"/>
        <cfvo type="max"/>
        <color rgb="FF638EC6"/>
      </dataBar>
      <extLst>
        <ext xmlns:x14="http://schemas.microsoft.com/office/spreadsheetml/2009/9/main" uri="{B025F937-C7B1-47D3-B67F-A62EFF666E3E}">
          <x14:id>{C43A89B3-42DD-4279-AA99-7BDD08DBEF47}</x14:id>
        </ext>
      </extLst>
    </cfRule>
  </conditionalFormatting>
  <conditionalFormatting sqref="C37:C42">
    <cfRule type="dataBar" priority="7">
      <dataBar>
        <cfvo type="min"/>
        <cfvo type="max"/>
        <color rgb="FF638EC6"/>
      </dataBar>
      <extLst>
        <ext xmlns:x14="http://schemas.microsoft.com/office/spreadsheetml/2009/9/main" uri="{B025F937-C7B1-47D3-B67F-A62EFF666E3E}">
          <x14:id>{43AE063F-6FBA-4145-8E96-3B15FC0C4DF2}</x14:id>
        </ext>
      </extLst>
    </cfRule>
  </conditionalFormatting>
  <conditionalFormatting sqref="C44">
    <cfRule type="dataBar" priority="2">
      <dataBar>
        <cfvo type="min"/>
        <cfvo type="max"/>
        <color rgb="FF638EC6"/>
      </dataBar>
      <extLst>
        <ext xmlns:x14="http://schemas.microsoft.com/office/spreadsheetml/2009/9/main" uri="{B025F937-C7B1-47D3-B67F-A62EFF666E3E}">
          <x14:id>{B2DABE0F-7BA8-442A-B48E-1ECE74F6B597}</x14:id>
        </ext>
      </extLst>
    </cfRule>
  </conditionalFormatting>
  <conditionalFormatting sqref="C45:C49">
    <cfRule type="dataBar" priority="6">
      <dataBar>
        <cfvo type="min"/>
        <cfvo type="max"/>
        <color rgb="FF638EC6"/>
      </dataBar>
      <extLst>
        <ext xmlns:x14="http://schemas.microsoft.com/office/spreadsheetml/2009/9/main" uri="{B025F937-C7B1-47D3-B67F-A62EFF666E3E}">
          <x14:id>{03A9939A-9B3D-4529-BE0E-4E6837550A17}</x14:id>
        </ext>
      </extLst>
    </cfRule>
  </conditionalFormatting>
  <conditionalFormatting sqref="C51:C52">
    <cfRule type="dataBar" priority="5">
      <dataBar>
        <cfvo type="min"/>
        <cfvo type="max"/>
        <color rgb="FF638EC6"/>
      </dataBar>
      <extLst>
        <ext xmlns:x14="http://schemas.microsoft.com/office/spreadsheetml/2009/9/main" uri="{B025F937-C7B1-47D3-B67F-A62EFF666E3E}">
          <x14:id>{7E1987A0-3211-4AC2-801D-3D223C64AEAA}</x14:id>
        </ext>
      </extLst>
    </cfRule>
  </conditionalFormatting>
  <conditionalFormatting sqref="C54:C56">
    <cfRule type="dataBar" priority="4">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44:D49 D37:D42 D51:D52 D34:D35 D54:D56 D11:D27 D29:D32"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44:C49 C34:C35 C37:C42 C54:C56 C51:C52 C11:C27 C29:C32"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34:G35 G44:G49 G37:G42 G54:G56 G51:G52 G11:G27 G29:G32" xr:uid="{242DABCC-F988-4BD7-A39A-B18DD09F67B5}">
      <formula1>"Thấp,Trung bình,Cao,Khó và phức tạp"</formula1>
    </dataValidation>
    <dataValidation allowBlank="1" showInputMessage="1" sqref="H51:K52 E34:E35 H54:K56 H44:K49 H34:K35 E44:E49 E51:E52 E54:E56 H11:K27 H37:K42 E11:E27 E37:E42 H29:K32 E29:E32" xr:uid="{10642937-B860-4152-A8CB-DF82470CE8F3}"/>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C11:C27</xm:sqref>
        </x14:conditionalFormatting>
        <x14:conditionalFormatting xmlns:xm="http://schemas.microsoft.com/office/excel/2006/main">
          <x14:cfRule type="dataBar" id="{6DD61475-5CC3-4BA6-A339-74AE97984AC0}">
            <x14:dataBar minLength="0" maxLength="100" gradient="0">
              <x14:cfvo type="autoMin"/>
              <x14:cfvo type="autoMax"/>
              <x14:negativeFillColor rgb="FFFF0000"/>
              <x14:axisColor rgb="FF000000"/>
            </x14:dataBar>
          </x14:cfRule>
          <xm:sqref>C29:C32</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C34</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C37:C42</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C44</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C45:C49</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C51:C52</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C54:C56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2026-09-21T02:08:40Z</dcterms:modified>
</cp:coreProperties>
</file>