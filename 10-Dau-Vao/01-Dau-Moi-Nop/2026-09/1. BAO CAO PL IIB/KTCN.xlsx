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Roaming\VNPT Plugin\Files\FileTemp\"/>
    </mc:Choice>
  </mc:AlternateContent>
  <xr:revisionPtr revIDLastSave="0" documentId="13_ncr:1_{3B4DDABF-55FA-4DDC-81A2-A69C0C167605}" xr6:coauthVersionLast="47" xr6:coauthVersionMax="47" xr10:uidLastSave="{00000000-0000-0000-0000-000000000000}"/>
  <bookViews>
    <workbookView xWindow="-120" yWindow="-120" windowWidth="20730" windowHeight="11160" xr2:uid="{CF09AA7D-F157-435F-8730-78D5FF9F5A39}"/>
  </bookViews>
  <sheets>
    <sheet name="BC KQ -T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L15" i="1" s="1"/>
  <c r="K14" i="1"/>
  <c r="L14" i="1" s="1"/>
  <c r="K13" i="1"/>
  <c r="O13" i="1" s="1"/>
  <c r="H13" i="1"/>
  <c r="I13" i="1" s="1"/>
  <c r="K10" i="1"/>
  <c r="H10" i="1"/>
  <c r="I10" i="1" s="1"/>
  <c r="J10" i="1" s="1"/>
  <c r="K11" i="1"/>
  <c r="O11" i="1" s="1"/>
  <c r="K12" i="1"/>
  <c r="M12" i="1" s="1"/>
  <c r="H11" i="1"/>
  <c r="I11" i="1" s="1"/>
  <c r="H12" i="1"/>
  <c r="I12" i="1" s="1"/>
  <c r="M15" i="1" l="1"/>
  <c r="N15" i="1" s="1"/>
  <c r="O15" i="1"/>
  <c r="P15" i="1" s="1"/>
  <c r="O14" i="1"/>
  <c r="P14" i="1" s="1"/>
  <c r="M14" i="1"/>
  <c r="N14" i="1" s="1"/>
  <c r="P13" i="1"/>
  <c r="L10" i="1"/>
  <c r="M13" i="1"/>
  <c r="N13" i="1" s="1"/>
  <c r="M10" i="1"/>
  <c r="N10" i="1" s="1"/>
  <c r="M11" i="1"/>
  <c r="N11" i="1" s="1"/>
  <c r="O10" i="1"/>
  <c r="P10" i="1" s="1"/>
  <c r="L13" i="1"/>
  <c r="J13" i="1"/>
  <c r="P11" i="1"/>
  <c r="J11" i="1"/>
  <c r="L11" i="1"/>
  <c r="N12" i="1"/>
  <c r="J12" i="1"/>
  <c r="L12" i="1"/>
  <c r="O12" i="1"/>
  <c r="P12" i="1" s="1"/>
  <c r="H18" i="1" l="1"/>
  <c r="I18" i="1" s="1"/>
  <c r="J18" i="1" s="1"/>
  <c r="K34" i="1"/>
  <c r="M34" i="1" s="1"/>
  <c r="K33" i="1"/>
  <c r="M33" i="1" s="1"/>
  <c r="K31" i="1"/>
  <c r="M31" i="1" s="1"/>
  <c r="K30" i="1"/>
  <c r="M30" i="1" s="1"/>
  <c r="K28" i="1"/>
  <c r="K27" i="1"/>
  <c r="O27" i="1" s="1"/>
  <c r="K26" i="1"/>
  <c r="M26" i="1" s="1"/>
  <c r="K24" i="1"/>
  <c r="O24" i="1" s="1"/>
  <c r="K23" i="1"/>
  <c r="K21" i="1"/>
  <c r="K20" i="1"/>
  <c r="M20" i="1" s="1"/>
  <c r="K18" i="1"/>
  <c r="M18" i="1" s="1"/>
  <c r="K17" i="1"/>
  <c r="H34" i="1"/>
  <c r="I34" i="1" s="1"/>
  <c r="J34" i="1" s="1"/>
  <c r="H33" i="1"/>
  <c r="I33" i="1" s="1"/>
  <c r="J33" i="1" s="1"/>
  <c r="H31" i="1"/>
  <c r="I31" i="1" s="1"/>
  <c r="J31" i="1" s="1"/>
  <c r="H30" i="1"/>
  <c r="I30" i="1" s="1"/>
  <c r="J30" i="1" s="1"/>
  <c r="H28" i="1"/>
  <c r="I28" i="1" s="1"/>
  <c r="J28" i="1" s="1"/>
  <c r="H27" i="1"/>
  <c r="I27" i="1" s="1"/>
  <c r="J27" i="1" s="1"/>
  <c r="H26" i="1"/>
  <c r="I26" i="1" s="1"/>
  <c r="J26" i="1" s="1"/>
  <c r="H24" i="1"/>
  <c r="I24" i="1" s="1"/>
  <c r="H23" i="1"/>
  <c r="I23" i="1" s="1"/>
  <c r="J23" i="1" s="1"/>
  <c r="H21" i="1"/>
  <c r="I21" i="1" s="1"/>
  <c r="J21" i="1" s="1"/>
  <c r="H20" i="1"/>
  <c r="I20" i="1" s="1"/>
  <c r="J20" i="1" s="1"/>
  <c r="H17" i="1"/>
  <c r="I17" i="1" s="1"/>
  <c r="J17" i="1" s="1"/>
  <c r="F19" i="1"/>
  <c r="F22" i="1"/>
  <c r="F25" i="1"/>
  <c r="F29" i="1"/>
  <c r="F32" i="1"/>
  <c r="F16" i="1"/>
  <c r="F9" i="1"/>
  <c r="L24" i="1" l="1"/>
  <c r="P27" i="1"/>
  <c r="K19" i="1"/>
  <c r="N34" i="1"/>
  <c r="L17" i="1"/>
  <c r="J29" i="1"/>
  <c r="L23" i="1"/>
  <c r="J24" i="1"/>
  <c r="J22" i="1" s="1"/>
  <c r="K9" i="1"/>
  <c r="N31" i="1"/>
  <c r="J32" i="1"/>
  <c r="L28" i="1"/>
  <c r="O9" i="1"/>
  <c r="P24" i="1"/>
  <c r="L27" i="1"/>
  <c r="M28" i="1"/>
  <c r="N28" i="1" s="1"/>
  <c r="J16" i="1"/>
  <c r="L21" i="1"/>
  <c r="M27" i="1"/>
  <c r="N27" i="1" s="1"/>
  <c r="K16" i="1"/>
  <c r="M17" i="1"/>
  <c r="L20" i="1"/>
  <c r="M21" i="1"/>
  <c r="N21" i="1" s="1"/>
  <c r="M23" i="1"/>
  <c r="M24" i="1"/>
  <c r="N24" i="1" s="1"/>
  <c r="N18" i="1"/>
  <c r="L18" i="1"/>
  <c r="N33" i="1"/>
  <c r="O34" i="1"/>
  <c r="P34" i="1" s="1"/>
  <c r="K32" i="1"/>
  <c r="O33" i="1"/>
  <c r="L34" i="1"/>
  <c r="L33" i="1"/>
  <c r="N30" i="1"/>
  <c r="M29" i="1"/>
  <c r="O31" i="1"/>
  <c r="P31" i="1" s="1"/>
  <c r="O30" i="1"/>
  <c r="L31" i="1"/>
  <c r="K29" i="1"/>
  <c r="L30" i="1"/>
  <c r="J25" i="1"/>
  <c r="N26" i="1"/>
  <c r="O26" i="1"/>
  <c r="L26" i="1"/>
  <c r="K25" i="1"/>
  <c r="O28" i="1"/>
  <c r="P28" i="1" s="1"/>
  <c r="K22" i="1"/>
  <c r="O23" i="1"/>
  <c r="J19" i="1"/>
  <c r="O21" i="1"/>
  <c r="P21" i="1" s="1"/>
  <c r="N20" i="1"/>
  <c r="O20" i="1"/>
  <c r="O18" i="1"/>
  <c r="P18" i="1" s="1"/>
  <c r="O17" i="1"/>
  <c r="L16" i="1" l="1"/>
  <c r="L19" i="1"/>
  <c r="M32" i="1"/>
  <c r="N29" i="1"/>
  <c r="M22" i="1"/>
  <c r="M9" i="1"/>
  <c r="N9" i="1"/>
  <c r="N19" i="1"/>
  <c r="J9" i="1"/>
  <c r="N32" i="1"/>
  <c r="N23" i="1"/>
  <c r="N22" i="1" s="1"/>
  <c r="L32" i="1"/>
  <c r="L29" i="1"/>
  <c r="M19" i="1"/>
  <c r="N17" i="1"/>
  <c r="N16" i="1" s="1"/>
  <c r="M16" i="1"/>
  <c r="P33" i="1"/>
  <c r="P32" i="1" s="1"/>
  <c r="O32" i="1"/>
  <c r="P30" i="1"/>
  <c r="P29" i="1" s="1"/>
  <c r="O29" i="1"/>
  <c r="M25" i="1"/>
  <c r="N25" i="1"/>
  <c r="L25" i="1"/>
  <c r="P26" i="1"/>
  <c r="P25" i="1" s="1"/>
  <c r="O25" i="1"/>
  <c r="L22" i="1"/>
  <c r="P23" i="1"/>
  <c r="P22" i="1" s="1"/>
  <c r="O22" i="1"/>
  <c r="P20" i="1"/>
  <c r="P19" i="1" s="1"/>
  <c r="O19" i="1"/>
  <c r="P17" i="1"/>
  <c r="P16" i="1" s="1"/>
  <c r="O16" i="1"/>
  <c r="L9" i="1"/>
  <c r="P9" i="1"/>
</calcChain>
</file>

<file path=xl/sharedStrings.xml><?xml version="1.0" encoding="utf-8"?>
<sst xmlns="http://schemas.openxmlformats.org/spreadsheetml/2006/main" count="161" uniqueCount="106">
  <si>
    <t>TT</t>
  </si>
  <si>
    <t>NỘI DUNG CÔNG VIỆC</t>
  </si>
  <si>
    <t>Người trực tiếp chỉ đạo</t>
  </si>
  <si>
    <t>I</t>
  </si>
  <si>
    <t xml:space="preserve">Trục (1) - Thực hiện mục tiêu phát triển Kinh tế - xã hội và nhiệm vụ chính trị được giao 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</si>
  <si>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</si>
  <si>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</si>
  <si>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</si>
  <si>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</si>
  <si>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</si>
  <si>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</si>
  <si>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Số lượng</t>
  </si>
  <si>
    <t>(1)</t>
  </si>
  <si>
    <t>(2)</t>
  </si>
  <si>
    <t>(3)</t>
  </si>
  <si>
    <t>(4)</t>
  </si>
  <si>
    <t>(5)</t>
  </si>
  <si>
    <t>(6)</t>
  </si>
  <si>
    <t>(7)</t>
  </si>
  <si>
    <t>CỘNG HÒA XÃ HỘI CHỦ NGHĨA VIỆT NAM</t>
  </si>
  <si>
    <t>Độc lập - Tự do - Hạnh phúc</t>
  </si>
  <si>
    <t>1.1</t>
  </si>
  <si>
    <t>1.2</t>
  </si>
  <si>
    <t>TRƯỜNG CAO ĐẲNG KON TUM</t>
  </si>
  <si>
    <t>Đơn vị chủ trì</t>
  </si>
  <si>
    <t>1.3</t>
  </si>
  <si>
    <t>Các nhiệm vụ đột xuất, phát sinh khác ngoài kế hoạch (nếu có)</t>
  </si>
  <si>
    <t>Trung bình</t>
  </si>
  <si>
    <t>Cao</t>
  </si>
  <si>
    <t>Khó và phức tạp</t>
  </si>
  <si>
    <t>Điểm chấm công việc</t>
  </si>
  <si>
    <t>Hệ số quy đổi</t>
  </si>
  <si>
    <t>KPI (số lượng)</t>
  </si>
  <si>
    <t>KPI (chất lượng)</t>
  </si>
  <si>
    <t>KPI (tiến độ)</t>
  </si>
  <si>
    <t>Thực tế hoàn thành</t>
  </si>
  <si>
    <t>Quy đổi</t>
  </si>
  <si>
    <t>Số lượng quy đổi</t>
  </si>
  <si>
    <t>Thấp</t>
  </si>
  <si>
    <t> Các nhiệm vụ theo kế hoạch (chương trình) công tác đã đề ra từ đầu tháng</t>
  </si>
  <si>
    <t>Sản phẩm/ Công việc</t>
  </si>
  <si>
    <t>(8)</t>
  </si>
  <si>
    <t>(13)=(11)*[Tỷ lệ hoàn thành chất lượng]
Sửa đổi 1-2 lần 75% (trừ 0,25)</t>
  </si>
  <si>
    <t>(11)=(6)* [Tỷ lệ hoàn thành khối lượng]
Thiếu 1 = 75% (trừ 0,25)</t>
  </si>
  <si>
    <t>(15)=(11)*[Tỷ lệ hoàn thành tiến độ]
Chậm tiến độ 75% (trừ 0,25)</t>
  </si>
  <si>
    <t>Độ khó, mới, phức tạp; phạm vi tác
động</t>
  </si>
  <si>
    <t>(14)= (9)* (13)</t>
  </si>
  <si>
    <t>(16)= (9)* (15)</t>
  </si>
  <si>
    <t>(12)= (9)* (11)</t>
  </si>
  <si>
    <t>(10)= (6)* (9)</t>
  </si>
  <si>
    <t>(9)= (8)* 1%</t>
  </si>
  <si>
    <t>BÁO CÁO
kết quả thực hiện công tác tháng 9 năm 2026</t>
  </si>
  <si>
    <t xml:space="preserve"> Đề cương Chiến lược phát triển Khoa đến năm 2030 và tầm nhìn đến năm 2045.</t>
  </si>
  <si>
    <t>Lãnh đạo Khoa</t>
  </si>
  <si>
    <t>Giáo vụ Khoa, các bộ môn và nhà giáo</t>
  </si>
  <si>
    <t>Kế hoạch</t>
  </si>
  <si>
    <t xml:space="preserve">Giáo vụ Khoa, các bộ môn </t>
  </si>
  <si>
    <t>Chương trình</t>
  </si>
  <si>
    <t>Kế hoạch vật tư giảng dạy 
các môn học mô đun học kỳ I năm học 2026-2027</t>
  </si>
  <si>
    <t>Báo cáo</t>
  </si>
  <si>
    <t>Bảng thống kê</t>
  </si>
  <si>
    <t>Xây dựng Kế hoạch đào tạo các ngành, nghề của Khoa năm học 2026-2027</t>
  </si>
  <si>
    <t>Kế hoạch hoạt động bộ môn 
năm học 2026-2027</t>
  </si>
  <si>
    <t xml:space="preserve">các bộ môn </t>
  </si>
  <si>
    <t>Triển khai hoạt động khởi nghiệp ĐMST năm 2026</t>
  </si>
  <si>
    <t>chủ nhiệm lớp</t>
  </si>
  <si>
    <t>Kiểm tra, lưu trữ hồ sơ nhà giáo trên hệ thống ioffice (hồ sơ các lớp năm học 2025-2026) bảo đảm số hóa trong quản lý</t>
  </si>
  <si>
    <t>Phương án</t>
  </si>
  <si>
    <t>Sinh hoạt Chi bộ khoa định kỳ tháng 8/2026</t>
  </si>
  <si>
    <t>Bí thư Chi bộ</t>
  </si>
  <si>
    <t>Chi bộ khoa</t>
  </si>
  <si>
    <t>Tuyên truyền, quán triệt các văn bản, chỉ đạo của Đảng ủy, Lãnh đạo Trường tới đảng viên, nhà giáo Khoa</t>
  </si>
  <si>
    <t>Phó Bí thư Chi bộ</t>
  </si>
  <si>
    <t>Thông báo</t>
  </si>
  <si>
    <t>Phối hợp triển khai chế độ chính sách, học bổng, mô hình "Bếp ăn hỗ trợ học sinh, sinh viên có hoàn cảnh khó khăn"</t>
  </si>
  <si>
    <t>GVCN, Đoàn thể</t>
  </si>
  <si>
    <t>Bí thư Chi đoàn Khoa</t>
  </si>
  <si>
    <t>Đoàn viên, thanh niên Khoa</t>
  </si>
  <si>
    <t>Tham gia hoạt động kỷ niệm ngày Quốc khánh, hoạt động cộng đồng, phát triển trong kỷ nguyên mới</t>
  </si>
  <si>
    <t>Phối hợp doanh nghiệp xây dựng Kế hoạch tiếp nhận học sinh, sinh viên thực tập năm học 2026-2027</t>
  </si>
  <si>
    <t>Các bộ môn, chủ nhiệm</t>
  </si>
  <si>
    <r>
      <rPr>
        <b/>
        <i/>
        <sz val="12"/>
        <rFont val="Times New Roman"/>
        <family val="1"/>
        <charset val="163"/>
      </rPr>
      <t xml:space="preserve">
Nơi nhận:</t>
    </r>
    <r>
      <rPr>
        <sz val="12"/>
        <rFont val="Times New Roman"/>
        <family val="1"/>
      </rPr>
      <t xml:space="preserve">
- Lãnh đạo Trường;
- Phòng Tổng hợp - Hành chính và Quản trị;
- Các bộ môn thuộc Khoa;
- Lưu: KTCN.</t>
    </r>
  </si>
  <si>
    <t>triển khai Kế hoạch liên tịch triển khai 
phong trào xanh hoá nhà trường.</t>
  </si>
  <si>
    <t>Rà soát tiêu chuẩn định mức sử dụng máy móc, 
thiết bị phục vụ công tác các chức danh và phục vụ hoạt động chung</t>
  </si>
  <si>
    <t>các bộ môn và NG QLX</t>
  </si>
  <si>
    <t>Tổ chức sinh hoạt chuyên đề khoa học</t>
  </si>
  <si>
    <t>1.4</t>
  </si>
  <si>
    <t>2.1</t>
  </si>
  <si>
    <t>2,.2</t>
  </si>
  <si>
    <t>3.1</t>
  </si>
  <si>
    <t>3.2</t>
  </si>
  <si>
    <t>4.1</t>
  </si>
  <si>
    <t>4.2</t>
  </si>
  <si>
    <t>5.1</t>
  </si>
  <si>
    <t>5.2</t>
  </si>
  <si>
    <t>5.3</t>
  </si>
  <si>
    <t>Xây dựng Quy chế đơn vị</t>
  </si>
  <si>
    <t>các đơn vị</t>
  </si>
  <si>
    <t>Quy chế</t>
  </si>
  <si>
    <t>KHOA KỸ THUẬT VÀ CÔNG NGHỆ</t>
  </si>
  <si>
    <t>Xây dựng Báo cáo tổng kết khóa học 2023 - 2026 trình độ cao đẳng và khóa học 2024 - 2026 trình độ trung cấp các lớp thuộc khoa.</t>
  </si>
  <si>
    <t>Giáo vụ Khoa</t>
  </si>
  <si>
    <t>1.5</t>
  </si>
  <si>
    <t>Tham mưu đề xuất tách lớp giảng dạy năm học 2026-2027 các ngành, nghề thuộc bộ môn Cơ khí &amp; Xây dựng.</t>
  </si>
  <si>
    <t>Đề xuất</t>
  </si>
  <si>
    <r>
      <rPr>
        <i/>
        <sz val="14"/>
        <rFont val="Times New Roman"/>
        <family val="1"/>
        <charset val="163"/>
      </rPr>
      <t>Quảng Ngãi, ngày 14 tháng 9 năm 2026</t>
    </r>
    <r>
      <rPr>
        <sz val="14"/>
        <rFont val="Times New Roman"/>
        <family val="1"/>
      </rPr>
      <t xml:space="preserve">
</t>
    </r>
    <r>
      <rPr>
        <b/>
        <sz val="14"/>
        <rFont val="Times New Roman"/>
        <family val="1"/>
      </rPr>
      <t>LÃNH ĐẠO KHOA
Nguyễn An Huấn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</si>
</sst>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1"/>
      <name val="Times New Roman"/>
      <family val="1"/>
      <charset val="163"/>
    </font>
    <font>
      <sz val="12"/>
      <name val="Calibri"/>
      <family val="2"/>
      <scheme val="minor"/>
    </font>
    <font>
      <sz val="13"/>
      <color theme="1"/>
      <name val="Times New Roman"/>
      <family val="1"/>
    </font>
    <font>
      <i/>
      <sz val="14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163"/>
    </font>
    <font>
      <sz val="12"/>
      <name val="Calibri"/>
      <family val="2"/>
    </font>
    <font>
      <sz val="8"/>
      <name val="Calibri"/>
      <family val="2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6" fillId="0" borderId="0" xfId="0" applyFont="1"/>
    <xf numFmtId="0" fontId="14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11" fillId="0" borderId="0" xfId="0" applyFont="1" applyAlignment="1">
      <alignment horizontal="left" vertical="top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3" fillId="0" borderId="2" xfId="0" quotePrefix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/>
    </xf>
    <xf numFmtId="43" fontId="8" fillId="0" borderId="2" xfId="1" applyFont="1" applyFill="1" applyBorder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8" fillId="0" borderId="2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20" fillId="0" borderId="10" xfId="0" applyFont="1" applyBorder="1"/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20" fillId="0" borderId="9" xfId="0" applyNumberFormat="1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1156103</xdr:colOff>
      <xdr:row>1</xdr:row>
      <xdr:rowOff>237405</xdr:rowOff>
    </xdr:from>
    <xdr:to>
      <xdr:col>1</xdr:col>
      <xdr:colOff>1953962</xdr:colOff>
      <xdr:row>1</xdr:row>
      <xdr:rowOff>237405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84106FF-030C-484D-91E0-13935D3AC82E}"/>
            </a:ext>
          </a:extLst>
        </xdr:cNvPr>
        <xdr:cNvCxnSpPr/>
      </xdr:nvCxnSpPr>
      <xdr:spPr>
        <a:xfrm>
          <a:off x="1482674" y="602076"/>
          <a:ext cx="797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279735</xdr:colOff>
      <xdr:row>2</xdr:row>
      <xdr:rowOff>49249</xdr:rowOff>
    </xdr:from>
    <xdr:to>
      <xdr:col>12</xdr:col>
      <xdr:colOff>381001</xdr:colOff>
      <xdr:row>2</xdr:row>
      <xdr:rowOff>49249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A3F0EA-A2EA-4136-800A-FE8E509630DA}"/>
            </a:ext>
          </a:extLst>
        </xdr:cNvPr>
        <xdr:cNvCxnSpPr/>
      </xdr:nvCxnSpPr>
      <xdr:spPr>
        <a:xfrm>
          <a:off x="9151592" y="1205856"/>
          <a:ext cx="20334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1006927</xdr:colOff>
      <xdr:row>2</xdr:row>
      <xdr:rowOff>533400</xdr:rowOff>
    </xdr:from>
    <xdr:to>
      <xdr:col>6</xdr:col>
      <xdr:colOff>176892</xdr:colOff>
      <xdr:row>2</xdr:row>
      <xdr:rowOff>533400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126119D-5FF3-48E9-B8F9-5FADE7BBE46C}"/>
            </a:ext>
          </a:extLst>
        </xdr:cNvPr>
        <xdr:cNvCxnSpPr/>
      </xdr:nvCxnSpPr>
      <xdr:spPr>
        <a:xfrm>
          <a:off x="6300106" y="1690007"/>
          <a:ext cx="80282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42E2-2B61-4B4F-A642-CBE7C4BEBB84}">
  <dimension ref="A1:Q36"/>
  <sheetViews>
    <sheetView tabSelected="1" view="pageBreakPreview" topLeftCell="C34" zoomScale="175" zoomScaleNormal="70" zoomScaleSheetLayoutView="175" workbookViewId="0">
      <selection activeCell="A3" sqref="A3:P3"/>
    </sheetView>
  </sheetViews>
  <sheetFormatPr defaultRowHeight="32.450000000000003" customHeight="1" x14ac:dyDescent="0.25"/>
  <cols>
    <col min="1" max="1" width="4.85546875" customWidth="1"/>
    <col min="2" max="2" width="36" customWidth="1"/>
    <col min="3" max="3" width="16.42578125" customWidth="1"/>
    <col min="4" max="4" width="17.140625" customWidth="1"/>
    <col min="5" max="5" width="14.42578125" customWidth="1"/>
    <col min="6" max="6" width="7" style="8" customWidth="1"/>
    <col min="7" max="7" width="10.140625" customWidth="1"/>
    <col min="8" max="8" width="8.42578125" style="7" customWidth="1"/>
    <col min="9" max="9" width="6.85546875" style="6" customWidth="1"/>
    <col min="10" max="10" width="7.28515625" customWidth="1"/>
    <col min="11" max="11" width="11.42578125" style="9" customWidth="1"/>
    <col min="12" max="12" width="6.5703125" customWidth="1"/>
    <col min="13" max="13" width="10.42578125" style="9" customWidth="1"/>
    <col min="14" max="14" width="6.42578125" customWidth="1"/>
    <col min="15" max="15" width="10.42578125" style="9" customWidth="1"/>
    <col min="16" max="16" width="6.5703125" customWidth="1"/>
  </cols>
  <sheetData>
    <row r="1" spans="1:17" s="1" customFormat="1" ht="28.5" customHeight="1" x14ac:dyDescent="0.25">
      <c r="A1" s="50" t="s">
        <v>23</v>
      </c>
      <c r="B1" s="50"/>
      <c r="C1" s="50"/>
      <c r="E1" s="4"/>
      <c r="F1" s="4"/>
      <c r="G1" s="42" t="s">
        <v>19</v>
      </c>
      <c r="H1" s="42"/>
      <c r="I1" s="42"/>
      <c r="J1" s="42"/>
      <c r="K1" s="42"/>
      <c r="L1" s="42"/>
      <c r="M1" s="42"/>
      <c r="N1" s="42"/>
      <c r="O1" s="42"/>
      <c r="P1" s="42"/>
    </row>
    <row r="2" spans="1:17" s="1" customFormat="1" ht="18.75" customHeight="1" x14ac:dyDescent="0.25">
      <c r="A2" s="51" t="s">
        <v>99</v>
      </c>
      <c r="B2" s="51"/>
      <c r="C2" s="51"/>
      <c r="E2" s="5"/>
      <c r="F2" s="5"/>
      <c r="G2" s="43" t="s">
        <v>20</v>
      </c>
      <c r="H2" s="43"/>
      <c r="I2" s="43"/>
      <c r="J2" s="43"/>
      <c r="K2" s="43"/>
      <c r="L2" s="43"/>
      <c r="M2" s="43"/>
      <c r="N2" s="43"/>
      <c r="O2" s="43"/>
      <c r="P2" s="43"/>
    </row>
    <row r="3" spans="1:17" ht="44.25" customHeight="1" x14ac:dyDescent="0.25">
      <c r="A3" s="43" t="s">
        <v>51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7" ht="9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7" ht="20.25" customHeight="1" x14ac:dyDescent="0.25">
      <c r="A5" s="28" t="s">
        <v>0</v>
      </c>
      <c r="B5" s="28" t="s">
        <v>1</v>
      </c>
      <c r="C5" s="28" t="s">
        <v>2</v>
      </c>
      <c r="D5" s="28" t="s">
        <v>24</v>
      </c>
      <c r="E5" s="28" t="s">
        <v>40</v>
      </c>
      <c r="F5" s="28" t="s">
        <v>11</v>
      </c>
      <c r="G5" s="30" t="s">
        <v>45</v>
      </c>
      <c r="H5" s="34" t="s">
        <v>30</v>
      </c>
      <c r="I5" s="34" t="s">
        <v>31</v>
      </c>
      <c r="J5" s="47" t="s">
        <v>37</v>
      </c>
      <c r="K5" s="44" t="s">
        <v>32</v>
      </c>
      <c r="L5" s="45"/>
      <c r="M5" s="44" t="s">
        <v>33</v>
      </c>
      <c r="N5" s="45"/>
      <c r="O5" s="44" t="s">
        <v>34</v>
      </c>
      <c r="P5" s="45"/>
      <c r="Q5" s="1"/>
    </row>
    <row r="6" spans="1:17" ht="69" customHeight="1" x14ac:dyDescent="0.25">
      <c r="A6" s="29"/>
      <c r="B6" s="29"/>
      <c r="C6" s="29"/>
      <c r="D6" s="29"/>
      <c r="E6" s="29"/>
      <c r="F6" s="29"/>
      <c r="G6" s="31"/>
      <c r="H6" s="35"/>
      <c r="I6" s="35"/>
      <c r="J6" s="48"/>
      <c r="K6" s="11" t="s">
        <v>35</v>
      </c>
      <c r="L6" s="11" t="s">
        <v>36</v>
      </c>
      <c r="M6" s="11" t="s">
        <v>35</v>
      </c>
      <c r="N6" s="11" t="s">
        <v>36</v>
      </c>
      <c r="O6" s="11" t="s">
        <v>35</v>
      </c>
      <c r="P6" s="11" t="s">
        <v>36</v>
      </c>
      <c r="Q6" s="1"/>
    </row>
    <row r="7" spans="1:17" ht="102" customHeight="1" x14ac:dyDescent="0.25">
      <c r="A7" s="15" t="s">
        <v>12</v>
      </c>
      <c r="B7" s="15" t="s">
        <v>13</v>
      </c>
      <c r="C7" s="15" t="s">
        <v>14</v>
      </c>
      <c r="D7" s="15" t="s">
        <v>15</v>
      </c>
      <c r="E7" s="15" t="s">
        <v>16</v>
      </c>
      <c r="F7" s="15" t="s">
        <v>17</v>
      </c>
      <c r="G7" s="15" t="s">
        <v>18</v>
      </c>
      <c r="H7" s="15" t="s">
        <v>41</v>
      </c>
      <c r="I7" s="15" t="s">
        <v>50</v>
      </c>
      <c r="J7" s="15" t="s">
        <v>49</v>
      </c>
      <c r="K7" s="15" t="s">
        <v>43</v>
      </c>
      <c r="L7" s="15" t="s">
        <v>48</v>
      </c>
      <c r="M7" s="15" t="s">
        <v>42</v>
      </c>
      <c r="N7" s="15" t="s">
        <v>46</v>
      </c>
      <c r="O7" s="15" t="s">
        <v>44</v>
      </c>
      <c r="P7" s="15" t="s">
        <v>47</v>
      </c>
    </row>
    <row r="8" spans="1:17" ht="31.5" customHeight="1" x14ac:dyDescent="0.25">
      <c r="A8" s="12" t="s">
        <v>3</v>
      </c>
      <c r="B8" s="32" t="s">
        <v>39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7" ht="15.75" x14ac:dyDescent="0.25">
      <c r="A9" s="13">
        <v>1</v>
      </c>
      <c r="B9" s="40" t="s">
        <v>4</v>
      </c>
      <c r="C9" s="40"/>
      <c r="D9" s="40"/>
      <c r="E9" s="40"/>
      <c r="F9" s="13">
        <f>SUM(F11:F13)</f>
        <v>3</v>
      </c>
      <c r="G9" s="14"/>
      <c r="H9" s="14"/>
      <c r="I9" s="14"/>
      <c r="J9" s="13">
        <f t="shared" ref="J9:P9" si="0">SUM(J11:J13)</f>
        <v>4</v>
      </c>
      <c r="K9" s="13">
        <f t="shared" si="0"/>
        <v>3</v>
      </c>
      <c r="L9" s="13">
        <f t="shared" si="0"/>
        <v>4</v>
      </c>
      <c r="M9" s="13">
        <f t="shared" si="0"/>
        <v>2.25</v>
      </c>
      <c r="N9" s="13">
        <f t="shared" si="0"/>
        <v>3</v>
      </c>
      <c r="O9" s="13">
        <f t="shared" si="0"/>
        <v>3</v>
      </c>
      <c r="P9" s="13">
        <f t="shared" si="0"/>
        <v>4</v>
      </c>
    </row>
    <row r="10" spans="1:17" ht="47.25" x14ac:dyDescent="0.25">
      <c r="A10" s="17" t="s">
        <v>21</v>
      </c>
      <c r="B10" s="18" t="s">
        <v>61</v>
      </c>
      <c r="C10" s="17" t="s">
        <v>53</v>
      </c>
      <c r="D10" s="17" t="s">
        <v>54</v>
      </c>
      <c r="E10" s="19" t="s">
        <v>55</v>
      </c>
      <c r="F10" s="12">
        <v>1</v>
      </c>
      <c r="G10" s="17" t="s">
        <v>29</v>
      </c>
      <c r="H10" s="17">
        <f>IF(G10="Khó và phức tạp",200,IF(G10="Cao",150,IF(G10="Trungbình",120,100)))</f>
        <v>200</v>
      </c>
      <c r="I10" s="17">
        <f>H10*0.01</f>
        <v>2</v>
      </c>
      <c r="J10" s="17">
        <f>F10*I10</f>
        <v>2</v>
      </c>
      <c r="K10" s="20">
        <f>F10*100%</f>
        <v>1</v>
      </c>
      <c r="L10" s="21">
        <f>K10*I10</f>
        <v>2</v>
      </c>
      <c r="M10" s="20">
        <f>K10*75%</f>
        <v>0.75</v>
      </c>
      <c r="N10" s="21">
        <f>I10*M10</f>
        <v>1.5</v>
      </c>
      <c r="O10" s="20">
        <f>K10*100%</f>
        <v>1</v>
      </c>
      <c r="P10" s="21">
        <f>I10*O10</f>
        <v>2</v>
      </c>
    </row>
    <row r="11" spans="1:17" ht="47.25" x14ac:dyDescent="0.25">
      <c r="A11" s="17" t="s">
        <v>22</v>
      </c>
      <c r="B11" s="22" t="s">
        <v>58</v>
      </c>
      <c r="C11" s="17" t="s">
        <v>53</v>
      </c>
      <c r="D11" s="17" t="s">
        <v>56</v>
      </c>
      <c r="E11" s="19" t="s">
        <v>55</v>
      </c>
      <c r="F11" s="12">
        <v>1</v>
      </c>
      <c r="G11" s="17" t="s">
        <v>28</v>
      </c>
      <c r="H11" s="17">
        <f t="shared" ref="H11:H13" si="1">IF(G11="Khó và phức tạp",200,IF(G11="Cao",150,IF(G11="Trungbình",120,100)))</f>
        <v>150</v>
      </c>
      <c r="I11" s="17">
        <f t="shared" ref="I11:I13" si="2">H11*0.01</f>
        <v>1.5</v>
      </c>
      <c r="J11" s="17">
        <f t="shared" ref="J11:J13" si="3">F11*I11</f>
        <v>1.5</v>
      </c>
      <c r="K11" s="20">
        <f t="shared" ref="K11:K14" si="4">F11*100%</f>
        <v>1</v>
      </c>
      <c r="L11" s="21">
        <f t="shared" ref="L11:L13" si="5">K11*I11</f>
        <v>1.5</v>
      </c>
      <c r="M11" s="20">
        <f t="shared" ref="M11:M13" si="6">K11*75%</f>
        <v>0.75</v>
      </c>
      <c r="N11" s="21">
        <f t="shared" ref="N11:N13" si="7">I11*M11</f>
        <v>1.125</v>
      </c>
      <c r="O11" s="20">
        <f t="shared" ref="O11:O13" si="8">K11*100%</f>
        <v>1</v>
      </c>
      <c r="P11" s="21">
        <f t="shared" ref="P11:P13" si="9">I11*O11</f>
        <v>1.5</v>
      </c>
    </row>
    <row r="12" spans="1:17" ht="63" x14ac:dyDescent="0.25">
      <c r="A12" s="17" t="s">
        <v>25</v>
      </c>
      <c r="B12" s="22" t="s">
        <v>83</v>
      </c>
      <c r="C12" s="17" t="s">
        <v>53</v>
      </c>
      <c r="D12" s="17" t="s">
        <v>56</v>
      </c>
      <c r="E12" s="19" t="s">
        <v>60</v>
      </c>
      <c r="F12" s="12">
        <v>1</v>
      </c>
      <c r="G12" s="17" t="s">
        <v>38</v>
      </c>
      <c r="H12" s="17">
        <f t="shared" si="1"/>
        <v>100</v>
      </c>
      <c r="I12" s="17">
        <f t="shared" si="2"/>
        <v>1</v>
      </c>
      <c r="J12" s="17">
        <f t="shared" si="3"/>
        <v>1</v>
      </c>
      <c r="K12" s="20">
        <f t="shared" si="4"/>
        <v>1</v>
      </c>
      <c r="L12" s="21">
        <f t="shared" si="5"/>
        <v>1</v>
      </c>
      <c r="M12" s="20">
        <f t="shared" si="6"/>
        <v>0.75</v>
      </c>
      <c r="N12" s="21">
        <f t="shared" si="7"/>
        <v>0.75</v>
      </c>
      <c r="O12" s="20">
        <f t="shared" si="8"/>
        <v>1</v>
      </c>
      <c r="P12" s="21">
        <f t="shared" si="9"/>
        <v>1</v>
      </c>
    </row>
    <row r="13" spans="1:17" ht="31.5" x14ac:dyDescent="0.25">
      <c r="A13" s="17" t="s">
        <v>86</v>
      </c>
      <c r="B13" s="22" t="s">
        <v>62</v>
      </c>
      <c r="C13" s="17" t="s">
        <v>53</v>
      </c>
      <c r="D13" s="17" t="s">
        <v>63</v>
      </c>
      <c r="E13" s="19" t="s">
        <v>55</v>
      </c>
      <c r="F13" s="12">
        <v>1</v>
      </c>
      <c r="G13" s="17" t="s">
        <v>28</v>
      </c>
      <c r="H13" s="17">
        <f t="shared" si="1"/>
        <v>150</v>
      </c>
      <c r="I13" s="17">
        <f t="shared" si="2"/>
        <v>1.5</v>
      </c>
      <c r="J13" s="17">
        <f t="shared" si="3"/>
        <v>1.5</v>
      </c>
      <c r="K13" s="20">
        <f t="shared" si="4"/>
        <v>1</v>
      </c>
      <c r="L13" s="21">
        <f t="shared" si="5"/>
        <v>1.5</v>
      </c>
      <c r="M13" s="20">
        <f t="shared" si="6"/>
        <v>0.75</v>
      </c>
      <c r="N13" s="21">
        <f t="shared" si="7"/>
        <v>1.125</v>
      </c>
      <c r="O13" s="20">
        <f t="shared" si="8"/>
        <v>1</v>
      </c>
      <c r="P13" s="21">
        <f t="shared" si="9"/>
        <v>1.5</v>
      </c>
    </row>
    <row r="14" spans="1:17" ht="63" x14ac:dyDescent="0.25">
      <c r="A14" s="17" t="s">
        <v>102</v>
      </c>
      <c r="B14" s="22" t="s">
        <v>100</v>
      </c>
      <c r="C14" s="17" t="s">
        <v>53</v>
      </c>
      <c r="D14" s="17" t="s">
        <v>101</v>
      </c>
      <c r="E14" s="19" t="s">
        <v>59</v>
      </c>
      <c r="F14" s="12">
        <v>1</v>
      </c>
      <c r="G14" s="17" t="s">
        <v>28</v>
      </c>
      <c r="H14" s="17">
        <v>120</v>
      </c>
      <c r="I14" s="17">
        <v>1.2</v>
      </c>
      <c r="J14" s="17">
        <v>1.2</v>
      </c>
      <c r="K14" s="20">
        <f t="shared" si="4"/>
        <v>1</v>
      </c>
      <c r="L14" s="21">
        <f t="shared" ref="L14" si="10">K14*I14</f>
        <v>1.2</v>
      </c>
      <c r="M14" s="20">
        <f t="shared" ref="M14" si="11">K14*75%</f>
        <v>0.75</v>
      </c>
      <c r="N14" s="21">
        <f t="shared" ref="N14" si="12">I14*M14</f>
        <v>0.89999999999999991</v>
      </c>
      <c r="O14" s="20">
        <f t="shared" ref="O14" si="13">K14*100%</f>
        <v>1</v>
      </c>
      <c r="P14" s="21">
        <f t="shared" ref="P14" si="14">I14*O14</f>
        <v>1.2</v>
      </c>
    </row>
    <row r="15" spans="1:17" ht="47.25" x14ac:dyDescent="0.25">
      <c r="A15" s="17">
        <v>1.6</v>
      </c>
      <c r="B15" s="22" t="s">
        <v>103</v>
      </c>
      <c r="C15" s="17" t="s">
        <v>53</v>
      </c>
      <c r="D15" s="17" t="s">
        <v>56</v>
      </c>
      <c r="E15" s="19" t="s">
        <v>104</v>
      </c>
      <c r="F15" s="12">
        <v>1</v>
      </c>
      <c r="G15" s="17" t="s">
        <v>38</v>
      </c>
      <c r="H15" s="17">
        <v>100</v>
      </c>
      <c r="I15" s="17">
        <v>1</v>
      </c>
      <c r="J15" s="17">
        <v>1</v>
      </c>
      <c r="K15" s="20">
        <f t="shared" ref="K15" si="15">F15*100%</f>
        <v>1</v>
      </c>
      <c r="L15" s="21">
        <f t="shared" ref="L15" si="16">K15*I15</f>
        <v>1</v>
      </c>
      <c r="M15" s="20">
        <f t="shared" ref="M15" si="17">K15*75%</f>
        <v>0.75</v>
      </c>
      <c r="N15" s="21">
        <f t="shared" ref="N15" si="18">I15*M15</f>
        <v>0.75</v>
      </c>
      <c r="O15" s="20">
        <f t="shared" ref="O15" si="19">K15*100%</f>
        <v>1</v>
      </c>
      <c r="P15" s="21">
        <f t="shared" ref="P15" si="20">I15*O15</f>
        <v>1</v>
      </c>
    </row>
    <row r="16" spans="1:17" ht="15.75" x14ac:dyDescent="0.25">
      <c r="A16" s="13">
        <v>2</v>
      </c>
      <c r="B16" s="40" t="s">
        <v>5</v>
      </c>
      <c r="C16" s="40"/>
      <c r="D16" s="40"/>
      <c r="E16" s="40"/>
      <c r="F16" s="13">
        <f>SUM(F17:F18)</f>
        <v>3</v>
      </c>
      <c r="G16" s="14"/>
      <c r="H16" s="14"/>
      <c r="I16" s="14"/>
      <c r="J16" s="13">
        <f t="shared" ref="J16:P16" si="21">SUM(J17:J18)</f>
        <v>3.5</v>
      </c>
      <c r="K16" s="13">
        <f t="shared" si="21"/>
        <v>3</v>
      </c>
      <c r="L16" s="13">
        <f t="shared" si="21"/>
        <v>3.5</v>
      </c>
      <c r="M16" s="13">
        <f t="shared" si="21"/>
        <v>2.25</v>
      </c>
      <c r="N16" s="13">
        <f t="shared" si="21"/>
        <v>2.625</v>
      </c>
      <c r="O16" s="13">
        <f t="shared" si="21"/>
        <v>3</v>
      </c>
      <c r="P16" s="13">
        <f t="shared" si="21"/>
        <v>3.5</v>
      </c>
    </row>
    <row r="17" spans="1:16" ht="63" x14ac:dyDescent="0.25">
      <c r="A17" s="17" t="s">
        <v>87</v>
      </c>
      <c r="B17" s="18" t="s">
        <v>66</v>
      </c>
      <c r="C17" s="17" t="s">
        <v>53</v>
      </c>
      <c r="D17" s="17" t="s">
        <v>63</v>
      </c>
      <c r="E17" s="19" t="s">
        <v>67</v>
      </c>
      <c r="F17" s="12">
        <v>1</v>
      </c>
      <c r="G17" s="17" t="s">
        <v>28</v>
      </c>
      <c r="H17" s="17">
        <f>IF(G17="Khó và phức tạp",200,IF(G17="Cao",150,IF(G17="Trungbình",120,100)))</f>
        <v>150</v>
      </c>
      <c r="I17" s="17">
        <f>H17*0.01</f>
        <v>1.5</v>
      </c>
      <c r="J17" s="17">
        <f>F17*I17</f>
        <v>1.5</v>
      </c>
      <c r="K17" s="20">
        <f>F17*100%</f>
        <v>1</v>
      </c>
      <c r="L17" s="21">
        <f t="shared" ref="L17:L18" si="22">K17*I17</f>
        <v>1.5</v>
      </c>
      <c r="M17" s="20">
        <f>K17*75%</f>
        <v>0.75</v>
      </c>
      <c r="N17" s="21">
        <f>I17*M17</f>
        <v>1.125</v>
      </c>
      <c r="O17" s="20">
        <f>K17*100%</f>
        <v>1</v>
      </c>
      <c r="P17" s="21">
        <f>I17*O17</f>
        <v>1.5</v>
      </c>
    </row>
    <row r="18" spans="1:16" ht="31.5" x14ac:dyDescent="0.25">
      <c r="A18" s="17" t="s">
        <v>88</v>
      </c>
      <c r="B18" s="16" t="s">
        <v>64</v>
      </c>
      <c r="C18" s="17" t="s">
        <v>53</v>
      </c>
      <c r="D18" s="17" t="s">
        <v>65</v>
      </c>
      <c r="E18" s="19" t="s">
        <v>59</v>
      </c>
      <c r="F18" s="17">
        <v>2</v>
      </c>
      <c r="G18" s="17" t="s">
        <v>27</v>
      </c>
      <c r="H18" s="17">
        <f>IF(G18="Khó và phức tạp",200,IF(G18="Cao",150,IF(G18="Trungbình",120,100)))</f>
        <v>100</v>
      </c>
      <c r="I18" s="17">
        <f>H18*0.01</f>
        <v>1</v>
      </c>
      <c r="J18" s="17">
        <f>F18*I18</f>
        <v>2</v>
      </c>
      <c r="K18" s="20">
        <f>F18*100%</f>
        <v>2</v>
      </c>
      <c r="L18" s="21">
        <f t="shared" si="22"/>
        <v>2</v>
      </c>
      <c r="M18" s="20">
        <f>K18*75%</f>
        <v>1.5</v>
      </c>
      <c r="N18" s="21">
        <f>I18*M18</f>
        <v>1.5</v>
      </c>
      <c r="O18" s="20">
        <f>K18*100%</f>
        <v>2</v>
      </c>
      <c r="P18" s="21">
        <f>I18*O18</f>
        <v>2</v>
      </c>
    </row>
    <row r="19" spans="1:16" ht="15.75" x14ac:dyDescent="0.25">
      <c r="A19" s="13">
        <v>3</v>
      </c>
      <c r="B19" s="40" t="s">
        <v>6</v>
      </c>
      <c r="C19" s="40"/>
      <c r="D19" s="40"/>
      <c r="E19" s="40"/>
      <c r="F19" s="13">
        <f>SUM(F20:F21)</f>
        <v>3</v>
      </c>
      <c r="G19" s="14"/>
      <c r="H19" s="14"/>
      <c r="I19" s="14"/>
      <c r="J19" s="13">
        <f t="shared" ref="J19:P19" si="23">SUM(J20:J21)</f>
        <v>3.5</v>
      </c>
      <c r="K19" s="13">
        <f t="shared" si="23"/>
        <v>3</v>
      </c>
      <c r="L19" s="13">
        <f t="shared" si="23"/>
        <v>3.5</v>
      </c>
      <c r="M19" s="13">
        <f t="shared" si="23"/>
        <v>2.25</v>
      </c>
      <c r="N19" s="13">
        <f t="shared" si="23"/>
        <v>2.625</v>
      </c>
      <c r="O19" s="13">
        <f t="shared" si="23"/>
        <v>3</v>
      </c>
      <c r="P19" s="13">
        <f t="shared" si="23"/>
        <v>3.5</v>
      </c>
    </row>
    <row r="20" spans="1:16" ht="15.75" x14ac:dyDescent="0.25">
      <c r="A20" s="17" t="s">
        <v>89</v>
      </c>
      <c r="B20" s="23" t="s">
        <v>85</v>
      </c>
      <c r="C20" s="17" t="s">
        <v>53</v>
      </c>
      <c r="D20" s="17" t="s">
        <v>63</v>
      </c>
      <c r="E20" s="19" t="s">
        <v>59</v>
      </c>
      <c r="F20" s="17">
        <v>1</v>
      </c>
      <c r="G20" s="17" t="s">
        <v>28</v>
      </c>
      <c r="H20" s="17">
        <f>IF(G20="Khó và phức tạp",200,IF(G20="Cao",150,IF(G20="Trungbình",120,100)))</f>
        <v>150</v>
      </c>
      <c r="I20" s="17">
        <f>H20*0.01</f>
        <v>1.5</v>
      </c>
      <c r="J20" s="17">
        <f>F20*I20</f>
        <v>1.5</v>
      </c>
      <c r="K20" s="20">
        <f>F20*100%</f>
        <v>1</v>
      </c>
      <c r="L20" s="21">
        <f t="shared" ref="L20:L21" si="24">K20*I20</f>
        <v>1.5</v>
      </c>
      <c r="M20" s="20">
        <f>K20*75%</f>
        <v>0.75</v>
      </c>
      <c r="N20" s="21">
        <f>I20*M20</f>
        <v>1.125</v>
      </c>
      <c r="O20" s="20">
        <f>K20*100%</f>
        <v>1</v>
      </c>
      <c r="P20" s="21">
        <f>I20*O20</f>
        <v>1.5</v>
      </c>
    </row>
    <row r="21" spans="1:16" ht="31.5" x14ac:dyDescent="0.25">
      <c r="A21" s="17" t="s">
        <v>90</v>
      </c>
      <c r="B21" s="16" t="s">
        <v>64</v>
      </c>
      <c r="C21" s="17" t="s">
        <v>53</v>
      </c>
      <c r="D21" s="17" t="s">
        <v>65</v>
      </c>
      <c r="E21" s="19" t="s">
        <v>59</v>
      </c>
      <c r="F21" s="17">
        <v>2</v>
      </c>
      <c r="G21" s="17" t="s">
        <v>27</v>
      </c>
      <c r="H21" s="17">
        <f>IF(G21="Khó và phức tạp",200,IF(G21="Cao",150,IF(G21="Trungbình",120,100)))</f>
        <v>100</v>
      </c>
      <c r="I21" s="17">
        <f>H21*0.01</f>
        <v>1</v>
      </c>
      <c r="J21" s="17">
        <f>F21*I21</f>
        <v>2</v>
      </c>
      <c r="K21" s="20">
        <f>F21*100%</f>
        <v>2</v>
      </c>
      <c r="L21" s="21">
        <f t="shared" si="24"/>
        <v>2</v>
      </c>
      <c r="M21" s="20">
        <f>K21*75%</f>
        <v>1.5</v>
      </c>
      <c r="N21" s="21">
        <f>I21*M21</f>
        <v>1.5</v>
      </c>
      <c r="O21" s="20">
        <f>K21*100%</f>
        <v>2</v>
      </c>
      <c r="P21" s="21">
        <f>I21*O21</f>
        <v>2</v>
      </c>
    </row>
    <row r="22" spans="1:16" ht="15.75" x14ac:dyDescent="0.25">
      <c r="A22" s="13">
        <v>4</v>
      </c>
      <c r="B22" s="41" t="s">
        <v>7</v>
      </c>
      <c r="C22" s="41"/>
      <c r="D22" s="41"/>
      <c r="E22" s="41"/>
      <c r="F22" s="13">
        <f>SUM(F23:F24)</f>
        <v>2</v>
      </c>
      <c r="G22" s="14"/>
      <c r="H22" s="14"/>
      <c r="I22" s="14"/>
      <c r="J22" s="13">
        <f t="shared" ref="J22:P22" si="25">SUM(J23:J24)</f>
        <v>2</v>
      </c>
      <c r="K22" s="13">
        <f t="shared" si="25"/>
        <v>2</v>
      </c>
      <c r="L22" s="13">
        <f t="shared" si="25"/>
        <v>2</v>
      </c>
      <c r="M22" s="13">
        <f t="shared" si="25"/>
        <v>1.5</v>
      </c>
      <c r="N22" s="13">
        <f t="shared" si="25"/>
        <v>1.5</v>
      </c>
      <c r="O22" s="13">
        <f t="shared" si="25"/>
        <v>2</v>
      </c>
      <c r="P22" s="13">
        <f t="shared" si="25"/>
        <v>2</v>
      </c>
    </row>
    <row r="23" spans="1:16" ht="31.5" x14ac:dyDescent="0.25">
      <c r="A23" s="17" t="s">
        <v>91</v>
      </c>
      <c r="B23" s="18" t="s">
        <v>68</v>
      </c>
      <c r="C23" s="17" t="s">
        <v>69</v>
      </c>
      <c r="D23" s="17" t="s">
        <v>70</v>
      </c>
      <c r="E23" s="19" t="s">
        <v>59</v>
      </c>
      <c r="F23" s="12">
        <v>1</v>
      </c>
      <c r="G23" s="17" t="s">
        <v>27</v>
      </c>
      <c r="H23" s="17">
        <f t="shared" ref="H23:H24" si="26">IF(G23="Khó và phức tạp",200,IF(G23="Cao",150,IF(G23="Trungbình",120,100)))</f>
        <v>100</v>
      </c>
      <c r="I23" s="17">
        <f t="shared" ref="I23:I24" si="27">H23*0.01</f>
        <v>1</v>
      </c>
      <c r="J23" s="17">
        <f>F23*I23</f>
        <v>1</v>
      </c>
      <c r="K23" s="20">
        <f>F23*100%</f>
        <v>1</v>
      </c>
      <c r="L23" s="21">
        <f t="shared" ref="L23:L24" si="28">K23*I23</f>
        <v>1</v>
      </c>
      <c r="M23" s="20">
        <f>K23*75%</f>
        <v>0.75</v>
      </c>
      <c r="N23" s="21">
        <f>I23*M23</f>
        <v>0.75</v>
      </c>
      <c r="O23" s="20">
        <f>K23*100%</f>
        <v>1</v>
      </c>
      <c r="P23" s="21">
        <f>I23*O23</f>
        <v>1</v>
      </c>
    </row>
    <row r="24" spans="1:16" ht="47.25" x14ac:dyDescent="0.25">
      <c r="A24" s="17" t="s">
        <v>92</v>
      </c>
      <c r="B24" s="18" t="s">
        <v>71</v>
      </c>
      <c r="C24" s="17" t="s">
        <v>72</v>
      </c>
      <c r="D24" s="17" t="s">
        <v>70</v>
      </c>
      <c r="E24" s="19" t="s">
        <v>73</v>
      </c>
      <c r="F24" s="12">
        <v>1</v>
      </c>
      <c r="G24" s="17" t="s">
        <v>27</v>
      </c>
      <c r="H24" s="17">
        <f t="shared" si="26"/>
        <v>100</v>
      </c>
      <c r="I24" s="17">
        <f t="shared" si="27"/>
        <v>1</v>
      </c>
      <c r="J24" s="17">
        <f>F24*I24</f>
        <v>1</v>
      </c>
      <c r="K24" s="20">
        <f>F24*100%</f>
        <v>1</v>
      </c>
      <c r="L24" s="21">
        <f t="shared" si="28"/>
        <v>1</v>
      </c>
      <c r="M24" s="20">
        <f>K24*75%</f>
        <v>0.75</v>
      </c>
      <c r="N24" s="21">
        <f>I24*M24</f>
        <v>0.75</v>
      </c>
      <c r="O24" s="20">
        <f>K24*100%</f>
        <v>1</v>
      </c>
      <c r="P24" s="21">
        <f>I24*O24</f>
        <v>1</v>
      </c>
    </row>
    <row r="25" spans="1:16" ht="15.75" x14ac:dyDescent="0.25">
      <c r="A25" s="13">
        <v>5</v>
      </c>
      <c r="B25" s="40" t="s">
        <v>8</v>
      </c>
      <c r="C25" s="40"/>
      <c r="D25" s="40"/>
      <c r="E25" s="40"/>
      <c r="F25" s="13">
        <f>SUM(F26:F28)</f>
        <v>3</v>
      </c>
      <c r="G25" s="14"/>
      <c r="H25" s="14"/>
      <c r="I25" s="14"/>
      <c r="J25" s="13">
        <f t="shared" ref="J25:P25" si="29">SUM(J26:J28)</f>
        <v>3</v>
      </c>
      <c r="K25" s="13">
        <f t="shared" si="29"/>
        <v>3</v>
      </c>
      <c r="L25" s="13">
        <f t="shared" si="29"/>
        <v>3</v>
      </c>
      <c r="M25" s="13">
        <f t="shared" si="29"/>
        <v>2.25</v>
      </c>
      <c r="N25" s="13">
        <f t="shared" si="29"/>
        <v>2.25</v>
      </c>
      <c r="O25" s="13">
        <f t="shared" si="29"/>
        <v>3</v>
      </c>
      <c r="P25" s="13">
        <f t="shared" si="29"/>
        <v>3</v>
      </c>
    </row>
    <row r="26" spans="1:16" ht="31.5" x14ac:dyDescent="0.25">
      <c r="A26" s="17" t="s">
        <v>93</v>
      </c>
      <c r="B26" s="24" t="s">
        <v>82</v>
      </c>
      <c r="C26" s="17" t="s">
        <v>53</v>
      </c>
      <c r="D26" s="17" t="s">
        <v>84</v>
      </c>
      <c r="E26" s="19" t="s">
        <v>73</v>
      </c>
      <c r="F26" s="17">
        <v>1</v>
      </c>
      <c r="G26" s="17" t="s">
        <v>27</v>
      </c>
      <c r="H26" s="17">
        <f t="shared" ref="H26:H28" si="30">IF(G26="Khó và phức tạp",200,IF(G26="Cao",150,IF(G26="Trungbình",120,100)))</f>
        <v>100</v>
      </c>
      <c r="I26" s="17">
        <f t="shared" ref="I26:I28" si="31">H26*0.01</f>
        <v>1</v>
      </c>
      <c r="J26" s="17">
        <f t="shared" ref="J26:J28" si="32">F26*I26</f>
        <v>1</v>
      </c>
      <c r="K26" s="20">
        <f t="shared" ref="K26:K28" si="33">F26*100%</f>
        <v>1</v>
      </c>
      <c r="L26" s="21">
        <f t="shared" ref="L26:L28" si="34">K26*I26</f>
        <v>1</v>
      </c>
      <c r="M26" s="20">
        <f t="shared" ref="M26:M28" si="35">K26*75%</f>
        <v>0.75</v>
      </c>
      <c r="N26" s="21">
        <f t="shared" ref="N26:N28" si="36">I26*M26</f>
        <v>0.75</v>
      </c>
      <c r="O26" s="20">
        <f t="shared" ref="O26:O28" si="37">K26*100%</f>
        <v>1</v>
      </c>
      <c r="P26" s="21">
        <f t="shared" ref="P26:P28" si="38">I26*O26</f>
        <v>1</v>
      </c>
    </row>
    <row r="27" spans="1:16" ht="47.25" x14ac:dyDescent="0.25">
      <c r="A27" s="17" t="s">
        <v>94</v>
      </c>
      <c r="B27" s="18" t="s">
        <v>74</v>
      </c>
      <c r="C27" s="17" t="s">
        <v>53</v>
      </c>
      <c r="D27" s="17" t="s">
        <v>75</v>
      </c>
      <c r="E27" s="19" t="s">
        <v>60</v>
      </c>
      <c r="F27" s="12">
        <v>1</v>
      </c>
      <c r="G27" s="17" t="s">
        <v>38</v>
      </c>
      <c r="H27" s="17">
        <f t="shared" si="30"/>
        <v>100</v>
      </c>
      <c r="I27" s="17">
        <f t="shared" si="31"/>
        <v>1</v>
      </c>
      <c r="J27" s="17">
        <f t="shared" si="32"/>
        <v>1</v>
      </c>
      <c r="K27" s="20">
        <f t="shared" si="33"/>
        <v>1</v>
      </c>
      <c r="L27" s="21">
        <f t="shared" si="34"/>
        <v>1</v>
      </c>
      <c r="M27" s="20">
        <f t="shared" si="35"/>
        <v>0.75</v>
      </c>
      <c r="N27" s="21">
        <f t="shared" si="36"/>
        <v>0.75</v>
      </c>
      <c r="O27" s="20">
        <f t="shared" si="37"/>
        <v>1</v>
      </c>
      <c r="P27" s="21">
        <f t="shared" si="38"/>
        <v>1</v>
      </c>
    </row>
    <row r="28" spans="1:16" ht="47.25" x14ac:dyDescent="0.25">
      <c r="A28" s="17" t="s">
        <v>95</v>
      </c>
      <c r="B28" s="18" t="s">
        <v>78</v>
      </c>
      <c r="C28" s="17" t="s">
        <v>76</v>
      </c>
      <c r="D28" s="17" t="s">
        <v>77</v>
      </c>
      <c r="E28" s="19" t="s">
        <v>73</v>
      </c>
      <c r="F28" s="12">
        <v>1</v>
      </c>
      <c r="G28" s="17" t="s">
        <v>27</v>
      </c>
      <c r="H28" s="17">
        <f t="shared" si="30"/>
        <v>100</v>
      </c>
      <c r="I28" s="17">
        <f t="shared" si="31"/>
        <v>1</v>
      </c>
      <c r="J28" s="17">
        <f t="shared" si="32"/>
        <v>1</v>
      </c>
      <c r="K28" s="20">
        <f t="shared" si="33"/>
        <v>1</v>
      </c>
      <c r="L28" s="21">
        <f t="shared" si="34"/>
        <v>1</v>
      </c>
      <c r="M28" s="20">
        <f t="shared" si="35"/>
        <v>0.75</v>
      </c>
      <c r="N28" s="21">
        <f t="shared" si="36"/>
        <v>0.75</v>
      </c>
      <c r="O28" s="20">
        <f t="shared" si="37"/>
        <v>1</v>
      </c>
      <c r="P28" s="21">
        <f t="shared" si="38"/>
        <v>1</v>
      </c>
    </row>
    <row r="29" spans="1:16" ht="15.75" x14ac:dyDescent="0.25">
      <c r="A29" s="13">
        <v>6</v>
      </c>
      <c r="B29" s="36" t="s">
        <v>9</v>
      </c>
      <c r="C29" s="37"/>
      <c r="D29" s="37"/>
      <c r="E29" s="37"/>
      <c r="F29" s="13">
        <f>SUM(F30:F31)</f>
        <v>2</v>
      </c>
      <c r="G29" s="14"/>
      <c r="H29" s="14"/>
      <c r="I29" s="14"/>
      <c r="J29" s="13">
        <f t="shared" ref="J29:P29" si="39">SUM(J30:J31)</f>
        <v>2</v>
      </c>
      <c r="K29" s="13">
        <f t="shared" si="39"/>
        <v>2</v>
      </c>
      <c r="L29" s="13">
        <f t="shared" si="39"/>
        <v>2</v>
      </c>
      <c r="M29" s="13">
        <f t="shared" si="39"/>
        <v>1.5</v>
      </c>
      <c r="N29" s="13">
        <f t="shared" si="39"/>
        <v>1.5</v>
      </c>
      <c r="O29" s="13">
        <f t="shared" si="39"/>
        <v>2</v>
      </c>
      <c r="P29" s="13">
        <f t="shared" si="39"/>
        <v>2</v>
      </c>
    </row>
    <row r="30" spans="1:16" ht="47.25" x14ac:dyDescent="0.25">
      <c r="A30" s="17"/>
      <c r="B30" s="18" t="s">
        <v>74</v>
      </c>
      <c r="C30" s="17" t="s">
        <v>53</v>
      </c>
      <c r="D30" s="17" t="s">
        <v>75</v>
      </c>
      <c r="E30" s="19" t="s">
        <v>73</v>
      </c>
      <c r="F30" s="17">
        <v>1</v>
      </c>
      <c r="G30" s="17" t="s">
        <v>27</v>
      </c>
      <c r="H30" s="17">
        <f>IF(G30="Khó và phức tạp",200,IF(G30="Cao",150,IF(G30="Trungbình",120,100)))</f>
        <v>100</v>
      </c>
      <c r="I30" s="17">
        <f>H30*0.01</f>
        <v>1</v>
      </c>
      <c r="J30" s="17">
        <f t="shared" ref="J30:J31" si="40">F30*I30</f>
        <v>1</v>
      </c>
      <c r="K30" s="20">
        <f t="shared" ref="K30:K31" si="41">F30*100%</f>
        <v>1</v>
      </c>
      <c r="L30" s="21">
        <f t="shared" ref="L30:L31" si="42">K30*I30</f>
        <v>1</v>
      </c>
      <c r="M30" s="20">
        <f t="shared" ref="M30:M31" si="43">K30*75%</f>
        <v>0.75</v>
      </c>
      <c r="N30" s="21">
        <f t="shared" ref="N30:N31" si="44">I30*M30</f>
        <v>0.75</v>
      </c>
      <c r="O30" s="20">
        <f t="shared" ref="O30:O31" si="45">K30*100%</f>
        <v>1</v>
      </c>
      <c r="P30" s="21">
        <f t="shared" ref="P30:P31" si="46">I30*O30</f>
        <v>1</v>
      </c>
    </row>
    <row r="31" spans="1:16" ht="47.25" x14ac:dyDescent="0.25">
      <c r="A31" s="17"/>
      <c r="B31" s="18" t="s">
        <v>79</v>
      </c>
      <c r="C31" s="17" t="s">
        <v>53</v>
      </c>
      <c r="D31" s="17" t="s">
        <v>80</v>
      </c>
      <c r="E31" s="19" t="s">
        <v>73</v>
      </c>
      <c r="F31" s="12">
        <v>1</v>
      </c>
      <c r="G31" s="17" t="s">
        <v>38</v>
      </c>
      <c r="H31" s="17">
        <f>IF(G31="Khó và phức tạp",200,IF(G31="Cao",150,IF(G31="Trungbình",120,100)))</f>
        <v>100</v>
      </c>
      <c r="I31" s="17">
        <f>H31*0.01</f>
        <v>1</v>
      </c>
      <c r="J31" s="17">
        <f t="shared" si="40"/>
        <v>1</v>
      </c>
      <c r="K31" s="20">
        <f t="shared" si="41"/>
        <v>1</v>
      </c>
      <c r="L31" s="21">
        <f t="shared" si="42"/>
        <v>1</v>
      </c>
      <c r="M31" s="20">
        <f t="shared" si="43"/>
        <v>0.75</v>
      </c>
      <c r="N31" s="21">
        <f t="shared" si="44"/>
        <v>0.75</v>
      </c>
      <c r="O31" s="20">
        <f t="shared" si="45"/>
        <v>1</v>
      </c>
      <c r="P31" s="21">
        <f t="shared" si="46"/>
        <v>1</v>
      </c>
    </row>
    <row r="32" spans="1:16" ht="15.75" x14ac:dyDescent="0.25">
      <c r="A32" s="13" t="s">
        <v>10</v>
      </c>
      <c r="B32" s="38" t="s">
        <v>26</v>
      </c>
      <c r="C32" s="39"/>
      <c r="D32" s="39"/>
      <c r="E32" s="39"/>
      <c r="F32" s="13">
        <f>SUM(F33:F34)</f>
        <v>2</v>
      </c>
      <c r="G32" s="14"/>
      <c r="H32" s="14"/>
      <c r="I32" s="14"/>
      <c r="J32" s="13">
        <f t="shared" ref="J32:P32" si="47">SUM(J33:J34)</f>
        <v>2.5</v>
      </c>
      <c r="K32" s="13">
        <f t="shared" si="47"/>
        <v>2</v>
      </c>
      <c r="L32" s="13">
        <f t="shared" si="47"/>
        <v>2.5</v>
      </c>
      <c r="M32" s="13">
        <f t="shared" si="47"/>
        <v>1.5</v>
      </c>
      <c r="N32" s="13">
        <f t="shared" si="47"/>
        <v>1.875</v>
      </c>
      <c r="O32" s="13">
        <f t="shared" si="47"/>
        <v>2</v>
      </c>
      <c r="P32" s="13">
        <f t="shared" si="47"/>
        <v>2.5</v>
      </c>
    </row>
    <row r="33" spans="1:16" ht="47.25" x14ac:dyDescent="0.25">
      <c r="A33" s="17">
        <v>1</v>
      </c>
      <c r="B33" s="23" t="s">
        <v>52</v>
      </c>
      <c r="C33" s="17" t="s">
        <v>53</v>
      </c>
      <c r="D33" s="17" t="s">
        <v>56</v>
      </c>
      <c r="E33" s="19" t="s">
        <v>57</v>
      </c>
      <c r="F33" s="12">
        <v>1</v>
      </c>
      <c r="G33" s="17" t="s">
        <v>27</v>
      </c>
      <c r="H33" s="17">
        <f>IF(G33="Khó và phức tạp",200,IF(G33="Cao",150,IF(G33="Trungbình",120,100)))</f>
        <v>100</v>
      </c>
      <c r="I33" s="17">
        <f>H33*0.01</f>
        <v>1</v>
      </c>
      <c r="J33" s="17">
        <f t="shared" ref="J33:J34" si="48">F33*I33</f>
        <v>1</v>
      </c>
      <c r="K33" s="20">
        <f t="shared" ref="K33:K34" si="49">F33*100%</f>
        <v>1</v>
      </c>
      <c r="L33" s="21">
        <f t="shared" ref="L33:L34" si="50">K33*I33</f>
        <v>1</v>
      </c>
      <c r="M33" s="20">
        <f t="shared" ref="M33:M34" si="51">K33*75%</f>
        <v>0.75</v>
      </c>
      <c r="N33" s="21">
        <f t="shared" ref="N33:N34" si="52">I33*M33</f>
        <v>0.75</v>
      </c>
      <c r="O33" s="20">
        <f t="shared" ref="O33:O34" si="53">K33*100%</f>
        <v>1</v>
      </c>
      <c r="P33" s="21">
        <f t="shared" ref="P33:P34" si="54">I33*O33</f>
        <v>1</v>
      </c>
    </row>
    <row r="34" spans="1:16" ht="15.75" x14ac:dyDescent="0.25">
      <c r="A34" s="17">
        <v>2</v>
      </c>
      <c r="B34" s="23" t="s">
        <v>96</v>
      </c>
      <c r="C34" s="17" t="s">
        <v>53</v>
      </c>
      <c r="D34" s="17" t="s">
        <v>97</v>
      </c>
      <c r="E34" s="19" t="s">
        <v>98</v>
      </c>
      <c r="F34" s="17">
        <v>1</v>
      </c>
      <c r="G34" s="17" t="s">
        <v>28</v>
      </c>
      <c r="H34" s="17">
        <f>IF(G34="Khó và phức tạp",200,IF(G34="Cao",150,IF(G34="Trungbình",120,100)))</f>
        <v>150</v>
      </c>
      <c r="I34" s="17">
        <f>H34*0.01</f>
        <v>1.5</v>
      </c>
      <c r="J34" s="17">
        <f t="shared" si="48"/>
        <v>1.5</v>
      </c>
      <c r="K34" s="20">
        <f t="shared" si="49"/>
        <v>1</v>
      </c>
      <c r="L34" s="21">
        <f t="shared" si="50"/>
        <v>1.5</v>
      </c>
      <c r="M34" s="20">
        <f t="shared" si="51"/>
        <v>0.75</v>
      </c>
      <c r="N34" s="21">
        <f t="shared" si="52"/>
        <v>1.125</v>
      </c>
      <c r="O34" s="20">
        <f t="shared" si="53"/>
        <v>1</v>
      </c>
      <c r="P34" s="21">
        <f t="shared" si="54"/>
        <v>1.5</v>
      </c>
    </row>
    <row r="35" spans="1:16" s="2" customFormat="1" ht="15.75" x14ac:dyDescent="0.2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 s="3" customFormat="1" ht="131.25" customHeight="1" x14ac:dyDescent="0.25">
      <c r="A36" s="27" t="s">
        <v>81</v>
      </c>
      <c r="B36" s="27"/>
      <c r="C36" s="27"/>
      <c r="D36" s="10"/>
      <c r="G36" s="25" t="s">
        <v>105</v>
      </c>
      <c r="H36" s="25"/>
      <c r="I36" s="25"/>
      <c r="J36" s="25"/>
      <c r="K36" s="25"/>
      <c r="L36" s="26"/>
      <c r="M36" s="26"/>
      <c r="N36" s="26"/>
      <c r="O36" s="26"/>
      <c r="P36" s="26"/>
    </row>
  </sheetData>
  <mergeCells count="30">
    <mergeCell ref="B22:E22"/>
    <mergeCell ref="B19:E19"/>
    <mergeCell ref="B25:E25"/>
    <mergeCell ref="G1:P1"/>
    <mergeCell ref="G2:P2"/>
    <mergeCell ref="K5:L5"/>
    <mergeCell ref="M5:N5"/>
    <mergeCell ref="O5:P5"/>
    <mergeCell ref="A4:P4"/>
    <mergeCell ref="I5:I6"/>
    <mergeCell ref="J5:J6"/>
    <mergeCell ref="A3:P3"/>
    <mergeCell ref="A1:C1"/>
    <mergeCell ref="A2:C2"/>
    <mergeCell ref="G36:P36"/>
    <mergeCell ref="A36:C36"/>
    <mergeCell ref="F5:F6"/>
    <mergeCell ref="G5:G6"/>
    <mergeCell ref="A5:A6"/>
    <mergeCell ref="B5:B6"/>
    <mergeCell ref="C5:C6"/>
    <mergeCell ref="D5:D6"/>
    <mergeCell ref="E5:E6"/>
    <mergeCell ref="B8:P8"/>
    <mergeCell ref="B35:P35"/>
    <mergeCell ref="H5:H6"/>
    <mergeCell ref="B29:E29"/>
    <mergeCell ref="B32:E32"/>
    <mergeCell ref="B9:E9"/>
    <mergeCell ref="B16:E16"/>
  </mergeCells>
  <phoneticPr fontId="21" type="noConversion"/>
  <conditionalFormatting sqref="C1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{FCF3059B-CAB1-459B-A88F-CF161162CDB1}</x14:id>
        </ext>
      </extLst>
    </cfRule>
  </conditionalFormatting>
  <conditionalFormatting sqref="C11:C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{F172D741-9C75-4A58-8257-C2EA382F1209}</x14:id>
        </ext>
      </extLst>
    </cfRule>
  </conditionalFormatting>
  <conditionalFormatting sqref="C1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{3AFF45E5-3B0C-418B-96FF-815C4E7AE168}</x14:id>
        </ext>
      </extLst>
    </cfRule>
  </conditionalFormatting>
  <conditionalFormatting sqref="C1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{D6A39B4A-E25A-46CB-A65D-4A822679102A}</x14:id>
        </ext>
      </extLst>
    </cfRule>
  </conditionalFormatting>
  <conditionalFormatting sqref="C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{85C17A3F-E66E-446A-9932-E65D40EB9439}</x14:id>
        </ext>
      </extLst>
    </cfRule>
  </conditionalFormatting>
  <conditionalFormatting sqref="C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{7D5FD9F4-257F-4B65-B320-09F2E10B42D1}</x14:id>
        </ext>
      </extLst>
    </cfRule>
  </conditionalFormatting>
  <conditionalFormatting sqref="C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{505C52F8-AEF7-4FA5-A513-633ABFA20660}</x14:id>
        </ext>
      </extLst>
    </cfRule>
  </conditionalFormatting>
  <conditionalFormatting sqref="C2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{35B442E8-3CD6-4E88-95E5-1621835C6939}</x14:id>
        </ext>
      </extLst>
    </cfRule>
  </conditionalFormatting>
  <conditionalFormatting sqref="C26:C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{3C09F673-8966-46C1-A263-DD5B0B40EF22}</x14:id>
        </ext>
      </extLst>
    </cfRule>
  </conditionalFormatting>
  <conditionalFormatting sqref="C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{C6E8C86D-8032-4B2F-AFE2-EB0990D0255B}</x14:id>
        </ext>
      </extLst>
    </cfRule>
  </conditionalFormatting>
  <conditionalFormatting sqref="C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{43BAACC5-9CCB-42A2-A615-90D6A37E2A5A}</x14:id>
        </ext>
      </extLst>
    </cfRule>
  </conditionalFormatting>
  <conditionalFormatting sqref="C3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{2BA00823-A717-4C7F-93BE-524830EFE5DB}</x14:id>
        </ext>
      </extLst>
    </cfRule>
  </conditionalFormatting>
  <conditionalFormatting sqref="C33:C3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{3531FD4F-CE13-43C6-8910-657ECDF5D876}</x14:id>
        </ext>
      </extLst>
    </cfRule>
  </conditionalFormatting>
  <dataValidations count="6">
    <dataValidation type="list" allowBlank="1" showInputMessage="1" sqref="D34" xr:uid="{723BBEA1-CDA5-4E90-B789-0CB64C257373}">
      <formula1>"Phòng QLĐT&amp;BĐCL, Phòng TH-HC&amp;QT, Phòng QLKHCN&amp;HTPT, Phòng TC-KT, Phòng  TCCB&amp;CTHSSV, Khoa Sư phạm, Khoa CKHCB, Khoa KT&amp;NL, Khoa Y – Dược, Khoa ĐT&amp;SHLX, Khoa KT&amp;CN"</formula1>
    </dataValidation>
    <dataValidation type="list" allowBlank="1" showInputMessage="1" sqref="G23:G24 G17:G18 G30:G31 G26:G28 G33:G34 G20:G21 G10:G15" xr:uid="{242DABCC-F988-4BD7-A39A-B18DD09F67B5}">
      <formula1>"Thấp,Trung bình,Cao,Khó và phức tạp"</formula1>
    </dataValidation>
    <dataValidation allowBlank="1" showInputMessage="1" sqref="H30:K31 H20:K21 H23:K24 H33:K34 H26:K28 H17:K18 H10:K15" xr:uid="{10642937-B860-4152-A8CB-DF82470CE8F3}"/>
    <dataValidation type="list" allowBlank="1" showInputMessage="1" sqref="D17:D18 D23:D24 D20:D21 D30:D31 D33 D26:D28 D10:D15" xr:uid="{57138FCD-E2C2-453C-A3FF-D34190B9932D}">
      <formula1>"Phòng QLĐT&amp;BĐCL,Phòng TH-HC&amp;QT,Phòng QLKHCN&amp;HTPT,Phòng TC-KT,Phòng  TCCB&amp;CTHSSV,Khoa Sư phạm,Khoa CKHCB,Khoa KT&amp;NL,Khoa Y – Dược,Khoa ĐT&amp;SHLX,Khoa KT&amp;CN"</formula1>
      <formula2>0</formula2>
    </dataValidation>
    <dataValidation type="list" allowBlank="1" showInputMessage="1" sqref="C17:C18 C23:C24 C26:C28 C30:C31 C33:C34 C20:C21 C10:C15" xr:uid="{F25E14C9-2372-40B6-A655-0B9226B2C195}">
      <formula1>"Hiệu trưởng,PHT Nguyễn Trung Hiếu,PHT Huỳnh Văn Chung,PHT Dương Văn Anh Dũng,Bí thư Đảng uỷ,Phó Bí thư Đảng uỷ,Uỷ viên BTV,Chủ tịch Công đoàn,Bí thư ĐTN,Chủ tịch HSV"</formula1>
      <formula2>0</formula2>
    </dataValidation>
    <dataValidation type="list" allowBlank="1" showInputMessage="1" sqref="E17:E18 E23:E24 E26:E28 E30:E31 E33:E34 E10:E15 E20:E21" xr:uid="{3014876A-C0F4-4796-9C24-F3A72AB663C5}">
      <formula1>"Bảng thống kê,Báo cáo,Biên bản,Chương trình,Công văn,Đề án,Giấy mời,Hồ sơ chuyên môn,Hợp đồng,Hướng dẫn,Kế hoạch,Kết luận,Nghị quyết,Phiếu chuyển,Phiếu trình,Phương án,Quy chế,Quyết định,Tài liệu hướng dẫn,Thông báo,Tờ trình"</formula1>
      <formula2>0</formula2>
    </dataValidation>
  </dataValidations>
  <pageMargins left="0.31496062992125984" right="0.31496062992125984" top="0.39370078740157483" bottom="0.39370078740157483" header="0.31496062992125984" footer="0.31496062992125984"/>
  <pageSetup paperSize="9" scale="5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F3059B-CAB1-459B-A88F-CF161162CDB1}">
            <x14:dataBar axisPosition="none">
              <x14:cfvo type="min"/>
              <x14:cfvo type="max"/>
              <x14:negativeFillColor rgb="FF638EC6"/>
            </x14:dataBar>
          </x14:cfRule>
          <xm:sqref>C10</xm:sqref>
        </x14:conditionalFormatting>
        <x14:conditionalFormatting xmlns:xm="http://schemas.microsoft.com/office/excel/2006/main">
          <x14:cfRule type="dataBar" id="{F172D741-9C75-4A58-8257-C2EA382F1209}">
            <x14:dataBar axisPosition="none">
              <x14:cfvo type="min"/>
              <x14:cfvo type="max"/>
              <x14:negativeFillColor rgb="FF638EC6"/>
            </x14:dataBar>
          </x14:cfRule>
          <xm:sqref>C11:C15</xm:sqref>
        </x14:conditionalFormatting>
        <x14:conditionalFormatting xmlns:xm="http://schemas.microsoft.com/office/excel/2006/main">
          <x14:cfRule type="dataBar" id="{3AFF45E5-3B0C-418B-96FF-815C4E7AE168}">
            <x14:dataBar axisPosition="none">
              <x14:cfvo type="min"/>
              <x14:cfvo type="max"/>
              <x14:negativeFillColor rgb="FF638EC6"/>
            </x14:dataBar>
          </x14:cfRule>
          <xm:sqref>C17</xm:sqref>
        </x14:conditionalFormatting>
        <x14:conditionalFormatting xmlns:xm="http://schemas.microsoft.com/office/excel/2006/main">
          <x14:cfRule type="dataBar" id="{D6A39B4A-E25A-46CB-A65D-4A822679102A}">
            <x14:dataBar axisPosition="none">
              <x14:cfvo type="min"/>
              <x14:cfvo type="max"/>
              <x14:negativeFillColor rgb="FF638EC6"/>
            </x14:dataBar>
          </x14:cfRule>
          <xm:sqref>C18</xm:sqref>
        </x14:conditionalFormatting>
        <x14:conditionalFormatting xmlns:xm="http://schemas.microsoft.com/office/excel/2006/main">
          <x14:cfRule type="dataBar" id="{85C17A3F-E66E-446A-9932-E65D40EB9439}">
            <x14:dataBar axisPosition="none">
              <x14:cfvo type="min"/>
              <x14:cfvo type="max"/>
              <x14:negativeFillColor rgb="FF638EC6"/>
            </x14:dataBar>
          </x14:cfRule>
          <xm:sqref>C20</xm:sqref>
        </x14:conditionalFormatting>
        <x14:conditionalFormatting xmlns:xm="http://schemas.microsoft.com/office/excel/2006/main">
          <x14:cfRule type="dataBar" id="{7D5FD9F4-257F-4B65-B320-09F2E10B42D1}">
            <x14:dataBar axisPosition="none">
              <x14:cfvo type="min"/>
              <x14:cfvo type="max"/>
              <x14:negativeFillColor rgb="FF638EC6"/>
            </x14:dataBar>
          </x14:cfRule>
          <xm:sqref>C21</xm:sqref>
        </x14:conditionalFormatting>
        <x14:conditionalFormatting xmlns:xm="http://schemas.microsoft.com/office/excel/2006/main">
          <x14:cfRule type="dataBar" id="{505C52F8-AEF7-4FA5-A513-633ABFA20660}">
            <x14:dataBar axisPosition="none">
              <x14:cfvo type="min"/>
              <x14:cfvo type="max"/>
              <x14:negativeFillColor rgb="FF638EC6"/>
            </x14:dataBar>
          </x14:cfRule>
          <xm:sqref>C23</xm:sqref>
        </x14:conditionalFormatting>
        <x14:conditionalFormatting xmlns:xm="http://schemas.microsoft.com/office/excel/2006/main">
          <x14:cfRule type="dataBar" id="{35B442E8-3CD6-4E88-95E5-1621835C6939}">
            <x14:dataBar axisPosition="none">
              <x14:cfvo type="min"/>
              <x14:cfvo type="max"/>
              <x14:negativeFillColor rgb="FF638EC6"/>
            </x14:dataBar>
          </x14:cfRule>
          <xm:sqref>C24</xm:sqref>
        </x14:conditionalFormatting>
        <x14:conditionalFormatting xmlns:xm="http://schemas.microsoft.com/office/excel/2006/main">
          <x14:cfRule type="dataBar" id="{3C09F673-8966-46C1-A263-DD5B0B40EF22}">
            <x14:dataBar axisPosition="none">
              <x14:cfvo type="min"/>
              <x14:cfvo type="max"/>
              <x14:negativeFillColor rgb="FF638EC6"/>
            </x14:dataBar>
          </x14:cfRule>
          <xm:sqref>C26:C27</xm:sqref>
        </x14:conditionalFormatting>
        <x14:conditionalFormatting xmlns:xm="http://schemas.microsoft.com/office/excel/2006/main">
          <x14:cfRule type="dataBar" id="{C6E8C86D-8032-4B2F-AFE2-EB0990D0255B}">
            <x14:dataBar axisPosition="none">
              <x14:cfvo type="min"/>
              <x14:cfvo type="max"/>
              <x14:negativeFillColor rgb="FF638EC6"/>
            </x14:dataBar>
          </x14:cfRule>
          <xm:sqref>C28</xm:sqref>
        </x14:conditionalFormatting>
        <x14:conditionalFormatting xmlns:xm="http://schemas.microsoft.com/office/excel/2006/main">
          <x14:cfRule type="dataBar" id="{43BAACC5-9CCB-42A2-A615-90D6A37E2A5A}">
            <x14:dataBar axisPosition="none">
              <x14:cfvo type="min"/>
              <x14:cfvo type="max"/>
              <x14:negativeFillColor rgb="FF638EC6"/>
            </x14:dataBar>
          </x14:cfRule>
          <xm:sqref>C30</xm:sqref>
        </x14:conditionalFormatting>
        <x14:conditionalFormatting xmlns:xm="http://schemas.microsoft.com/office/excel/2006/main">
          <x14:cfRule type="dataBar" id="{2BA00823-A717-4C7F-93BE-524830EFE5DB}">
            <x14:dataBar axisPosition="none">
              <x14:cfvo type="min"/>
              <x14:cfvo type="max"/>
              <x14:negativeFillColor rgb="FF638EC6"/>
            </x14:dataBar>
          </x14:cfRule>
          <xm:sqref>C31</xm:sqref>
        </x14:conditionalFormatting>
        <x14:conditionalFormatting xmlns:xm="http://schemas.microsoft.com/office/excel/2006/main">
          <x14:cfRule type="dataBar" id="{3531FD4F-CE13-43C6-8910-657ECDF5D876}">
            <x14:dataBar axisPosition="none">
              <x14:cfvo type="min"/>
              <x14:cfvo type="max"/>
              <x14:negativeFillColor rgb="FF638EC6"/>
            </x14:dataBar>
          </x14:cfRule>
          <xm:sqref>C33:C34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KQ -T9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Phuc</dc:creator>
  <cp:lastModifiedBy>Administrator</cp:lastModifiedBy>
  <cp:lastPrinted>2026-06-25T01:59:32Z</cp:lastPrinted>
  <dcterms:created xsi:type="dcterms:W3CDTF">2026-05-27T07:08:41Z</dcterms:created>
  <dcterms:modified xsi:type="dcterms:W3CDTF">2026-09-14T00:05:51Z</dcterms:modified>
</cp:coreProperties>
</file>