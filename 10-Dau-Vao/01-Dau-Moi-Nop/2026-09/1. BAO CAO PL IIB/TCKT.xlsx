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E5F9ECD4-B9A4-47E5-90CF-548909D11237}" xr6:coauthVersionLast="47" xr6:coauthVersionMax="47" xr10:uidLastSave="{00000000-0000-0000-0000-000000000000}"/>
  <bookViews>
    <workbookView xWindow="-110" yWindow="-110" windowWidth="19420" windowHeight="11500" xr2:uid="{CF09AA7D-F157-435F-8730-78D5FF9F5A39}"/>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O11" i="1" s="1"/>
  <c r="P11" i="1" s="1"/>
  <c r="K19" i="1"/>
  <c r="M19" i="1" s="1"/>
  <c r="O19" i="1"/>
  <c r="P19" i="1" s="1"/>
  <c r="K22" i="1"/>
  <c r="L22" i="1" s="1"/>
  <c r="K15" i="1"/>
  <c r="O15" i="1" s="1"/>
  <c r="P15" i="1" s="1"/>
  <c r="H13" i="1"/>
  <c r="I13" i="1" s="1"/>
  <c r="K13" i="1"/>
  <c r="O13" i="1" s="1"/>
  <c r="O34" i="1"/>
  <c r="P34" i="1" s="1"/>
  <c r="M34" i="1"/>
  <c r="N34" i="1" s="1"/>
  <c r="L34" i="1"/>
  <c r="J34" i="1"/>
  <c r="O33" i="1"/>
  <c r="P33" i="1" s="1"/>
  <c r="M33" i="1"/>
  <c r="N33" i="1" s="1"/>
  <c r="L33" i="1"/>
  <c r="J33" i="1"/>
  <c r="O32" i="1"/>
  <c r="P32" i="1" s="1"/>
  <c r="P31" i="1" s="1"/>
  <c r="M32" i="1"/>
  <c r="M31" i="1" s="1"/>
  <c r="L32" i="1"/>
  <c r="J32" i="1"/>
  <c r="K31" i="1"/>
  <c r="F31" i="1"/>
  <c r="P28" i="1"/>
  <c r="O28" i="1"/>
  <c r="N28" i="1"/>
  <c r="M28" i="1"/>
  <c r="L28" i="1"/>
  <c r="K28" i="1"/>
  <c r="J28" i="1"/>
  <c r="F28" i="1"/>
  <c r="K27" i="1"/>
  <c r="O27" i="1" s="1"/>
  <c r="H27" i="1"/>
  <c r="I27" i="1" s="1"/>
  <c r="K26" i="1"/>
  <c r="M26" i="1" s="1"/>
  <c r="I26" i="1"/>
  <c r="J26" i="1" s="1"/>
  <c r="F25" i="1"/>
  <c r="K21" i="1"/>
  <c r="O21" i="1" s="1"/>
  <c r="P21" i="1" s="1"/>
  <c r="J21" i="1"/>
  <c r="F20" i="1"/>
  <c r="K18" i="1"/>
  <c r="O18" i="1" s="1"/>
  <c r="P18" i="1" s="1"/>
  <c r="K17" i="1"/>
  <c r="O17" i="1" s="1"/>
  <c r="P17" i="1" s="1"/>
  <c r="K16" i="1"/>
  <c r="L16" i="1" s="1"/>
  <c r="K14" i="1"/>
  <c r="J14" i="1"/>
  <c r="K12" i="1"/>
  <c r="M12" i="1" s="1"/>
  <c r="H12" i="1"/>
  <c r="I12" i="1" s="1"/>
  <c r="H11" i="1"/>
  <c r="I11" i="1" s="1"/>
  <c r="F10" i="1"/>
  <c r="L11" i="1" l="1"/>
  <c r="M11" i="1"/>
  <c r="N11" i="1" s="1"/>
  <c r="O31" i="1"/>
  <c r="L15" i="1"/>
  <c r="M22" i="1"/>
  <c r="N22" i="1" s="1"/>
  <c r="M15" i="1"/>
  <c r="N15" i="1" s="1"/>
  <c r="O22" i="1"/>
  <c r="P22" i="1" s="1"/>
  <c r="P20" i="1" s="1"/>
  <c r="J20" i="1"/>
  <c r="L13" i="1"/>
  <c r="P13" i="1"/>
  <c r="J13" i="1"/>
  <c r="L21" i="1"/>
  <c r="L20" i="1" s="1"/>
  <c r="M21" i="1"/>
  <c r="N21" i="1" s="1"/>
  <c r="N20" i="1" s="1"/>
  <c r="O26" i="1"/>
  <c r="P26" i="1" s="1"/>
  <c r="M13" i="1"/>
  <c r="N13" i="1" s="1"/>
  <c r="K25" i="1"/>
  <c r="J31" i="1"/>
  <c r="L31" i="1"/>
  <c r="K10" i="1"/>
  <c r="L17" i="1"/>
  <c r="M17" i="1"/>
  <c r="N17" i="1" s="1"/>
  <c r="M16" i="1"/>
  <c r="N16" i="1" s="1"/>
  <c r="L27" i="1"/>
  <c r="J12" i="1"/>
  <c r="N12" i="1"/>
  <c r="N26" i="1"/>
  <c r="O14" i="1"/>
  <c r="P14" i="1" s="1"/>
  <c r="O12" i="1"/>
  <c r="L14" i="1"/>
  <c r="M18" i="1"/>
  <c r="M27" i="1"/>
  <c r="N27" i="1" s="1"/>
  <c r="N32" i="1"/>
  <c r="N31" i="1" s="1"/>
  <c r="L12" i="1"/>
  <c r="M14" i="1"/>
  <c r="N14" i="1" s="1"/>
  <c r="O16" i="1"/>
  <c r="P16" i="1" s="1"/>
  <c r="K20" i="1"/>
  <c r="L26" i="1"/>
  <c r="L25" i="1" s="1"/>
  <c r="J11" i="1"/>
  <c r="P27" i="1"/>
  <c r="J27" i="1"/>
  <c r="J25" i="1" s="1"/>
  <c r="M20" i="1" l="1"/>
  <c r="O25" i="1"/>
  <c r="O20" i="1"/>
  <c r="J10" i="1"/>
  <c r="L10" i="1"/>
  <c r="P25" i="1"/>
  <c r="O10" i="1"/>
  <c r="N25" i="1"/>
  <c r="P12" i="1"/>
  <c r="P10" i="1" s="1"/>
  <c r="M10" i="1"/>
  <c r="N10" i="1"/>
  <c r="M25" i="1"/>
</calcChain>
</file>

<file path=xl/sharedStrings.xml><?xml version="1.0" encoding="utf-8"?>
<sst xmlns="http://schemas.openxmlformats.org/spreadsheetml/2006/main" count="143" uniqueCount="94">
  <si>
    <t>TT</t>
  </si>
  <si>
    <t>NỘI DUNG CÔNG VIỆC</t>
  </si>
  <si>
    <t>Người trực tiếp chỉ đạo</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</si>
  <si>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</si>
  <si>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</si>
  <si>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</si>
  <si>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</si>
  <si>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</si>
  <si>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</si>
  <si>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</si>
  <si>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</si>
  <si>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</si>
  <si>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</si>
  <si>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</si>
  <si>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</si>
  <si>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</si>
  <si>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</si>
  <si>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</si>
  <si>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</si>
  <si>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</si>
  <si>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</si>
  <si>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</si>
  <si>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</si>
  <si>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</si>
  <si>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</si>
  <si>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t>Hiệu trưởng</t>
  </si>
  <si>
    <t>1.3</t>
  </si>
  <si>
    <t>Các nhiệm vụ đột xuất, phát sinh khác ngoài kế hoạch (nếu có)</t>
  </si>
  <si>
    <t>Trung bình</t>
  </si>
  <si>
    <t>Cao</t>
  </si>
  <si>
    <t>1.4</t>
  </si>
  <si>
    <t>Điểm chấm công việc</t>
  </si>
  <si>
    <t>Hệ số quy đổi</t>
  </si>
  <si>
    <t>KPI (số lượng)</t>
  </si>
  <si>
    <t>KPI (chất lượng)</t>
  </si>
  <si>
    <t>KPI (tiến độ)</t>
  </si>
  <si>
    <t>Thực tế hoàn thành</t>
  </si>
  <si>
    <t>Quy đổi</t>
  </si>
  <si>
    <t>Số lượng quy đổi</t>
  </si>
  <si>
    <t>Thấp</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</si>
  <si>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</si>
  <si>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</si>
  <si>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</si>
  <si>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</si>
  <si>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</si>
  <si>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</si>
  <si>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</si>
  <si>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</si>
  <si>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</si>
  <si>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</si>
  <si>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</si>
  <si>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</si>
  <si>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 xml:space="preserve">Phụ lục IIb
</t>
  </si>
  <si>
    <t>ĐƠN VỊ: PHÒNG TCKT</t>
  </si>
  <si>
    <t>Phòng TCKT</t>
  </si>
  <si>
    <t>Báo cáo</t>
  </si>
  <si>
    <t>Danh sách</t>
  </si>
  <si>
    <t>Chứng từ</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</si>
  <si>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THHCQT;
- Lưu: TCKT.</t>
    </r>
  </si>
  <si>
    <t>1.5</t>
  </si>
  <si>
    <t>Thực hiện thanh toán các nhiệm vụ thường xuyên, không thường xuyên cho công tác chuyên môn và lương cho viên chức, người lao động</t>
  </si>
  <si>
    <t>Xây dựng định mức kinh tế kỹ thuật và giá dịch vụ đào tạo nghề sơ cấp và dưới 3 tháng</t>
  </si>
  <si>
    <t>Phòng TCKT+ Ban chủ nhiệm</t>
  </si>
  <si>
    <t>Phụ lục</t>
  </si>
  <si>
    <t>Quyết định</t>
  </si>
  <si>
    <t>1.6</t>
  </si>
  <si>
    <t>Thông báo</t>
  </si>
  <si>
    <t>THấp</t>
  </si>
  <si>
    <t>1.7</t>
  </si>
  <si>
    <t>Báo cáo + danh sách</t>
  </si>
  <si>
    <t>Bảng đối chiếu</t>
  </si>
  <si>
    <t>Thực hiện đối chiếu tiền gửi tháng  8 với Kho bạc nhà nước</t>
  </si>
  <si>
    <t xml:space="preserve">Tham mưu ban hành Kế hoạch xây dựng định mức kinh tế - kỹ thuật và định giá đào tạo ngành, nghề Y sỹ đa khoa và các lái xe </t>
  </si>
  <si>
    <t>Kế hoạch</t>
  </si>
  <si>
    <t>Ban hành  định định mức kinh tế kỹ thuật và giá dịch vụ đào tạo nghề sơ cấp và dưới 3 tháng</t>
  </si>
  <si>
    <t>Quyết định (8 nghề)</t>
  </si>
  <si>
    <t>Xây dựng kế hoạch và tổ chức thẩm mức kinh tế kỹ thuật và giá dịch vụ đào tạo nghề sơ cấp và dưới 3 tháng</t>
  </si>
  <si>
    <t>Phó Hiệu trưởng phụ trách</t>
  </si>
  <si>
    <t>Phòng TCKT, Hội đồng thẩm định</t>
  </si>
  <si>
    <t>Tham mưu ban hành Quy chế kiểm toán nội bộ</t>
  </si>
  <si>
    <t>Tham mưu Tờ trình cân đối, bố trí kinh phí thực hiện liên kết đào tạo cho học sinhTrung cấp nghề học lớp 10 chương trình Giáo dục thường xuyên cấp Trung học phổ thông năm học 2026-2027</t>
  </si>
  <si>
    <t>Tờ trình</t>
  </si>
  <si>
    <t>Trích lập quỹ học bổng khuyến khích học tập cho HSSV (QĐ số 1829/QĐ-CĐKT ngày 21/8/2026; 1830/QĐ-CĐKT ngày 21/8/2026; 1831/QĐ-CĐKT ngày 21/8/2026; 1846/QĐ-CĐKT ngày 25/8/2026)</t>
  </si>
  <si>
    <t>TB Thu học phí các lớp K8C GDMN VLVH: 972/TB-CĐKT ngày 21/8/2026</t>
  </si>
  <si>
    <t>Phối hợp tham mưu xây dựng các Kế hoạch vật tư thực hành của các Khoa (Kế hoạch số 838/KH-CĐKT ngày 28/8/2026; 839/KH-CĐKT ngày 28/8/2026; 840/KH-CĐKT ngày 28/8/2026; 855/KH-CĐKT ngày 07/9/2026; 868/KH-CĐKT ngày 10/9/2026; 905/KH-CĐKT ngày 18/9/2026)</t>
  </si>
  <si>
    <t>Phối hợp tham mưu xây dựng Định mức vật tư toàn khoá các ngành, nghề thuộc khoa KTN</t>
  </si>
  <si>
    <t>Báo cáo kết quả thực hiện nhiệm vụ theo Nghị quyết số 68-NQ/TW và Nghị quyết số 79-NQ/TW tháng 8 năm 2026</t>
  </si>
  <si>
    <t>1.8</t>
  </si>
  <si>
    <t>Thanh toán lương và các khoản theo lương mức lương cơ sở mới tháng 9/2026 cho viên chức, người lao động</t>
  </si>
  <si>
    <t>Thanh toán chính sách cho HSSV tháng 8/2026</t>
  </si>
  <si>
    <t>5.1</t>
  </si>
  <si>
    <r>
      <rPr>
        <i/>
        <sz val="14"/>
        <rFont val="Times New Roman"/>
        <family val="1"/>
        <charset val="163"/>
      </rPr>
      <t>Quảng Ngãi, ngày 17 tháng 9 năm 2026</t>
    </r>
    <r>
      <rPr>
        <sz val="14"/>
        <rFont val="Times New Roman"/>
        <family val="1"/>
      </rPr>
      <t xml:space="preserve">
</t>
    </r>
    <r>
      <rPr>
        <b/>
        <sz val="14"/>
        <rFont val="Times New Roman"/>
        <family val="1"/>
      </rPr>
      <t xml:space="preserve">TRƯỞNG PHÒNG
Lê Thị Hồng Nga
</t>
    </r>
  </si>
  <si>
    <t>Tham mưu Báo cáo số 406/BC-CĐKT ngày 15/9/2026 kết quả thực hiện kết luận, kiến nghị của KTNN khu vực III tại Trường Cao đẳng Kon Tum</t>
  </si>
  <si>
    <t>BÁO CÁO
kết quả thực hiện công tác tháng 9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</si>
</sst>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2"/>
      <color rgb="FF000000"/>
      <name val="Times New Roman"/>
      <family val="1"/>
    </font>
    <font>
      <b/>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55">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14" fillId="0" borderId="2" xfId="0" quotePrefix="1" applyFont="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23" fillId="0" borderId="2" xfId="0" applyFont="1" applyBorder="1" applyAlignment="1">
      <alignment horizontal="center" vertical="center" wrapText="1"/>
    </xf>
    <xf numFmtId="0" fontId="23" fillId="0" borderId="2" xfId="0" applyFont="1" applyBorder="1" applyAlignment="1">
      <alignment vertical="center" wrapText="1"/>
    </xf>
    <xf numFmtId="0" fontId="24" fillId="0" borderId="2" xfId="0" applyFont="1" applyBorder="1" applyAlignment="1">
      <alignment horizontal="center" vertical="center" wrapText="1"/>
    </xf>
    <xf numFmtId="0" fontId="9" fillId="0" borderId="2"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8" fillId="0" borderId="8" xfId="0" applyFont="1" applyBorder="1" applyAlignment="1">
      <alignment horizontal="center" vertical="center" wrapText="1"/>
    </xf>
    <xf numFmtId="0" fontId="22" fillId="0" borderId="10" xfId="0" applyFont="1" applyBorder="1"/>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9" fillId="0" borderId="3" xfId="0" applyFont="1" applyBorder="1" applyAlignment="1">
      <alignment horizontal="left" vertical="center" wrapText="1"/>
    </xf>
    <xf numFmtId="0" fontId="12" fillId="0" borderId="0" xfId="0" applyFont="1" applyAlignment="1">
      <alignment horizontal="left" vertical="top"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611817</xdr:colOff>
      <xdr:row>2</xdr:row>
      <xdr:rowOff>242848</xdr:rowOff>
    </xdr:from>
    <xdr:to>
      <xdr:col>1</xdr:col>
      <xdr:colOff>1409676</xdr:colOff>
      <xdr:row>2</xdr:row>
      <xdr:rowOff>242848</xdr:rowOff>
    </xdr:to>
    <xdr:cxnSp macro="">
      <xdr:nvCxnSpPr>
        <xdr:cNvPr id="5" name="Straight Connector 4">
          <a:extLst>
            <a:ext uri="{FF2B5EF4-FFF2-40B4-BE49-F238E27FC236}">
              <a16:creationId xmlns:a16="http://schemas.microsoft.com/office/drawing/2014/main" id="{06473DFC-967A-49A7-8BC3-CB69B51A7C63}"/>
            </a:ext>
          </a:extLst>
        </xdr:cNvPr>
        <xdr:cNvCxnSpPr/>
      </xdr:nvCxnSpPr>
      <xdr:spPr>
        <a:xfrm>
          <a:off x="935667" y="985798"/>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6" name="Straight Connector 5">
          <a:extLst>
            <a:ext uri="{FF2B5EF4-FFF2-40B4-BE49-F238E27FC236}">
              <a16:creationId xmlns:a16="http://schemas.microsoft.com/office/drawing/2014/main" id="{AE0B7257-8020-4E82-9199-FA02B235A32C}"/>
            </a:ext>
          </a:extLst>
        </xdr:cNvPr>
        <xdr:cNvCxnSpPr/>
      </xdr:nvCxnSpPr>
      <xdr:spPr>
        <a:xfrm>
          <a:off x="8042610" y="1030324"/>
          <a:ext cx="207294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7" name="Straight Connector 6">
          <a:extLst>
            <a:ext uri="{FF2B5EF4-FFF2-40B4-BE49-F238E27FC236}">
              <a16:creationId xmlns:a16="http://schemas.microsoft.com/office/drawing/2014/main" id="{5D7A9B81-FC3E-415F-8896-AB011964D876}"/>
            </a:ext>
          </a:extLst>
        </xdr:cNvPr>
        <xdr:cNvCxnSpPr/>
      </xdr:nvCxnSpPr>
      <xdr:spPr>
        <a:xfrm>
          <a:off x="5597977" y="1514475"/>
          <a:ext cx="6463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36"/>
  <sheetViews>
    <sheetView tabSelected="1" view="pageBreakPreview" topLeftCell="A33" zoomScale="80" zoomScaleNormal="70" zoomScaleSheetLayoutView="80" workbookViewId="0">
      <selection activeCell="O11" sqref="O11"/>
    </sheetView>
  </sheetViews>
  <sheetFormatPr defaultRowHeight="32.5" customHeight="1" x14ac:dyDescent="0.35"/>
  <cols>
    <col min="1" max="1" width="4.81640625" customWidth="1"/>
    <col min="2" max="2" width="31.1796875" customWidth="1"/>
    <col min="3" max="3" width="16.453125" customWidth="1"/>
    <col min="4" max="4" width="17.1796875" customWidth="1"/>
    <col min="5" max="5" width="14.453125" customWidth="1"/>
    <col min="6" max="6" width="7" style="9" customWidth="1"/>
    <col min="7" max="7" width="10.1796875" customWidth="1"/>
    <col min="8" max="8" width="8.453125" style="8" customWidth="1"/>
    <col min="9" max="9" width="6.81640625" style="7" customWidth="1"/>
    <col min="10" max="10" width="7.26953125" customWidth="1"/>
    <col min="11" max="11" width="11.453125" style="10" customWidth="1"/>
    <col min="12" max="12" width="10.81640625" customWidth="1"/>
    <col min="13" max="13" width="10.453125" style="10" customWidth="1"/>
    <col min="14" max="14" width="7.81640625" customWidth="1"/>
    <col min="15" max="15" width="10.453125" style="10" customWidth="1"/>
    <col min="16" max="16" width="8.1796875" customWidth="1"/>
  </cols>
  <sheetData>
    <row r="1" spans="1:17" ht="30" customHeight="1" x14ac:dyDescent="0.35">
      <c r="A1" s="33" t="s">
        <v>52</v>
      </c>
      <c r="B1" s="45"/>
      <c r="C1" s="45"/>
      <c r="D1" s="45"/>
      <c r="E1" s="45"/>
      <c r="F1" s="45"/>
      <c r="G1" s="45"/>
      <c r="H1" s="45"/>
      <c r="I1" s="45"/>
      <c r="J1" s="45"/>
      <c r="K1" s="45"/>
      <c r="L1" s="45"/>
      <c r="M1" s="45"/>
      <c r="N1" s="45"/>
      <c r="O1" s="45"/>
      <c r="P1" s="45"/>
    </row>
    <row r="2" spans="1:17" s="1" customFormat="1" ht="28.5" customHeight="1" x14ac:dyDescent="0.4">
      <c r="A2" s="51" t="s">
        <v>23</v>
      </c>
      <c r="B2" s="52"/>
      <c r="E2" s="5"/>
      <c r="F2" s="5"/>
      <c r="G2" s="32" t="s">
        <v>19</v>
      </c>
      <c r="H2" s="32"/>
      <c r="I2" s="32"/>
      <c r="J2" s="32"/>
      <c r="K2" s="32"/>
      <c r="L2" s="32"/>
      <c r="M2" s="32"/>
      <c r="N2" s="32"/>
      <c r="O2" s="32"/>
      <c r="P2" s="32"/>
    </row>
    <row r="3" spans="1:17" s="1" customFormat="1" ht="18.75" customHeight="1" x14ac:dyDescent="0.35">
      <c r="A3" s="53" t="s">
        <v>53</v>
      </c>
      <c r="B3" s="53"/>
      <c r="C3" s="2"/>
      <c r="E3" s="6"/>
      <c r="F3" s="6"/>
      <c r="G3" s="33" t="s">
        <v>20</v>
      </c>
      <c r="H3" s="33"/>
      <c r="I3" s="33"/>
      <c r="J3" s="33"/>
      <c r="K3" s="33"/>
      <c r="L3" s="33"/>
      <c r="M3" s="33"/>
      <c r="N3" s="33"/>
      <c r="O3" s="33"/>
      <c r="P3" s="33"/>
    </row>
    <row r="4" spans="1:17" ht="44.25" customHeight="1" x14ac:dyDescent="0.35">
      <c r="A4" s="33" t="s">
        <v>93</v>
      </c>
      <c r="B4" s="54"/>
      <c r="C4" s="54"/>
      <c r="D4" s="54"/>
      <c r="E4" s="54"/>
      <c r="F4" s="54"/>
      <c r="G4" s="54"/>
      <c r="H4" s="54"/>
      <c r="I4" s="54"/>
      <c r="J4" s="54"/>
      <c r="K4" s="54"/>
      <c r="L4" s="54"/>
      <c r="M4" s="54"/>
      <c r="N4" s="54"/>
      <c r="O4" s="54"/>
      <c r="P4" s="54"/>
    </row>
    <row r="5" spans="1:17" ht="9" customHeight="1" x14ac:dyDescent="0.35">
      <c r="A5" s="36"/>
      <c r="B5" s="36"/>
      <c r="C5" s="36"/>
      <c r="D5" s="36"/>
      <c r="E5" s="36"/>
      <c r="F5" s="36"/>
      <c r="G5" s="36"/>
      <c r="H5" s="36"/>
      <c r="I5" s="36"/>
      <c r="J5" s="36"/>
      <c r="K5" s="36"/>
      <c r="L5" s="36"/>
      <c r="M5" s="36"/>
      <c r="N5" s="36"/>
      <c r="O5" s="36"/>
      <c r="P5" s="36"/>
    </row>
    <row r="6" spans="1:17" ht="20.25" customHeight="1" x14ac:dyDescent="0.35">
      <c r="A6" s="46" t="s">
        <v>0</v>
      </c>
      <c r="B6" s="46" t="s">
        <v>1</v>
      </c>
      <c r="C6" s="46" t="s">
        <v>2</v>
      </c>
      <c r="D6" s="46" t="s">
        <v>24</v>
      </c>
      <c r="E6" s="46" t="s">
        <v>41</v>
      </c>
      <c r="F6" s="46" t="s">
        <v>11</v>
      </c>
      <c r="G6" s="48" t="s">
        <v>46</v>
      </c>
      <c r="H6" s="30" t="s">
        <v>31</v>
      </c>
      <c r="I6" s="30" t="s">
        <v>32</v>
      </c>
      <c r="J6" s="37" t="s">
        <v>38</v>
      </c>
      <c r="K6" s="34" t="s">
        <v>33</v>
      </c>
      <c r="L6" s="35"/>
      <c r="M6" s="34" t="s">
        <v>34</v>
      </c>
      <c r="N6" s="35"/>
      <c r="O6" s="34" t="s">
        <v>35</v>
      </c>
      <c r="P6" s="35"/>
      <c r="Q6" s="1"/>
    </row>
    <row r="7" spans="1:17" ht="65.25" customHeight="1" x14ac:dyDescent="0.35">
      <c r="A7" s="47"/>
      <c r="B7" s="47"/>
      <c r="C7" s="47"/>
      <c r="D7" s="47"/>
      <c r="E7" s="47"/>
      <c r="F7" s="47"/>
      <c r="G7" s="49"/>
      <c r="H7" s="31"/>
      <c r="I7" s="31"/>
      <c r="J7" s="38"/>
      <c r="K7" s="21" t="s">
        <v>36</v>
      </c>
      <c r="L7" s="21" t="s">
        <v>37</v>
      </c>
      <c r="M7" s="21" t="s">
        <v>36</v>
      </c>
      <c r="N7" s="21" t="s">
        <v>37</v>
      </c>
      <c r="O7" s="21" t="s">
        <v>36</v>
      </c>
      <c r="P7" s="21" t="s">
        <v>37</v>
      </c>
      <c r="Q7" s="1"/>
    </row>
    <row r="8" spans="1:17" ht="121.5" customHeight="1" x14ac:dyDescent="0.35">
      <c r="A8" s="19" t="s">
        <v>12</v>
      </c>
      <c r="B8" s="19" t="s">
        <v>13</v>
      </c>
      <c r="C8" s="19" t="s">
        <v>14</v>
      </c>
      <c r="D8" s="19" t="s">
        <v>15</v>
      </c>
      <c r="E8" s="19" t="s">
        <v>16</v>
      </c>
      <c r="F8" s="19" t="s">
        <v>17</v>
      </c>
      <c r="G8" s="19" t="s">
        <v>18</v>
      </c>
      <c r="H8" s="19" t="s">
        <v>42</v>
      </c>
      <c r="I8" s="19" t="s">
        <v>51</v>
      </c>
      <c r="J8" s="19" t="s">
        <v>50</v>
      </c>
      <c r="K8" s="19" t="s">
        <v>44</v>
      </c>
      <c r="L8" s="19" t="s">
        <v>49</v>
      </c>
      <c r="M8" s="19" t="s">
        <v>43</v>
      </c>
      <c r="N8" s="19" t="s">
        <v>47</v>
      </c>
      <c r="O8" s="19" t="s">
        <v>45</v>
      </c>
      <c r="P8" s="19" t="s">
        <v>48</v>
      </c>
    </row>
    <row r="9" spans="1:17" ht="31.5" customHeight="1" x14ac:dyDescent="0.35">
      <c r="A9" s="13" t="s">
        <v>3</v>
      </c>
      <c r="B9" s="50" t="s">
        <v>40</v>
      </c>
      <c r="C9" s="50"/>
      <c r="D9" s="50"/>
      <c r="E9" s="50"/>
      <c r="F9" s="50"/>
      <c r="G9" s="50"/>
      <c r="H9" s="50"/>
      <c r="I9" s="50"/>
      <c r="J9" s="50"/>
      <c r="K9" s="50"/>
      <c r="L9" s="50"/>
      <c r="M9" s="50"/>
      <c r="N9" s="50"/>
      <c r="O9" s="50"/>
      <c r="P9" s="50"/>
    </row>
    <row r="10" spans="1:17" ht="15" x14ac:dyDescent="0.35">
      <c r="A10" s="14">
        <v>1</v>
      </c>
      <c r="B10" s="28" t="s">
        <v>4</v>
      </c>
      <c r="C10" s="28"/>
      <c r="D10" s="28"/>
      <c r="E10" s="28"/>
      <c r="F10" s="14">
        <f>SUM(F11:F18)</f>
        <v>26</v>
      </c>
      <c r="G10" s="15"/>
      <c r="H10" s="15"/>
      <c r="I10" s="15"/>
      <c r="J10" s="14">
        <f t="shared" ref="J10:P10" si="0">SUM(J11:J18)</f>
        <v>35.5</v>
      </c>
      <c r="K10" s="14">
        <f t="shared" si="0"/>
        <v>26</v>
      </c>
      <c r="L10" s="14">
        <f t="shared" si="0"/>
        <v>35.5</v>
      </c>
      <c r="M10" s="14">
        <f t="shared" si="0"/>
        <v>26</v>
      </c>
      <c r="N10" s="14">
        <f t="shared" si="0"/>
        <v>31.5</v>
      </c>
      <c r="O10" s="14">
        <f t="shared" si="0"/>
        <v>26</v>
      </c>
      <c r="P10" s="14">
        <f t="shared" si="0"/>
        <v>47.5</v>
      </c>
    </row>
    <row r="11" spans="1:17" ht="87.75" customHeight="1" x14ac:dyDescent="0.35">
      <c r="A11" s="11" t="s">
        <v>21</v>
      </c>
      <c r="B11" s="23" t="s">
        <v>60</v>
      </c>
      <c r="C11" s="11" t="s">
        <v>25</v>
      </c>
      <c r="D11" s="11" t="s">
        <v>54</v>
      </c>
      <c r="E11" s="22" t="s">
        <v>57</v>
      </c>
      <c r="F11" s="11">
        <v>1</v>
      </c>
      <c r="G11" s="22" t="s">
        <v>39</v>
      </c>
      <c r="H11" s="24">
        <f t="shared" ref="H11:H13" si="1">IF(F11="Khó và phức tạp",200,IF(F11="Cao",150,IF(F11="Trungbình",120,100)))</f>
        <v>100</v>
      </c>
      <c r="I11" s="11">
        <f>H11*0.01</f>
        <v>1</v>
      </c>
      <c r="J11" s="11">
        <f>F11*I11</f>
        <v>1</v>
      </c>
      <c r="K11" s="12">
        <f t="shared" ref="K11" si="2">F11*100%</f>
        <v>1</v>
      </c>
      <c r="L11" s="16">
        <f t="shared" ref="L11" si="3">K11*I11</f>
        <v>1</v>
      </c>
      <c r="M11" s="18">
        <f t="shared" ref="M11" si="4">K11*100%</f>
        <v>1</v>
      </c>
      <c r="N11" s="16">
        <f t="shared" ref="N11" si="5">I11*M11</f>
        <v>1</v>
      </c>
      <c r="O11" s="18">
        <f t="shared" ref="O11" si="6">K11*100%</f>
        <v>1</v>
      </c>
      <c r="P11" s="16">
        <f>I11*O11</f>
        <v>1</v>
      </c>
    </row>
    <row r="12" spans="1:17" ht="44.25" customHeight="1" x14ac:dyDescent="0.35">
      <c r="A12" s="11" t="s">
        <v>22</v>
      </c>
      <c r="B12" s="23" t="s">
        <v>71</v>
      </c>
      <c r="C12" s="11" t="s">
        <v>25</v>
      </c>
      <c r="D12" s="11" t="s">
        <v>54</v>
      </c>
      <c r="E12" s="22" t="s">
        <v>70</v>
      </c>
      <c r="F12" s="11">
        <v>1</v>
      </c>
      <c r="G12" s="22" t="s">
        <v>39</v>
      </c>
      <c r="H12" s="24">
        <f t="shared" si="1"/>
        <v>100</v>
      </c>
      <c r="I12" s="11">
        <f t="shared" ref="I12:I13" si="7">H12*0.01</f>
        <v>1</v>
      </c>
      <c r="J12" s="11">
        <f t="shared" ref="J12:J14" si="8">F12*I12</f>
        <v>1</v>
      </c>
      <c r="K12" s="12">
        <f t="shared" ref="K12:K19" si="9">F12*100%</f>
        <v>1</v>
      </c>
      <c r="L12" s="16">
        <f t="shared" ref="L12:L17" si="10">K12*I12</f>
        <v>1</v>
      </c>
      <c r="M12" s="18">
        <f t="shared" ref="M11:M19" si="11">K12*100%</f>
        <v>1</v>
      </c>
      <c r="N12" s="16">
        <f t="shared" ref="N12:N17" si="12">I12*M12</f>
        <v>1</v>
      </c>
      <c r="O12" s="18">
        <f t="shared" ref="O11:O19" si="13">K12*100%</f>
        <v>1</v>
      </c>
      <c r="P12" s="16">
        <f>I12*O12</f>
        <v>1</v>
      </c>
    </row>
    <row r="13" spans="1:17" ht="61.5" customHeight="1" x14ac:dyDescent="0.35">
      <c r="A13" s="11" t="s">
        <v>26</v>
      </c>
      <c r="B13" s="23" t="s">
        <v>72</v>
      </c>
      <c r="C13" s="11" t="s">
        <v>25</v>
      </c>
      <c r="D13" s="11" t="s">
        <v>54</v>
      </c>
      <c r="E13" s="22" t="s">
        <v>73</v>
      </c>
      <c r="F13" s="11">
        <v>1</v>
      </c>
      <c r="G13" s="22" t="s">
        <v>39</v>
      </c>
      <c r="H13" s="24">
        <f t="shared" si="1"/>
        <v>100</v>
      </c>
      <c r="I13" s="11">
        <f t="shared" si="7"/>
        <v>1</v>
      </c>
      <c r="J13" s="11">
        <f t="shared" si="8"/>
        <v>1</v>
      </c>
      <c r="K13" s="12">
        <f t="shared" si="9"/>
        <v>1</v>
      </c>
      <c r="L13" s="16">
        <f t="shared" si="10"/>
        <v>1</v>
      </c>
      <c r="M13" s="18">
        <f t="shared" si="11"/>
        <v>1</v>
      </c>
      <c r="N13" s="16">
        <f t="shared" si="12"/>
        <v>1</v>
      </c>
      <c r="O13" s="18">
        <f t="shared" si="13"/>
        <v>1</v>
      </c>
      <c r="P13" s="16">
        <f>I13*O13</f>
        <v>1</v>
      </c>
    </row>
    <row r="14" spans="1:17" ht="69.75" customHeight="1" x14ac:dyDescent="0.35">
      <c r="A14" s="11" t="s">
        <v>30</v>
      </c>
      <c r="B14" s="23" t="s">
        <v>61</v>
      </c>
      <c r="C14" s="11" t="s">
        <v>25</v>
      </c>
      <c r="D14" s="11" t="s">
        <v>62</v>
      </c>
      <c r="E14" s="22" t="s">
        <v>63</v>
      </c>
      <c r="F14" s="11">
        <v>15</v>
      </c>
      <c r="G14" s="22" t="s">
        <v>29</v>
      </c>
      <c r="H14" s="24">
        <v>150</v>
      </c>
      <c r="I14" s="11">
        <v>1.5</v>
      </c>
      <c r="J14" s="11">
        <f t="shared" si="8"/>
        <v>22.5</v>
      </c>
      <c r="K14" s="12">
        <f t="shared" si="9"/>
        <v>15</v>
      </c>
      <c r="L14" s="16">
        <f t="shared" si="10"/>
        <v>22.5</v>
      </c>
      <c r="M14" s="18">
        <f t="shared" si="11"/>
        <v>15</v>
      </c>
      <c r="N14" s="16">
        <f t="shared" si="12"/>
        <v>22.5</v>
      </c>
      <c r="O14" s="18">
        <f t="shared" si="13"/>
        <v>15</v>
      </c>
      <c r="P14" s="16">
        <f t="shared" ref="P14:P19" si="14">I14*O14</f>
        <v>22.5</v>
      </c>
    </row>
    <row r="15" spans="1:17" ht="69.75" customHeight="1" x14ac:dyDescent="0.35">
      <c r="A15" s="11" t="s">
        <v>59</v>
      </c>
      <c r="B15" s="23" t="s">
        <v>76</v>
      </c>
      <c r="C15" s="11" t="s">
        <v>77</v>
      </c>
      <c r="D15" s="11" t="s">
        <v>78</v>
      </c>
      <c r="E15" s="22" t="s">
        <v>73</v>
      </c>
      <c r="F15" s="11">
        <v>2</v>
      </c>
      <c r="G15" s="22" t="s">
        <v>39</v>
      </c>
      <c r="H15" s="24">
        <v>100</v>
      </c>
      <c r="I15" s="11">
        <v>2</v>
      </c>
      <c r="J15" s="11">
        <v>2</v>
      </c>
      <c r="K15" s="12">
        <f t="shared" si="9"/>
        <v>2</v>
      </c>
      <c r="L15" s="16">
        <f t="shared" si="10"/>
        <v>4</v>
      </c>
      <c r="M15" s="18">
        <f t="shared" si="11"/>
        <v>2</v>
      </c>
      <c r="N15" s="16">
        <f t="shared" si="12"/>
        <v>4</v>
      </c>
      <c r="O15" s="18">
        <f t="shared" si="13"/>
        <v>2</v>
      </c>
      <c r="P15" s="16">
        <f t="shared" si="14"/>
        <v>4</v>
      </c>
    </row>
    <row r="16" spans="1:17" ht="69.75" customHeight="1" x14ac:dyDescent="0.35">
      <c r="A16" s="11" t="s">
        <v>59</v>
      </c>
      <c r="B16" s="23" t="s">
        <v>83</v>
      </c>
      <c r="C16" s="25" t="s">
        <v>25</v>
      </c>
      <c r="D16" s="25" t="s">
        <v>54</v>
      </c>
      <c r="E16" s="22" t="s">
        <v>66</v>
      </c>
      <c r="F16" s="11">
        <v>1</v>
      </c>
      <c r="G16" s="22" t="s">
        <v>67</v>
      </c>
      <c r="H16" s="24">
        <v>100</v>
      </c>
      <c r="I16" s="11">
        <v>1</v>
      </c>
      <c r="J16" s="11">
        <v>3</v>
      </c>
      <c r="K16" s="12">
        <f t="shared" si="9"/>
        <v>1</v>
      </c>
      <c r="L16" s="16">
        <f t="shared" si="10"/>
        <v>1</v>
      </c>
      <c r="M16" s="18">
        <f t="shared" si="11"/>
        <v>1</v>
      </c>
      <c r="N16" s="16">
        <f t="shared" si="12"/>
        <v>1</v>
      </c>
      <c r="O16" s="18">
        <f t="shared" si="13"/>
        <v>1</v>
      </c>
      <c r="P16" s="16">
        <f t="shared" si="14"/>
        <v>1</v>
      </c>
    </row>
    <row r="17" spans="1:16" ht="91.5" customHeight="1" x14ac:dyDescent="0.35">
      <c r="A17" s="11" t="s">
        <v>65</v>
      </c>
      <c r="B17" s="23" t="s">
        <v>92</v>
      </c>
      <c r="C17" s="11" t="s">
        <v>25</v>
      </c>
      <c r="D17" s="11" t="s">
        <v>54</v>
      </c>
      <c r="E17" s="22" t="s">
        <v>55</v>
      </c>
      <c r="F17" s="11">
        <v>1</v>
      </c>
      <c r="G17" s="22" t="s">
        <v>39</v>
      </c>
      <c r="H17" s="24">
        <v>100</v>
      </c>
      <c r="I17" s="11">
        <v>1</v>
      </c>
      <c r="J17" s="11">
        <v>1</v>
      </c>
      <c r="K17" s="12">
        <f t="shared" si="9"/>
        <v>1</v>
      </c>
      <c r="L17" s="16">
        <f t="shared" si="10"/>
        <v>1</v>
      </c>
      <c r="M17" s="18">
        <f t="shared" si="11"/>
        <v>1</v>
      </c>
      <c r="N17" s="16">
        <f t="shared" si="12"/>
        <v>1</v>
      </c>
      <c r="O17" s="18">
        <f t="shared" si="13"/>
        <v>1</v>
      </c>
      <c r="P17" s="16">
        <f t="shared" si="14"/>
        <v>1</v>
      </c>
    </row>
    <row r="18" spans="1:16" ht="137.25" customHeight="1" x14ac:dyDescent="0.35">
      <c r="A18" s="11" t="s">
        <v>68</v>
      </c>
      <c r="B18" s="23" t="s">
        <v>82</v>
      </c>
      <c r="C18" s="11" t="s">
        <v>25</v>
      </c>
      <c r="D18" s="11" t="s">
        <v>54</v>
      </c>
      <c r="E18" s="22" t="s">
        <v>64</v>
      </c>
      <c r="F18" s="11">
        <v>4</v>
      </c>
      <c r="G18" s="22" t="s">
        <v>39</v>
      </c>
      <c r="H18" s="24">
        <v>100</v>
      </c>
      <c r="I18" s="11">
        <v>4</v>
      </c>
      <c r="J18" s="11">
        <v>4</v>
      </c>
      <c r="K18" s="12">
        <f t="shared" si="9"/>
        <v>4</v>
      </c>
      <c r="L18" s="16">
        <v>4</v>
      </c>
      <c r="M18" s="18">
        <f t="shared" si="11"/>
        <v>4</v>
      </c>
      <c r="N18" s="16"/>
      <c r="O18" s="18">
        <f t="shared" si="13"/>
        <v>4</v>
      </c>
      <c r="P18" s="16">
        <f t="shared" si="14"/>
        <v>16</v>
      </c>
    </row>
    <row r="19" spans="1:16" ht="83.25" customHeight="1" x14ac:dyDescent="0.35">
      <c r="A19" s="11" t="s">
        <v>87</v>
      </c>
      <c r="B19" s="23" t="s">
        <v>86</v>
      </c>
      <c r="C19" s="11" t="s">
        <v>25</v>
      </c>
      <c r="D19" s="11" t="s">
        <v>54</v>
      </c>
      <c r="E19" s="22" t="s">
        <v>55</v>
      </c>
      <c r="F19" s="11">
        <v>1</v>
      </c>
      <c r="G19" s="22" t="s">
        <v>39</v>
      </c>
      <c r="H19" s="24">
        <v>100</v>
      </c>
      <c r="I19" s="11">
        <v>1</v>
      </c>
      <c r="J19" s="11">
        <v>1</v>
      </c>
      <c r="K19" s="12">
        <f t="shared" si="9"/>
        <v>1</v>
      </c>
      <c r="L19" s="16">
        <v>1</v>
      </c>
      <c r="M19" s="18">
        <f t="shared" si="11"/>
        <v>1</v>
      </c>
      <c r="N19" s="16"/>
      <c r="O19" s="18">
        <f t="shared" si="13"/>
        <v>1</v>
      </c>
      <c r="P19" s="16">
        <f t="shared" si="14"/>
        <v>1</v>
      </c>
    </row>
    <row r="20" spans="1:16" ht="15" x14ac:dyDescent="0.35">
      <c r="A20" s="14">
        <v>2</v>
      </c>
      <c r="B20" s="28" t="s">
        <v>5</v>
      </c>
      <c r="C20" s="28"/>
      <c r="D20" s="28"/>
      <c r="E20" s="28"/>
      <c r="F20" s="14">
        <f>SUM(F21:F22)</f>
        <v>2</v>
      </c>
      <c r="G20" s="15"/>
      <c r="H20" s="15"/>
      <c r="I20" s="15"/>
      <c r="J20" s="14">
        <f t="shared" ref="J20:P20" si="15">SUM(J21:J22)</f>
        <v>2.2000000000000002</v>
      </c>
      <c r="K20" s="14">
        <f t="shared" si="15"/>
        <v>2</v>
      </c>
      <c r="L20" s="14">
        <f t="shared" si="15"/>
        <v>2.2000000000000002</v>
      </c>
      <c r="M20" s="14">
        <f t="shared" si="15"/>
        <v>2</v>
      </c>
      <c r="N20" s="14">
        <f t="shared" si="15"/>
        <v>2.2000000000000002</v>
      </c>
      <c r="O20" s="14">
        <f t="shared" si="15"/>
        <v>2</v>
      </c>
      <c r="P20" s="14">
        <f t="shared" si="15"/>
        <v>2.2000000000000002</v>
      </c>
    </row>
    <row r="21" spans="1:16" ht="31" x14ac:dyDescent="0.35">
      <c r="A21" s="11">
        <v>2.1</v>
      </c>
      <c r="B21" s="23" t="s">
        <v>79</v>
      </c>
      <c r="C21" s="25" t="s">
        <v>25</v>
      </c>
      <c r="D21" s="25" t="s">
        <v>54</v>
      </c>
      <c r="E21" s="22" t="s">
        <v>64</v>
      </c>
      <c r="F21" s="11">
        <v>1</v>
      </c>
      <c r="G21" s="11" t="s">
        <v>28</v>
      </c>
      <c r="H21" s="11">
        <v>120</v>
      </c>
      <c r="I21" s="11">
        <v>1.2</v>
      </c>
      <c r="J21" s="11">
        <f>F21*I21</f>
        <v>1.2</v>
      </c>
      <c r="K21" s="12">
        <f>F21*100%</f>
        <v>1</v>
      </c>
      <c r="L21" s="16">
        <f t="shared" ref="L21:L22" si="16">K21*I21</f>
        <v>1.2</v>
      </c>
      <c r="M21" s="12">
        <f>K21*100%</f>
        <v>1</v>
      </c>
      <c r="N21" s="16">
        <f>I21*M21</f>
        <v>1.2</v>
      </c>
      <c r="O21" s="12">
        <f>K21*100%</f>
        <v>1</v>
      </c>
      <c r="P21" s="16">
        <f>I21*O21</f>
        <v>1.2</v>
      </c>
    </row>
    <row r="22" spans="1:16" ht="46.5" x14ac:dyDescent="0.35">
      <c r="A22" s="11">
        <v>2.2000000000000002</v>
      </c>
      <c r="B22" s="23" t="s">
        <v>74</v>
      </c>
      <c r="C22" s="11" t="s">
        <v>25</v>
      </c>
      <c r="D22" s="11" t="s">
        <v>54</v>
      </c>
      <c r="E22" s="22" t="s">
        <v>75</v>
      </c>
      <c r="F22" s="11">
        <v>1</v>
      </c>
      <c r="G22" s="22" t="s">
        <v>28</v>
      </c>
      <c r="H22" s="24">
        <v>120</v>
      </c>
      <c r="I22" s="11">
        <v>1</v>
      </c>
      <c r="J22" s="11">
        <v>1</v>
      </c>
      <c r="K22" s="12">
        <f t="shared" ref="K22" si="17">F22*100%</f>
        <v>1</v>
      </c>
      <c r="L22" s="16">
        <f t="shared" si="16"/>
        <v>1</v>
      </c>
      <c r="M22" s="18">
        <f t="shared" ref="M22" si="18">K22*100%</f>
        <v>1</v>
      </c>
      <c r="N22" s="16">
        <f t="shared" ref="N22" si="19">I22*M22</f>
        <v>1</v>
      </c>
      <c r="O22" s="18">
        <f t="shared" ref="O22" si="20">K22*100%</f>
        <v>1</v>
      </c>
      <c r="P22" s="16">
        <f t="shared" ref="P22" si="21">I22*O22</f>
        <v>1</v>
      </c>
    </row>
    <row r="23" spans="1:16" ht="15" x14ac:dyDescent="0.35">
      <c r="A23" s="14">
        <v>3</v>
      </c>
      <c r="B23" s="28" t="s">
        <v>6</v>
      </c>
      <c r="C23" s="28"/>
      <c r="D23" s="28"/>
      <c r="E23" s="28"/>
      <c r="F23" s="14"/>
      <c r="G23" s="15"/>
      <c r="H23" s="15"/>
      <c r="I23" s="15"/>
      <c r="J23" s="14"/>
      <c r="K23" s="14"/>
      <c r="L23" s="14"/>
      <c r="M23" s="14"/>
      <c r="N23" s="14"/>
      <c r="O23" s="14"/>
      <c r="P23" s="14"/>
    </row>
    <row r="24" spans="1:16" ht="15" x14ac:dyDescent="0.35">
      <c r="A24" s="14">
        <v>4</v>
      </c>
      <c r="B24" s="29" t="s">
        <v>7</v>
      </c>
      <c r="C24" s="29"/>
      <c r="D24" s="29"/>
      <c r="E24" s="29"/>
      <c r="F24" s="14"/>
      <c r="G24" s="15"/>
      <c r="H24" s="15"/>
      <c r="I24" s="15"/>
      <c r="J24" s="14"/>
      <c r="K24" s="14"/>
      <c r="L24" s="14"/>
      <c r="M24" s="14"/>
      <c r="N24" s="14"/>
      <c r="O24" s="14"/>
      <c r="P24" s="14"/>
    </row>
    <row r="25" spans="1:16" ht="15" x14ac:dyDescent="0.35">
      <c r="A25" s="14">
        <v>5</v>
      </c>
      <c r="B25" s="28" t="s">
        <v>8</v>
      </c>
      <c r="C25" s="28"/>
      <c r="D25" s="28"/>
      <c r="E25" s="28"/>
      <c r="F25" s="14">
        <f>SUM(F26:F27)</f>
        <v>7</v>
      </c>
      <c r="G25" s="15"/>
      <c r="H25" s="15"/>
      <c r="I25" s="15"/>
      <c r="J25" s="14">
        <f t="shared" ref="J25:P25" si="22">SUM(J26:J27)</f>
        <v>7.6</v>
      </c>
      <c r="K25" s="14">
        <f t="shared" si="22"/>
        <v>7</v>
      </c>
      <c r="L25" s="14">
        <f t="shared" si="22"/>
        <v>7.6</v>
      </c>
      <c r="M25" s="14">
        <f t="shared" si="22"/>
        <v>5.25</v>
      </c>
      <c r="N25" s="14">
        <f t="shared" si="22"/>
        <v>5.6999999999999993</v>
      </c>
      <c r="O25" s="14">
        <f t="shared" si="22"/>
        <v>7</v>
      </c>
      <c r="P25" s="14">
        <f t="shared" si="22"/>
        <v>7.6</v>
      </c>
    </row>
    <row r="26" spans="1:16" ht="62" x14ac:dyDescent="0.35">
      <c r="A26" s="11" t="s">
        <v>90</v>
      </c>
      <c r="B26" s="17" t="s">
        <v>88</v>
      </c>
      <c r="C26" s="11" t="s">
        <v>25</v>
      </c>
      <c r="D26" s="11" t="s">
        <v>54</v>
      </c>
      <c r="E26" s="11" t="s">
        <v>56</v>
      </c>
      <c r="F26" s="11">
        <v>3</v>
      </c>
      <c r="G26" s="11" t="s">
        <v>28</v>
      </c>
      <c r="H26" s="11">
        <v>120</v>
      </c>
      <c r="I26" s="11">
        <f t="shared" ref="I26:I27" si="23">H26*0.01</f>
        <v>1.2</v>
      </c>
      <c r="J26" s="11">
        <f t="shared" ref="J26:J27" si="24">F26*I26</f>
        <v>3.5999999999999996</v>
      </c>
      <c r="K26" s="12">
        <f t="shared" ref="K26:K27" si="25">F26*100%</f>
        <v>3</v>
      </c>
      <c r="L26" s="16">
        <f t="shared" ref="L26:L27" si="26">K26*I26</f>
        <v>3.5999999999999996</v>
      </c>
      <c r="M26" s="12">
        <f t="shared" ref="M26:M27" si="27">K26*75%</f>
        <v>2.25</v>
      </c>
      <c r="N26" s="16">
        <f t="shared" ref="N26:N27" si="28">I26*M26</f>
        <v>2.6999999999999997</v>
      </c>
      <c r="O26" s="12">
        <f t="shared" ref="O26:O27" si="29">K26*100%</f>
        <v>3</v>
      </c>
      <c r="P26" s="16">
        <f t="shared" ref="P26:P27" si="30">I26*O26</f>
        <v>3.5999999999999996</v>
      </c>
    </row>
    <row r="27" spans="1:16" ht="31" x14ac:dyDescent="0.35">
      <c r="A27" s="11">
        <v>5.2</v>
      </c>
      <c r="B27" s="17" t="s">
        <v>89</v>
      </c>
      <c r="C27" s="11" t="s">
        <v>25</v>
      </c>
      <c r="D27" s="11" t="s">
        <v>54</v>
      </c>
      <c r="E27" s="11" t="s">
        <v>56</v>
      </c>
      <c r="F27" s="11">
        <v>4</v>
      </c>
      <c r="G27" s="11" t="s">
        <v>39</v>
      </c>
      <c r="H27" s="11">
        <f t="shared" ref="H27" si="31">IF(G27="Khó và phức tạp",200,IF(G27="Cao",150,IF(G27="Trungbình",120,100)))</f>
        <v>100</v>
      </c>
      <c r="I27" s="11">
        <f t="shared" si="23"/>
        <v>1</v>
      </c>
      <c r="J27" s="11">
        <f t="shared" si="24"/>
        <v>4</v>
      </c>
      <c r="K27" s="12">
        <f t="shared" si="25"/>
        <v>4</v>
      </c>
      <c r="L27" s="16">
        <f t="shared" si="26"/>
        <v>4</v>
      </c>
      <c r="M27" s="12">
        <f t="shared" si="27"/>
        <v>3</v>
      </c>
      <c r="N27" s="16">
        <f t="shared" si="28"/>
        <v>3</v>
      </c>
      <c r="O27" s="12">
        <f t="shared" si="29"/>
        <v>4</v>
      </c>
      <c r="P27" s="16">
        <f t="shared" si="30"/>
        <v>4</v>
      </c>
    </row>
    <row r="28" spans="1:16" ht="15" x14ac:dyDescent="0.35">
      <c r="A28" s="14">
        <v>6</v>
      </c>
      <c r="B28" s="26" t="s">
        <v>9</v>
      </c>
      <c r="C28" s="27"/>
      <c r="D28" s="27"/>
      <c r="E28" s="27"/>
      <c r="F28" s="14">
        <f>SUM(F29:F30)</f>
        <v>0</v>
      </c>
      <c r="G28" s="15"/>
      <c r="H28" s="15"/>
      <c r="I28" s="15"/>
      <c r="J28" s="14">
        <f t="shared" ref="J28:P28" si="32">SUM(J29:J30)</f>
        <v>0</v>
      </c>
      <c r="K28" s="14">
        <f t="shared" si="32"/>
        <v>0</v>
      </c>
      <c r="L28" s="14">
        <f t="shared" si="32"/>
        <v>0</v>
      </c>
      <c r="M28" s="14">
        <f t="shared" si="32"/>
        <v>0</v>
      </c>
      <c r="N28" s="14">
        <f t="shared" si="32"/>
        <v>0</v>
      </c>
      <c r="O28" s="14">
        <f t="shared" si="32"/>
        <v>0</v>
      </c>
      <c r="P28" s="14">
        <f t="shared" si="32"/>
        <v>0</v>
      </c>
    </row>
    <row r="29" spans="1:16" ht="15.5" x14ac:dyDescent="0.35">
      <c r="A29" s="11"/>
      <c r="B29" s="17"/>
      <c r="C29" s="11"/>
      <c r="D29" s="11"/>
      <c r="E29" s="11"/>
      <c r="F29" s="11"/>
      <c r="G29" s="11"/>
      <c r="H29" s="11"/>
      <c r="I29" s="11"/>
      <c r="J29" s="11"/>
      <c r="K29" s="12"/>
      <c r="L29" s="16"/>
      <c r="M29" s="12"/>
      <c r="N29" s="16"/>
      <c r="O29" s="12"/>
      <c r="P29" s="16"/>
    </row>
    <row r="30" spans="1:16" ht="15.5" x14ac:dyDescent="0.35">
      <c r="A30" s="11"/>
      <c r="B30" s="17"/>
      <c r="C30" s="11"/>
      <c r="D30" s="11"/>
      <c r="E30" s="11"/>
      <c r="F30" s="11"/>
      <c r="G30" s="11"/>
      <c r="H30" s="11"/>
      <c r="I30" s="11"/>
      <c r="J30" s="11"/>
      <c r="K30" s="12"/>
      <c r="L30" s="16"/>
      <c r="M30" s="12"/>
      <c r="N30" s="16"/>
      <c r="O30" s="12"/>
      <c r="P30" s="16"/>
    </row>
    <row r="31" spans="1:16" ht="15" x14ac:dyDescent="0.35">
      <c r="A31" s="14" t="s">
        <v>10</v>
      </c>
      <c r="B31" s="39" t="s">
        <v>27</v>
      </c>
      <c r="C31" s="40"/>
      <c r="D31" s="40"/>
      <c r="E31" s="40"/>
      <c r="F31" s="14">
        <f>SUM(F32:F34)</f>
        <v>3</v>
      </c>
      <c r="G31" s="15"/>
      <c r="H31" s="15"/>
      <c r="I31" s="15"/>
      <c r="J31" s="14">
        <f t="shared" ref="J31:P31" si="33">SUM(J32:J34)</f>
        <v>3.4000000000000004</v>
      </c>
      <c r="K31" s="14">
        <f t="shared" si="33"/>
        <v>3</v>
      </c>
      <c r="L31" s="14">
        <f t="shared" si="33"/>
        <v>3.4000000000000004</v>
      </c>
      <c r="M31" s="14">
        <f t="shared" si="33"/>
        <v>3</v>
      </c>
      <c r="N31" s="14">
        <f t="shared" si="33"/>
        <v>3.4000000000000004</v>
      </c>
      <c r="O31" s="14">
        <f t="shared" si="33"/>
        <v>3</v>
      </c>
      <c r="P31" s="14">
        <f t="shared" si="33"/>
        <v>3.4000000000000004</v>
      </c>
    </row>
    <row r="32" spans="1:16" ht="93" x14ac:dyDescent="0.35">
      <c r="A32" s="11">
        <v>1</v>
      </c>
      <c r="B32" s="17" t="s">
        <v>80</v>
      </c>
      <c r="C32" s="11" t="s">
        <v>25</v>
      </c>
      <c r="D32" s="11" t="s">
        <v>54</v>
      </c>
      <c r="E32" s="11" t="s">
        <v>81</v>
      </c>
      <c r="F32" s="11">
        <v>1</v>
      </c>
      <c r="G32" s="11" t="s">
        <v>28</v>
      </c>
      <c r="H32" s="11">
        <v>120</v>
      </c>
      <c r="I32" s="11">
        <v>1.2</v>
      </c>
      <c r="J32" s="11">
        <f t="shared" ref="J32:J34" si="34">F32*I32</f>
        <v>1.2</v>
      </c>
      <c r="K32" s="11">
        <v>1</v>
      </c>
      <c r="L32" s="16">
        <f t="shared" ref="L32:L34" si="35">K32*I32</f>
        <v>1.2</v>
      </c>
      <c r="M32" s="12">
        <f>K32*100%</f>
        <v>1</v>
      </c>
      <c r="N32" s="16">
        <f t="shared" ref="N32:N34" si="36">I32*M32</f>
        <v>1.2</v>
      </c>
      <c r="O32" s="12">
        <f t="shared" ref="O32:O34" si="37">K32*100%</f>
        <v>1</v>
      </c>
      <c r="P32" s="16">
        <f t="shared" ref="P32:P34" si="38">I32*O32</f>
        <v>1.2</v>
      </c>
    </row>
    <row r="33" spans="1:16" ht="139.5" x14ac:dyDescent="0.35">
      <c r="A33" s="11">
        <v>2</v>
      </c>
      <c r="B33" s="17" t="s">
        <v>84</v>
      </c>
      <c r="C33" s="11" t="s">
        <v>25</v>
      </c>
      <c r="D33" s="11" t="s">
        <v>54</v>
      </c>
      <c r="E33" s="11" t="s">
        <v>69</v>
      </c>
      <c r="F33" s="11">
        <v>1</v>
      </c>
      <c r="G33" s="11" t="s">
        <v>39</v>
      </c>
      <c r="H33" s="11">
        <v>100</v>
      </c>
      <c r="I33" s="11">
        <v>1</v>
      </c>
      <c r="J33" s="11">
        <f t="shared" si="34"/>
        <v>1</v>
      </c>
      <c r="K33" s="12">
        <v>1</v>
      </c>
      <c r="L33" s="16">
        <f t="shared" si="35"/>
        <v>1</v>
      </c>
      <c r="M33" s="12">
        <f>K33*100%</f>
        <v>1</v>
      </c>
      <c r="N33" s="16">
        <f t="shared" si="36"/>
        <v>1</v>
      </c>
      <c r="O33" s="12">
        <f t="shared" si="37"/>
        <v>1</v>
      </c>
      <c r="P33" s="16">
        <f t="shared" si="38"/>
        <v>1</v>
      </c>
    </row>
    <row r="34" spans="1:16" ht="46.5" x14ac:dyDescent="0.35">
      <c r="A34" s="11">
        <v>33</v>
      </c>
      <c r="B34" s="17" t="s">
        <v>85</v>
      </c>
      <c r="C34" s="11" t="s">
        <v>25</v>
      </c>
      <c r="D34" s="11" t="s">
        <v>54</v>
      </c>
      <c r="E34" s="11" t="s">
        <v>69</v>
      </c>
      <c r="F34" s="11">
        <v>1</v>
      </c>
      <c r="G34" s="11" t="s">
        <v>28</v>
      </c>
      <c r="H34" s="11">
        <v>120</v>
      </c>
      <c r="I34" s="11">
        <v>1.2</v>
      </c>
      <c r="J34" s="11">
        <f t="shared" si="34"/>
        <v>1.2</v>
      </c>
      <c r="K34" s="11">
        <v>1</v>
      </c>
      <c r="L34" s="16">
        <f t="shared" si="35"/>
        <v>1.2</v>
      </c>
      <c r="M34" s="12">
        <f>K34*100%</f>
        <v>1</v>
      </c>
      <c r="N34" s="16">
        <f t="shared" si="36"/>
        <v>1.2</v>
      </c>
      <c r="O34" s="12">
        <f t="shared" si="37"/>
        <v>1</v>
      </c>
      <c r="P34" s="16">
        <f t="shared" si="38"/>
        <v>1.2</v>
      </c>
    </row>
    <row r="35" spans="1:16" s="3" customFormat="1" ht="15.5" x14ac:dyDescent="0.35">
      <c r="B35" s="41"/>
      <c r="C35" s="41"/>
      <c r="D35" s="41"/>
      <c r="E35" s="41"/>
      <c r="F35" s="41"/>
      <c r="G35" s="41"/>
      <c r="H35" s="41"/>
      <c r="I35" s="41"/>
      <c r="J35" s="41"/>
      <c r="K35" s="41"/>
      <c r="L35" s="41"/>
      <c r="M35" s="41"/>
      <c r="N35" s="41"/>
      <c r="O35" s="41"/>
      <c r="P35" s="41"/>
    </row>
    <row r="36" spans="1:16" s="4" customFormat="1" ht="131.25" customHeight="1" x14ac:dyDescent="0.35">
      <c r="A36" s="42" t="s">
        <v>58</v>
      </c>
      <c r="B36" s="42"/>
      <c r="C36" s="42"/>
      <c r="D36" s="20"/>
      <c r="G36" s="43" t="s">
        <v>91</v>
      </c>
      <c r="H36" s="43"/>
      <c r="I36" s="43"/>
      <c r="J36" s="43"/>
      <c r="K36" s="43"/>
      <c r="L36" s="44"/>
      <c r="M36" s="44"/>
      <c r="N36" s="44"/>
      <c r="O36" s="44"/>
      <c r="P36" s="44"/>
    </row>
  </sheetData>
  <mergeCells count="31">
    <mergeCell ref="B31:E31"/>
    <mergeCell ref="B35:P35"/>
    <mergeCell ref="A36:C36"/>
    <mergeCell ref="G36:P36"/>
    <mergeCell ref="A1:P1"/>
    <mergeCell ref="F6:F7"/>
    <mergeCell ref="G6:G7"/>
    <mergeCell ref="A6:A7"/>
    <mergeCell ref="B6:B7"/>
    <mergeCell ref="C6:C7"/>
    <mergeCell ref="D6:D7"/>
    <mergeCell ref="E6:E7"/>
    <mergeCell ref="B9:P9"/>
    <mergeCell ref="A2:B2"/>
    <mergeCell ref="A3:B3"/>
    <mergeCell ref="A4:P4"/>
    <mergeCell ref="H6:H7"/>
    <mergeCell ref="G2:P2"/>
    <mergeCell ref="G3:P3"/>
    <mergeCell ref="K6:L6"/>
    <mergeCell ref="M6:N6"/>
    <mergeCell ref="O6:P6"/>
    <mergeCell ref="A5:P5"/>
    <mergeCell ref="I6:I7"/>
    <mergeCell ref="J6:J7"/>
    <mergeCell ref="B28:E28"/>
    <mergeCell ref="B10:E10"/>
    <mergeCell ref="B24:E24"/>
    <mergeCell ref="B23:E23"/>
    <mergeCell ref="B25:E25"/>
    <mergeCell ref="B20:E20"/>
  </mergeCells>
  <conditionalFormatting sqref="C11:C15 C17:C19">
    <cfRule type="dataBar" priority="12">
      <dataBar>
        <cfvo type="min"/>
        <cfvo type="max"/>
        <color rgb="FF638EC6"/>
      </dataBar>
      <extLst>
        <ext xmlns:x14="http://schemas.microsoft.com/office/spreadsheetml/2009/9/main" uri="{B025F937-C7B1-47D3-B67F-A62EFF666E3E}">
          <x14:id>{DDAE1940-EFCB-435F-AFFD-BD95C0A05778}</x14:id>
        </ext>
      </extLst>
    </cfRule>
  </conditionalFormatting>
  <conditionalFormatting sqref="C16">
    <cfRule type="dataBar" priority="3">
      <dataBar>
        <cfvo type="min"/>
        <cfvo type="max"/>
        <color rgb="FF638EC6"/>
      </dataBar>
      <extLst>
        <ext xmlns:x14="http://schemas.microsoft.com/office/spreadsheetml/2009/9/main" uri="{B025F937-C7B1-47D3-B67F-A62EFF666E3E}">
          <x14:id>{BB446634-92DC-4F0E-8F15-939FDF7578D3}</x14:id>
        </ext>
      </extLst>
    </cfRule>
  </conditionalFormatting>
  <conditionalFormatting sqref="C21">
    <cfRule type="dataBar" priority="13">
      <dataBar>
        <cfvo type="min"/>
        <cfvo type="max"/>
        <color rgb="FF638EC6"/>
      </dataBar>
      <extLst>
        <ext xmlns:x14="http://schemas.microsoft.com/office/spreadsheetml/2009/9/main" uri="{B025F937-C7B1-47D3-B67F-A62EFF666E3E}">
          <x14:id>{CFB6418C-BE1A-4F9E-89EA-86F5573B53E7}</x14:id>
        </ext>
      </extLst>
    </cfRule>
  </conditionalFormatting>
  <conditionalFormatting sqref="C22">
    <cfRule type="dataBar" priority="1">
      <dataBar>
        <cfvo type="min"/>
        <cfvo type="max"/>
        <color rgb="FF638EC6"/>
      </dataBar>
      <extLst>
        <ext xmlns:x14="http://schemas.microsoft.com/office/spreadsheetml/2009/9/main" uri="{B025F937-C7B1-47D3-B67F-A62EFF666E3E}">
          <x14:id>{7D2AC6DA-F514-4C5A-A467-445D324032B3}</x14:id>
        </ext>
      </extLst>
    </cfRule>
  </conditionalFormatting>
  <conditionalFormatting sqref="C26">
    <cfRule type="dataBar" priority="14">
      <dataBar>
        <cfvo type="min"/>
        <cfvo type="max"/>
        <color rgb="FF638EC6"/>
      </dataBar>
      <extLst>
        <ext xmlns:x14="http://schemas.microsoft.com/office/spreadsheetml/2009/9/main" uri="{B025F937-C7B1-47D3-B67F-A62EFF666E3E}">
          <x14:id>{70587AF3-1316-4305-89E8-0F9982172251}</x14:id>
        </ext>
      </extLst>
    </cfRule>
  </conditionalFormatting>
  <conditionalFormatting sqref="C27">
    <cfRule type="dataBar" priority="11">
      <dataBar>
        <cfvo type="min"/>
        <cfvo type="max"/>
        <color rgb="FF638EC6"/>
      </dataBar>
      <extLst>
        <ext xmlns:x14="http://schemas.microsoft.com/office/spreadsheetml/2009/9/main" uri="{B025F937-C7B1-47D3-B67F-A62EFF666E3E}">
          <x14:id>{2004E357-CA54-4287-B946-9E8F2F3AD3E6}</x14:id>
        </ext>
      </extLst>
    </cfRule>
  </conditionalFormatting>
  <conditionalFormatting sqref="C29:C30">
    <cfRule type="dataBar" priority="7">
      <dataBar>
        <cfvo type="min"/>
        <cfvo type="max"/>
        <color rgb="FF638EC6"/>
      </dataBar>
      <extLst>
        <ext xmlns:x14="http://schemas.microsoft.com/office/spreadsheetml/2009/9/main" uri="{B025F937-C7B1-47D3-B67F-A62EFF666E3E}">
          <x14:id>{ADE4A73C-D3E1-48BF-97F8-A1A0AD137EB1}</x14:id>
        </ext>
      </extLst>
    </cfRule>
  </conditionalFormatting>
  <conditionalFormatting sqref="C32:C34">
    <cfRule type="dataBar" priority="6">
      <dataBar>
        <cfvo type="min"/>
        <cfvo type="max"/>
        <color rgb="FF638EC6"/>
      </dataBar>
      <extLst>
        <ext xmlns:x14="http://schemas.microsoft.com/office/spreadsheetml/2009/9/main" uri="{B025F937-C7B1-47D3-B67F-A62EFF666E3E}">
          <x14:id>{8497F575-CB3C-4F6B-A947-7E2A56242E84}</x14:id>
        </ext>
      </extLst>
    </cfRule>
  </conditionalFormatting>
  <dataValidations count="5">
    <dataValidation type="list" allowBlank="1" showInputMessage="1" sqref="D29:D30 D32:D34 D21:D22 D11:D19 D26:D27" xr:uid="{1FB45A29-08FC-4791-875A-247632E271A9}">
      <formula1>"Phòng QLĐT&amp;BĐCL, Phòng TH-HC&amp;QT, Phòng QLKHCN&amp;HTPT, Phòng TC-KT, Phòng  TCCB&amp;CTHSSV, Khoa Sư phạm, Khoa CKHCB, Khoa KT&amp;NL, Khoa Y – Dược, Khoa ĐT&amp;SHLX, Khoa KT&amp;CN"</formula1>
    </dataValidation>
    <dataValidation type="list" allowBlank="1" showInputMessage="1" sqref="C32:C34 C29:C30 C21:C22 C11:C19 C26:C27" xr:uid="{BFA91237-E110-42FA-8A85-3B765CA46236}">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32:G34 G29:G30 G21:G22 G11:G19 G26:G27" xr:uid="{6301E224-D35E-4752-8C92-C1193F959026}">
      <formula1>"Thấp,Trung bình,Cao,Khó và phức tạp"</formula1>
    </dataValidation>
    <dataValidation allowBlank="1" showInputMessage="1" sqref="H29:K30 H32:K34 E29:E30 E32:E34 H21:K22 H26:K27 E26:E27 H11:K19" xr:uid="{11413B32-601C-4E5C-A2A9-32A8C346F9B5}"/>
    <dataValidation type="list" allowBlank="1" showInputMessage="1" sqref="E21:E22 E11:E19" xr:uid="{88F63B2C-490A-4547-8B05-8912BA80FDA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DDAE1940-EFCB-435F-AFFD-BD95C0A05778}">
            <x14:dataBar minLength="0" maxLength="100" gradient="0">
              <x14:cfvo type="autoMin"/>
              <x14:cfvo type="autoMax"/>
              <x14:negativeFillColor rgb="FFFF0000"/>
              <x14:axisColor rgb="FF000000"/>
            </x14:dataBar>
          </x14:cfRule>
          <xm:sqref>C11:C15 C17:C19</xm:sqref>
        </x14:conditionalFormatting>
        <x14:conditionalFormatting xmlns:xm="http://schemas.microsoft.com/office/excel/2006/main">
          <x14:cfRule type="dataBar" id="{BB446634-92DC-4F0E-8F15-939FDF7578D3}">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CFB6418C-BE1A-4F9E-89EA-86F5573B53E7}">
            <x14:dataBar minLength="0" maxLength="100" gradient="0">
              <x14:cfvo type="autoMin"/>
              <x14:cfvo type="autoMax"/>
              <x14:negativeFillColor rgb="FFFF0000"/>
              <x14:axisColor rgb="FF000000"/>
            </x14:dataBar>
          </x14:cfRule>
          <xm:sqref>C21</xm:sqref>
        </x14:conditionalFormatting>
        <x14:conditionalFormatting xmlns:xm="http://schemas.microsoft.com/office/excel/2006/main">
          <x14:cfRule type="dataBar" id="{7D2AC6DA-F514-4C5A-A467-445D324032B3}">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70587AF3-1316-4305-89E8-0F9982172251}">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2004E357-CA54-4287-B946-9E8F2F3AD3E6}">
            <x14:dataBar minLength="0" maxLength="100" gradient="0">
              <x14:cfvo type="autoMin"/>
              <x14:cfvo type="autoMax"/>
              <x14:negativeFillColor rgb="FFFF0000"/>
              <x14:axisColor rgb="FF000000"/>
            </x14:dataBar>
          </x14:cfRule>
          <xm:sqref>C27</xm:sqref>
        </x14:conditionalFormatting>
        <x14:conditionalFormatting xmlns:xm="http://schemas.microsoft.com/office/excel/2006/main">
          <x14:cfRule type="dataBar" id="{ADE4A73C-D3E1-48BF-97F8-A1A0AD137EB1}">
            <x14:dataBar minLength="0" maxLength="100" gradient="0">
              <x14:cfvo type="autoMin"/>
              <x14:cfvo type="autoMax"/>
              <x14:negativeFillColor rgb="FFFF0000"/>
              <x14:axisColor rgb="FF000000"/>
            </x14:dataBar>
          </x14:cfRule>
          <xm:sqref>C29:C30</xm:sqref>
        </x14:conditionalFormatting>
        <x14:conditionalFormatting xmlns:xm="http://schemas.microsoft.com/office/excel/2006/main">
          <x14:cfRule type="dataBar" id="{8497F575-CB3C-4F6B-A947-7E2A56242E84}">
            <x14:dataBar minLength="0" maxLength="100" gradient="0">
              <x14:cfvo type="autoMin"/>
              <x14:cfvo type="autoMax"/>
              <x14:negativeFillColor rgb="FFFF0000"/>
              <x14:axisColor rgb="FF000000"/>
            </x14:dataBar>
          </x14:cfRule>
          <xm:sqref>C32:C34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2026-09-21T02:24:14Z</dcterms:modified>
</cp:coreProperties>
</file>