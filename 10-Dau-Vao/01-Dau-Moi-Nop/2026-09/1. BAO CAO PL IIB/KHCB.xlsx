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ktcceduvn-my.sharepoint.com/personal/khoacackhcb_cdkontum_edu_vn/Documents/2026-2027/KHCB-BC/Báo cáo kết quả tháng 9, kế hoạch tháng 10/"/>
    </mc:Choice>
  </mc:AlternateContent>
  <xr:revisionPtr revIDLastSave="331" documentId="13_ncr:1_{110E636B-4CE9-463C-A1DE-DA871F6BFBBF}" xr6:coauthVersionLast="47" xr6:coauthVersionMax="47" xr10:uidLastSave="{98500C50-8513-43C7-848D-1CC280C4AE08}"/>
  <bookViews>
    <workbookView xWindow="-110" yWindow="-110" windowWidth="19420" windowHeight="11500" xr2:uid="{CF09AA7D-F157-435F-8730-78D5FF9F5A39}"/>
  </bookViews>
  <sheets>
    <sheet name="Mẫu BC tháng"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6" i="1" l="1"/>
  <c r="M35" i="1"/>
  <c r="M34" i="1" s="1"/>
  <c r="K34" i="1"/>
  <c r="L34" i="1"/>
  <c r="O34" i="1"/>
  <c r="P34" i="1"/>
  <c r="K48" i="1"/>
  <c r="L48" i="1"/>
  <c r="M48" i="1"/>
  <c r="N48" i="1"/>
  <c r="O48" i="1"/>
  <c r="P48" i="1"/>
  <c r="J48" i="1"/>
  <c r="J42" i="1"/>
  <c r="F48" i="1"/>
  <c r="P54" i="1"/>
  <c r="O54" i="1"/>
  <c r="N54" i="1"/>
  <c r="M54" i="1"/>
  <c r="L54" i="1"/>
  <c r="J50" i="1"/>
  <c r="J51" i="1"/>
  <c r="J52" i="1"/>
  <c r="J53" i="1"/>
  <c r="J54" i="1"/>
  <c r="J55" i="1"/>
  <c r="K54" i="1"/>
  <c r="I54" i="1"/>
  <c r="K55" i="1" l="1"/>
  <c r="O55" i="1" s="1"/>
  <c r="I55" i="1"/>
  <c r="P55" i="1" s="1"/>
  <c r="K53" i="1"/>
  <c r="O53" i="1" s="1"/>
  <c r="I53" i="1"/>
  <c r="P53" i="1" s="1"/>
  <c r="K52" i="1"/>
  <c r="O52" i="1" s="1"/>
  <c r="I52" i="1"/>
  <c r="P52" i="1" s="1"/>
  <c r="K51" i="1"/>
  <c r="O51" i="1" s="1"/>
  <c r="I51" i="1"/>
  <c r="P51" i="1" s="1"/>
  <c r="K50" i="1"/>
  <c r="O50" i="1" s="1"/>
  <c r="I50" i="1"/>
  <c r="P50" i="1" s="1"/>
  <c r="K49" i="1"/>
  <c r="O49" i="1" s="1"/>
  <c r="I49" i="1"/>
  <c r="P49" i="1" s="1"/>
  <c r="K44" i="1"/>
  <c r="O44" i="1" s="1"/>
  <c r="I44" i="1"/>
  <c r="P44" i="1" s="1"/>
  <c r="K47" i="1"/>
  <c r="O47" i="1" s="1"/>
  <c r="H47" i="1"/>
  <c r="I47" i="1" s="1"/>
  <c r="J47" i="1" s="1"/>
  <c r="K45" i="1"/>
  <c r="O45" i="1" s="1"/>
  <c r="I45" i="1"/>
  <c r="K43" i="1"/>
  <c r="O43" i="1" s="1"/>
  <c r="I43" i="1"/>
  <c r="K41" i="1"/>
  <c r="I41" i="1"/>
  <c r="K40" i="1"/>
  <c r="M40" i="1" s="1"/>
  <c r="I40" i="1"/>
  <c r="K39" i="1"/>
  <c r="O39" i="1" s="1"/>
  <c r="I39" i="1"/>
  <c r="K32" i="1"/>
  <c r="M32" i="1" s="1"/>
  <c r="K29" i="1"/>
  <c r="H32" i="1"/>
  <c r="I32" i="1" s="1"/>
  <c r="K36" i="1"/>
  <c r="O36" i="1" s="1"/>
  <c r="I36" i="1"/>
  <c r="J36" i="1" s="1"/>
  <c r="K37" i="1"/>
  <c r="M37" i="1" s="1"/>
  <c r="I37" i="1"/>
  <c r="J49" i="1" l="1"/>
  <c r="L49" i="1"/>
  <c r="L50" i="1"/>
  <c r="L51" i="1"/>
  <c r="L52" i="1"/>
  <c r="L53" i="1"/>
  <c r="L55" i="1"/>
  <c r="M49" i="1"/>
  <c r="N49" i="1" s="1"/>
  <c r="M50" i="1"/>
  <c r="N50" i="1" s="1"/>
  <c r="M51" i="1"/>
  <c r="N51" i="1" s="1"/>
  <c r="M52" i="1"/>
  <c r="N52" i="1" s="1"/>
  <c r="M53" i="1"/>
  <c r="M55" i="1"/>
  <c r="N55" i="1" s="1"/>
  <c r="N53" i="1"/>
  <c r="J44" i="1"/>
  <c r="L44" i="1"/>
  <c r="M44" i="1"/>
  <c r="N44" i="1" s="1"/>
  <c r="P43" i="1"/>
  <c r="P36" i="1"/>
  <c r="L41" i="1"/>
  <c r="P45" i="1"/>
  <c r="P39" i="1"/>
  <c r="P47" i="1"/>
  <c r="L47" i="1"/>
  <c r="M47" i="1"/>
  <c r="N47" i="1" s="1"/>
  <c r="N32" i="1"/>
  <c r="J45" i="1"/>
  <c r="M45" i="1"/>
  <c r="N45" i="1" s="1"/>
  <c r="J43" i="1"/>
  <c r="L43" i="1"/>
  <c r="L45" i="1"/>
  <c r="M43" i="1"/>
  <c r="N43" i="1" s="1"/>
  <c r="L36" i="1"/>
  <c r="N36" i="1"/>
  <c r="J41" i="1"/>
  <c r="J39" i="1"/>
  <c r="L40" i="1"/>
  <c r="M41" i="1"/>
  <c r="N41" i="1" s="1"/>
  <c r="N40" i="1"/>
  <c r="J40" i="1"/>
  <c r="L39" i="1"/>
  <c r="M39" i="1"/>
  <c r="N39" i="1" s="1"/>
  <c r="O40" i="1"/>
  <c r="P40" i="1" s="1"/>
  <c r="O41" i="1"/>
  <c r="P41" i="1" s="1"/>
  <c r="L32" i="1"/>
  <c r="O32" i="1"/>
  <c r="P32" i="1" s="1"/>
  <c r="O37" i="1"/>
  <c r="P37" i="1" s="1"/>
  <c r="J37" i="1"/>
  <c r="L37" i="1"/>
  <c r="N37" i="1"/>
  <c r="K25" i="1" l="1"/>
  <c r="O25" i="1" s="1"/>
  <c r="H25" i="1"/>
  <c r="I25" i="1" s="1"/>
  <c r="K24" i="1"/>
  <c r="H24" i="1"/>
  <c r="I24" i="1" s="1"/>
  <c r="K23" i="1"/>
  <c r="O23" i="1" s="1"/>
  <c r="H23" i="1"/>
  <c r="I23" i="1" s="1"/>
  <c r="J23" i="1" s="1"/>
  <c r="K22" i="1"/>
  <c r="O22" i="1" s="1"/>
  <c r="H22" i="1"/>
  <c r="I22" i="1" s="1"/>
  <c r="K21" i="1"/>
  <c r="O21" i="1" s="1"/>
  <c r="H21" i="1"/>
  <c r="I21" i="1" s="1"/>
  <c r="K20" i="1"/>
  <c r="M20" i="1" s="1"/>
  <c r="H20" i="1"/>
  <c r="I20" i="1" s="1"/>
  <c r="K19" i="1"/>
  <c r="M19" i="1" s="1"/>
  <c r="H19" i="1"/>
  <c r="I19" i="1" s="1"/>
  <c r="K18" i="1"/>
  <c r="M18" i="1" s="1"/>
  <c r="H18" i="1"/>
  <c r="I18" i="1" s="1"/>
  <c r="K17" i="1"/>
  <c r="O17" i="1" s="1"/>
  <c r="H17" i="1"/>
  <c r="I17" i="1" s="1"/>
  <c r="K16" i="1"/>
  <c r="H16" i="1"/>
  <c r="I16" i="1" s="1"/>
  <c r="K15" i="1"/>
  <c r="M15" i="1" s="1"/>
  <c r="H15" i="1"/>
  <c r="I15" i="1" s="1"/>
  <c r="J15" i="1" s="1"/>
  <c r="K14" i="1"/>
  <c r="O14" i="1" s="1"/>
  <c r="H14" i="1"/>
  <c r="I14" i="1" s="1"/>
  <c r="K13" i="1"/>
  <c r="O13" i="1" s="1"/>
  <c r="H13" i="1"/>
  <c r="I13" i="1" s="1"/>
  <c r="J13" i="1" s="1"/>
  <c r="K12" i="1"/>
  <c r="M12" i="1" s="1"/>
  <c r="H12" i="1"/>
  <c r="I12" i="1" s="1"/>
  <c r="K11" i="1"/>
  <c r="M11" i="1" s="1"/>
  <c r="H11" i="1"/>
  <c r="I11" i="1" s="1"/>
  <c r="M13" i="1" l="1"/>
  <c r="M14" i="1"/>
  <c r="N14" i="1" s="1"/>
  <c r="M21" i="1"/>
  <c r="O12" i="1"/>
  <c r="O19" i="1"/>
  <c r="P22" i="1"/>
  <c r="J22" i="1"/>
  <c r="P21" i="1"/>
  <c r="J21" i="1"/>
  <c r="O11" i="1"/>
  <c r="L13" i="1"/>
  <c r="O20" i="1"/>
  <c r="P20" i="1" s="1"/>
  <c r="N13" i="1"/>
  <c r="O18" i="1"/>
  <c r="P18" i="1" s="1"/>
  <c r="L22" i="1"/>
  <c r="N21" i="1"/>
  <c r="L21" i="1"/>
  <c r="M22" i="1"/>
  <c r="N22" i="1" s="1"/>
  <c r="N11" i="1"/>
  <c r="P11" i="1"/>
  <c r="L11" i="1"/>
  <c r="J11" i="1"/>
  <c r="J16" i="1"/>
  <c r="N16" i="1"/>
  <c r="L24" i="1"/>
  <c r="J24" i="1"/>
  <c r="L16" i="1"/>
  <c r="N19" i="1"/>
  <c r="L19" i="1"/>
  <c r="P19" i="1"/>
  <c r="J19" i="1"/>
  <c r="L20" i="1"/>
  <c r="N20" i="1"/>
  <c r="J20" i="1"/>
  <c r="J12" i="1"/>
  <c r="P12" i="1"/>
  <c r="N12" i="1"/>
  <c r="L14" i="1"/>
  <c r="J14" i="1"/>
  <c r="P14" i="1"/>
  <c r="P25" i="1"/>
  <c r="N18" i="1"/>
  <c r="J18" i="1"/>
  <c r="L18" i="1"/>
  <c r="P17" i="1"/>
  <c r="J25" i="1"/>
  <c r="M23" i="1"/>
  <c r="N23" i="1" s="1"/>
  <c r="P13" i="1"/>
  <c r="N15" i="1"/>
  <c r="M16" i="1"/>
  <c r="L17" i="1"/>
  <c r="M24" i="1"/>
  <c r="N24" i="1" s="1"/>
  <c r="L25" i="1"/>
  <c r="L15" i="1"/>
  <c r="L23" i="1"/>
  <c r="O15" i="1"/>
  <c r="P15" i="1" s="1"/>
  <c r="M17" i="1"/>
  <c r="N17" i="1" s="1"/>
  <c r="M25" i="1"/>
  <c r="N25" i="1" s="1"/>
  <c r="O16" i="1"/>
  <c r="P16" i="1" s="1"/>
  <c r="P23" i="1"/>
  <c r="O24" i="1"/>
  <c r="P24" i="1" s="1"/>
  <c r="L12" i="1"/>
  <c r="J17" i="1"/>
  <c r="I30" i="1" l="1"/>
  <c r="K30" i="1"/>
  <c r="M30" i="1" l="1"/>
  <c r="L30" i="1"/>
  <c r="J30" i="1"/>
  <c r="N30" i="1"/>
  <c r="O30" i="1"/>
  <c r="P30" i="1" s="1"/>
  <c r="K28" i="1" l="1"/>
  <c r="I29" i="1"/>
  <c r="J29" i="1" s="1"/>
  <c r="K27" i="1"/>
  <c r="K26" i="1"/>
  <c r="I26" i="1"/>
  <c r="I27" i="1"/>
  <c r="I28" i="1"/>
  <c r="M27" i="1" l="1"/>
  <c r="O27" i="1"/>
  <c r="M26" i="1"/>
  <c r="N26" i="1" s="1"/>
  <c r="O26" i="1"/>
  <c r="P26" i="1" s="1"/>
  <c r="L29" i="1"/>
  <c r="M29" i="1"/>
  <c r="N29" i="1" s="1"/>
  <c r="O29" i="1"/>
  <c r="P29" i="1" s="1"/>
  <c r="M28" i="1"/>
  <c r="N28" i="1" s="1"/>
  <c r="O28" i="1"/>
  <c r="P28" i="1" s="1"/>
  <c r="J28" i="1"/>
  <c r="L28" i="1"/>
  <c r="J27" i="1"/>
  <c r="N27" i="1"/>
  <c r="P27" i="1"/>
  <c r="L27" i="1"/>
  <c r="J26" i="1"/>
  <c r="L26" i="1"/>
  <c r="I33" i="1"/>
  <c r="K35" i="1"/>
  <c r="K33" i="1"/>
  <c r="J32" i="1"/>
  <c r="I35" i="1"/>
  <c r="F34" i="1"/>
  <c r="F38" i="1"/>
  <c r="F42" i="1"/>
  <c r="F46" i="1"/>
  <c r="F31" i="1"/>
  <c r="F10" i="1"/>
  <c r="J35" i="1" l="1"/>
  <c r="J34" i="1" s="1"/>
  <c r="N35" i="1"/>
  <c r="N34" i="1" s="1"/>
  <c r="J33" i="1"/>
  <c r="N33" i="1"/>
  <c r="J46" i="1"/>
  <c r="J38" i="1"/>
  <c r="K10" i="1"/>
  <c r="O10" i="1"/>
  <c r="K31" i="1"/>
  <c r="L35" i="1"/>
  <c r="L33" i="1"/>
  <c r="M46" i="1"/>
  <c r="K46" i="1"/>
  <c r="K42" i="1"/>
  <c r="K38" i="1"/>
  <c r="O35" i="1"/>
  <c r="O33" i="1"/>
  <c r="P33" i="1" s="1"/>
  <c r="J31" i="1" l="1"/>
  <c r="N31" i="1"/>
  <c r="N38" i="1"/>
  <c r="L31" i="1"/>
  <c r="P10" i="1"/>
  <c r="N46" i="1"/>
  <c r="M38" i="1"/>
  <c r="M10" i="1"/>
  <c r="N10" i="1"/>
  <c r="J10" i="1"/>
  <c r="L46" i="1"/>
  <c r="M31" i="1"/>
  <c r="P46" i="1"/>
  <c r="O46" i="1"/>
  <c r="M42" i="1"/>
  <c r="N42" i="1"/>
  <c r="L42" i="1"/>
  <c r="P42" i="1"/>
  <c r="O42" i="1"/>
  <c r="L38" i="1"/>
  <c r="P38" i="1"/>
  <c r="O38" i="1"/>
  <c r="P35" i="1"/>
  <c r="P31" i="1"/>
  <c r="O31" i="1"/>
  <c r="L10" i="1"/>
</calcChain>
</file>

<file path=xl/sharedStrings.xml><?xml version="1.0" encoding="utf-8"?>
<sst xmlns="http://schemas.openxmlformats.org/spreadsheetml/2006/main" count="251" uniqueCount="139">
  <si>
    <t>Phụ lục IIb
MẪU BÁO CÁO KẾT QUẢ THỰC  HIỆN CÔNG TÁC THÁNG CỦA TRƯỜNG CAO ĐẲNG KON TUM</t>
  </si>
  <si>
    <t>TRƯỜNG CAO ĐẲNG KON TUM</t>
  </si>
  <si>
    <t>CỘNG HÒA XÃ HỘI CHỦ NGHĨA VIỆT NAM</t>
  </si>
  <si>
    <t>Độc lập - Tự do - Hạnh phúc</t>
  </si>
  <si>
    <t>TT</t>
  </si>
  <si>
    <t>NỘI DUNG CÔNG VIỆC</t>
  </si>
  <si>
    <t>Người trực tiếp chỉ đạo</t>
  </si>
  <si>
    <t>Đơn vị chủ trì</t>
  </si>
  <si>
    <t>Sản phẩm/ Công việc</t>
  </si>
  <si>
    <t>Số lượng</t>
  </si>
  <si>
    <t>Độ khó, mới, phức tạp; phạm vi tác
động</t>
  </si>
  <si>
    <t>Điểm chấm công việc</t>
  </si>
  <si>
    <t>Hệ số quy đổi</t>
  </si>
  <si>
    <t>Số lượng quy đổi</t>
  </si>
  <si>
    <t>KPI (số lượng)</t>
  </si>
  <si>
    <t>KPI (chất lượng)</t>
  </si>
  <si>
    <t>KPI (tiến độ)</t>
  </si>
  <si>
    <t>Thực tế hoàn thành</t>
  </si>
  <si>
    <t>Quy đổi</t>
  </si>
  <si>
    <t>(1)</t>
  </si>
  <si>
    <t>(2)</t>
  </si>
  <si>
    <t>(3)</t>
  </si>
  <si>
    <t>(4)</t>
  </si>
  <si>
    <t>(5)</t>
  </si>
  <si>
    <t>(6)</t>
  </si>
  <si>
    <t>(7)</t>
  </si>
  <si>
    <t>(8)</t>
  </si>
  <si>
    <t>(9)= (8)* 1%</t>
  </si>
  <si>
    <t>(10)= (6)* (9)</t>
  </si>
  <si>
    <t>(11)=(6)* [Tỷ lệ hoàn thành khối lượng]
Thiếu 1 = 75% (trừ 0,25)</t>
  </si>
  <si>
    <t>(12)= (9)* (11)</t>
  </si>
  <si>
    <t>(13)=(11)*[Tỷ lệ hoàn thành chất lượng]
Sửa đổi 1-2 lần 75% (trừ 0,25)</t>
  </si>
  <si>
    <t>(14)= (9)* (13)</t>
  </si>
  <si>
    <t>(15)=(11)*[Tỷ lệ hoàn thành tiến độ]
Chậm tiến độ 75% (trừ 0,25)</t>
  </si>
  <si>
    <t>(16)= (9)* (15)</t>
  </si>
  <si>
    <t>I</t>
  </si>
  <si>
    <t> Các nhiệm vụ theo kế hoạch (chương trình) công tác đã đề ra từ đầu tháng</t>
  </si>
  <si>
    <t xml:space="preserve">Trục (1) - Thực hiện mục tiêu phát triển Kinh tế - xã hội và nhiệm vụ chính trị được giao </t>
  </si>
  <si>
    <t>Hiệu trưởng</t>
  </si>
  <si>
    <t>Phòng  TCCB&amp;CTHSSV</t>
  </si>
  <si>
    <t>PHT Nguyễn Trung Hiếu</t>
  </si>
  <si>
    <t>Phòng TH-HC&amp;QT</t>
  </si>
  <si>
    <t>Trung bình</t>
  </si>
  <si>
    <t>Nguyễn Hữu Hà</t>
  </si>
  <si>
    <t>Báo cáo</t>
  </si>
  <si>
    <t>Kế hoạch triển khai công tác bảo đảm sĩ số HSSV năm học 2026-2027</t>
  </si>
  <si>
    <t>PTK Nguyễn Văn Lễ</t>
  </si>
  <si>
    <t>Phòng QLKHCN&amp;HTPT</t>
  </si>
  <si>
    <t>Kế hoạch</t>
  </si>
  <si>
    <t>Báo cáo tổng kết Bảo đảm sĩ số HSSV năm học 2025-2026</t>
  </si>
  <si>
    <t>Kế hoạch vật tư giảng dạy thực hành học kỳ I, năm học 2026-2027 các lớp cao đẳng tuyển sinh năm 2024, 2025</t>
  </si>
  <si>
    <t>Cao</t>
  </si>
  <si>
    <t xml:space="preserve">Khoa CKHCB </t>
  </si>
  <si>
    <t>Trung
bình</t>
  </si>
  <si>
    <t>PTK Hồ Thị Mai Lan</t>
  </si>
  <si>
    <t>Xây dựng kế hoạch bổ sung sách, tài liệu tham khảo và lập dự trù kinh phí mua sách trình Lãnh đạo Trường phê duyệt</t>
  </si>
  <si>
    <t xml:space="preserve">Hiệu trưởng </t>
  </si>
  <si>
    <t>Kế hoạch
mua sách, dự
trù kinh phí</t>
  </si>
  <si>
    <t xml:space="preserve">Tổ Học liệu </t>
  </si>
  <si>
    <t xml:space="preserve">Cuốn sách </t>
  </si>
  <si>
    <t>Bổ sung, cập nhật tài liệu số
vào phần mềm quản lý thư
viện</t>
  </si>
  <si>
    <t xml:space="preserve">Tài liệu số </t>
  </si>
  <si>
    <t>Giới thiệu sách trên Website
thư viện</t>
  </si>
  <si>
    <t>Bài giới
thiệu sách</t>
  </si>
  <si>
    <t>PHT Huỳnh Văn Chung</t>
  </si>
  <si>
    <t>PHT Dương Văn Anh Dũng</t>
  </si>
  <si>
    <t>Thấp</t>
  </si>
  <si>
    <t>Trục (2) - Hoàn thiện thể chế, đẩy mạnh phân cấp, phân quyền gắn với kiểm tra, giám sát</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</si>
  <si>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</si>
  <si>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</si>
  <si>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Phòng TC-KT</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</si>
  <si>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</si>
  <si>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</si>
  <si>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II</t>
  </si>
  <si>
    <t>Các nhiệm vụ đột xuất, phát sinh khác ngoài kế hoạch (nếu có)</t>
  </si>
  <si>
    <t xml:space="preserve">Xử lý sách vào phần mềm quản lý thư viện </t>
  </si>
  <si>
    <t>Rà soát, đánh giá các điều kiện bảo đảm chất lượng chương trình đào tạo theo quy định tại Thông tư số 55/2026/TT-BGDĐT</t>
  </si>
  <si>
    <t>Khoa CKHCB</t>
  </si>
  <si>
    <t>BÁO CÁO
kết quả thực hiện công tác tháng 9  năm 2026</t>
  </si>
  <si>
    <t>Xây dựng kế hoạch dự giờ học kỳ I</t>
  </si>
  <si>
    <t>Phòng QLĐT&amp;BĐCL</t>
  </si>
  <si>
    <t>Báo cáo tình hình triển khai thực hiện Đề án bảo đảm sĩ số HSSV từ đầu đến cuối khóa học của khoa các Khoa học cơ bản.</t>
  </si>
  <si>
    <t>Nguyễn Văn Lễ</t>
  </si>
  <si>
    <t>P. QLĐT&amp;BĐCL</t>
  </si>
  <si>
    <t>Các bộ môn lập kế hoạch
xây dựng NHCH (khóa K9) và NHĐT (khóa K7,K8), năm học 2026-20271</t>
  </si>
  <si>
    <t xml:space="preserve">Các bộ môn
thuộc khoa </t>
  </si>
  <si>
    <t>Hoàn thành Chiến lược phát triển khoa các Khoa học cơ bản đến năm 2030 và tầm nhìn đến năm 2045</t>
  </si>
  <si>
    <t>Đề án</t>
  </si>
  <si>
    <t>Rà soát, sắp xếp máy móc, thiết bị theo tiêu chuẩn, định mức sử dụng</t>
  </si>
  <si>
    <t>Xây dựng Kế hoạch tự kiểm tra hoạt động dạy và học tại khoa các Khoa học cơ bản năm học 2026-2027</t>
  </si>
  <si>
    <t>Xây dựng Chương trình, biên soạn tại liệu đào tạo các nghề đào tạo dưới 3 tháng thuộc khoa các Khoa học cơ bản quản lý năm 2026</t>
  </si>
  <si>
    <t>Xây dựng Kế hoạch thực hiện Mục tiêu chất lượng năm học 2026 - 2027 khoa các Khoa học cơ bản</t>
  </si>
  <si>
    <t>Xây dựng thời khóa biểu học kỳ I</t>
  </si>
  <si>
    <t>Trưởng khoa Nguyễn Hữu Hà</t>
  </si>
  <si>
    <t>Thời khóa biểu</t>
  </si>
  <si>
    <t>Tiếp nhận, hướng dẫn nhập học HSSV khóa mới</t>
  </si>
  <si>
    <t>Hồ sơ</t>
  </si>
  <si>
    <t>Phối hợp thực hiện mua sắm, tiếp nhận, kiểm kê và nghiệm thu bàn giao sách, tài liệu mới bổ sung</t>
  </si>
  <si>
    <t>PHT Huỳnh Văn
Chung</t>
  </si>
  <si>
    <t xml:space="preserve">Biên bản bàn
giao/Hóa đơn </t>
  </si>
  <si>
    <t>Tham gia Cuộc thi trực tuyến "Tìm hiểu Nghị quyết số 57-NQ/TW ngày 22/12/2024 của Bộ Chính trị".</t>
  </si>
  <si>
    <t>Chứng nhận</t>
  </si>
  <si>
    <t>Phòng TCCB&amp;CTHSSV</t>
  </si>
  <si>
    <t>Quán triệt và triển khai nghiêm túc đến toàn thể viên chức các quy định mới ban hành của Trường</t>
  </si>
  <si>
    <t>Văn bản</t>
  </si>
  <si>
    <t>Triển khai Kế hoạch nhiệm vụ số hóa, tạo lập dữ liệu đảng viên, hồ sơ đảng viên điện tử</t>
  </si>
  <si>
    <t>Tham gia tập huấn, bồi dưỡng chuyên sâu về xây dựng học liệu số, bài giảng điện tử chuẩn SCORM/xAPI và khai thác LMS</t>
  </si>
  <si>
    <t>Lượt tham gia</t>
  </si>
  <si>
    <t>Báo cáo kiểm tra, đôn đốc, theo dõi sĩ số, nền nếp lớp học của nhà giáo và học sinh, sinh viên</t>
  </si>
  <si>
    <t>LĐK, TBM</t>
  </si>
  <si>
    <t>Biên bản</t>
  </si>
  <si>
    <t>Chuẩn bị nội dung sinh hoạt chi bộ, công đoàn, đoàn thanh niên</t>
  </si>
  <si>
    <t>Chương trình</t>
  </si>
  <si>
    <t>Quán triệt kỷ luật, kỷ cương hành chính đối với viên chức</t>
  </si>
  <si>
    <t>Theo dõi việc thực hiện quy tắc ứng xử nhà giáo</t>
  </si>
  <si>
    <t>Triển khai kế hoạch tổ chức Tết Trung thu năm 2026 cho con viên chức, người lao động Trường Cao đẳng Kon Tum</t>
  </si>
  <si>
    <t>Công đoàn cơ sở Trường Cao đẳng Kon Tum</t>
  </si>
  <si>
    <t>Triển khai thực hiện "Bếp ăn tập trung và Bếp ăn từ thiện" cho sinh viên</t>
  </si>
  <si>
    <t>Giám sát</t>
  </si>
  <si>
    <t xml:space="preserve">Duy trì ổn định chính trị nội bộ, đảm bảo an ninh trật tự trường học </t>
  </si>
  <si>
    <t>Triển khai Kế hoạch tổ chức Cuộc thi "Học sinh, sinh viên với ý tưởng khởi nghiệp" năm 2026</t>
  </si>
  <si>
    <t>PTK Nguyễn Thị Bích Hạnh</t>
  </si>
  <si>
    <t>1</t>
  </si>
  <si>
    <t>Tham gia tập huấn giảng dạy tích hợp</t>
  </si>
  <si>
    <t>2</t>
  </si>
  <si>
    <t>Hội thảo giới thiệu và thử nghiệm về bộ công cụ AI</t>
  </si>
  <si>
    <t>3</t>
  </si>
  <si>
    <t>Dự Hội nghị trực tuyến học tập, quán triệt các chỉ thị, nghị quyết chuyên đề của Bộ Chính trị và nghị quyết của Ban Chấp hành Đảng bộ tỉnh khóa I, nhiệm kỳ 2025 – 2030, các nghị quyết, quy định, kết luận và kế hoạch, chương trình thực hiện Nghị quyết Hội nghị lần thứ ba Ban Chấp hành Trung ương Đảng khóa XIV.</t>
  </si>
  <si>
    <t>4</t>
  </si>
  <si>
    <t>Dự Hội nghị trực tuyến nghiên cứu, học tập, quán triệt và triển khai thực hiện một số Nghị quyết, Chỉ thị của Bộ Chính trị.</t>
  </si>
  <si>
    <t>5</t>
  </si>
  <si>
    <t>Hội nghị tập huấn, hướng dẫn sử dụng Phần mềm KPI</t>
  </si>
  <si>
    <t>6</t>
  </si>
  <si>
    <t>Tham gia Chương trình đi bộ “Cùng Việt Nam tiến bước” năm 2026</t>
  </si>
  <si>
    <r>
      <rPr>
        <b/>
        <sz val="11"/>
        <rFont val="Times New Roman"/>
        <family val="1"/>
      </rPr>
      <t>Nơi nhận:</t>
    </r>
    <r>
      <rPr>
        <sz val="11"/>
        <rFont val="Times New Roman"/>
        <family val="1"/>
      </rPr>
      <t xml:space="preserve">
- Lãnh đạo Trường;
- Phòng THHC&amp;QT;
- Lưu: KHCB.</t>
    </r>
  </si>
  <si>
    <t>Quảng Ngãi, ngày 14 tháng 9 năm 2026
TRƯỞNG KHOA</t>
  </si>
  <si>
    <t>KHOA CÁC KHOA HỌC CƠ BẢN</t>
  </si>
  <si>
    <t>Tập huấn, triển khai sử dụng một số công cụ trí tuệ nhân tạo (AI) do nhà trường ban hành</t>
  </si>
  <si>
    <t>Lượt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</si>
</sst>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_);_(* \(#,##0.0\);_(* &quot;-&quot;??_);_(@_)"/>
    <numFmt numFmtId="165" formatCode="_(* #,##0_);_(* \(#,##0\);_(* &quot;-&quot;??_);_(@_)"/>
  </numFmts>
  <fonts count="16" x14ac:knownFonts="1">
    <font>
      <sz val="11"/>
      <color theme="1"/>
      <name val="Calibri"/>
      <family val="2"/>
      <scheme val="minor"/>
    </font>
    <font>
      <b/>
      <sz val="14"/>
      <color theme="1"/>
      <name val="Times New Roman"/>
      <family val="1"/>
    </font>
    <font>
      <sz val="14"/>
      <color theme="1"/>
      <name val="Calibri"/>
      <family val="2"/>
      <scheme val="minor"/>
    </font>
    <font>
      <sz val="12"/>
      <color theme="1"/>
      <name val="Times New Roman"/>
      <family val="1"/>
    </font>
    <font>
      <b/>
      <sz val="12"/>
      <color theme="1"/>
      <name val="Times New Roman"/>
      <family val="1"/>
    </font>
    <font>
      <sz val="12"/>
      <color theme="1"/>
      <name val="Calibri"/>
      <family val="2"/>
      <scheme val="minor"/>
    </font>
    <font>
      <b/>
      <sz val="13"/>
      <color theme="1"/>
      <name val="Times New Roman"/>
      <family val="1"/>
    </font>
    <font>
      <sz val="11"/>
      <name val="Calibri"/>
      <family val="2"/>
      <scheme val="minor"/>
    </font>
    <font>
      <b/>
      <sz val="12"/>
      <name val="Times New Roman"/>
      <family val="1"/>
    </font>
    <font>
      <sz val="12"/>
      <name val="Times New Roman"/>
      <family val="1"/>
    </font>
    <font>
      <sz val="13"/>
      <color theme="1"/>
      <name val="Times New Roman"/>
      <family val="1"/>
    </font>
    <font>
      <sz val="13"/>
      <color theme="1"/>
      <name val="Calibri"/>
      <family val="2"/>
      <scheme val="minor"/>
    </font>
    <font>
      <sz val="11"/>
      <color theme="1"/>
      <name val="Calibri"/>
      <family val="2"/>
      <scheme val="minor"/>
    </font>
    <font>
      <sz val="11"/>
      <name val="Times New Roman"/>
      <family val="1"/>
    </font>
    <font>
      <b/>
      <sz val="11"/>
      <name val="Times New Roman"/>
      <family val="1"/>
    </font>
    <font>
      <sz val="12"/>
      <color rgb="FF333333"/>
      <name val="Times New Roman"/>
      <family val="1"/>
    </font>
  </fonts>
  <fills count="3">
    <fill>
      <patternFill patternType="none"/>
    </fill>
    <fill>
      <patternFill patternType="gray125"/>
    </fill>
    <fill>
      <patternFill patternType="solid">
        <fgColor theme="0"/>
        <bgColor indexed="64"/>
      </patternFill>
    </fill>
  </fills>
  <borders count="1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2">
    <xf numFmtId="0" fontId="0" fillId="0" borderId="0"/>
    <xf numFmtId="43" fontId="12" fillId="0" borderId="0" applyFont="0" applyFill="0" applyBorder="0" applyAlignment="0" applyProtection="0"/>
  </cellStyleXfs>
  <cellXfs count="62">
    <xf numFmtId="0" fontId="0" fillId="0" borderId="0" xfId="0"/>
    <xf numFmtId="0" fontId="0" fillId="2" borderId="0" xfId="0" applyFill="1"/>
    <xf numFmtId="0" fontId="5" fillId="2" borderId="0" xfId="0" applyFont="1" applyFill="1"/>
    <xf numFmtId="0" fontId="6" fillId="2" borderId="0" xfId="0" applyFont="1" applyFill="1" applyAlignment="1">
      <alignment wrapText="1"/>
    </xf>
    <xf numFmtId="0" fontId="4" fillId="2" borderId="0" xfId="0" applyFont="1" applyFill="1" applyAlignment="1">
      <alignment vertical="center"/>
    </xf>
    <xf numFmtId="0" fontId="1" fillId="2" borderId="0" xfId="0" applyFont="1" applyFill="1" applyAlignment="1">
      <alignment vertical="center" wrapText="1"/>
    </xf>
    <xf numFmtId="2" fontId="8" fillId="2" borderId="8" xfId="0" applyNumberFormat="1"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2" xfId="0" applyFont="1" applyFill="1" applyBorder="1" applyAlignment="1">
      <alignment horizontal="center" vertical="center"/>
    </xf>
    <xf numFmtId="0" fontId="8" fillId="2" borderId="2" xfId="0" applyFont="1" applyFill="1" applyBorder="1" applyAlignment="1">
      <alignment vertical="center"/>
    </xf>
    <xf numFmtId="0" fontId="9" fillId="2" borderId="2" xfId="0" applyFont="1" applyFill="1" applyBorder="1" applyAlignment="1">
      <alignment horizontal="center" vertical="center"/>
    </xf>
    <xf numFmtId="0" fontId="9" fillId="2" borderId="2" xfId="0" applyFont="1" applyFill="1" applyBorder="1" applyAlignment="1">
      <alignment horizontal="left" vertical="center" wrapText="1"/>
    </xf>
    <xf numFmtId="0" fontId="9" fillId="2" borderId="2" xfId="0" applyFont="1" applyFill="1" applyBorder="1" applyAlignment="1">
      <alignment horizontal="center" vertical="center" wrapText="1"/>
    </xf>
    <xf numFmtId="43" fontId="9" fillId="2" borderId="2" xfId="1" applyFont="1" applyFill="1" applyBorder="1" applyAlignment="1">
      <alignment horizontal="center" vertical="center" wrapText="1"/>
    </xf>
    <xf numFmtId="164" fontId="9" fillId="2" borderId="2" xfId="1" applyNumberFormat="1" applyFont="1" applyFill="1" applyBorder="1" applyAlignment="1">
      <alignment horizontal="center" vertical="center" wrapText="1"/>
    </xf>
    <xf numFmtId="43" fontId="9" fillId="2" borderId="2" xfId="1" quotePrefix="1" applyFont="1" applyFill="1" applyBorder="1" applyAlignment="1">
      <alignment horizontal="center" vertical="center" wrapText="1"/>
    </xf>
    <xf numFmtId="2" fontId="9" fillId="2" borderId="2" xfId="0" applyNumberFormat="1" applyFont="1" applyFill="1" applyBorder="1" applyAlignment="1">
      <alignment horizontal="center" vertical="center"/>
    </xf>
    <xf numFmtId="165" fontId="9" fillId="2" borderId="2" xfId="1" applyNumberFormat="1" applyFont="1" applyFill="1" applyBorder="1" applyAlignment="1">
      <alignment vertical="center" wrapText="1"/>
    </xf>
    <xf numFmtId="164" fontId="9" fillId="2" borderId="2" xfId="1" applyNumberFormat="1" applyFont="1" applyFill="1" applyBorder="1" applyAlignment="1">
      <alignment horizontal="right" vertical="center" wrapText="1"/>
    </xf>
    <xf numFmtId="0" fontId="9" fillId="2" borderId="0" xfId="0" applyFont="1" applyFill="1" applyAlignment="1">
      <alignment horizontal="left" vertical="center" wrapText="1"/>
    </xf>
    <xf numFmtId="0" fontId="9" fillId="2" borderId="0" xfId="0" applyFont="1" applyFill="1" applyAlignment="1">
      <alignment wrapText="1"/>
    </xf>
    <xf numFmtId="0" fontId="9" fillId="2" borderId="2" xfId="0" applyFont="1" applyFill="1" applyBorder="1" applyAlignment="1">
      <alignment vertical="center" wrapText="1"/>
    </xf>
    <xf numFmtId="0" fontId="0" fillId="2" borderId="0" xfId="0" applyFill="1" applyAlignment="1">
      <alignment vertical="center"/>
    </xf>
    <xf numFmtId="0" fontId="7" fillId="2" borderId="0" xfId="0" applyFont="1" applyFill="1"/>
    <xf numFmtId="0" fontId="13" fillId="2" borderId="2" xfId="0" quotePrefix="1" applyFont="1" applyFill="1" applyBorder="1" applyAlignment="1">
      <alignment horizontal="center" vertical="center" wrapText="1"/>
    </xf>
    <xf numFmtId="165" fontId="9" fillId="2" borderId="2" xfId="1" applyNumberFormat="1" applyFont="1" applyFill="1" applyBorder="1" applyAlignment="1">
      <alignment horizontal="center" vertical="center" wrapText="1"/>
    </xf>
    <xf numFmtId="0" fontId="9" fillId="2" borderId="0" xfId="0" applyFont="1" applyFill="1" applyAlignment="1">
      <alignment vertical="center" wrapText="1"/>
    </xf>
    <xf numFmtId="0" fontId="9" fillId="2" borderId="7" xfId="0" applyFont="1" applyFill="1" applyBorder="1" applyAlignment="1">
      <alignment horizontal="left" vertical="center" wrapText="1"/>
    </xf>
    <xf numFmtId="0" fontId="9" fillId="2" borderId="14"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9" fillId="2" borderId="0" xfId="0" applyFont="1" applyFill="1" applyAlignment="1">
      <alignment vertical="center"/>
    </xf>
    <xf numFmtId="0" fontId="13" fillId="0" borderId="0" xfId="0" applyFont="1" applyAlignment="1">
      <alignment horizontal="left" vertical="center" wrapText="1"/>
    </xf>
    <xf numFmtId="0" fontId="8" fillId="0" borderId="0" xfId="0" applyFont="1" applyAlignment="1">
      <alignment horizontal="center" vertical="center" wrapText="1"/>
    </xf>
    <xf numFmtId="0" fontId="8" fillId="0" borderId="0" xfId="0" applyFont="1" applyAlignment="1">
      <alignment horizontal="center" wrapText="1"/>
    </xf>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8" fillId="2" borderId="2" xfId="0" applyFont="1" applyFill="1" applyBorder="1" applyAlignment="1">
      <alignment vertical="center" wrapText="1"/>
    </xf>
    <xf numFmtId="0" fontId="9" fillId="2" borderId="3" xfId="0" applyFont="1" applyFill="1" applyBorder="1" applyAlignment="1">
      <alignment horizontal="left" vertical="center" wrapText="1"/>
    </xf>
    <xf numFmtId="0" fontId="10" fillId="2" borderId="0" xfId="0" applyFont="1" applyFill="1" applyAlignment="1">
      <alignment horizontal="center"/>
    </xf>
    <xf numFmtId="0" fontId="11" fillId="2" borderId="0" xfId="0" applyFont="1" applyFill="1" applyAlignment="1">
      <alignment horizontal="center"/>
    </xf>
    <xf numFmtId="0" fontId="6" fillId="2" borderId="0" xfId="0" applyFont="1" applyFill="1" applyAlignment="1">
      <alignment horizontal="center" vertical="center" wrapText="1"/>
    </xf>
    <xf numFmtId="0" fontId="2" fillId="2" borderId="0" xfId="0" applyFont="1" applyFill="1" applyAlignment="1">
      <alignment horizontal="center" vertical="center"/>
    </xf>
    <xf numFmtId="0" fontId="8" fillId="2" borderId="8" xfId="0" applyFont="1" applyFill="1" applyBorder="1" applyAlignment="1">
      <alignment horizontal="center" vertical="center" wrapText="1"/>
    </xf>
    <xf numFmtId="0" fontId="9" fillId="2" borderId="10" xfId="0" applyFont="1" applyFill="1" applyBorder="1"/>
    <xf numFmtId="0" fontId="6" fillId="2" borderId="0" xfId="0" applyFont="1" applyFill="1" applyAlignment="1">
      <alignment horizontal="center" wrapText="1"/>
    </xf>
    <xf numFmtId="2" fontId="8" fillId="2" borderId="8" xfId="0" applyNumberFormat="1" applyFont="1" applyFill="1" applyBorder="1" applyAlignment="1">
      <alignment horizontal="center" vertical="center" wrapText="1"/>
    </xf>
    <xf numFmtId="2" fontId="9" fillId="2" borderId="9" xfId="0" applyNumberFormat="1" applyFont="1" applyFill="1" applyBorder="1" applyAlignment="1">
      <alignment wrapText="1"/>
    </xf>
    <xf numFmtId="0" fontId="3" fillId="2" borderId="1" xfId="0" applyFont="1" applyFill="1" applyBorder="1" applyAlignment="1">
      <alignment horizontal="left" vertical="center"/>
    </xf>
    <xf numFmtId="0" fontId="8" fillId="2" borderId="11"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8" fillId="2" borderId="4" xfId="0" applyFont="1" applyFill="1" applyBorder="1" applyAlignment="1">
      <alignment horizontal="left" vertical="center" wrapText="1"/>
    </xf>
    <xf numFmtId="0" fontId="8" fillId="2" borderId="5" xfId="0" applyFont="1" applyFill="1" applyBorder="1" applyAlignment="1">
      <alignment horizontal="left" vertical="center" wrapText="1"/>
    </xf>
    <xf numFmtId="0" fontId="8" fillId="2" borderId="4" xfId="0" applyFont="1" applyFill="1" applyBorder="1" applyAlignment="1">
      <alignment horizontal="left" vertical="center"/>
    </xf>
    <xf numFmtId="0" fontId="8" fillId="2" borderId="5" xfId="0" applyFont="1" applyFill="1" applyBorder="1" applyAlignment="1">
      <alignment horizontal="left" vertical="center"/>
    </xf>
    <xf numFmtId="0" fontId="8" fillId="2" borderId="2" xfId="0" applyFont="1" applyFill="1" applyBorder="1" applyAlignment="1">
      <alignment horizontal="left" vertical="center"/>
    </xf>
    <xf numFmtId="0" fontId="8" fillId="2" borderId="2" xfId="0" applyFont="1" applyFill="1" applyBorder="1" applyAlignment="1">
      <alignment horizontal="left" vertical="center" wrapText="1"/>
    </xf>
    <xf numFmtId="0" fontId="15" fillId="0" borderId="0" xfId="0" applyFont="1" applyAlignment="1">
      <alignment wrapText="1"/>
    </xf>
    <xf numFmtId="0" fontId="13" fillId="0" borderId="2" xfId="0" applyFont="1" applyBorder="1" applyAlignment="1">
      <alignment horizontal="left" vertical="center" wrapText="1"/>
    </xf>
    <xf numFmtId="0" fontId="13" fillId="0" borderId="2" xfId="0" applyFont="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611817</xdr:colOff>
      <xdr:row>2</xdr:row>
      <xdr:rowOff>242848</xdr:rowOff>
    </xdr:from>
    <xdr:to>
      <xdr:col>1</xdr:col>
      <xdr:colOff>1409676</xdr:colOff>
      <xdr:row>2</xdr:row>
      <xdr:rowOff>242848</xdr:rowOff>
    </xdr:to>
    <xdr:cxnSp macro="">
      <xdr:nvCxnSpPr>
        <xdr:cNvPr id="2" name="Straight Connector 1">
          <a:extLst>
            <a:ext uri="{FF2B5EF4-FFF2-40B4-BE49-F238E27FC236}">
              <a16:creationId xmlns:a16="http://schemas.microsoft.com/office/drawing/2014/main" id="{00000000-0008-0000-0000-000002000000}"/>
            </a:ext>
          </a:extLst>
        </xdr:cNvPr>
        <xdr:cNvCxnSpPr/>
      </xdr:nvCxnSpPr>
      <xdr:spPr>
        <a:xfrm>
          <a:off x="979210" y="1154527"/>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279735</xdr:colOff>
      <xdr:row>3</xdr:row>
      <xdr:rowOff>49249</xdr:rowOff>
    </xdr:from>
    <xdr:to>
      <xdr:col>12</xdr:col>
      <xdr:colOff>381001</xdr:colOff>
      <xdr:row>3</xdr:row>
      <xdr:rowOff>49249</xdr:rowOff>
    </xdr:to>
    <xdr:cxnSp macro="">
      <xdr:nvCxnSpPr>
        <xdr:cNvPr id="3" name="Straight Connector 2">
          <a:extLst>
            <a:ext uri="{FF2B5EF4-FFF2-40B4-BE49-F238E27FC236}">
              <a16:creationId xmlns:a16="http://schemas.microsoft.com/office/drawing/2014/main" id="{00000000-0008-0000-0000-000003000000}"/>
            </a:ext>
          </a:extLst>
        </xdr:cNvPr>
        <xdr:cNvCxnSpPr/>
      </xdr:nvCxnSpPr>
      <xdr:spPr>
        <a:xfrm>
          <a:off x="9151592" y="1205856"/>
          <a:ext cx="203348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1006927</xdr:colOff>
      <xdr:row>3</xdr:row>
      <xdr:rowOff>533400</xdr:rowOff>
    </xdr:from>
    <xdr:to>
      <xdr:col>6</xdr:col>
      <xdr:colOff>176892</xdr:colOff>
      <xdr:row>3</xdr:row>
      <xdr:rowOff>533400</xdr:rowOff>
    </xdr:to>
    <xdr:cxnSp macro="">
      <xdr:nvCxnSpPr>
        <xdr:cNvPr id="4" name="Straight Connector 3">
          <a:extLst>
            <a:ext uri="{FF2B5EF4-FFF2-40B4-BE49-F238E27FC236}">
              <a16:creationId xmlns:a16="http://schemas.microsoft.com/office/drawing/2014/main" id="{00000000-0008-0000-0000-000004000000}"/>
            </a:ext>
          </a:extLst>
        </xdr:cNvPr>
        <xdr:cNvCxnSpPr/>
      </xdr:nvCxnSpPr>
      <xdr:spPr>
        <a:xfrm>
          <a:off x="6300106" y="1690007"/>
          <a:ext cx="80282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816428</xdr:colOff>
      <xdr:row>0</xdr:row>
      <xdr:rowOff>504815</xdr:rowOff>
    </xdr:from>
    <xdr:to>
      <xdr:col>6</xdr:col>
      <xdr:colOff>403598</xdr:colOff>
      <xdr:row>0</xdr:row>
      <xdr:rowOff>504815</xdr:rowOff>
    </xdr:to>
    <xdr:cxnSp macro="">
      <xdr:nvCxnSpPr>
        <xdr:cNvPr id="6" name="Straight Connector 5">
          <a:extLst>
            <a:ext uri="{FF2B5EF4-FFF2-40B4-BE49-F238E27FC236}">
              <a16:creationId xmlns:a16="http://schemas.microsoft.com/office/drawing/2014/main" id="{00000000-0008-0000-0000-000006000000}"/>
            </a:ext>
          </a:extLst>
        </xdr:cNvPr>
        <xdr:cNvCxnSpPr/>
      </xdr:nvCxnSpPr>
      <xdr:spPr>
        <a:xfrm>
          <a:off x="6109607" y="504815"/>
          <a:ext cx="122002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mc:AlternateContent xmlns:mc="http://schemas.openxmlformats.org/markup-compatibility/2006">
    <mc:Choice xmlns:a14="http://schemas.microsoft.com/office/drawing/2010/main" Requires="a14">
      <xdr:twoCellAnchor>
        <xdr:from>
          <xdr:col>7</xdr:col>
          <xdr:colOff>412750</xdr:colOff>
          <xdr:row>57</xdr:row>
          <xdr:rowOff>19050</xdr:rowOff>
        </xdr:from>
        <xdr:to>
          <xdr:col>10</xdr:col>
          <xdr:colOff>266700</xdr:colOff>
          <xdr:row>59</xdr:row>
          <xdr:rowOff>285750</xdr:rowOff>
        </xdr:to>
        <xdr:sp macro="" textlink="">
          <xdr:nvSpPr>
            <xdr:cNvPr id="1028" name="Object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B42E2-2B61-4B4F-A642-CBE7C4BEBB84}">
  <dimension ref="A1:Q60"/>
  <sheetViews>
    <sheetView tabSelected="1" topLeftCell="A55" zoomScale="70" zoomScaleNormal="70" zoomScaleSheetLayoutView="70" workbookViewId="0">
      <selection activeCell="M15" sqref="M15"/>
    </sheetView>
  </sheetViews>
  <sheetFormatPr defaultRowHeight="32.5" customHeight="1" x14ac:dyDescent="0.35"/>
  <cols>
    <col min="1" max="1" width="6.1796875" style="1" customWidth="1"/>
    <col min="2" max="2" width="31.1796875" style="1" customWidth="1"/>
    <col min="3" max="3" width="16.453125" style="1" customWidth="1"/>
    <col min="4" max="4" width="17.1796875" style="1" customWidth="1"/>
    <col min="5" max="5" width="14.453125" style="1" customWidth="1"/>
    <col min="6" max="6" width="7" style="1" customWidth="1"/>
    <col min="7" max="7" width="10.1796875" style="1" customWidth="1"/>
    <col min="8" max="8" width="8.453125" style="1" customWidth="1"/>
    <col min="9" max="9" width="6.81640625" style="1" customWidth="1"/>
    <col min="10" max="10" width="7.26953125" style="1" customWidth="1"/>
    <col min="11" max="11" width="11.453125" style="1" customWidth="1"/>
    <col min="12" max="12" width="9.54296875" style="1" customWidth="1"/>
    <col min="13" max="13" width="10.453125" style="1" customWidth="1"/>
    <col min="14" max="14" width="7.7265625" style="1" customWidth="1"/>
    <col min="15" max="15" width="10.453125" style="1" customWidth="1"/>
    <col min="16" max="16" width="8.90625" style="1" customWidth="1"/>
    <col min="17" max="16384" width="8.7265625" style="1"/>
  </cols>
  <sheetData>
    <row r="1" spans="1:17" ht="42.75" customHeight="1" x14ac:dyDescent="0.35">
      <c r="A1" s="35" t="s">
        <v>0</v>
      </c>
      <c r="B1" s="36"/>
      <c r="C1" s="36"/>
      <c r="D1" s="36"/>
      <c r="E1" s="36"/>
      <c r="F1" s="36"/>
      <c r="G1" s="36"/>
      <c r="H1" s="36"/>
      <c r="I1" s="36"/>
      <c r="J1" s="36"/>
      <c r="K1" s="36"/>
      <c r="L1" s="36"/>
      <c r="M1" s="36"/>
      <c r="N1" s="36"/>
      <c r="O1" s="36"/>
      <c r="P1" s="36"/>
    </row>
    <row r="2" spans="1:17" s="2" customFormat="1" ht="28.5" customHeight="1" x14ac:dyDescent="0.4">
      <c r="A2" s="41" t="s">
        <v>1</v>
      </c>
      <c r="B2" s="42"/>
      <c r="E2" s="3"/>
      <c r="F2" s="3"/>
      <c r="G2" s="47" t="s">
        <v>2</v>
      </c>
      <c r="H2" s="47"/>
      <c r="I2" s="47"/>
      <c r="J2" s="47"/>
      <c r="K2" s="47"/>
      <c r="L2" s="47"/>
      <c r="M2" s="47"/>
      <c r="N2" s="47"/>
      <c r="O2" s="47"/>
      <c r="P2" s="47"/>
    </row>
    <row r="3" spans="1:17" s="2" customFormat="1" ht="18.75" customHeight="1" x14ac:dyDescent="0.35">
      <c r="A3" s="43" t="s">
        <v>136</v>
      </c>
      <c r="B3" s="43"/>
      <c r="C3" s="4"/>
      <c r="E3" s="5"/>
      <c r="F3" s="5"/>
      <c r="G3" s="35" t="s">
        <v>3</v>
      </c>
      <c r="H3" s="35"/>
      <c r="I3" s="35"/>
      <c r="J3" s="35"/>
      <c r="K3" s="35"/>
      <c r="L3" s="35"/>
      <c r="M3" s="35"/>
      <c r="N3" s="35"/>
      <c r="O3" s="35"/>
      <c r="P3" s="35"/>
    </row>
    <row r="4" spans="1:17" ht="44.25" customHeight="1" x14ac:dyDescent="0.35">
      <c r="A4" s="35" t="s">
        <v>78</v>
      </c>
      <c r="B4" s="44"/>
      <c r="C4" s="44"/>
      <c r="D4" s="44"/>
      <c r="E4" s="44"/>
      <c r="F4" s="44"/>
      <c r="G4" s="44"/>
      <c r="H4" s="44"/>
      <c r="I4" s="44"/>
      <c r="J4" s="44"/>
      <c r="K4" s="44"/>
      <c r="L4" s="44"/>
      <c r="M4" s="44"/>
      <c r="N4" s="44"/>
      <c r="O4" s="44"/>
      <c r="P4" s="44"/>
    </row>
    <row r="5" spans="1:17" ht="9" customHeight="1" x14ac:dyDescent="0.35">
      <c r="A5" s="50"/>
      <c r="B5" s="50"/>
      <c r="C5" s="50"/>
      <c r="D5" s="50"/>
      <c r="E5" s="50"/>
      <c r="F5" s="50"/>
      <c r="G5" s="50"/>
      <c r="H5" s="50"/>
      <c r="I5" s="50"/>
      <c r="J5" s="50"/>
      <c r="K5" s="50"/>
      <c r="L5" s="50"/>
      <c r="M5" s="50"/>
      <c r="N5" s="50"/>
      <c r="O5" s="50"/>
      <c r="P5" s="50"/>
    </row>
    <row r="6" spans="1:17" ht="20.25" customHeight="1" x14ac:dyDescent="0.35">
      <c r="A6" s="37" t="s">
        <v>4</v>
      </c>
      <c r="B6" s="37" t="s">
        <v>5</v>
      </c>
      <c r="C6" s="37" t="s">
        <v>6</v>
      </c>
      <c r="D6" s="37" t="s">
        <v>7</v>
      </c>
      <c r="E6" s="37" t="s">
        <v>8</v>
      </c>
      <c r="F6" s="37" t="s">
        <v>9</v>
      </c>
      <c r="G6" s="37" t="s">
        <v>10</v>
      </c>
      <c r="H6" s="45" t="s">
        <v>11</v>
      </c>
      <c r="I6" s="45" t="s">
        <v>12</v>
      </c>
      <c r="J6" s="51" t="s">
        <v>13</v>
      </c>
      <c r="K6" s="48" t="s">
        <v>14</v>
      </c>
      <c r="L6" s="49"/>
      <c r="M6" s="48" t="s">
        <v>15</v>
      </c>
      <c r="N6" s="49"/>
      <c r="O6" s="48" t="s">
        <v>16</v>
      </c>
      <c r="P6" s="49"/>
      <c r="Q6" s="2"/>
    </row>
    <row r="7" spans="1:17" ht="65.25" customHeight="1" x14ac:dyDescent="0.35">
      <c r="A7" s="38"/>
      <c r="B7" s="38"/>
      <c r="C7" s="38"/>
      <c r="D7" s="38"/>
      <c r="E7" s="38"/>
      <c r="F7" s="38"/>
      <c r="G7" s="38"/>
      <c r="H7" s="46"/>
      <c r="I7" s="46"/>
      <c r="J7" s="52"/>
      <c r="K7" s="6" t="s">
        <v>17</v>
      </c>
      <c r="L7" s="6" t="s">
        <v>18</v>
      </c>
      <c r="M7" s="6" t="s">
        <v>17</v>
      </c>
      <c r="N7" s="6" t="s">
        <v>18</v>
      </c>
      <c r="O7" s="6" t="s">
        <v>17</v>
      </c>
      <c r="P7" s="6" t="s">
        <v>18</v>
      </c>
      <c r="Q7" s="2"/>
    </row>
    <row r="8" spans="1:17" ht="102" customHeight="1" x14ac:dyDescent="0.35">
      <c r="A8" s="24" t="s">
        <v>19</v>
      </c>
      <c r="B8" s="24" t="s">
        <v>20</v>
      </c>
      <c r="C8" s="24" t="s">
        <v>21</v>
      </c>
      <c r="D8" s="24" t="s">
        <v>22</v>
      </c>
      <c r="E8" s="24" t="s">
        <v>23</v>
      </c>
      <c r="F8" s="24" t="s">
        <v>24</v>
      </c>
      <c r="G8" s="24" t="s">
        <v>25</v>
      </c>
      <c r="H8" s="24" t="s">
        <v>26</v>
      </c>
      <c r="I8" s="24" t="s">
        <v>27</v>
      </c>
      <c r="J8" s="24" t="s">
        <v>28</v>
      </c>
      <c r="K8" s="24" t="s">
        <v>29</v>
      </c>
      <c r="L8" s="24" t="s">
        <v>30</v>
      </c>
      <c r="M8" s="24" t="s">
        <v>31</v>
      </c>
      <c r="N8" s="24" t="s">
        <v>32</v>
      </c>
      <c r="O8" s="24" t="s">
        <v>33</v>
      </c>
      <c r="P8" s="24" t="s">
        <v>34</v>
      </c>
    </row>
    <row r="9" spans="1:17" ht="31.5" customHeight="1" x14ac:dyDescent="0.35">
      <c r="A9" s="7" t="s">
        <v>35</v>
      </c>
      <c r="B9" s="39" t="s">
        <v>36</v>
      </c>
      <c r="C9" s="39"/>
      <c r="D9" s="39"/>
      <c r="E9" s="39"/>
      <c r="F9" s="39"/>
      <c r="G9" s="39"/>
      <c r="H9" s="39"/>
      <c r="I9" s="39"/>
      <c r="J9" s="39"/>
      <c r="K9" s="39"/>
      <c r="L9" s="39"/>
      <c r="M9" s="39"/>
      <c r="N9" s="39"/>
      <c r="O9" s="39"/>
      <c r="P9" s="39"/>
    </row>
    <row r="10" spans="1:17" ht="15" x14ac:dyDescent="0.35">
      <c r="A10" s="8">
        <v>1</v>
      </c>
      <c r="B10" s="57" t="s">
        <v>37</v>
      </c>
      <c r="C10" s="57"/>
      <c r="D10" s="57"/>
      <c r="E10" s="57"/>
      <c r="F10" s="8">
        <f>SUM(F26:F30)</f>
        <v>93</v>
      </c>
      <c r="G10" s="9"/>
      <c r="H10" s="9"/>
      <c r="I10" s="9"/>
      <c r="J10" s="8">
        <f>SUM(J26:J30)</f>
        <v>122.79999999999998</v>
      </c>
      <c r="K10" s="8">
        <f t="shared" ref="K10:P10" si="0">SUM(K19:K30)</f>
        <v>125.25</v>
      </c>
      <c r="L10" s="8">
        <f t="shared" si="0"/>
        <v>155.04999999999998</v>
      </c>
      <c r="M10" s="8">
        <f t="shared" si="0"/>
        <v>125</v>
      </c>
      <c r="N10" s="8">
        <f t="shared" si="0"/>
        <v>154.79999999999998</v>
      </c>
      <c r="O10" s="8">
        <f t="shared" si="0"/>
        <v>125</v>
      </c>
      <c r="P10" s="8">
        <f t="shared" si="0"/>
        <v>154.79999999999998</v>
      </c>
    </row>
    <row r="11" spans="1:17" ht="62" x14ac:dyDescent="0.35">
      <c r="A11" s="10">
        <v>1.1000000000000001</v>
      </c>
      <c r="B11" s="11" t="s">
        <v>50</v>
      </c>
      <c r="C11" s="11" t="s">
        <v>38</v>
      </c>
      <c r="D11" s="11" t="s">
        <v>41</v>
      </c>
      <c r="E11" s="12" t="s">
        <v>48</v>
      </c>
      <c r="F11" s="12">
        <v>1</v>
      </c>
      <c r="G11" s="12" t="s">
        <v>42</v>
      </c>
      <c r="H11" s="12">
        <f>IF(G11="Khó và phức tạp",200,IF(G11="Cao",150,IF(G11="Trungbình",120,100)))</f>
        <v>100</v>
      </c>
      <c r="I11" s="12">
        <f>H11*0.01</f>
        <v>1</v>
      </c>
      <c r="J11" s="12">
        <f>F11*I11</f>
        <v>1</v>
      </c>
      <c r="K11" s="13">
        <f>F11*100%</f>
        <v>1</v>
      </c>
      <c r="L11" s="14">
        <f>K11*I11</f>
        <v>1</v>
      </c>
      <c r="M11" s="13">
        <f>K11*100%</f>
        <v>1</v>
      </c>
      <c r="N11" s="14">
        <f>I11*M11</f>
        <v>1</v>
      </c>
      <c r="O11" s="13">
        <f>K11*100%</f>
        <v>1</v>
      </c>
      <c r="P11" s="14">
        <f>I11*O11</f>
        <v>1</v>
      </c>
    </row>
    <row r="12" spans="1:17" ht="31" x14ac:dyDescent="0.35">
      <c r="A12" s="10">
        <v>1.2</v>
      </c>
      <c r="B12" s="11" t="s">
        <v>79</v>
      </c>
      <c r="C12" s="11" t="s">
        <v>64</v>
      </c>
      <c r="D12" s="11" t="s">
        <v>80</v>
      </c>
      <c r="E12" s="12" t="s">
        <v>48</v>
      </c>
      <c r="F12" s="12">
        <v>1</v>
      </c>
      <c r="G12" s="12" t="s">
        <v>66</v>
      </c>
      <c r="H12" s="12">
        <f t="shared" ref="H12:H14" si="1">IF(G12="Khó và phức tạp",200,IF(G12="Cao",150,IF(G12="Trungbình",120,100)))</f>
        <v>100</v>
      </c>
      <c r="I12" s="12">
        <f t="shared" ref="I12:I14" si="2">H12*0.01</f>
        <v>1</v>
      </c>
      <c r="J12" s="12">
        <f t="shared" ref="J12:J14" si="3">F12*I12</f>
        <v>1</v>
      </c>
      <c r="K12" s="13">
        <f>F12*100%</f>
        <v>1</v>
      </c>
      <c r="L12" s="14">
        <f t="shared" ref="L12:L14" si="4">K12*I12</f>
        <v>1</v>
      </c>
      <c r="M12" s="15">
        <f>K12*100%</f>
        <v>1</v>
      </c>
      <c r="N12" s="14">
        <f t="shared" ref="N12:N14" si="5">I12*M12</f>
        <v>1</v>
      </c>
      <c r="O12" s="15">
        <f>K12*100%</f>
        <v>1</v>
      </c>
      <c r="P12" s="14">
        <f t="shared" ref="P12:P14" si="6">I12*O12</f>
        <v>1</v>
      </c>
    </row>
    <row r="13" spans="1:17" ht="62" x14ac:dyDescent="0.35">
      <c r="A13" s="10">
        <v>1.3</v>
      </c>
      <c r="B13" s="21" t="s">
        <v>81</v>
      </c>
      <c r="C13" s="12" t="s">
        <v>82</v>
      </c>
      <c r="D13" s="12" t="s">
        <v>83</v>
      </c>
      <c r="E13" s="12" t="s">
        <v>44</v>
      </c>
      <c r="F13" s="12">
        <v>1</v>
      </c>
      <c r="G13" s="12" t="s">
        <v>51</v>
      </c>
      <c r="H13" s="12">
        <f t="shared" si="1"/>
        <v>150</v>
      </c>
      <c r="I13" s="12">
        <f t="shared" si="2"/>
        <v>1.5</v>
      </c>
      <c r="J13" s="12">
        <f t="shared" si="3"/>
        <v>1.5</v>
      </c>
      <c r="K13" s="13">
        <f>F13*100%</f>
        <v>1</v>
      </c>
      <c r="L13" s="14">
        <f t="shared" si="4"/>
        <v>1.5</v>
      </c>
      <c r="M13" s="13">
        <f>K13*100%</f>
        <v>1</v>
      </c>
      <c r="N13" s="14">
        <f t="shared" si="5"/>
        <v>1.5</v>
      </c>
      <c r="O13" s="13">
        <f>K13*75%</f>
        <v>0.75</v>
      </c>
      <c r="P13" s="14">
        <f t="shared" si="6"/>
        <v>1.125</v>
      </c>
    </row>
    <row r="14" spans="1:17" ht="62" x14ac:dyDescent="0.35">
      <c r="A14" s="10">
        <v>1.4</v>
      </c>
      <c r="B14" s="21" t="s">
        <v>84</v>
      </c>
      <c r="C14" s="12" t="s">
        <v>43</v>
      </c>
      <c r="D14" s="12" t="s">
        <v>85</v>
      </c>
      <c r="E14" s="12" t="s">
        <v>48</v>
      </c>
      <c r="F14" s="12">
        <v>4</v>
      </c>
      <c r="G14" s="12" t="s">
        <v>42</v>
      </c>
      <c r="H14" s="12">
        <f t="shared" si="1"/>
        <v>100</v>
      </c>
      <c r="I14" s="12">
        <f t="shared" si="2"/>
        <v>1</v>
      </c>
      <c r="J14" s="12">
        <f t="shared" si="3"/>
        <v>4</v>
      </c>
      <c r="K14" s="13">
        <f>F14*75%</f>
        <v>3</v>
      </c>
      <c r="L14" s="14">
        <f t="shared" si="4"/>
        <v>3</v>
      </c>
      <c r="M14" s="13">
        <f>K14*100%</f>
        <v>3</v>
      </c>
      <c r="N14" s="14">
        <f t="shared" si="5"/>
        <v>3</v>
      </c>
      <c r="O14" s="13">
        <f>K14*75%</f>
        <v>2.25</v>
      </c>
      <c r="P14" s="14">
        <f t="shared" si="6"/>
        <v>2.25</v>
      </c>
    </row>
    <row r="15" spans="1:17" ht="62" x14ac:dyDescent="0.35">
      <c r="A15" s="10">
        <v>1.5</v>
      </c>
      <c r="B15" s="21" t="s">
        <v>86</v>
      </c>
      <c r="C15" s="12" t="s">
        <v>43</v>
      </c>
      <c r="D15" s="12" t="s">
        <v>77</v>
      </c>
      <c r="E15" s="12" t="s">
        <v>87</v>
      </c>
      <c r="F15" s="12">
        <v>1</v>
      </c>
      <c r="G15" s="12" t="s">
        <v>51</v>
      </c>
      <c r="H15" s="12">
        <f>IF(G15="Khó và phức tạp",200,IF(G15="Cao",150,IF(G15="Trungbình",120,100)))</f>
        <v>150</v>
      </c>
      <c r="I15" s="12">
        <f>H15*0.01</f>
        <v>1.5</v>
      </c>
      <c r="J15" s="12">
        <f>F15*I15</f>
        <v>1.5</v>
      </c>
      <c r="K15" s="13">
        <f t="shared" ref="K15:K21" si="7">F15*100%</f>
        <v>1</v>
      </c>
      <c r="L15" s="14">
        <f>K15*I15</f>
        <v>1.5</v>
      </c>
      <c r="M15" s="13">
        <f>K15*75%</f>
        <v>0.75</v>
      </c>
      <c r="N15" s="14">
        <f>I15*M15</f>
        <v>1.125</v>
      </c>
      <c r="O15" s="13">
        <f>K15*100%</f>
        <v>1</v>
      </c>
      <c r="P15" s="14">
        <f>I15*O15</f>
        <v>1.5</v>
      </c>
    </row>
    <row r="16" spans="1:17" ht="46.5" x14ac:dyDescent="0.35">
      <c r="A16" s="10">
        <v>1.6</v>
      </c>
      <c r="B16" s="21" t="s">
        <v>88</v>
      </c>
      <c r="C16" s="11" t="s">
        <v>46</v>
      </c>
      <c r="D16" s="11" t="s">
        <v>77</v>
      </c>
      <c r="E16" s="12" t="s">
        <v>44</v>
      </c>
      <c r="F16" s="12">
        <v>1</v>
      </c>
      <c r="G16" s="12" t="s">
        <v>66</v>
      </c>
      <c r="H16" s="12">
        <f t="shared" ref="H16:H18" si="8">IF(G16="Khó và phức tạp",200,IF(G16="Cao",150,IF(G16="Trungbình",120,100)))</f>
        <v>100</v>
      </c>
      <c r="I16" s="12">
        <f t="shared" ref="I16:I18" si="9">H16*0.01</f>
        <v>1</v>
      </c>
      <c r="J16" s="12">
        <f t="shared" ref="J16:J18" si="10">F16*I16</f>
        <v>1</v>
      </c>
      <c r="K16" s="13">
        <f t="shared" si="7"/>
        <v>1</v>
      </c>
      <c r="L16" s="14">
        <f t="shared" ref="L16:L18" si="11">K16*I16</f>
        <v>1</v>
      </c>
      <c r="M16" s="15">
        <f t="shared" ref="M16:M24" si="12">K16*100%</f>
        <v>1</v>
      </c>
      <c r="N16" s="14">
        <f t="shared" ref="N16:N18" si="13">I16*M16</f>
        <v>1</v>
      </c>
      <c r="O16" s="15">
        <f>K16*75%</f>
        <v>0.75</v>
      </c>
      <c r="P16" s="14">
        <f t="shared" ref="P16:P18" si="14">I16*O16</f>
        <v>0.75</v>
      </c>
    </row>
    <row r="17" spans="1:16" ht="62" x14ac:dyDescent="0.35">
      <c r="A17" s="10">
        <v>1.7</v>
      </c>
      <c r="B17" s="21" t="s">
        <v>76</v>
      </c>
      <c r="C17" s="11" t="s">
        <v>46</v>
      </c>
      <c r="D17" s="11" t="s">
        <v>77</v>
      </c>
      <c r="E17" s="12" t="s">
        <v>44</v>
      </c>
      <c r="F17" s="12">
        <v>1</v>
      </c>
      <c r="G17" s="12" t="s">
        <v>66</v>
      </c>
      <c r="H17" s="12">
        <f t="shared" si="8"/>
        <v>100</v>
      </c>
      <c r="I17" s="12">
        <f t="shared" si="9"/>
        <v>1</v>
      </c>
      <c r="J17" s="12">
        <f t="shared" si="10"/>
        <v>1</v>
      </c>
      <c r="K17" s="13">
        <f t="shared" si="7"/>
        <v>1</v>
      </c>
      <c r="L17" s="14">
        <f t="shared" si="11"/>
        <v>1</v>
      </c>
      <c r="M17" s="13">
        <f t="shared" si="12"/>
        <v>1</v>
      </c>
      <c r="N17" s="14">
        <f t="shared" si="13"/>
        <v>1</v>
      </c>
      <c r="O17" s="13">
        <f>K17*75%</f>
        <v>0.75</v>
      </c>
      <c r="P17" s="14">
        <f t="shared" si="14"/>
        <v>0.75</v>
      </c>
    </row>
    <row r="18" spans="1:16" ht="62" x14ac:dyDescent="0.35">
      <c r="A18" s="10">
        <v>1.8</v>
      </c>
      <c r="B18" s="21" t="s">
        <v>89</v>
      </c>
      <c r="C18" s="11" t="s">
        <v>64</v>
      </c>
      <c r="D18" s="11" t="s">
        <v>77</v>
      </c>
      <c r="E18" s="12" t="s">
        <v>48</v>
      </c>
      <c r="F18" s="12">
        <v>1</v>
      </c>
      <c r="G18" s="12" t="s">
        <v>42</v>
      </c>
      <c r="H18" s="12">
        <f t="shared" si="8"/>
        <v>100</v>
      </c>
      <c r="I18" s="12">
        <f t="shared" si="9"/>
        <v>1</v>
      </c>
      <c r="J18" s="12">
        <f t="shared" si="10"/>
        <v>1</v>
      </c>
      <c r="K18" s="13">
        <f t="shared" si="7"/>
        <v>1</v>
      </c>
      <c r="L18" s="14">
        <f t="shared" si="11"/>
        <v>1</v>
      </c>
      <c r="M18" s="13">
        <f t="shared" si="12"/>
        <v>1</v>
      </c>
      <c r="N18" s="14">
        <f t="shared" si="13"/>
        <v>1</v>
      </c>
      <c r="O18" s="13">
        <f t="shared" ref="O18:O24" si="15">K18*100%</f>
        <v>1</v>
      </c>
      <c r="P18" s="14">
        <f t="shared" si="14"/>
        <v>1</v>
      </c>
    </row>
    <row r="19" spans="1:16" ht="77.5" x14ac:dyDescent="0.35">
      <c r="A19" s="10">
        <v>1.9</v>
      </c>
      <c r="B19" s="21" t="s">
        <v>90</v>
      </c>
      <c r="C19" s="11" t="s">
        <v>64</v>
      </c>
      <c r="D19" s="11" t="s">
        <v>80</v>
      </c>
      <c r="E19" s="12" t="s">
        <v>48</v>
      </c>
      <c r="F19" s="12">
        <v>1</v>
      </c>
      <c r="G19" s="12" t="s">
        <v>42</v>
      </c>
      <c r="H19" s="12">
        <f>IF(G19="Khó và phức tạp",200,IF(G19="Cao",150,IF(G19="Trungbình",120,100)))</f>
        <v>100</v>
      </c>
      <c r="I19" s="12">
        <f>H19*0.01</f>
        <v>1</v>
      </c>
      <c r="J19" s="12">
        <f>F19*I19</f>
        <v>1</v>
      </c>
      <c r="K19" s="13">
        <f t="shared" si="7"/>
        <v>1</v>
      </c>
      <c r="L19" s="14">
        <f>K19*I19</f>
        <v>1</v>
      </c>
      <c r="M19" s="13">
        <f t="shared" si="12"/>
        <v>1</v>
      </c>
      <c r="N19" s="14">
        <f>I19*M19</f>
        <v>1</v>
      </c>
      <c r="O19" s="13">
        <f t="shared" si="15"/>
        <v>1</v>
      </c>
      <c r="P19" s="14">
        <f>I19*O19</f>
        <v>1</v>
      </c>
    </row>
    <row r="20" spans="1:16" ht="62" x14ac:dyDescent="0.35">
      <c r="A20" s="16">
        <v>1.1000000000000001</v>
      </c>
      <c r="B20" s="21" t="s">
        <v>91</v>
      </c>
      <c r="C20" s="11" t="s">
        <v>46</v>
      </c>
      <c r="D20" s="11" t="s">
        <v>80</v>
      </c>
      <c r="E20" s="12" t="s">
        <v>48</v>
      </c>
      <c r="F20" s="12">
        <v>1</v>
      </c>
      <c r="G20" s="12" t="s">
        <v>42</v>
      </c>
      <c r="H20" s="12">
        <f t="shared" ref="H20:H22" si="16">IF(G20="Khó và phức tạp",200,IF(G20="Cao",150,IF(G20="Trungbình",120,100)))</f>
        <v>100</v>
      </c>
      <c r="I20" s="12">
        <f t="shared" ref="I20:I22" si="17">H20*0.01</f>
        <v>1</v>
      </c>
      <c r="J20" s="12">
        <f t="shared" ref="J20:J22" si="18">F20*I20</f>
        <v>1</v>
      </c>
      <c r="K20" s="13">
        <f t="shared" si="7"/>
        <v>1</v>
      </c>
      <c r="L20" s="14">
        <f t="shared" ref="L20:L22" si="19">K20*I20</f>
        <v>1</v>
      </c>
      <c r="M20" s="15">
        <f t="shared" si="12"/>
        <v>1</v>
      </c>
      <c r="N20" s="14">
        <f t="shared" ref="N20:N22" si="20">I20*M20</f>
        <v>1</v>
      </c>
      <c r="O20" s="15">
        <f t="shared" si="15"/>
        <v>1</v>
      </c>
      <c r="P20" s="14">
        <f t="shared" ref="P20:P22" si="21">I20*O20</f>
        <v>1</v>
      </c>
    </row>
    <row r="21" spans="1:16" ht="31" x14ac:dyDescent="0.35">
      <c r="A21" s="16">
        <v>1.1100000000000001</v>
      </c>
      <c r="B21" s="11" t="s">
        <v>92</v>
      </c>
      <c r="C21" s="11" t="s">
        <v>93</v>
      </c>
      <c r="D21" s="11" t="s">
        <v>77</v>
      </c>
      <c r="E21" s="12" t="s">
        <v>94</v>
      </c>
      <c r="F21" s="12">
        <v>1</v>
      </c>
      <c r="G21" s="12" t="s">
        <v>42</v>
      </c>
      <c r="H21" s="12">
        <f t="shared" si="16"/>
        <v>100</v>
      </c>
      <c r="I21" s="12">
        <f t="shared" si="17"/>
        <v>1</v>
      </c>
      <c r="J21" s="12">
        <f t="shared" si="18"/>
        <v>1</v>
      </c>
      <c r="K21" s="13">
        <f t="shared" si="7"/>
        <v>1</v>
      </c>
      <c r="L21" s="14">
        <f t="shared" si="19"/>
        <v>1</v>
      </c>
      <c r="M21" s="13">
        <f t="shared" si="12"/>
        <v>1</v>
      </c>
      <c r="N21" s="14">
        <f t="shared" si="20"/>
        <v>1</v>
      </c>
      <c r="O21" s="13">
        <f t="shared" si="15"/>
        <v>1</v>
      </c>
      <c r="P21" s="14">
        <f t="shared" si="21"/>
        <v>1</v>
      </c>
    </row>
    <row r="22" spans="1:16" ht="31" x14ac:dyDescent="0.35">
      <c r="A22" s="10">
        <v>1.1200000000000001</v>
      </c>
      <c r="B22" s="11" t="s">
        <v>95</v>
      </c>
      <c r="C22" s="11" t="s">
        <v>93</v>
      </c>
      <c r="D22" s="11" t="s">
        <v>80</v>
      </c>
      <c r="E22" s="12" t="s">
        <v>96</v>
      </c>
      <c r="F22" s="12">
        <v>35</v>
      </c>
      <c r="G22" s="12" t="s">
        <v>42</v>
      </c>
      <c r="H22" s="12">
        <f t="shared" si="16"/>
        <v>100</v>
      </c>
      <c r="I22" s="12">
        <f t="shared" si="17"/>
        <v>1</v>
      </c>
      <c r="J22" s="12">
        <f t="shared" si="18"/>
        <v>35</v>
      </c>
      <c r="K22" s="13">
        <f>F22*75%</f>
        <v>26.25</v>
      </c>
      <c r="L22" s="14">
        <f t="shared" si="19"/>
        <v>26.25</v>
      </c>
      <c r="M22" s="13">
        <f t="shared" si="12"/>
        <v>26.25</v>
      </c>
      <c r="N22" s="14">
        <f t="shared" si="20"/>
        <v>26.25</v>
      </c>
      <c r="O22" s="13">
        <f t="shared" si="15"/>
        <v>26.25</v>
      </c>
      <c r="P22" s="14">
        <f t="shared" si="21"/>
        <v>26.25</v>
      </c>
    </row>
    <row r="23" spans="1:16" ht="46.5" x14ac:dyDescent="0.35">
      <c r="A23" s="16">
        <v>1.1299999999999999</v>
      </c>
      <c r="B23" s="11" t="s">
        <v>45</v>
      </c>
      <c r="C23" s="11" t="s">
        <v>46</v>
      </c>
      <c r="D23" s="11" t="s">
        <v>47</v>
      </c>
      <c r="E23" s="12" t="s">
        <v>48</v>
      </c>
      <c r="F23" s="12">
        <v>1</v>
      </c>
      <c r="G23" s="12" t="s">
        <v>42</v>
      </c>
      <c r="H23" s="12">
        <f>IF(G23="Khó và phức tạp",200,IF(G23="Cao",150,IF(G23="Trungbình",120,100)))</f>
        <v>100</v>
      </c>
      <c r="I23" s="12">
        <f>H23*0.01</f>
        <v>1</v>
      </c>
      <c r="J23" s="12">
        <f>F23*I23</f>
        <v>1</v>
      </c>
      <c r="K23" s="13">
        <f>F23*100%</f>
        <v>1</v>
      </c>
      <c r="L23" s="14">
        <f>K23*I23</f>
        <v>1</v>
      </c>
      <c r="M23" s="13">
        <f t="shared" si="12"/>
        <v>1</v>
      </c>
      <c r="N23" s="14">
        <f>I23*M23</f>
        <v>1</v>
      </c>
      <c r="O23" s="13">
        <f t="shared" si="15"/>
        <v>1</v>
      </c>
      <c r="P23" s="14">
        <f>I23*O23</f>
        <v>1</v>
      </c>
    </row>
    <row r="24" spans="1:16" ht="46.5" x14ac:dyDescent="0.35">
      <c r="A24" s="16">
        <v>1.1399999999999999</v>
      </c>
      <c r="B24" s="11" t="s">
        <v>49</v>
      </c>
      <c r="C24" s="11" t="s">
        <v>46</v>
      </c>
      <c r="D24" s="11" t="s">
        <v>47</v>
      </c>
      <c r="E24" s="12" t="s">
        <v>44</v>
      </c>
      <c r="F24" s="12">
        <v>1</v>
      </c>
      <c r="G24" s="12" t="s">
        <v>42</v>
      </c>
      <c r="H24" s="12">
        <f t="shared" ref="H24:H25" si="22">IF(G24="Khó và phức tạp",200,IF(G24="Cao",150,IF(G24="Trungbình",120,100)))</f>
        <v>100</v>
      </c>
      <c r="I24" s="12">
        <f t="shared" ref="I24:I25" si="23">H24*0.01</f>
        <v>1</v>
      </c>
      <c r="J24" s="12">
        <f t="shared" ref="J24" si="24">F24*I24</f>
        <v>1</v>
      </c>
      <c r="K24" s="13">
        <f>F24*100%</f>
        <v>1</v>
      </c>
      <c r="L24" s="14">
        <f t="shared" ref="L24:L25" si="25">K24*I24</f>
        <v>1</v>
      </c>
      <c r="M24" s="15">
        <f t="shared" si="12"/>
        <v>1</v>
      </c>
      <c r="N24" s="14">
        <f t="shared" ref="N24:N25" si="26">I24*M24</f>
        <v>1</v>
      </c>
      <c r="O24" s="15">
        <f t="shared" si="15"/>
        <v>1</v>
      </c>
      <c r="P24" s="14">
        <f t="shared" ref="P24:P25" si="27">I24*O24</f>
        <v>1</v>
      </c>
    </row>
    <row r="25" spans="1:16" ht="62" x14ac:dyDescent="0.35">
      <c r="A25" s="10">
        <v>1.1499999999999999</v>
      </c>
      <c r="B25" s="27" t="s">
        <v>97</v>
      </c>
      <c r="C25" s="28" t="s">
        <v>98</v>
      </c>
      <c r="D25" s="28" t="s">
        <v>70</v>
      </c>
      <c r="E25" s="28" t="s">
        <v>99</v>
      </c>
      <c r="F25" s="28">
        <v>1</v>
      </c>
      <c r="G25" s="29" t="s">
        <v>42</v>
      </c>
      <c r="H25" s="12">
        <f t="shared" si="22"/>
        <v>100</v>
      </c>
      <c r="I25" s="12">
        <f t="shared" si="23"/>
        <v>1</v>
      </c>
      <c r="J25" s="12">
        <f>F25*I25</f>
        <v>1</v>
      </c>
      <c r="K25" s="13">
        <f>F25*100%</f>
        <v>1</v>
      </c>
      <c r="L25" s="14">
        <f t="shared" si="25"/>
        <v>1</v>
      </c>
      <c r="M25" s="13">
        <f>K25*75%</f>
        <v>0.75</v>
      </c>
      <c r="N25" s="14">
        <f t="shared" si="26"/>
        <v>0.75</v>
      </c>
      <c r="O25" s="13">
        <f>K25*75%</f>
        <v>0.75</v>
      </c>
      <c r="P25" s="14">
        <f t="shared" si="27"/>
        <v>0.75</v>
      </c>
    </row>
    <row r="26" spans="1:16" ht="62" x14ac:dyDescent="0.35">
      <c r="A26" s="16">
        <v>1.1599999999999999</v>
      </c>
      <c r="B26" s="27" t="s">
        <v>55</v>
      </c>
      <c r="C26" s="28" t="s">
        <v>56</v>
      </c>
      <c r="D26" s="28" t="s">
        <v>52</v>
      </c>
      <c r="E26" s="28" t="s">
        <v>57</v>
      </c>
      <c r="F26" s="28">
        <v>1</v>
      </c>
      <c r="G26" s="28" t="s">
        <v>51</v>
      </c>
      <c r="H26" s="28">
        <v>150</v>
      </c>
      <c r="I26" s="12">
        <f t="shared" ref="I26:I28" si="28">H26*0.01</f>
        <v>1.5</v>
      </c>
      <c r="J26" s="12">
        <f t="shared" ref="J26:J28" si="29">F26*I26</f>
        <v>1.5</v>
      </c>
      <c r="K26" s="17">
        <f t="shared" ref="K26" si="30">F26*100%</f>
        <v>1</v>
      </c>
      <c r="L26" s="18">
        <f t="shared" ref="L26:L28" si="31">K26*I26</f>
        <v>1.5</v>
      </c>
      <c r="M26" s="10">
        <f t="shared" ref="M26:M29" si="32">K26*100%</f>
        <v>1</v>
      </c>
      <c r="N26" s="14">
        <f t="shared" ref="N26:N28" si="33">I26*M26</f>
        <v>1.5</v>
      </c>
      <c r="O26" s="10">
        <f t="shared" ref="O26:O30" si="34">K26*100%</f>
        <v>1</v>
      </c>
      <c r="P26" s="14">
        <f t="shared" ref="P26:P28" si="35">I26*O26</f>
        <v>1.5</v>
      </c>
    </row>
    <row r="27" spans="1:16" ht="31" x14ac:dyDescent="0.35">
      <c r="A27" s="16">
        <v>1.17</v>
      </c>
      <c r="B27" s="11" t="s">
        <v>75</v>
      </c>
      <c r="C27" s="30" t="s">
        <v>54</v>
      </c>
      <c r="D27" s="30" t="s">
        <v>58</v>
      </c>
      <c r="E27" s="30" t="s">
        <v>59</v>
      </c>
      <c r="F27" s="30">
        <v>37</v>
      </c>
      <c r="G27" s="30" t="s">
        <v>51</v>
      </c>
      <c r="H27" s="30">
        <v>150</v>
      </c>
      <c r="I27" s="12">
        <f t="shared" si="28"/>
        <v>1.5</v>
      </c>
      <c r="J27" s="12">
        <f t="shared" si="29"/>
        <v>55.5</v>
      </c>
      <c r="K27" s="17">
        <f>F27*100%</f>
        <v>37</v>
      </c>
      <c r="L27" s="18">
        <f t="shared" si="31"/>
        <v>55.5</v>
      </c>
      <c r="M27" s="10">
        <f t="shared" si="32"/>
        <v>37</v>
      </c>
      <c r="N27" s="14">
        <f t="shared" si="33"/>
        <v>55.5</v>
      </c>
      <c r="O27" s="10">
        <f t="shared" si="34"/>
        <v>37</v>
      </c>
      <c r="P27" s="18">
        <f t="shared" si="35"/>
        <v>55.5</v>
      </c>
    </row>
    <row r="28" spans="1:16" ht="46.5" x14ac:dyDescent="0.35">
      <c r="A28" s="10">
        <v>1.18</v>
      </c>
      <c r="B28" s="21" t="s">
        <v>60</v>
      </c>
      <c r="C28" s="30" t="s">
        <v>54</v>
      </c>
      <c r="D28" s="30" t="s">
        <v>58</v>
      </c>
      <c r="E28" s="30" t="s">
        <v>61</v>
      </c>
      <c r="F28" s="30">
        <v>51</v>
      </c>
      <c r="G28" s="30" t="s">
        <v>53</v>
      </c>
      <c r="H28" s="30">
        <v>120</v>
      </c>
      <c r="I28" s="12">
        <f t="shared" si="28"/>
        <v>1.2</v>
      </c>
      <c r="J28" s="12">
        <f t="shared" si="29"/>
        <v>61.199999999999996</v>
      </c>
      <c r="K28" s="17">
        <f>F28*100%</f>
        <v>51</v>
      </c>
      <c r="L28" s="18">
        <f t="shared" si="31"/>
        <v>61.199999999999996</v>
      </c>
      <c r="M28" s="10">
        <f t="shared" si="32"/>
        <v>51</v>
      </c>
      <c r="N28" s="14">
        <f t="shared" si="33"/>
        <v>61.199999999999996</v>
      </c>
      <c r="O28" s="10">
        <f t="shared" si="34"/>
        <v>51</v>
      </c>
      <c r="P28" s="14">
        <f t="shared" si="35"/>
        <v>61.199999999999996</v>
      </c>
    </row>
    <row r="29" spans="1:16" ht="31" x14ac:dyDescent="0.35">
      <c r="A29" s="16">
        <v>1.19</v>
      </c>
      <c r="B29" s="11" t="s">
        <v>62</v>
      </c>
      <c r="C29" s="30" t="s">
        <v>54</v>
      </c>
      <c r="D29" s="30" t="s">
        <v>58</v>
      </c>
      <c r="E29" s="30" t="s">
        <v>63</v>
      </c>
      <c r="F29" s="30">
        <v>3</v>
      </c>
      <c r="G29" s="30" t="s">
        <v>53</v>
      </c>
      <c r="H29" s="30">
        <v>120</v>
      </c>
      <c r="I29" s="12">
        <f>H29*0.01</f>
        <v>1.2</v>
      </c>
      <c r="J29" s="12">
        <f>F29*I29</f>
        <v>3.5999999999999996</v>
      </c>
      <c r="K29" s="17">
        <f>F29*100%</f>
        <v>3</v>
      </c>
      <c r="L29" s="18">
        <f>K29*I29</f>
        <v>3.5999999999999996</v>
      </c>
      <c r="M29" s="10">
        <f t="shared" si="32"/>
        <v>3</v>
      </c>
      <c r="N29" s="14">
        <f>I29*M29</f>
        <v>3.5999999999999996</v>
      </c>
      <c r="O29" s="10">
        <f t="shared" si="34"/>
        <v>3</v>
      </c>
      <c r="P29" s="14">
        <f>I29*O29</f>
        <v>3.5999999999999996</v>
      </c>
    </row>
    <row r="30" spans="1:16" ht="62" x14ac:dyDescent="0.35">
      <c r="A30" s="16">
        <v>1.2</v>
      </c>
      <c r="B30" s="21" t="s">
        <v>76</v>
      </c>
      <c r="C30" s="11" t="s">
        <v>46</v>
      </c>
      <c r="D30" s="11" t="s">
        <v>77</v>
      </c>
      <c r="E30" s="12" t="s">
        <v>44</v>
      </c>
      <c r="F30" s="30">
        <v>1</v>
      </c>
      <c r="G30" s="12" t="s">
        <v>66</v>
      </c>
      <c r="H30" s="30">
        <v>100</v>
      </c>
      <c r="I30" s="12">
        <f>H30*0.01</f>
        <v>1</v>
      </c>
      <c r="J30" s="12">
        <f>F30*I30</f>
        <v>1</v>
      </c>
      <c r="K30" s="17">
        <f>F30*100%</f>
        <v>1</v>
      </c>
      <c r="L30" s="18">
        <f>K30*I30</f>
        <v>1</v>
      </c>
      <c r="M30" s="13">
        <f>K30*100%</f>
        <v>1</v>
      </c>
      <c r="N30" s="14">
        <f>I30*M30</f>
        <v>1</v>
      </c>
      <c r="O30" s="10">
        <f t="shared" si="34"/>
        <v>1</v>
      </c>
      <c r="P30" s="14">
        <f>I30*O30</f>
        <v>1</v>
      </c>
    </row>
    <row r="31" spans="1:16" ht="15" x14ac:dyDescent="0.35">
      <c r="A31" s="8">
        <v>2</v>
      </c>
      <c r="B31" s="57" t="s">
        <v>67</v>
      </c>
      <c r="C31" s="57"/>
      <c r="D31" s="57"/>
      <c r="E31" s="57"/>
      <c r="F31" s="8">
        <f>SUM(F32:F33)</f>
        <v>5</v>
      </c>
      <c r="G31" s="9"/>
      <c r="H31" s="9"/>
      <c r="I31" s="9"/>
      <c r="J31" s="8">
        <f t="shared" ref="J31:P31" si="36">SUM(J32:J33)</f>
        <v>5</v>
      </c>
      <c r="K31" s="8">
        <f t="shared" si="36"/>
        <v>5</v>
      </c>
      <c r="L31" s="8">
        <f t="shared" si="36"/>
        <v>5</v>
      </c>
      <c r="M31" s="8">
        <f t="shared" si="36"/>
        <v>5</v>
      </c>
      <c r="N31" s="8">
        <f t="shared" si="36"/>
        <v>5</v>
      </c>
      <c r="O31" s="8">
        <f t="shared" si="36"/>
        <v>5</v>
      </c>
      <c r="P31" s="8">
        <f t="shared" si="36"/>
        <v>5</v>
      </c>
    </row>
    <row r="32" spans="1:16" ht="46.5" x14ac:dyDescent="0.35">
      <c r="A32" s="12">
        <v>2.1</v>
      </c>
      <c r="B32" s="19" t="s">
        <v>108</v>
      </c>
      <c r="C32" s="11" t="s">
        <v>43</v>
      </c>
      <c r="D32" s="11" t="s">
        <v>109</v>
      </c>
      <c r="E32" s="11" t="s">
        <v>44</v>
      </c>
      <c r="F32" s="11">
        <v>4</v>
      </c>
      <c r="G32" s="11" t="s">
        <v>66</v>
      </c>
      <c r="H32" s="11">
        <f>IF(G32="Khó và phức tạp",200,IF(G32="Cao",150,IF(G32="Trungbình",120,100)))</f>
        <v>100</v>
      </c>
      <c r="I32" s="12">
        <f>H32*0.01</f>
        <v>1</v>
      </c>
      <c r="J32" s="25">
        <f>F32*100%</f>
        <v>4</v>
      </c>
      <c r="K32" s="25">
        <f>F32*100%</f>
        <v>4</v>
      </c>
      <c r="L32" s="25">
        <f>K32*I32</f>
        <v>4</v>
      </c>
      <c r="M32" s="25">
        <f t="shared" ref="M32" si="37">K32*100%</f>
        <v>4</v>
      </c>
      <c r="N32" s="25">
        <f>I32*M32</f>
        <v>4</v>
      </c>
      <c r="O32" s="25">
        <f t="shared" ref="O32" si="38">K32*100%</f>
        <v>4</v>
      </c>
      <c r="P32" s="10">
        <f>I32*O32</f>
        <v>4</v>
      </c>
    </row>
    <row r="33" spans="1:16" ht="62" x14ac:dyDescent="0.35">
      <c r="A33" s="12">
        <v>2.2000000000000002</v>
      </c>
      <c r="B33" s="11" t="s">
        <v>103</v>
      </c>
      <c r="C33" s="11" t="s">
        <v>93</v>
      </c>
      <c r="D33" s="11" t="s">
        <v>102</v>
      </c>
      <c r="E33" s="11" t="s">
        <v>104</v>
      </c>
      <c r="F33" s="11">
        <v>1</v>
      </c>
      <c r="G33" s="11" t="s">
        <v>42</v>
      </c>
      <c r="H33" s="11">
        <v>100</v>
      </c>
      <c r="I33" s="12">
        <f>H33*0.01</f>
        <v>1</v>
      </c>
      <c r="J33" s="12">
        <f>F33*I33</f>
        <v>1</v>
      </c>
      <c r="K33" s="25">
        <f>F33*100%</f>
        <v>1</v>
      </c>
      <c r="L33" s="25">
        <f t="shared" ref="L33" si="39">K33*I33</f>
        <v>1</v>
      </c>
      <c r="M33" s="25">
        <v>1</v>
      </c>
      <c r="N33" s="25">
        <f>I33*M33</f>
        <v>1</v>
      </c>
      <c r="O33" s="25">
        <f>K33*100%</f>
        <v>1</v>
      </c>
      <c r="P33" s="25">
        <f>I33*O33</f>
        <v>1</v>
      </c>
    </row>
    <row r="34" spans="1:16" ht="15" x14ac:dyDescent="0.35">
      <c r="A34" s="8">
        <v>3</v>
      </c>
      <c r="B34" s="57" t="s">
        <v>68</v>
      </c>
      <c r="C34" s="57"/>
      <c r="D34" s="57"/>
      <c r="E34" s="57"/>
      <c r="F34" s="8">
        <f>SUM(F35:F37)</f>
        <v>73</v>
      </c>
      <c r="G34" s="9"/>
      <c r="H34" s="9"/>
      <c r="I34" s="9"/>
      <c r="J34" s="8">
        <f t="shared" ref="J34:P34" si="40">SUM(J35:J37)</f>
        <v>73</v>
      </c>
      <c r="K34" s="8">
        <f t="shared" si="40"/>
        <v>73</v>
      </c>
      <c r="L34" s="8">
        <f t="shared" si="40"/>
        <v>73</v>
      </c>
      <c r="M34" s="8">
        <f t="shared" si="40"/>
        <v>73</v>
      </c>
      <c r="N34" s="8">
        <f t="shared" si="40"/>
        <v>73</v>
      </c>
      <c r="O34" s="8">
        <f t="shared" si="40"/>
        <v>73</v>
      </c>
      <c r="P34" s="8">
        <f t="shared" si="40"/>
        <v>73</v>
      </c>
    </row>
    <row r="35" spans="1:16" ht="62" x14ac:dyDescent="0.35">
      <c r="A35" s="12">
        <v>3.1</v>
      </c>
      <c r="B35" s="11" t="s">
        <v>100</v>
      </c>
      <c r="C35" s="11" t="s">
        <v>38</v>
      </c>
      <c r="D35" s="11" t="s">
        <v>47</v>
      </c>
      <c r="E35" s="12" t="s">
        <v>101</v>
      </c>
      <c r="F35" s="12">
        <v>43</v>
      </c>
      <c r="G35" s="12" t="s">
        <v>42</v>
      </c>
      <c r="H35" s="12">
        <v>100</v>
      </c>
      <c r="I35" s="12">
        <f>H35*0.01</f>
        <v>1</v>
      </c>
      <c r="J35" s="12">
        <f>F35*I35</f>
        <v>43</v>
      </c>
      <c r="K35" s="13">
        <f>F35*100%</f>
        <v>43</v>
      </c>
      <c r="L35" s="14">
        <f t="shared" ref="L35:L36" si="41">K35*I35</f>
        <v>43</v>
      </c>
      <c r="M35" s="13">
        <f>K35*100%</f>
        <v>43</v>
      </c>
      <c r="N35" s="14">
        <f>I35*M35</f>
        <v>43</v>
      </c>
      <c r="O35" s="13">
        <f>K35*100%</f>
        <v>43</v>
      </c>
      <c r="P35" s="14">
        <f>I35*O35</f>
        <v>43</v>
      </c>
    </row>
    <row r="36" spans="1:16" ht="62" x14ac:dyDescent="0.35">
      <c r="A36" s="12">
        <v>3.2</v>
      </c>
      <c r="B36" s="20" t="s">
        <v>106</v>
      </c>
      <c r="C36" s="12" t="s">
        <v>38</v>
      </c>
      <c r="D36" s="12" t="s">
        <v>80</v>
      </c>
      <c r="E36" s="12" t="s">
        <v>107</v>
      </c>
      <c r="F36" s="12">
        <v>29</v>
      </c>
      <c r="G36" s="12" t="s">
        <v>42</v>
      </c>
      <c r="H36" s="12">
        <v>100</v>
      </c>
      <c r="I36" s="12">
        <f>H36*0.01</f>
        <v>1</v>
      </c>
      <c r="J36" s="12">
        <f>F36*I36</f>
        <v>29</v>
      </c>
      <c r="K36" s="13">
        <f>F36*100%</f>
        <v>29</v>
      </c>
      <c r="L36" s="14">
        <f t="shared" si="41"/>
        <v>29</v>
      </c>
      <c r="M36" s="13">
        <f>K36*100%</f>
        <v>29</v>
      </c>
      <c r="N36" s="14">
        <f>I36*M36</f>
        <v>29</v>
      </c>
      <c r="O36" s="13">
        <f>K36*100%</f>
        <v>29</v>
      </c>
      <c r="P36" s="14">
        <f>I36*O36</f>
        <v>29</v>
      </c>
    </row>
    <row r="37" spans="1:16" ht="46.5" x14ac:dyDescent="0.35">
      <c r="A37" s="12">
        <v>3.3</v>
      </c>
      <c r="B37" s="11" t="s">
        <v>105</v>
      </c>
      <c r="C37" s="11" t="s">
        <v>65</v>
      </c>
      <c r="D37" s="11" t="s">
        <v>102</v>
      </c>
      <c r="E37" s="12"/>
      <c r="F37" s="12">
        <v>1</v>
      </c>
      <c r="G37" s="12" t="s">
        <v>42</v>
      </c>
      <c r="H37" s="12">
        <v>100</v>
      </c>
      <c r="I37" s="12">
        <f>H37*0.01</f>
        <v>1</v>
      </c>
      <c r="J37" s="12">
        <f>F37*I37</f>
        <v>1</v>
      </c>
      <c r="K37" s="12">
        <f>F37*100%</f>
        <v>1</v>
      </c>
      <c r="L37" s="12">
        <f>K37*I37</f>
        <v>1</v>
      </c>
      <c r="M37" s="12">
        <f>K37*100%</f>
        <v>1</v>
      </c>
      <c r="N37" s="12">
        <f>I37*M37</f>
        <v>1</v>
      </c>
      <c r="O37" s="12">
        <f>K37*100%</f>
        <v>1</v>
      </c>
      <c r="P37" s="12">
        <f>I37*O37</f>
        <v>1</v>
      </c>
    </row>
    <row r="38" spans="1:16" ht="15" x14ac:dyDescent="0.35">
      <c r="A38" s="8">
        <v>4</v>
      </c>
      <c r="B38" s="58" t="s">
        <v>69</v>
      </c>
      <c r="C38" s="58"/>
      <c r="D38" s="58"/>
      <c r="E38" s="58"/>
      <c r="F38" s="8">
        <f>SUM(F39:F41)</f>
        <v>3</v>
      </c>
      <c r="G38" s="9"/>
      <c r="H38" s="9"/>
      <c r="I38" s="9"/>
      <c r="J38" s="8">
        <f t="shared" ref="J38:P38" si="42">SUM(J39:J41)</f>
        <v>3</v>
      </c>
      <c r="K38" s="8">
        <f t="shared" si="42"/>
        <v>3</v>
      </c>
      <c r="L38" s="8">
        <f t="shared" si="42"/>
        <v>3</v>
      </c>
      <c r="M38" s="8">
        <f t="shared" si="42"/>
        <v>3</v>
      </c>
      <c r="N38" s="8">
        <f t="shared" si="42"/>
        <v>3</v>
      </c>
      <c r="O38" s="8">
        <f t="shared" si="42"/>
        <v>3</v>
      </c>
      <c r="P38" s="8">
        <f t="shared" si="42"/>
        <v>3</v>
      </c>
    </row>
    <row r="39" spans="1:16" ht="31" x14ac:dyDescent="0.35">
      <c r="A39" s="12">
        <v>4.0999999999999996</v>
      </c>
      <c r="B39" s="11" t="s">
        <v>113</v>
      </c>
      <c r="C39" s="11" t="s">
        <v>93</v>
      </c>
      <c r="D39" s="11" t="s">
        <v>102</v>
      </c>
      <c r="E39" s="10" t="s">
        <v>110</v>
      </c>
      <c r="F39" s="12">
        <v>1</v>
      </c>
      <c r="G39" s="12" t="s">
        <v>42</v>
      </c>
      <c r="H39" s="12">
        <v>100</v>
      </c>
      <c r="I39" s="12">
        <f>H39*0.01</f>
        <v>1</v>
      </c>
      <c r="J39" s="12">
        <f>F39*I39</f>
        <v>1</v>
      </c>
      <c r="K39" s="12">
        <f>F39*100%</f>
        <v>1</v>
      </c>
      <c r="L39" s="12">
        <f>K39*I39</f>
        <v>1</v>
      </c>
      <c r="M39" s="12">
        <f>K39*100%</f>
        <v>1</v>
      </c>
      <c r="N39" s="12">
        <f>I39*M39</f>
        <v>1</v>
      </c>
      <c r="O39" s="12">
        <f>K39*100%</f>
        <v>1</v>
      </c>
      <c r="P39" s="12">
        <f>I39*O39</f>
        <v>1</v>
      </c>
    </row>
    <row r="40" spans="1:16" ht="31" x14ac:dyDescent="0.35">
      <c r="A40" s="12">
        <v>4.2</v>
      </c>
      <c r="B40" s="11" t="s">
        <v>114</v>
      </c>
      <c r="C40" s="11" t="s">
        <v>93</v>
      </c>
      <c r="D40" s="11" t="s">
        <v>102</v>
      </c>
      <c r="E40" s="10" t="s">
        <v>110</v>
      </c>
      <c r="F40" s="12">
        <v>1</v>
      </c>
      <c r="G40" s="12" t="s">
        <v>42</v>
      </c>
      <c r="H40" s="12">
        <v>100</v>
      </c>
      <c r="I40" s="12">
        <f>H40*0.01</f>
        <v>1</v>
      </c>
      <c r="J40" s="12">
        <f>F40*I40</f>
        <v>1</v>
      </c>
      <c r="K40" s="12">
        <f>F40*100%</f>
        <v>1</v>
      </c>
      <c r="L40" s="12">
        <f>K40*I40</f>
        <v>1</v>
      </c>
      <c r="M40" s="12">
        <f>K40*100%</f>
        <v>1</v>
      </c>
      <c r="N40" s="12">
        <f>I40*M40</f>
        <v>1</v>
      </c>
      <c r="O40" s="12">
        <f>K40*100%</f>
        <v>1</v>
      </c>
      <c r="P40" s="12">
        <f>I40*O40</f>
        <v>1</v>
      </c>
    </row>
    <row r="41" spans="1:16" ht="31" x14ac:dyDescent="0.35">
      <c r="A41" s="12">
        <v>4.3</v>
      </c>
      <c r="B41" s="11" t="s">
        <v>111</v>
      </c>
      <c r="C41" s="11" t="s">
        <v>93</v>
      </c>
      <c r="D41" s="11" t="s">
        <v>77</v>
      </c>
      <c r="E41" s="12" t="s">
        <v>112</v>
      </c>
      <c r="F41" s="12">
        <v>1</v>
      </c>
      <c r="G41" s="12" t="s">
        <v>42</v>
      </c>
      <c r="H41" s="12">
        <v>100</v>
      </c>
      <c r="I41" s="12">
        <f>H41*0.01</f>
        <v>1</v>
      </c>
      <c r="J41" s="12">
        <f>F41*I41</f>
        <v>1</v>
      </c>
      <c r="K41" s="12">
        <f>F41*100%</f>
        <v>1</v>
      </c>
      <c r="L41" s="12">
        <f>K41*I41</f>
        <v>1</v>
      </c>
      <c r="M41" s="12">
        <f>K41*100%</f>
        <v>1</v>
      </c>
      <c r="N41" s="12">
        <f>I41*M41</f>
        <v>1</v>
      </c>
      <c r="O41" s="12">
        <f>K41*100%</f>
        <v>1</v>
      </c>
      <c r="P41" s="12">
        <f>I41*O41</f>
        <v>1</v>
      </c>
    </row>
    <row r="42" spans="1:16" ht="15" x14ac:dyDescent="0.35">
      <c r="A42" s="8">
        <v>5</v>
      </c>
      <c r="B42" s="57" t="s">
        <v>71</v>
      </c>
      <c r="C42" s="57"/>
      <c r="D42" s="57"/>
      <c r="E42" s="57"/>
      <c r="F42" s="8">
        <f>SUM(F43:F45)</f>
        <v>3</v>
      </c>
      <c r="G42" s="9"/>
      <c r="H42" s="9"/>
      <c r="I42" s="9"/>
      <c r="J42" s="8">
        <f>SUM(J43:J45)</f>
        <v>3</v>
      </c>
      <c r="K42" s="8">
        <f t="shared" ref="J42:P42" si="43">SUM(K43:K45)</f>
        <v>3</v>
      </c>
      <c r="L42" s="8">
        <f t="shared" si="43"/>
        <v>3</v>
      </c>
      <c r="M42" s="8">
        <f t="shared" si="43"/>
        <v>3</v>
      </c>
      <c r="N42" s="8">
        <f t="shared" si="43"/>
        <v>3</v>
      </c>
      <c r="O42" s="8">
        <f t="shared" si="43"/>
        <v>3</v>
      </c>
      <c r="P42" s="8">
        <f t="shared" si="43"/>
        <v>3</v>
      </c>
    </row>
    <row r="43" spans="1:16" ht="62" x14ac:dyDescent="0.35">
      <c r="A43" s="12">
        <v>5.0999999999999996</v>
      </c>
      <c r="B43" s="20" t="s">
        <v>115</v>
      </c>
      <c r="C43" s="12" t="s">
        <v>40</v>
      </c>
      <c r="D43" s="26" t="s">
        <v>116</v>
      </c>
      <c r="E43" s="21" t="s">
        <v>48</v>
      </c>
      <c r="F43" s="12">
        <v>1</v>
      </c>
      <c r="G43" s="12" t="s">
        <v>66</v>
      </c>
      <c r="H43" s="12">
        <v>100</v>
      </c>
      <c r="I43" s="12">
        <f>H43*0.01</f>
        <v>1</v>
      </c>
      <c r="J43" s="12">
        <f t="shared" ref="J43:J45" si="44">F43*I43</f>
        <v>1</v>
      </c>
      <c r="K43" s="12">
        <f t="shared" ref="K43:K45" si="45">F43*100%</f>
        <v>1</v>
      </c>
      <c r="L43" s="12">
        <f t="shared" ref="L43:L45" si="46">K43*I43</f>
        <v>1</v>
      </c>
      <c r="M43" s="12">
        <f t="shared" ref="M43:M45" si="47">K43*100%</f>
        <v>1</v>
      </c>
      <c r="N43" s="12">
        <f>I43*M43</f>
        <v>1</v>
      </c>
      <c r="O43" s="12">
        <f>K43*100%</f>
        <v>1</v>
      </c>
      <c r="P43" s="12">
        <f>I43*O43</f>
        <v>1</v>
      </c>
    </row>
    <row r="44" spans="1:16" ht="46.5" x14ac:dyDescent="0.35">
      <c r="A44" s="12">
        <v>5.2</v>
      </c>
      <c r="B44" s="11" t="s">
        <v>120</v>
      </c>
      <c r="C44" s="11" t="s">
        <v>121</v>
      </c>
      <c r="D44" s="11" t="s">
        <v>47</v>
      </c>
      <c r="E44" s="12" t="s">
        <v>48</v>
      </c>
      <c r="F44" s="12">
        <v>1</v>
      </c>
      <c r="G44" s="12" t="s">
        <v>42</v>
      </c>
      <c r="H44" s="12">
        <v>100</v>
      </c>
      <c r="I44" s="12">
        <f>H44*0.01</f>
        <v>1</v>
      </c>
      <c r="J44" s="12">
        <f>F44*I44</f>
        <v>1</v>
      </c>
      <c r="K44" s="12">
        <f>F44*100%</f>
        <v>1</v>
      </c>
      <c r="L44" s="12">
        <f>K44*I44</f>
        <v>1</v>
      </c>
      <c r="M44" s="12">
        <f>K44*100%</f>
        <v>1</v>
      </c>
      <c r="N44" s="12">
        <f>I44*M44</f>
        <v>1</v>
      </c>
      <c r="O44" s="12">
        <f>K44*100%</f>
        <v>1</v>
      </c>
      <c r="P44" s="12">
        <f>I44*O44</f>
        <v>1</v>
      </c>
    </row>
    <row r="45" spans="1:16" ht="46.5" x14ac:dyDescent="0.35">
      <c r="A45" s="12">
        <v>5.3</v>
      </c>
      <c r="B45" s="21" t="s">
        <v>117</v>
      </c>
      <c r="C45" s="12" t="s">
        <v>82</v>
      </c>
      <c r="D45" s="12" t="s">
        <v>39</v>
      </c>
      <c r="E45" s="12" t="s">
        <v>48</v>
      </c>
      <c r="F45" s="12">
        <v>1</v>
      </c>
      <c r="G45" s="12" t="s">
        <v>66</v>
      </c>
      <c r="H45" s="12">
        <v>100</v>
      </c>
      <c r="I45" s="12">
        <f>H45*0.01</f>
        <v>1</v>
      </c>
      <c r="J45" s="12">
        <f t="shared" si="44"/>
        <v>1</v>
      </c>
      <c r="K45" s="12">
        <f t="shared" si="45"/>
        <v>1</v>
      </c>
      <c r="L45" s="12">
        <f t="shared" si="46"/>
        <v>1</v>
      </c>
      <c r="M45" s="12">
        <f t="shared" si="47"/>
        <v>1</v>
      </c>
      <c r="N45" s="12">
        <f>I45*M45</f>
        <v>1</v>
      </c>
      <c r="O45" s="12">
        <f>K45*100%</f>
        <v>1</v>
      </c>
      <c r="P45" s="12">
        <f>I45*O45</f>
        <v>1</v>
      </c>
    </row>
    <row r="46" spans="1:16" ht="15" x14ac:dyDescent="0.35">
      <c r="A46" s="8">
        <v>6</v>
      </c>
      <c r="B46" s="53" t="s">
        <v>72</v>
      </c>
      <c r="C46" s="54"/>
      <c r="D46" s="54"/>
      <c r="E46" s="54"/>
      <c r="F46" s="8">
        <f>SUM(F47:F47)</f>
        <v>1</v>
      </c>
      <c r="G46" s="9"/>
      <c r="H46" s="9"/>
      <c r="I46" s="9"/>
      <c r="J46" s="8">
        <f t="shared" ref="J46:P46" si="48">SUM(J47:J47)</f>
        <v>1</v>
      </c>
      <c r="K46" s="8">
        <f t="shared" si="48"/>
        <v>1</v>
      </c>
      <c r="L46" s="8">
        <f t="shared" si="48"/>
        <v>1</v>
      </c>
      <c r="M46" s="8">
        <f t="shared" si="48"/>
        <v>1</v>
      </c>
      <c r="N46" s="8">
        <f t="shared" si="48"/>
        <v>1</v>
      </c>
      <c r="O46" s="8">
        <f t="shared" si="48"/>
        <v>1</v>
      </c>
      <c r="P46" s="8">
        <f t="shared" si="48"/>
        <v>1</v>
      </c>
    </row>
    <row r="47" spans="1:16" s="22" customFormat="1" ht="46.5" x14ac:dyDescent="0.35">
      <c r="A47" s="12">
        <v>6.1</v>
      </c>
      <c r="B47" s="21" t="s">
        <v>119</v>
      </c>
      <c r="C47" s="21" t="s">
        <v>38</v>
      </c>
      <c r="D47" s="21" t="s">
        <v>39</v>
      </c>
      <c r="E47" s="21" t="s">
        <v>118</v>
      </c>
      <c r="F47" s="12">
        <v>1</v>
      </c>
      <c r="G47" s="21" t="s">
        <v>42</v>
      </c>
      <c r="H47" s="12">
        <f>IF(G47="Khó và phức tạp",200,IF(G47="Cao",150,IF(G47="Trungbình",120,100)))</f>
        <v>100</v>
      </c>
      <c r="I47" s="12">
        <f t="shared" ref="I47" si="49">H47*0.01</f>
        <v>1</v>
      </c>
      <c r="J47" s="31">
        <f>F47*I47</f>
        <v>1</v>
      </c>
      <c r="K47" s="13">
        <f>F47*100%</f>
        <v>1</v>
      </c>
      <c r="L47" s="14">
        <f>K47*I47</f>
        <v>1</v>
      </c>
      <c r="M47" s="13">
        <f>K47*100%</f>
        <v>1</v>
      </c>
      <c r="N47" s="14">
        <f>I47*M47</f>
        <v>1</v>
      </c>
      <c r="O47" s="13">
        <f>K47*100%</f>
        <v>1</v>
      </c>
      <c r="P47" s="14">
        <f>I47*O47</f>
        <v>1</v>
      </c>
    </row>
    <row r="48" spans="1:16" ht="15" x14ac:dyDescent="0.35">
      <c r="A48" s="8" t="s">
        <v>73</v>
      </c>
      <c r="B48" s="55" t="s">
        <v>74</v>
      </c>
      <c r="C48" s="56"/>
      <c r="D48" s="56"/>
      <c r="E48" s="56"/>
      <c r="F48" s="8">
        <f>SUM(F52:F55)</f>
        <v>13</v>
      </c>
      <c r="G48" s="9"/>
      <c r="H48" s="9"/>
      <c r="I48" s="9"/>
      <c r="J48" s="8">
        <f>SUM(J49:J60)</f>
        <v>60</v>
      </c>
      <c r="K48" s="8">
        <f t="shared" ref="K48:P48" si="50">SUM(K49:K60)</f>
        <v>60</v>
      </c>
      <c r="L48" s="8">
        <f t="shared" si="50"/>
        <v>60</v>
      </c>
      <c r="M48" s="8">
        <f t="shared" si="50"/>
        <v>60</v>
      </c>
      <c r="N48" s="8">
        <f t="shared" si="50"/>
        <v>60</v>
      </c>
      <c r="O48" s="8">
        <f t="shared" si="50"/>
        <v>60</v>
      </c>
      <c r="P48" s="8">
        <f t="shared" si="50"/>
        <v>60</v>
      </c>
    </row>
    <row r="49" spans="1:16" ht="31" x14ac:dyDescent="0.35">
      <c r="A49" s="12" t="s">
        <v>122</v>
      </c>
      <c r="B49" s="11" t="s">
        <v>123</v>
      </c>
      <c r="C49" s="11" t="s">
        <v>38</v>
      </c>
      <c r="D49" s="11" t="s">
        <v>80</v>
      </c>
      <c r="E49" s="12" t="s">
        <v>107</v>
      </c>
      <c r="F49" s="12">
        <v>36</v>
      </c>
      <c r="G49" s="12" t="s">
        <v>42</v>
      </c>
      <c r="H49" s="12">
        <v>100</v>
      </c>
      <c r="I49" s="12">
        <f>H49*0.01</f>
        <v>1</v>
      </c>
      <c r="J49" s="12">
        <f>F49*I49</f>
        <v>36</v>
      </c>
      <c r="K49" s="12">
        <f>F49*100%</f>
        <v>36</v>
      </c>
      <c r="L49" s="12">
        <f>K49*I49</f>
        <v>36</v>
      </c>
      <c r="M49" s="12">
        <f>K49*100%</f>
        <v>36</v>
      </c>
      <c r="N49" s="12">
        <f>I49*M49</f>
        <v>36</v>
      </c>
      <c r="O49" s="12">
        <f>K49*100%</f>
        <v>36</v>
      </c>
      <c r="P49" s="12">
        <f>I49*O49</f>
        <v>36</v>
      </c>
    </row>
    <row r="50" spans="1:16" ht="31" x14ac:dyDescent="0.35">
      <c r="A50" s="12" t="s">
        <v>124</v>
      </c>
      <c r="B50" s="11" t="s">
        <v>125</v>
      </c>
      <c r="C50" s="11" t="s">
        <v>38</v>
      </c>
      <c r="D50" s="11" t="s">
        <v>41</v>
      </c>
      <c r="E50" s="12" t="s">
        <v>107</v>
      </c>
      <c r="F50" s="12">
        <v>10</v>
      </c>
      <c r="G50" s="12" t="s">
        <v>42</v>
      </c>
      <c r="H50" s="12">
        <v>100</v>
      </c>
      <c r="I50" s="12">
        <f>H50*0.01</f>
        <v>1</v>
      </c>
      <c r="J50" s="12">
        <f t="shared" ref="J50:J55" si="51">F50*I50</f>
        <v>10</v>
      </c>
      <c r="K50" s="12">
        <f>F50*100%</f>
        <v>10</v>
      </c>
      <c r="L50" s="12">
        <f>K50*I50</f>
        <v>10</v>
      </c>
      <c r="M50" s="12">
        <f>K50*100%</f>
        <v>10</v>
      </c>
      <c r="N50" s="12">
        <f>I50*M50</f>
        <v>10</v>
      </c>
      <c r="O50" s="12">
        <f>K50*100%</f>
        <v>10</v>
      </c>
      <c r="P50" s="12">
        <f>I50*O50</f>
        <v>10</v>
      </c>
    </row>
    <row r="51" spans="1:16" ht="170.5" x14ac:dyDescent="0.35">
      <c r="A51" s="12" t="s">
        <v>126</v>
      </c>
      <c r="B51" s="21" t="s">
        <v>127</v>
      </c>
      <c r="C51" s="11" t="s">
        <v>38</v>
      </c>
      <c r="D51" s="11" t="s">
        <v>39</v>
      </c>
      <c r="E51" s="10"/>
      <c r="F51" s="12">
        <v>1</v>
      </c>
      <c r="G51" s="12" t="s">
        <v>42</v>
      </c>
      <c r="H51" s="12">
        <v>100</v>
      </c>
      <c r="I51" s="12">
        <f t="shared" ref="I51:I52" si="52">H51*0.01</f>
        <v>1</v>
      </c>
      <c r="J51" s="12">
        <f t="shared" si="51"/>
        <v>1</v>
      </c>
      <c r="K51" s="12">
        <f t="shared" ref="K51:K52" si="53">F51*100%</f>
        <v>1</v>
      </c>
      <c r="L51" s="12">
        <f t="shared" ref="L51:L52" si="54">K51*I51</f>
        <v>1</v>
      </c>
      <c r="M51" s="12">
        <f t="shared" ref="M51:M52" si="55">K51*100%</f>
        <v>1</v>
      </c>
      <c r="N51" s="12">
        <f t="shared" ref="N51:N52" si="56">I51*M51</f>
        <v>1</v>
      </c>
      <c r="O51" s="12">
        <f t="shared" ref="O51:O52" si="57">K51*100%</f>
        <v>1</v>
      </c>
      <c r="P51" s="12">
        <f t="shared" ref="P51:P52" si="58">I51*O51</f>
        <v>1</v>
      </c>
    </row>
    <row r="52" spans="1:16" ht="62" x14ac:dyDescent="0.35">
      <c r="A52" s="12" t="s">
        <v>128</v>
      </c>
      <c r="B52" s="21" t="s">
        <v>129</v>
      </c>
      <c r="C52" s="11" t="s">
        <v>38</v>
      </c>
      <c r="D52" s="11" t="s">
        <v>39</v>
      </c>
      <c r="E52" s="10"/>
      <c r="F52" s="12">
        <v>1</v>
      </c>
      <c r="G52" s="12" t="s">
        <v>42</v>
      </c>
      <c r="H52" s="12">
        <v>100</v>
      </c>
      <c r="I52" s="12">
        <f t="shared" si="52"/>
        <v>1</v>
      </c>
      <c r="J52" s="12">
        <f t="shared" si="51"/>
        <v>1</v>
      </c>
      <c r="K52" s="12">
        <f t="shared" si="53"/>
        <v>1</v>
      </c>
      <c r="L52" s="12">
        <f t="shared" si="54"/>
        <v>1</v>
      </c>
      <c r="M52" s="12">
        <f t="shared" si="55"/>
        <v>1</v>
      </c>
      <c r="N52" s="12">
        <f t="shared" si="56"/>
        <v>1</v>
      </c>
      <c r="O52" s="12">
        <f t="shared" si="57"/>
        <v>1</v>
      </c>
      <c r="P52" s="12">
        <f t="shared" si="58"/>
        <v>1</v>
      </c>
    </row>
    <row r="53" spans="1:16" ht="31" x14ac:dyDescent="0.35">
      <c r="A53" s="12" t="s">
        <v>130</v>
      </c>
      <c r="B53" s="11" t="s">
        <v>131</v>
      </c>
      <c r="C53" s="11" t="s">
        <v>38</v>
      </c>
      <c r="D53" s="11" t="s">
        <v>39</v>
      </c>
      <c r="E53" s="12"/>
      <c r="F53" s="12">
        <v>1</v>
      </c>
      <c r="G53" s="12" t="s">
        <v>42</v>
      </c>
      <c r="H53" s="12">
        <v>100</v>
      </c>
      <c r="I53" s="12">
        <f>H53*0.01</f>
        <v>1</v>
      </c>
      <c r="J53" s="12">
        <f t="shared" si="51"/>
        <v>1</v>
      </c>
      <c r="K53" s="12">
        <f>F53*100%</f>
        <v>1</v>
      </c>
      <c r="L53" s="12">
        <f>K53*I53</f>
        <v>1</v>
      </c>
      <c r="M53" s="12">
        <f>K53*100%</f>
        <v>1</v>
      </c>
      <c r="N53" s="12">
        <f>I53*M53</f>
        <v>1</v>
      </c>
      <c r="O53" s="12">
        <f>K53*100%</f>
        <v>1</v>
      </c>
      <c r="P53" s="12">
        <f>I53*O53</f>
        <v>1</v>
      </c>
    </row>
    <row r="54" spans="1:16" ht="46.5" x14ac:dyDescent="0.35">
      <c r="A54" s="12"/>
      <c r="B54" s="59" t="s">
        <v>137</v>
      </c>
      <c r="C54" s="60" t="s">
        <v>38</v>
      </c>
      <c r="D54" s="60" t="s">
        <v>41</v>
      </c>
      <c r="E54" s="61" t="s">
        <v>138</v>
      </c>
      <c r="F54" s="61">
        <v>10</v>
      </c>
      <c r="G54" s="61" t="s">
        <v>42</v>
      </c>
      <c r="H54" s="61">
        <v>100</v>
      </c>
      <c r="I54" s="12">
        <f>H54*0.01</f>
        <v>1</v>
      </c>
      <c r="J54" s="12">
        <f t="shared" si="51"/>
        <v>10</v>
      </c>
      <c r="K54" s="12">
        <f>F54*100%</f>
        <v>10</v>
      </c>
      <c r="L54" s="12">
        <f>K54*I54</f>
        <v>10</v>
      </c>
      <c r="M54" s="12">
        <f>K54*100%</f>
        <v>10</v>
      </c>
      <c r="N54" s="12">
        <f>I54*M54</f>
        <v>10</v>
      </c>
      <c r="O54" s="12">
        <f>K54*100%</f>
        <v>10</v>
      </c>
      <c r="P54" s="12">
        <f>I54*O54</f>
        <v>10</v>
      </c>
    </row>
    <row r="55" spans="1:16" ht="46.5" x14ac:dyDescent="0.35">
      <c r="A55" s="12" t="s">
        <v>132</v>
      </c>
      <c r="B55" s="21" t="s">
        <v>133</v>
      </c>
      <c r="C55" s="11" t="s">
        <v>65</v>
      </c>
      <c r="D55" s="11" t="s">
        <v>39</v>
      </c>
      <c r="E55" s="12" t="s">
        <v>44</v>
      </c>
      <c r="F55" s="12">
        <v>1</v>
      </c>
      <c r="G55" s="12" t="s">
        <v>66</v>
      </c>
      <c r="H55" s="12">
        <v>100</v>
      </c>
      <c r="I55" s="12">
        <f>H55*0.01</f>
        <v>1</v>
      </c>
      <c r="J55" s="12">
        <f t="shared" si="51"/>
        <v>1</v>
      </c>
      <c r="K55" s="12">
        <f>F55*100%</f>
        <v>1</v>
      </c>
      <c r="L55" s="12">
        <f>K55*I55</f>
        <v>1</v>
      </c>
      <c r="M55" s="12">
        <f>K55*100%</f>
        <v>1</v>
      </c>
      <c r="N55" s="12">
        <f>I55*M55</f>
        <v>1</v>
      </c>
      <c r="O55" s="12">
        <f>K55*100%</f>
        <v>1</v>
      </c>
      <c r="P55" s="12">
        <f>I55*O55</f>
        <v>1</v>
      </c>
    </row>
    <row r="56" spans="1:16" s="23" customFormat="1" ht="15.5" x14ac:dyDescent="0.35">
      <c r="B56" s="40"/>
      <c r="C56" s="40"/>
      <c r="D56" s="40"/>
      <c r="E56" s="40"/>
      <c r="F56" s="40"/>
      <c r="G56" s="40"/>
      <c r="H56" s="40"/>
      <c r="I56" s="40"/>
      <c r="J56" s="40"/>
      <c r="K56" s="40"/>
      <c r="L56" s="40"/>
      <c r="M56" s="40"/>
      <c r="N56" s="40"/>
      <c r="O56" s="40"/>
      <c r="P56" s="40"/>
    </row>
    <row r="57" spans="1:16" customFormat="1" ht="49.5" customHeight="1" x14ac:dyDescent="0.35">
      <c r="A57" s="32" t="s">
        <v>134</v>
      </c>
      <c r="B57" s="32"/>
      <c r="C57" s="32"/>
      <c r="D57" s="33" t="s">
        <v>135</v>
      </c>
      <c r="E57" s="33"/>
      <c r="F57" s="33"/>
      <c r="G57" s="33"/>
      <c r="H57" s="33"/>
      <c r="I57" s="33"/>
      <c r="J57" s="33"/>
      <c r="K57" s="33"/>
      <c r="L57" s="33"/>
      <c r="M57" s="33"/>
      <c r="N57" s="33"/>
      <c r="O57" s="33"/>
      <c r="P57" s="33"/>
    </row>
    <row r="58" spans="1:16" customFormat="1" ht="15" customHeight="1" x14ac:dyDescent="0.35">
      <c r="A58" s="32"/>
      <c r="B58" s="32"/>
      <c r="C58" s="32"/>
      <c r="D58" s="34" t="s">
        <v>43</v>
      </c>
      <c r="E58" s="34"/>
      <c r="F58" s="34"/>
      <c r="G58" s="34"/>
      <c r="H58" s="34"/>
      <c r="I58" s="34"/>
      <c r="J58" s="34"/>
      <c r="K58" s="34"/>
      <c r="L58" s="34"/>
      <c r="M58" s="34"/>
      <c r="N58" s="34"/>
      <c r="O58" s="34"/>
      <c r="P58" s="34"/>
    </row>
    <row r="59" spans="1:16" customFormat="1" ht="15" customHeight="1" x14ac:dyDescent="0.35">
      <c r="A59" s="32"/>
      <c r="B59" s="32"/>
      <c r="C59" s="32"/>
      <c r="D59" s="34"/>
      <c r="E59" s="34"/>
      <c r="F59" s="34"/>
      <c r="G59" s="34"/>
      <c r="H59" s="34"/>
      <c r="I59" s="34"/>
      <c r="J59" s="34"/>
      <c r="K59" s="34"/>
      <c r="L59" s="34"/>
      <c r="M59" s="34"/>
      <c r="N59" s="34"/>
      <c r="O59" s="34"/>
      <c r="P59" s="34"/>
    </row>
    <row r="60" spans="1:16" customFormat="1" ht="48.65" customHeight="1" x14ac:dyDescent="0.35">
      <c r="A60" s="32"/>
      <c r="B60" s="32"/>
      <c r="C60" s="32"/>
      <c r="D60" s="34"/>
      <c r="E60" s="34"/>
      <c r="F60" s="34"/>
      <c r="G60" s="34"/>
      <c r="H60" s="34"/>
      <c r="I60" s="34"/>
      <c r="J60" s="34"/>
      <c r="K60" s="34"/>
      <c r="L60" s="34"/>
      <c r="M60" s="34"/>
      <c r="N60" s="34"/>
      <c r="O60" s="34"/>
      <c r="P60" s="34"/>
    </row>
  </sheetData>
  <mergeCells count="32">
    <mergeCell ref="B46:E46"/>
    <mergeCell ref="B48:E48"/>
    <mergeCell ref="B10:E10"/>
    <mergeCell ref="B31:E31"/>
    <mergeCell ref="B38:E38"/>
    <mergeCell ref="B34:E34"/>
    <mergeCell ref="B42:E42"/>
    <mergeCell ref="H6:H7"/>
    <mergeCell ref="G2:P2"/>
    <mergeCell ref="G3:P3"/>
    <mergeCell ref="K6:L6"/>
    <mergeCell ref="M6:N6"/>
    <mergeCell ref="O6:P6"/>
    <mergeCell ref="A5:P5"/>
    <mergeCell ref="I6:I7"/>
    <mergeCell ref="J6:J7"/>
    <mergeCell ref="A57:C60"/>
    <mergeCell ref="D57:P57"/>
    <mergeCell ref="D58:P60"/>
    <mergeCell ref="A1:P1"/>
    <mergeCell ref="F6:F7"/>
    <mergeCell ref="G6:G7"/>
    <mergeCell ref="A6:A7"/>
    <mergeCell ref="B6:B7"/>
    <mergeCell ref="C6:C7"/>
    <mergeCell ref="D6:D7"/>
    <mergeCell ref="E6:E7"/>
    <mergeCell ref="B9:P9"/>
    <mergeCell ref="B56:P56"/>
    <mergeCell ref="A2:B2"/>
    <mergeCell ref="A3:B3"/>
    <mergeCell ref="A4:P4"/>
  </mergeCells>
  <conditionalFormatting sqref="C11">
    <cfRule type="dataBar" priority="16">
      <dataBar>
        <cfvo type="min"/>
        <cfvo type="max"/>
        <color rgb="FF638EC6"/>
      </dataBar>
      <extLst>
        <ext xmlns:x14="http://schemas.microsoft.com/office/spreadsheetml/2009/9/main" uri="{B025F937-C7B1-47D3-B67F-A62EFF666E3E}">
          <x14:id>{3FB2E84F-939F-415F-B0D2-5F17D1700C99}</x14:id>
        </ext>
      </extLst>
    </cfRule>
  </conditionalFormatting>
  <conditionalFormatting sqref="C12">
    <cfRule type="dataBar" priority="15">
      <dataBar>
        <cfvo type="min"/>
        <cfvo type="max"/>
        <color rgb="FF638EC6"/>
      </dataBar>
      <extLst>
        <ext xmlns:x14="http://schemas.microsoft.com/office/spreadsheetml/2009/9/main" uri="{B025F937-C7B1-47D3-B67F-A62EFF666E3E}">
          <x14:id>{01B60760-C375-4567-B968-901C4F78BD13}</x14:id>
        </ext>
      </extLst>
    </cfRule>
  </conditionalFormatting>
  <conditionalFormatting sqref="C13:C15">
    <cfRule type="dataBar" priority="20">
      <dataBar>
        <cfvo type="min"/>
        <cfvo type="max"/>
        <color rgb="FF638EC6"/>
      </dataBar>
      <extLst>
        <ext xmlns:x14="http://schemas.microsoft.com/office/spreadsheetml/2009/9/main" uri="{B025F937-C7B1-47D3-B67F-A62EFF666E3E}">
          <x14:id>{95FB13CE-78E4-4F7C-A483-B5243264091F}</x14:id>
        </ext>
      </extLst>
    </cfRule>
  </conditionalFormatting>
  <conditionalFormatting sqref="C16:C17">
    <cfRule type="dataBar" priority="18">
      <dataBar>
        <cfvo type="min"/>
        <cfvo type="max"/>
        <color rgb="FF638EC6"/>
      </dataBar>
      <extLst>
        <ext xmlns:x14="http://schemas.microsoft.com/office/spreadsheetml/2009/9/main" uri="{B025F937-C7B1-47D3-B67F-A62EFF666E3E}">
          <x14:id>{EF6727F3-D65E-447C-A6E4-FD786A580E56}</x14:id>
        </ext>
      </extLst>
    </cfRule>
  </conditionalFormatting>
  <conditionalFormatting sqref="C18:C19">
    <cfRule type="dataBar" priority="19">
      <dataBar>
        <cfvo type="min"/>
        <cfvo type="max"/>
        <color rgb="FF638EC6"/>
      </dataBar>
      <extLst>
        <ext xmlns:x14="http://schemas.microsoft.com/office/spreadsheetml/2009/9/main" uri="{B025F937-C7B1-47D3-B67F-A62EFF666E3E}">
          <x14:id>{E4C97992-1B7B-425A-A4F0-5A58190C53DF}</x14:id>
        </ext>
      </extLst>
    </cfRule>
  </conditionalFormatting>
  <conditionalFormatting sqref="C20">
    <cfRule type="dataBar" priority="17">
      <dataBar>
        <cfvo type="min"/>
        <cfvo type="max"/>
        <color rgb="FF638EC6"/>
      </dataBar>
      <extLst>
        <ext xmlns:x14="http://schemas.microsoft.com/office/spreadsheetml/2009/9/main" uri="{B025F937-C7B1-47D3-B67F-A62EFF666E3E}">
          <x14:id>{D1CB7439-A2A2-40D6-A863-4408140C07EB}</x14:id>
        </ext>
      </extLst>
    </cfRule>
  </conditionalFormatting>
  <conditionalFormatting sqref="C21:C22">
    <cfRule type="dataBar" priority="14">
      <dataBar>
        <cfvo type="min"/>
        <cfvo type="max"/>
        <color rgb="FF638EC6"/>
      </dataBar>
      <extLst>
        <ext xmlns:x14="http://schemas.microsoft.com/office/spreadsheetml/2009/9/main" uri="{B025F937-C7B1-47D3-B67F-A62EFF666E3E}">
          <x14:id>{45FEF585-88CD-4AF9-921E-ACBA893596FA}</x14:id>
        </ext>
      </extLst>
    </cfRule>
  </conditionalFormatting>
  <conditionalFormatting sqref="C24">
    <cfRule type="dataBar" priority="13">
      <dataBar>
        <cfvo type="min"/>
        <cfvo type="max"/>
        <color rgb="FF638EC6"/>
      </dataBar>
      <extLst>
        <ext xmlns:x14="http://schemas.microsoft.com/office/spreadsheetml/2009/9/main" uri="{B025F937-C7B1-47D3-B67F-A62EFF666E3E}">
          <x14:id>{FE0F769C-B0B0-45A9-A745-D731747C5B73}</x14:id>
        </ext>
      </extLst>
    </cfRule>
  </conditionalFormatting>
  <conditionalFormatting sqref="C30">
    <cfRule type="dataBar" priority="32">
      <dataBar>
        <cfvo type="min"/>
        <cfvo type="max"/>
        <color rgb="FF638EC6"/>
      </dataBar>
      <extLst>
        <ext xmlns:x14="http://schemas.microsoft.com/office/spreadsheetml/2009/9/main" uri="{B025F937-C7B1-47D3-B67F-A62EFF666E3E}">
          <x14:id>{7AE27286-3448-45AE-B07A-16E3FFCD3AAE}</x14:id>
        </ext>
      </extLst>
    </cfRule>
  </conditionalFormatting>
  <conditionalFormatting sqref="C32">
    <cfRule type="dataBar" priority="8">
      <dataBar>
        <cfvo type="min"/>
        <cfvo type="max"/>
        <color rgb="FF638EC6"/>
      </dataBar>
      <extLst>
        <ext xmlns:x14="http://schemas.microsoft.com/office/spreadsheetml/2009/9/main" uri="{B025F937-C7B1-47D3-B67F-A62EFF666E3E}">
          <x14:id>{8FC2E198-A906-47FC-A211-163D4C31D73D}</x14:id>
        </ext>
      </extLst>
    </cfRule>
  </conditionalFormatting>
  <conditionalFormatting sqref="C33">
    <cfRule type="dataBar" priority="10">
      <dataBar>
        <cfvo type="min"/>
        <cfvo type="max"/>
        <color rgb="FF638EC6"/>
      </dataBar>
      <extLst>
        <ext xmlns:x14="http://schemas.microsoft.com/office/spreadsheetml/2009/9/main" uri="{B025F937-C7B1-47D3-B67F-A62EFF666E3E}">
          <x14:id>{B96DF80B-4C1A-4FAD-90BE-C7B9C8C25B91}</x14:id>
        </ext>
      </extLst>
    </cfRule>
  </conditionalFormatting>
  <conditionalFormatting sqref="C35">
    <cfRule type="dataBar" priority="12">
      <dataBar>
        <cfvo type="min"/>
        <cfvo type="max"/>
        <color rgb="FF638EC6"/>
      </dataBar>
      <extLst>
        <ext xmlns:x14="http://schemas.microsoft.com/office/spreadsheetml/2009/9/main" uri="{B025F937-C7B1-47D3-B67F-A62EFF666E3E}">
          <x14:id>{4FF6C58D-EB8D-49CE-8727-54EE75C2F892}</x14:id>
        </ext>
      </extLst>
    </cfRule>
  </conditionalFormatting>
  <conditionalFormatting sqref="C36">
    <cfRule type="dataBar" priority="9">
      <dataBar>
        <cfvo type="min"/>
        <cfvo type="max"/>
        <color rgb="FF638EC6"/>
      </dataBar>
      <extLst>
        <ext xmlns:x14="http://schemas.microsoft.com/office/spreadsheetml/2009/9/main" uri="{B025F937-C7B1-47D3-B67F-A62EFF666E3E}">
          <x14:id>{B1E4FC1E-A653-4187-AD13-88AFEEDD7113}</x14:id>
        </ext>
      </extLst>
    </cfRule>
  </conditionalFormatting>
  <conditionalFormatting sqref="C37">
    <cfRule type="dataBar" priority="11">
      <dataBar>
        <cfvo type="min"/>
        <cfvo type="max"/>
        <color rgb="FF638EC6"/>
      </dataBar>
      <extLst>
        <ext xmlns:x14="http://schemas.microsoft.com/office/spreadsheetml/2009/9/main" uri="{B025F937-C7B1-47D3-B67F-A62EFF666E3E}">
          <x14:id>{6724AC93-6DF4-4F13-A9AD-23868C4FD9D6}</x14:id>
        </ext>
      </extLst>
    </cfRule>
  </conditionalFormatting>
  <conditionalFormatting sqref="C39:C41">
    <cfRule type="dataBar" priority="7">
      <dataBar>
        <cfvo type="min"/>
        <cfvo type="max"/>
        <color rgb="FF638EC6"/>
      </dataBar>
      <extLst>
        <ext xmlns:x14="http://schemas.microsoft.com/office/spreadsheetml/2009/9/main" uri="{B025F937-C7B1-47D3-B67F-A62EFF666E3E}">
          <x14:id>{A04C190F-8C8C-4963-8B3B-DBBFB76EC5F0}</x14:id>
        </ext>
      </extLst>
    </cfRule>
  </conditionalFormatting>
  <conditionalFormatting sqref="C43">
    <cfRule type="dataBar" priority="4">
      <dataBar>
        <cfvo type="min"/>
        <cfvo type="max"/>
        <color rgb="FF638EC6"/>
      </dataBar>
      <extLst>
        <ext xmlns:x14="http://schemas.microsoft.com/office/spreadsheetml/2009/9/main" uri="{B025F937-C7B1-47D3-B67F-A62EFF666E3E}">
          <x14:id>{DC5716C0-7071-4284-9EE5-66D76496642E}</x14:id>
        </ext>
      </extLst>
    </cfRule>
  </conditionalFormatting>
  <conditionalFormatting sqref="C45">
    <cfRule type="dataBar" priority="3">
      <dataBar>
        <cfvo type="min"/>
        <cfvo type="max"/>
        <color rgb="FF638EC6"/>
      </dataBar>
      <extLst>
        <ext xmlns:x14="http://schemas.microsoft.com/office/spreadsheetml/2009/9/main" uri="{B025F937-C7B1-47D3-B67F-A62EFF666E3E}">
          <x14:id>{8FAF3156-AE4B-4B28-86F8-F610DF2B02A5}</x14:id>
        </ext>
      </extLst>
    </cfRule>
  </conditionalFormatting>
  <conditionalFormatting sqref="C47">
    <cfRule type="dataBar" priority="2">
      <dataBar>
        <cfvo type="min"/>
        <cfvo type="max"/>
        <color rgb="FF638EC6"/>
      </dataBar>
      <extLst>
        <ext xmlns:x14="http://schemas.microsoft.com/office/spreadsheetml/2009/9/main" uri="{B025F937-C7B1-47D3-B67F-A62EFF666E3E}">
          <x14:id>{9E81554C-8BA8-4A51-9B2A-D8C8FC89A917}</x14:id>
        </ext>
      </extLst>
    </cfRule>
  </conditionalFormatting>
  <conditionalFormatting sqref="C55">
    <cfRule type="dataBar" priority="1">
      <dataBar>
        <cfvo type="min"/>
        <cfvo type="max"/>
        <color rgb="FF638EC6"/>
      </dataBar>
      <extLst>
        <ext xmlns:x14="http://schemas.microsoft.com/office/spreadsheetml/2009/9/main" uri="{B025F937-C7B1-47D3-B67F-A62EFF666E3E}">
          <x14:id>{017E47E8-E7D7-4B9A-91C9-1C35A4C72A9E}</x14:id>
        </ext>
      </extLst>
    </cfRule>
  </conditionalFormatting>
  <dataValidations count="5">
    <dataValidation type="list" allowBlank="1" showInputMessage="1" sqref="D39:D41 D35:D37 D11:D15 D32:D33 D47 D19:D22 D24 D44:D45 D51:D53 D55" xr:uid="{723BBEA1-CDA5-4E90-B789-0CB64C257373}">
      <formula1>"Phòng QLĐT&amp;BĐCL, Phòng TH-HC&amp;QT, Phòng QLKHCN&amp;HTPT, Phòng TC-KT, Phòng  TCCB&amp;CTHSSV, Khoa Sư phạm, Khoa CKHCB, Khoa KT&amp;NL, Khoa Y – Dược, Khoa ĐT&amp;SHLX, Khoa KT&amp;CN"</formula1>
    </dataValidation>
    <dataValidation type="list" allowBlank="1" showInputMessage="1" sqref="C39:C41 C35:C37 C11:C22 C32:C33 C47 C30 C24 C55 C43:C45" xr:uid="{9D67AEC4-2B59-40A3-9470-A85A768A8BE7}">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G11:G17 G39:G41 G35:G36 G32:G33 G47 G30 G24:G25 G19:G22 G51:G52 G43:G45" xr:uid="{242DABCC-F988-4BD7-A39A-B18DD09F67B5}">
      <formula1>"Thấp,Trung bình,Cao,Khó và phức tạp"</formula1>
    </dataValidation>
    <dataValidation allowBlank="1" showInputMessage="1" sqref="E39:E41 J43:K45 I26:K30 H33:K33 H39:K41 K47 E44 E35 E24 E11:E12 E21:E22 H11:K25 H35:K36 E33 H32:J32 H44:I45 H47:I47 E51:E52 H51:I52 K51:K52" xr:uid="{10642937-B860-4152-A8CB-DF82470CE8F3}"/>
    <dataValidation type="list" allowBlank="1" showInputMessage="1" sqref="E11:E15 E36 E32 E47 E43 E45" xr:uid="{3E917835-0E96-4E61-8D99-378D3A497E69}">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s>
  <pageMargins left="0.31496062992125984" right="0.31496062992125984" top="0.39370078740157483" bottom="0.39370078740157483" header="0.31496062992125984" footer="0.31496062992125984"/>
  <pageSetup paperSize="9" scale="51" orientation="portrait" r:id="rId1"/>
  <drawing r:id="rId2"/>
  <legacyDrawing r:id="rId3"/>
  <oleObjects>
    <mc:AlternateContent xmlns:mc="http://schemas.openxmlformats.org/markup-compatibility/2006">
      <mc:Choice Requires="x14">
        <oleObject progId="PBrush" shapeId="1028" r:id="rId4">
          <objectPr defaultSize="0" autoPict="0" r:id="rId5">
            <anchor moveWithCells="1" sizeWithCells="1">
              <from>
                <xdr:col>7</xdr:col>
                <xdr:colOff>412750</xdr:colOff>
                <xdr:row>57</xdr:row>
                <xdr:rowOff>19050</xdr:rowOff>
              </from>
              <to>
                <xdr:col>10</xdr:col>
                <xdr:colOff>266700</xdr:colOff>
                <xdr:row>59</xdr:row>
                <xdr:rowOff>285750</xdr:rowOff>
              </to>
            </anchor>
          </objectPr>
        </oleObject>
      </mc:Choice>
      <mc:Fallback>
        <oleObject progId="PBrush" shapeId="1028" r:id="rId4"/>
      </mc:Fallback>
    </mc:AlternateContent>
  </oleObjects>
  <extLst>
    <ext xmlns:x14="http://schemas.microsoft.com/office/spreadsheetml/2009/9/main" uri="{78C0D931-6437-407d-A8EE-F0AAD7539E65}">
      <x14:conditionalFormattings>
        <x14:conditionalFormatting xmlns:xm="http://schemas.microsoft.com/office/excel/2006/main">
          <x14:cfRule type="dataBar" id="{3FB2E84F-939F-415F-B0D2-5F17D1700C99}">
            <x14:dataBar minLength="0" maxLength="100" gradient="0">
              <x14:cfvo type="autoMin"/>
              <x14:cfvo type="autoMax"/>
              <x14:negativeFillColor rgb="FFFF0000"/>
              <x14:axisColor rgb="FF000000"/>
            </x14:dataBar>
          </x14:cfRule>
          <xm:sqref>C11</xm:sqref>
        </x14:conditionalFormatting>
        <x14:conditionalFormatting xmlns:xm="http://schemas.microsoft.com/office/excel/2006/main">
          <x14:cfRule type="dataBar" id="{01B60760-C375-4567-B968-901C4F78BD13}">
            <x14:dataBar minLength="0" maxLength="100" gradient="0">
              <x14:cfvo type="autoMin"/>
              <x14:cfvo type="autoMax"/>
              <x14:negativeFillColor rgb="FFFF0000"/>
              <x14:axisColor rgb="FF000000"/>
            </x14:dataBar>
          </x14:cfRule>
          <xm:sqref>C12</xm:sqref>
        </x14:conditionalFormatting>
        <x14:conditionalFormatting xmlns:xm="http://schemas.microsoft.com/office/excel/2006/main">
          <x14:cfRule type="dataBar" id="{95FB13CE-78E4-4F7C-A483-B5243264091F}">
            <x14:dataBar minLength="0" maxLength="100" gradient="0">
              <x14:cfvo type="autoMin"/>
              <x14:cfvo type="autoMax"/>
              <x14:negativeFillColor rgb="FFFF0000"/>
              <x14:axisColor rgb="FF000000"/>
            </x14:dataBar>
          </x14:cfRule>
          <xm:sqref>C13:C15</xm:sqref>
        </x14:conditionalFormatting>
        <x14:conditionalFormatting xmlns:xm="http://schemas.microsoft.com/office/excel/2006/main">
          <x14:cfRule type="dataBar" id="{EF6727F3-D65E-447C-A6E4-FD786A580E56}">
            <x14:dataBar minLength="0" maxLength="100" gradient="0">
              <x14:cfvo type="autoMin"/>
              <x14:cfvo type="autoMax"/>
              <x14:negativeFillColor rgb="FFFF0000"/>
              <x14:axisColor rgb="FF000000"/>
            </x14:dataBar>
          </x14:cfRule>
          <xm:sqref>C16:C17</xm:sqref>
        </x14:conditionalFormatting>
        <x14:conditionalFormatting xmlns:xm="http://schemas.microsoft.com/office/excel/2006/main">
          <x14:cfRule type="dataBar" id="{E4C97992-1B7B-425A-A4F0-5A58190C53DF}">
            <x14:dataBar minLength="0" maxLength="100" gradient="0">
              <x14:cfvo type="autoMin"/>
              <x14:cfvo type="autoMax"/>
              <x14:negativeFillColor rgb="FFFF0000"/>
              <x14:axisColor rgb="FF000000"/>
            </x14:dataBar>
          </x14:cfRule>
          <xm:sqref>C18:C19</xm:sqref>
        </x14:conditionalFormatting>
        <x14:conditionalFormatting xmlns:xm="http://schemas.microsoft.com/office/excel/2006/main">
          <x14:cfRule type="dataBar" id="{D1CB7439-A2A2-40D6-A863-4408140C07EB}">
            <x14:dataBar minLength="0" maxLength="100" gradient="0">
              <x14:cfvo type="autoMin"/>
              <x14:cfvo type="autoMax"/>
              <x14:negativeFillColor rgb="FFFF0000"/>
              <x14:axisColor rgb="FF000000"/>
            </x14:dataBar>
          </x14:cfRule>
          <xm:sqref>C20</xm:sqref>
        </x14:conditionalFormatting>
        <x14:conditionalFormatting xmlns:xm="http://schemas.microsoft.com/office/excel/2006/main">
          <x14:cfRule type="dataBar" id="{45FEF585-88CD-4AF9-921E-ACBA893596FA}">
            <x14:dataBar minLength="0" maxLength="100" gradient="0">
              <x14:cfvo type="autoMin"/>
              <x14:cfvo type="autoMax"/>
              <x14:negativeFillColor rgb="FFFF0000"/>
              <x14:axisColor rgb="FF000000"/>
            </x14:dataBar>
          </x14:cfRule>
          <xm:sqref>C21:C22</xm:sqref>
        </x14:conditionalFormatting>
        <x14:conditionalFormatting xmlns:xm="http://schemas.microsoft.com/office/excel/2006/main">
          <x14:cfRule type="dataBar" id="{FE0F769C-B0B0-45A9-A745-D731747C5B73}">
            <x14:dataBar minLength="0" maxLength="100" gradient="0">
              <x14:cfvo type="autoMin"/>
              <x14:cfvo type="autoMax"/>
              <x14:negativeFillColor rgb="FFFF0000"/>
              <x14:axisColor rgb="FF000000"/>
            </x14:dataBar>
          </x14:cfRule>
          <xm:sqref>C24</xm:sqref>
        </x14:conditionalFormatting>
        <x14:conditionalFormatting xmlns:xm="http://schemas.microsoft.com/office/excel/2006/main">
          <x14:cfRule type="dataBar" id="{7AE27286-3448-45AE-B07A-16E3FFCD3AAE}">
            <x14:dataBar minLength="0" maxLength="100" gradient="0">
              <x14:cfvo type="autoMin"/>
              <x14:cfvo type="autoMax"/>
              <x14:negativeFillColor rgb="FFFF0000"/>
              <x14:axisColor rgb="FF000000"/>
            </x14:dataBar>
          </x14:cfRule>
          <xm:sqref>C30</xm:sqref>
        </x14:conditionalFormatting>
        <x14:conditionalFormatting xmlns:xm="http://schemas.microsoft.com/office/excel/2006/main">
          <x14:cfRule type="dataBar" id="{8FC2E198-A906-47FC-A211-163D4C31D73D}">
            <x14:dataBar minLength="0" maxLength="100" gradient="0">
              <x14:cfvo type="autoMin"/>
              <x14:cfvo type="autoMax"/>
              <x14:negativeFillColor rgb="FFFF0000"/>
              <x14:axisColor rgb="FF000000"/>
            </x14:dataBar>
          </x14:cfRule>
          <xm:sqref>C32</xm:sqref>
        </x14:conditionalFormatting>
        <x14:conditionalFormatting xmlns:xm="http://schemas.microsoft.com/office/excel/2006/main">
          <x14:cfRule type="dataBar" id="{B96DF80B-4C1A-4FAD-90BE-C7B9C8C25B91}">
            <x14:dataBar minLength="0" maxLength="100" gradient="0">
              <x14:cfvo type="autoMin"/>
              <x14:cfvo type="autoMax"/>
              <x14:negativeFillColor rgb="FFFF0000"/>
              <x14:axisColor rgb="FF000000"/>
            </x14:dataBar>
          </x14:cfRule>
          <xm:sqref>C33</xm:sqref>
        </x14:conditionalFormatting>
        <x14:conditionalFormatting xmlns:xm="http://schemas.microsoft.com/office/excel/2006/main">
          <x14:cfRule type="dataBar" id="{4FF6C58D-EB8D-49CE-8727-54EE75C2F892}">
            <x14:dataBar minLength="0" maxLength="100" gradient="0">
              <x14:cfvo type="autoMin"/>
              <x14:cfvo type="autoMax"/>
              <x14:negativeFillColor rgb="FFFF0000"/>
              <x14:axisColor rgb="FF000000"/>
            </x14:dataBar>
          </x14:cfRule>
          <xm:sqref>C35</xm:sqref>
        </x14:conditionalFormatting>
        <x14:conditionalFormatting xmlns:xm="http://schemas.microsoft.com/office/excel/2006/main">
          <x14:cfRule type="dataBar" id="{B1E4FC1E-A653-4187-AD13-88AFEEDD7113}">
            <x14:dataBar minLength="0" maxLength="100" gradient="0">
              <x14:cfvo type="autoMin"/>
              <x14:cfvo type="autoMax"/>
              <x14:negativeFillColor rgb="FFFF0000"/>
              <x14:axisColor rgb="FF000000"/>
            </x14:dataBar>
          </x14:cfRule>
          <xm:sqref>C36</xm:sqref>
        </x14:conditionalFormatting>
        <x14:conditionalFormatting xmlns:xm="http://schemas.microsoft.com/office/excel/2006/main">
          <x14:cfRule type="dataBar" id="{6724AC93-6DF4-4F13-A9AD-23868C4FD9D6}">
            <x14:dataBar minLength="0" maxLength="100" gradient="0">
              <x14:cfvo type="autoMin"/>
              <x14:cfvo type="autoMax"/>
              <x14:negativeFillColor rgb="FFFF0000"/>
              <x14:axisColor rgb="FF000000"/>
            </x14:dataBar>
          </x14:cfRule>
          <xm:sqref>C37</xm:sqref>
        </x14:conditionalFormatting>
        <x14:conditionalFormatting xmlns:xm="http://schemas.microsoft.com/office/excel/2006/main">
          <x14:cfRule type="dataBar" id="{A04C190F-8C8C-4963-8B3B-DBBFB76EC5F0}">
            <x14:dataBar minLength="0" maxLength="100" gradient="0">
              <x14:cfvo type="autoMin"/>
              <x14:cfvo type="autoMax"/>
              <x14:negativeFillColor rgb="FFFF0000"/>
              <x14:axisColor rgb="FF000000"/>
            </x14:dataBar>
          </x14:cfRule>
          <xm:sqref>C39:C41</xm:sqref>
        </x14:conditionalFormatting>
        <x14:conditionalFormatting xmlns:xm="http://schemas.microsoft.com/office/excel/2006/main">
          <x14:cfRule type="dataBar" id="{DC5716C0-7071-4284-9EE5-66D76496642E}">
            <x14:dataBar minLength="0" maxLength="100" gradient="0">
              <x14:cfvo type="autoMin"/>
              <x14:cfvo type="autoMax"/>
              <x14:negativeFillColor rgb="FFFF0000"/>
              <x14:axisColor rgb="FF000000"/>
            </x14:dataBar>
          </x14:cfRule>
          <xm:sqref>C43</xm:sqref>
        </x14:conditionalFormatting>
        <x14:conditionalFormatting xmlns:xm="http://schemas.microsoft.com/office/excel/2006/main">
          <x14:cfRule type="dataBar" id="{8FAF3156-AE4B-4B28-86F8-F610DF2B02A5}">
            <x14:dataBar minLength="0" maxLength="100" gradient="0">
              <x14:cfvo type="autoMin"/>
              <x14:cfvo type="autoMax"/>
              <x14:negativeFillColor rgb="FFFF0000"/>
              <x14:axisColor rgb="FF000000"/>
            </x14:dataBar>
          </x14:cfRule>
          <xm:sqref>C45</xm:sqref>
        </x14:conditionalFormatting>
        <x14:conditionalFormatting xmlns:xm="http://schemas.microsoft.com/office/excel/2006/main">
          <x14:cfRule type="dataBar" id="{9E81554C-8BA8-4A51-9B2A-D8C8FC89A917}">
            <x14:dataBar minLength="0" maxLength="100" gradient="0">
              <x14:cfvo type="autoMin"/>
              <x14:cfvo type="autoMax"/>
              <x14:negativeFillColor rgb="FFFF0000"/>
              <x14:axisColor rgb="FF000000"/>
            </x14:dataBar>
          </x14:cfRule>
          <xm:sqref>C47</xm:sqref>
        </x14:conditionalFormatting>
        <x14:conditionalFormatting xmlns:xm="http://schemas.microsoft.com/office/excel/2006/main">
          <x14:cfRule type="dataBar" id="{017E47E8-E7D7-4B9A-91C9-1C35A4C72A9E}">
            <x14:dataBar minLength="0" maxLength="100" gradient="0">
              <x14:cfvo type="autoMin"/>
              <x14:cfvo type="autoMax"/>
              <x14:negativeFillColor rgb="FFFF0000"/>
              <x14:axisColor rgb="FF000000"/>
            </x14:dataBar>
          </x14:cfRule>
          <xm:sqref>C55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Mẫu BC tháng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Quang Phuc</dc:creator>
  <cp:keywords/>
  <dc:description/>
  <cp:lastModifiedBy>Khoa các Khoa học cơ bản</cp:lastModifiedBy>
  <cp:revision/>
  <dcterms:created xsi:type="dcterms:W3CDTF">2026-05-27T07:08:41Z</dcterms:created>
  <dcterms:modified xsi:type="dcterms:W3CDTF">2026-09-15T07:08:14Z</dcterms:modified>
  <cp:category/>
  <cp:contentStatus/>
</cp:coreProperties>
</file>