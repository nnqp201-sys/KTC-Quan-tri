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CÔNG VIỆC\BÁO CÁO\BÁO CÁO THÁNG\THÁNG 8.2026\P TH-HC&amp;QT\"/>
    </mc:Choice>
  </mc:AlternateContent>
  <xr:revisionPtr revIDLastSave="0" documentId="13_ncr:1_{DCEA8F83-F6A4-41B5-96EC-DE518AD55DC0}" xr6:coauthVersionLast="47" xr6:coauthVersionMax="47" xr10:uidLastSave="{00000000-0000-0000-0000-000000000000}"/>
  <bookViews>
    <workbookView xWindow="-110" yWindow="-110" windowWidth="19420" windowHeight="11500" xr2:uid="{00000000-000D-0000-FFFF-FFFF00000000}"/>
  </bookViews>
  <sheets>
    <sheet name="Mẫu KH tháng" sheetId="1" r:id="rId1"/>
  </sheets>
  <definedNames>
    <definedName name="_xlnm.Print_Area" localSheetId="0">'Mẫu KH tháng'!$A$1:$K$41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J20" i="1" s="1"/>
  <c r="I32" i="1" l="1"/>
  <c r="J32" i="1" s="1"/>
  <c r="I18" i="1"/>
  <c r="J18" i="1" s="1"/>
  <c r="I16" i="1"/>
  <c r="J16" i="1" s="1"/>
  <c r="I15" i="1"/>
  <c r="J15" i="1" s="1"/>
  <c r="I14" i="1"/>
  <c r="J14" i="1" s="1"/>
  <c r="I13" i="1"/>
  <c r="J13" i="1" s="1"/>
  <c r="I35" i="1" l="1"/>
  <c r="J35" i="1" s="1"/>
  <c r="I33" i="1"/>
  <c r="J33" i="1" s="1"/>
  <c r="I31" i="1"/>
  <c r="J31" i="1" s="1"/>
  <c r="I30" i="1"/>
  <c r="J30" i="1" s="1"/>
  <c r="I28" i="1"/>
  <c r="J28" i="1" s="1"/>
  <c r="I27" i="1"/>
  <c r="J27" i="1" s="1"/>
  <c r="I25" i="1"/>
  <c r="J25" i="1" s="1"/>
  <c r="I24" i="1"/>
  <c r="J24" i="1" s="1"/>
  <c r="I22" i="1"/>
  <c r="J22" i="1" s="1"/>
  <c r="I12" i="1"/>
  <c r="J12" i="1" s="1"/>
  <c r="I17" i="1"/>
  <c r="J17" i="1" s="1"/>
  <c r="I19" i="1"/>
  <c r="J19" i="1" s="1"/>
  <c r="I11" i="1"/>
  <c r="J11" i="1" s="1"/>
</calcChain>
</file>

<file path=xl/sharedStrings.xml><?xml version="1.0" encoding="utf-8"?>
<sst xmlns="http://schemas.openxmlformats.org/spreadsheetml/2006/main" count="182" uniqueCount="103">
  <si>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</si>
  <si>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</si>
  <si>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</si>
  <si>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</si>
  <si>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</si>
  <si>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</si>
  <si>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</si>
  <si>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</si>
  <si>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</si>
  <si>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</si>
  <si>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</si>
  <si>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</si>
  <si>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</si>
  <si>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</si>
  <si>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</si>
  <si>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</si>
  <si>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</si>
  <si>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</si>
  <si>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</si>
  <si>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</si>
  <si>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</si>
  <si>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</si>
  <si>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</si>
  <si>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</si>
  <si>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</si>
  <si>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</si>
  <si>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</si>
  <si>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</si>
  <si>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</si>
  <si>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</si>
  <si>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</si>
  <si>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</si>
  <si>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</si>
  <si>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</si>
  <si>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1.3</t>
  </si>
  <si>
    <t>Bí thư Đảng uỷ</t>
  </si>
  <si>
    <t>Chủ tịch Công đoàn</t>
  </si>
  <si>
    <t>Bí thư ĐTN</t>
  </si>
  <si>
    <t>Chủ tịch HSV</t>
  </si>
  <si>
    <t>Trung bình</t>
  </si>
  <si>
    <t>Cao</t>
  </si>
  <si>
    <t>Khó và phức tạp</t>
  </si>
  <si>
    <t>1.4</t>
  </si>
  <si>
    <t>Độ khó, mới, phức tạp; phạm vi tác
động</t>
  </si>
  <si>
    <t>Các nhiệm vụ đột xuất, phát sinh khác ngoài kế hoạch, từ tháng trước chuyển sang (nếu có)</t>
  </si>
  <si>
    <t>Sản phẩm/ công việc</t>
  </si>
  <si>
    <t>Điểm chấm công việc</t>
  </si>
  <si>
    <t>Hệ số quy đổi</t>
  </si>
  <si>
    <t> Các nhiệm vụ theo kế hoạch (chương trình) công tác đã đề ra từ đầu quý</t>
  </si>
  <si>
    <t>Phụ lục Ib
MẪU KẾ HOẠCH CÔNG TÁC THÁNG CỦA TRƯỜNG CAO ĐẲNG KON TUM</t>
  </si>
  <si>
    <t>Đưa vào KH Trường</t>
  </si>
  <si>
    <t>Thường xuyên của đơn vị</t>
  </si>
  <si>
    <t>Ban Truyền thông</t>
  </si>
  <si>
    <t>Tham mưu văn bản, đề xuất có liên quan đến công tác truyền thông của Trường</t>
  </si>
  <si>
    <t>Thông báo</t>
  </si>
  <si>
    <t>Sự kiện</t>
  </si>
  <si>
    <t>Xây dựng kịch bản chi tiết các chương trình, sự kiện lớn của Trường  (lễ Khai giảng, lễ Tốt nghiệp,…)</t>
  </si>
  <si>
    <t>Tác nghiệp, thu thập thông tin, dữ liệu các sự kiện, hoạt động của Trường (lễ Khai giảng, lễ Tốt nghiệp, kỳ thi năng khiếu mầm non VLVH đợt 2,…)</t>
  </si>
  <si>
    <t>Video</t>
  </si>
  <si>
    <t>1.5</t>
  </si>
  <si>
    <t>1.6</t>
  </si>
  <si>
    <t>1.7</t>
  </si>
  <si>
    <t>1.8</t>
  </si>
  <si>
    <t>Liên kết, phối hợp với Báo và phát thanh truyền hình Quảng Ngãi thực hiện Chuyên mục Giáo dục nghề nghiệp (theo Hợp đồng đã ký)</t>
  </si>
  <si>
    <t>Phóng sự</t>
  </si>
  <si>
    <t>Góp ý vào dự thảo văn bản chuyên môn, chuyên đề do các đơn vị thuộc Trường tham mưu Hiệu trưởng ban hành</t>
  </si>
  <si>
    <t>Văn bản</t>
  </si>
  <si>
    <t xml:space="preserve">Truyền thông chương trình đào tạo ngành, nghề Y sỹ đa khoa </t>
  </si>
  <si>
    <t>Banner/Slider</t>
  </si>
  <si>
    <t>Tuyên truyền văn bản chỉ đạo, ngày lễ, sự kiện trong tháng</t>
  </si>
  <si>
    <t>Tin/bài</t>
  </si>
  <si>
    <t>1.9</t>
  </si>
  <si>
    <t>Truyền thông hoạt động, dịch vụ và các nhiệm vụ nổi bật của Trường (Phòng khám Đa khoa và Nhà thuốc; Dịch vụ đào tạo, sát hạch lái xe;…)</t>
  </si>
  <si>
    <t>Tin/bài/reels</t>
  </si>
  <si>
    <t>Truyền thông hoạt động Công đoàn và các chủ trương, quy định của Nhà trường</t>
  </si>
  <si>
    <t>2.1</t>
  </si>
  <si>
    <t>Ứng dụng AI, công cụ số trong sản xuất nội dung truyền thông</t>
  </si>
  <si>
    <t>Video/sản phẩm số</t>
  </si>
  <si>
    <t>3.1</t>
  </si>
  <si>
    <t>3.2</t>
  </si>
  <si>
    <t>Xây dựng kịch bản, lời bình, hoàn thiện video cho các sản phẩm truyền thông (Video giới thiệu Trường)</t>
  </si>
  <si>
    <t>Truyền thông công tác xây dựng Đảng, Đoàn thể và đoàn kết nội bộ</t>
  </si>
  <si>
    <t>Truyền thông học tập, quán triệt và thực hiện nghị quyết, chủ trương của Đảng</t>
  </si>
  <si>
    <t>4.1</t>
  </si>
  <si>
    <t>4.2</t>
  </si>
  <si>
    <t>Truyền thông các hội thảo khoa học công nghệ, đổi mới sáng tạo và chuyển đổi số</t>
  </si>
  <si>
    <t>Truyền thông Chương trình Công tác Hội và phong trào Sinh viên năm học 2026–2027</t>
  </si>
  <si>
    <t>Truyền thông Chương trình Công tác Đoàn và phong trào thanh niên năm học 2026–2027</t>
  </si>
  <si>
    <t>Tin/bài/video</t>
  </si>
  <si>
    <t>5.1</t>
  </si>
  <si>
    <t>5.2</t>
  </si>
  <si>
    <t>5.3</t>
  </si>
  <si>
    <t>Truyền thông phong trào xanh hoá Nhà trường</t>
  </si>
  <si>
    <t>5.4</t>
  </si>
  <si>
    <t>Truyền thông kết nối doanh nghiệp, hợp tác chuyên môn, hội thảo</t>
  </si>
  <si>
    <t>Sự kiện, tin, bài, video</t>
  </si>
  <si>
    <t>Truyền thông hoạt động hợp tác, kết nối và hội nhập</t>
  </si>
  <si>
    <t>6.1</t>
  </si>
  <si>
    <t>ĐƠN VỊ: BAN TRUYỀN THÔNG</t>
  </si>
  <si>
    <t>KẾ HOẠCH 
công tác tháng 9 năm 2026</t>
  </si>
  <si>
    <r>
      <rPr>
        <i/>
        <sz val="14"/>
        <rFont val="Times New Roman"/>
        <family val="1"/>
        <charset val="163"/>
      </rPr>
      <t>Quảng Ngãi, ngày 14 tháng 8 năm 2026</t>
    </r>
    <r>
      <rPr>
        <sz val="14"/>
        <rFont val="Times New Roman"/>
        <family val="1"/>
      </rPr>
      <t xml:space="preserve">
</t>
    </r>
    <r>
      <rPr>
        <b/>
        <sz val="14"/>
        <rFont val="Times New Roman"/>
        <family val="1"/>
      </rPr>
      <t xml:space="preserve">TRƯỞNG BAN TRUYỀN THÔNG
Trần Thị Thanh Thanh
</t>
    </r>
  </si>
  <si>
    <t>1.10</t>
  </si>
  <si>
    <t>Xây dựng, biên tập, sản xuất chuyên mục Giáo dục nghề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</si>
</sst>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1">
    <xf numFmtId="0" fontId="0" fillId="0" borderId="0"/>
  </cellStyleXfs>
  <cellXfs count="51">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11" fillId="0" borderId="2" xfId="0" applyFont="1" applyBorder="1" applyAlignment="1">
      <alignment wrapText="1"/>
    </xf>
    <xf numFmtId="0" fontId="5" fillId="0" borderId="0" xfId="0" applyFont="1" applyAlignment="1">
      <alignment horizontal="left" vertical="center" wrapText="1"/>
    </xf>
    <xf numFmtId="0" fontId="14" fillId="0" borderId="2" xfId="0" applyFont="1" applyBorder="1" applyAlignment="1">
      <alignment horizontal="center" vertical="center" wrapText="1"/>
    </xf>
    <xf numFmtId="0" fontId="11" fillId="0" borderId="2" xfId="0" applyFont="1" applyBorder="1" applyAlignment="1">
      <alignment horizontal="justify"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2" xfId="0" applyFont="1" applyBorder="1" applyAlignment="1">
      <alignment horizontal="left" vertical="center" wrapText="1"/>
    </xf>
    <xf numFmtId="0" fontId="4" fillId="0" borderId="7" xfId="0" applyFont="1" applyBorder="1" applyAlignment="1">
      <alignment horizontal="center" vertical="center"/>
    </xf>
    <xf numFmtId="0" fontId="11" fillId="0" borderId="5" xfId="0" applyFont="1" applyBorder="1" applyAlignment="1">
      <alignment horizontal="center" vertical="center" wrapText="1"/>
    </xf>
    <xf numFmtId="0" fontId="11" fillId="0" borderId="7" xfId="0" quotePrefix="1" applyFont="1" applyBorder="1" applyAlignment="1">
      <alignment horizontal="left" vertical="center" wrapText="1"/>
    </xf>
    <xf numFmtId="0" fontId="5" fillId="0" borderId="7" xfId="0" applyFont="1" applyBorder="1" applyAlignment="1">
      <alignment vertical="center" wrapText="1"/>
    </xf>
    <xf numFmtId="0" fontId="14" fillId="0" borderId="5" xfId="0" applyFont="1" applyBorder="1" applyAlignment="1">
      <alignment horizontal="center" vertical="center" wrapText="1"/>
    </xf>
    <xf numFmtId="0" fontId="4" fillId="0" borderId="4" xfId="0" applyFont="1" applyBorder="1" applyAlignment="1">
      <alignment horizontal="center" vertical="center"/>
    </xf>
    <xf numFmtId="0" fontId="5" fillId="0" borderId="6" xfId="0" applyFont="1" applyBorder="1" applyAlignment="1">
      <alignment horizontal="left" vertical="center" wrapText="1"/>
    </xf>
    <xf numFmtId="0" fontId="11" fillId="0" borderId="8" xfId="0" applyFont="1" applyBorder="1" applyAlignment="1">
      <alignment horizontal="center" vertical="center" wrapText="1"/>
    </xf>
    <xf numFmtId="0" fontId="5" fillId="0" borderId="6" xfId="0" applyFont="1" applyBorder="1" applyAlignment="1">
      <alignment horizontal="center" vertical="center" wrapText="1"/>
    </xf>
    <xf numFmtId="0" fontId="4"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7" xfId="0" applyFont="1" applyBorder="1" applyAlignment="1">
      <alignment horizontal="left" vertical="center"/>
    </xf>
    <xf numFmtId="0" fontId="11" fillId="0" borderId="3" xfId="0" applyFont="1" applyBorder="1" applyAlignment="1">
      <alignment horizontal="left" vertical="center" wrapText="1"/>
    </xf>
    <xf numFmtId="0" fontId="4" fillId="0" borderId="6" xfId="0" applyFont="1" applyBorder="1" applyAlignment="1">
      <alignment horizontal="left" vertical="center"/>
    </xf>
    <xf numFmtId="0" fontId="4" fillId="0" borderId="2" xfId="0" applyFont="1" applyBorder="1" applyAlignment="1">
      <alignment horizontal="left" vertical="center"/>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7</xdr:col>
      <xdr:colOff>166557</xdr:colOff>
      <xdr:row>40</xdr:row>
      <xdr:rowOff>499672</xdr:rowOff>
    </xdr:from>
    <xdr:to>
      <xdr:col>9</xdr:col>
      <xdr:colOff>313466</xdr:colOff>
      <xdr:row>40</xdr:row>
      <xdr:rowOff>1301889</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1967" y="18602377"/>
          <a:ext cx="1687565" cy="8022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tabSelected="1" view="pageBreakPreview" zoomScale="61" zoomScaleNormal="70" zoomScaleSheetLayoutView="70" workbookViewId="0">
      <selection activeCell="C6" sqref="C6:C7"/>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ht="42.75" customHeight="1" x14ac:dyDescent="0.35">
      <c r="A1" s="42" t="s">
        <v>49</v>
      </c>
      <c r="B1" s="43"/>
      <c r="C1" s="43"/>
      <c r="D1" s="43"/>
      <c r="E1" s="43"/>
      <c r="F1" s="43"/>
      <c r="G1" s="43"/>
      <c r="H1" s="43"/>
      <c r="I1" s="43"/>
      <c r="J1" s="43"/>
      <c r="K1" s="43"/>
    </row>
    <row r="2" spans="1:11" s="5" customFormat="1" ht="28.5" customHeight="1" x14ac:dyDescent="0.4">
      <c r="A2" s="46" t="s">
        <v>28</v>
      </c>
      <c r="B2" s="47"/>
      <c r="D2" s="50" t="s">
        <v>23</v>
      </c>
      <c r="E2" s="50"/>
      <c r="F2" s="50"/>
      <c r="G2" s="50"/>
      <c r="H2" s="50"/>
      <c r="I2" s="50"/>
      <c r="J2" s="50"/>
      <c r="K2" s="50"/>
    </row>
    <row r="3" spans="1:11" s="5" customFormat="1" ht="18.75" customHeight="1" x14ac:dyDescent="0.35">
      <c r="A3" s="48" t="s">
        <v>98</v>
      </c>
      <c r="B3" s="48"/>
      <c r="C3" s="6"/>
      <c r="D3" s="42" t="s">
        <v>24</v>
      </c>
      <c r="E3" s="42"/>
      <c r="F3" s="42"/>
      <c r="G3" s="42"/>
      <c r="H3" s="42"/>
      <c r="I3" s="42"/>
      <c r="J3" s="42"/>
      <c r="K3" s="42"/>
    </row>
    <row r="4" spans="1:11" ht="44.25" customHeight="1" x14ac:dyDescent="0.35">
      <c r="A4" s="42" t="s">
        <v>99</v>
      </c>
      <c r="B4" s="49"/>
      <c r="C4" s="49"/>
      <c r="D4" s="49"/>
      <c r="E4" s="49"/>
      <c r="F4" s="49"/>
      <c r="G4" s="49"/>
      <c r="H4" s="49"/>
      <c r="I4" s="49"/>
      <c r="J4" s="49"/>
      <c r="K4" s="49"/>
    </row>
    <row r="5" spans="1:11" ht="9" customHeight="1" x14ac:dyDescent="0.35">
      <c r="A5" s="45"/>
      <c r="B5" s="45"/>
      <c r="C5" s="45"/>
      <c r="D5" s="45"/>
      <c r="E5" s="45"/>
      <c r="F5" s="45"/>
      <c r="G5" s="45"/>
      <c r="H5" s="45"/>
      <c r="I5" s="45"/>
      <c r="J5" s="45"/>
      <c r="K5" s="45"/>
    </row>
    <row r="6" spans="1:11" ht="22" customHeight="1" x14ac:dyDescent="0.35">
      <c r="A6" s="44" t="s">
        <v>0</v>
      </c>
      <c r="B6" s="44" t="s">
        <v>1</v>
      </c>
      <c r="C6" s="44" t="s">
        <v>2</v>
      </c>
      <c r="D6" s="44" t="s">
        <v>29</v>
      </c>
      <c r="E6" s="44" t="s">
        <v>45</v>
      </c>
      <c r="F6" s="44" t="s">
        <v>14</v>
      </c>
      <c r="G6" s="44" t="s">
        <v>43</v>
      </c>
      <c r="H6" s="32" t="s">
        <v>3</v>
      </c>
      <c r="I6" s="32" t="s">
        <v>46</v>
      </c>
      <c r="J6" s="32" t="s">
        <v>47</v>
      </c>
      <c r="K6" s="32" t="s">
        <v>4</v>
      </c>
    </row>
    <row r="7" spans="1:11" ht="63.75" customHeight="1" x14ac:dyDescent="0.35">
      <c r="A7" s="44"/>
      <c r="B7" s="44"/>
      <c r="C7" s="44"/>
      <c r="D7" s="44"/>
      <c r="E7" s="44"/>
      <c r="F7" s="44"/>
      <c r="G7" s="44"/>
      <c r="H7" s="32"/>
      <c r="I7" s="32"/>
      <c r="J7" s="32"/>
      <c r="K7" s="32"/>
    </row>
    <row r="8" spans="1:11" ht="15" x14ac:dyDescent="0.35">
      <c r="A8" s="4" t="s">
        <v>15</v>
      </c>
      <c r="B8" s="4" t="s">
        <v>16</v>
      </c>
      <c r="C8" s="4" t="s">
        <v>17</v>
      </c>
      <c r="D8" s="4" t="s">
        <v>18</v>
      </c>
      <c r="E8" s="4" t="s">
        <v>19</v>
      </c>
      <c r="F8" s="4" t="s">
        <v>20</v>
      </c>
      <c r="G8" s="4" t="s">
        <v>21</v>
      </c>
      <c r="H8" s="4" t="s">
        <v>22</v>
      </c>
      <c r="I8" s="4" t="s">
        <v>27</v>
      </c>
      <c r="J8" s="4" t="s">
        <v>30</v>
      </c>
      <c r="K8" s="4" t="s">
        <v>30</v>
      </c>
    </row>
    <row r="9" spans="1:11" ht="31.5" customHeight="1" x14ac:dyDescent="0.35">
      <c r="A9" s="1" t="s">
        <v>5</v>
      </c>
      <c r="B9" s="35" t="s">
        <v>48</v>
      </c>
      <c r="C9" s="35"/>
      <c r="D9" s="35"/>
      <c r="E9" s="35"/>
      <c r="F9" s="35"/>
      <c r="G9" s="35"/>
      <c r="H9" s="35"/>
      <c r="I9" s="35"/>
      <c r="J9" s="35"/>
      <c r="K9" s="35"/>
    </row>
    <row r="10" spans="1:11" ht="22.5" customHeight="1" x14ac:dyDescent="0.35">
      <c r="A10" s="7">
        <v>1</v>
      </c>
      <c r="B10" s="38" t="s">
        <v>6</v>
      </c>
      <c r="C10" s="39"/>
      <c r="D10" s="39"/>
      <c r="E10" s="39"/>
      <c r="F10" s="39"/>
      <c r="G10" s="39"/>
      <c r="H10" s="39"/>
      <c r="I10" s="39"/>
      <c r="J10" s="39"/>
      <c r="K10" s="39"/>
    </row>
    <row r="11" spans="1:11" ht="74.25" customHeight="1" x14ac:dyDescent="0.35">
      <c r="A11" s="18" t="s">
        <v>25</v>
      </c>
      <c r="B11" s="20" t="s">
        <v>53</v>
      </c>
      <c r="C11" s="22" t="s">
        <v>33</v>
      </c>
      <c r="D11" s="9" t="s">
        <v>52</v>
      </c>
      <c r="E11" s="3" t="s">
        <v>54</v>
      </c>
      <c r="F11" s="1">
        <v>1</v>
      </c>
      <c r="G11" s="3" t="s">
        <v>39</v>
      </c>
      <c r="H11" s="1"/>
      <c r="I11" s="1">
        <f>IF(G11="Khó và phức tạp",200,IF(G11="Cao",150,IF(G11="Trungbình",120,100)))</f>
        <v>100</v>
      </c>
      <c r="J11" s="1">
        <f>I11*0.01</f>
        <v>1</v>
      </c>
      <c r="K11" s="12" t="s">
        <v>51</v>
      </c>
    </row>
    <row r="12" spans="1:11" ht="62" x14ac:dyDescent="0.35">
      <c r="A12" s="18" t="s">
        <v>26</v>
      </c>
      <c r="B12" s="20" t="s">
        <v>57</v>
      </c>
      <c r="C12" s="22" t="s">
        <v>33</v>
      </c>
      <c r="D12" s="9" t="s">
        <v>52</v>
      </c>
      <c r="E12" s="3" t="s">
        <v>55</v>
      </c>
      <c r="F12" s="1">
        <v>15</v>
      </c>
      <c r="G12" s="3" t="s">
        <v>39</v>
      </c>
      <c r="H12" s="1"/>
      <c r="I12" s="1">
        <f t="shared" ref="I12:I20" si="0">IF(G12="Khó và phức tạp",200,IF(G12="Cao",150,IF(G12="Trungbình",120,100)))</f>
        <v>100</v>
      </c>
      <c r="J12" s="1">
        <f t="shared" ref="J12:J20" si="1">I12*0.01</f>
        <v>1</v>
      </c>
      <c r="K12" s="12" t="s">
        <v>51</v>
      </c>
    </row>
    <row r="13" spans="1:11" ht="62" x14ac:dyDescent="0.35">
      <c r="A13" s="1" t="s">
        <v>34</v>
      </c>
      <c r="B13" s="23" t="s">
        <v>63</v>
      </c>
      <c r="C13" s="16" t="s">
        <v>33</v>
      </c>
      <c r="D13" s="9" t="s">
        <v>52</v>
      </c>
      <c r="E13" s="3" t="s">
        <v>64</v>
      </c>
      <c r="F13" s="1">
        <v>1</v>
      </c>
      <c r="G13" s="3" t="s">
        <v>40</v>
      </c>
      <c r="H13" s="1"/>
      <c r="I13" s="1">
        <f t="shared" si="0"/>
        <v>150</v>
      </c>
      <c r="J13" s="1">
        <f t="shared" si="1"/>
        <v>1.5</v>
      </c>
      <c r="K13" s="13" t="s">
        <v>50</v>
      </c>
    </row>
    <row r="14" spans="1:11" ht="46.5" x14ac:dyDescent="0.35">
      <c r="A14" s="1" t="s">
        <v>42</v>
      </c>
      <c r="B14" s="17" t="s">
        <v>65</v>
      </c>
      <c r="C14" s="16" t="s">
        <v>33</v>
      </c>
      <c r="D14" s="9" t="s">
        <v>52</v>
      </c>
      <c r="E14" s="3" t="s">
        <v>66</v>
      </c>
      <c r="F14" s="1">
        <v>3</v>
      </c>
      <c r="G14" s="3" t="s">
        <v>39</v>
      </c>
      <c r="H14" s="1"/>
      <c r="I14" s="1">
        <f t="shared" si="0"/>
        <v>100</v>
      </c>
      <c r="J14" s="1">
        <f t="shared" si="1"/>
        <v>1</v>
      </c>
      <c r="K14" s="12" t="s">
        <v>51</v>
      </c>
    </row>
    <row r="15" spans="1:11" ht="31" x14ac:dyDescent="0.35">
      <c r="A15" s="1" t="s">
        <v>59</v>
      </c>
      <c r="B15" s="15" t="s">
        <v>67</v>
      </c>
      <c r="C15" s="16" t="s">
        <v>33</v>
      </c>
      <c r="D15" s="9" t="s">
        <v>52</v>
      </c>
      <c r="E15" s="3" t="s">
        <v>68</v>
      </c>
      <c r="F15" s="1">
        <v>3</v>
      </c>
      <c r="G15" s="3" t="s">
        <v>40</v>
      </c>
      <c r="H15" s="1"/>
      <c r="I15" s="1">
        <f t="shared" si="0"/>
        <v>150</v>
      </c>
      <c r="J15" s="1">
        <f t="shared" si="1"/>
        <v>1.5</v>
      </c>
      <c r="K15" s="12" t="s">
        <v>51</v>
      </c>
    </row>
    <row r="16" spans="1:11" ht="31" x14ac:dyDescent="0.35">
      <c r="A16" s="18" t="s">
        <v>60</v>
      </c>
      <c r="B16" s="20" t="s">
        <v>69</v>
      </c>
      <c r="C16" s="25" t="s">
        <v>33</v>
      </c>
      <c r="D16" s="9" t="s">
        <v>52</v>
      </c>
      <c r="E16" s="3" t="s">
        <v>70</v>
      </c>
      <c r="F16" s="1">
        <v>3</v>
      </c>
      <c r="G16" s="3" t="s">
        <v>39</v>
      </c>
      <c r="H16" s="1"/>
      <c r="I16" s="1">
        <f t="shared" si="0"/>
        <v>100</v>
      </c>
      <c r="J16" s="1">
        <f t="shared" si="1"/>
        <v>1</v>
      </c>
      <c r="K16" s="12" t="s">
        <v>51</v>
      </c>
    </row>
    <row r="17" spans="1:11" ht="46.5" x14ac:dyDescent="0.35">
      <c r="A17" s="1" t="s">
        <v>61</v>
      </c>
      <c r="B17" s="24" t="s">
        <v>56</v>
      </c>
      <c r="C17" s="9" t="s">
        <v>33</v>
      </c>
      <c r="D17" s="9" t="s">
        <v>52</v>
      </c>
      <c r="E17" s="3" t="s">
        <v>55</v>
      </c>
      <c r="F17" s="1">
        <v>2</v>
      </c>
      <c r="G17" s="3" t="s">
        <v>40</v>
      </c>
      <c r="H17" s="1"/>
      <c r="I17" s="1">
        <f t="shared" si="0"/>
        <v>150</v>
      </c>
      <c r="J17" s="1">
        <f t="shared" si="1"/>
        <v>1.5</v>
      </c>
      <c r="K17" s="13" t="s">
        <v>50</v>
      </c>
    </row>
    <row r="18" spans="1:11" ht="62" x14ac:dyDescent="0.35">
      <c r="A18" s="1" t="s">
        <v>62</v>
      </c>
      <c r="B18" s="2" t="s">
        <v>72</v>
      </c>
      <c r="C18" s="9" t="s">
        <v>33</v>
      </c>
      <c r="D18" s="9" t="s">
        <v>52</v>
      </c>
      <c r="E18" s="3" t="s">
        <v>73</v>
      </c>
      <c r="F18" s="1">
        <v>15</v>
      </c>
      <c r="G18" s="3" t="s">
        <v>40</v>
      </c>
      <c r="H18" s="1"/>
      <c r="I18" s="1">
        <f t="shared" si="0"/>
        <v>150</v>
      </c>
      <c r="J18" s="1">
        <f t="shared" si="1"/>
        <v>1.5</v>
      </c>
      <c r="K18" s="12" t="s">
        <v>51</v>
      </c>
    </row>
    <row r="19" spans="1:11" ht="46.5" x14ac:dyDescent="0.35">
      <c r="A19" s="1" t="s">
        <v>71</v>
      </c>
      <c r="B19" s="14" t="s">
        <v>80</v>
      </c>
      <c r="C19" s="9" t="s">
        <v>33</v>
      </c>
      <c r="D19" s="9" t="s">
        <v>52</v>
      </c>
      <c r="E19" s="3" t="s">
        <v>58</v>
      </c>
      <c r="F19" s="1">
        <v>1</v>
      </c>
      <c r="G19" s="3" t="s">
        <v>40</v>
      </c>
      <c r="H19" s="1"/>
      <c r="I19" s="1">
        <f t="shared" si="0"/>
        <v>150</v>
      </c>
      <c r="J19" s="1">
        <f t="shared" si="1"/>
        <v>1.5</v>
      </c>
      <c r="K19" s="12" t="s">
        <v>51</v>
      </c>
    </row>
    <row r="20" spans="1:11" ht="31" x14ac:dyDescent="0.35">
      <c r="A20" s="1" t="s">
        <v>101</v>
      </c>
      <c r="B20" s="14" t="s">
        <v>102</v>
      </c>
      <c r="C20" s="9" t="s">
        <v>33</v>
      </c>
      <c r="D20" s="9" t="s">
        <v>52</v>
      </c>
      <c r="E20" s="3" t="s">
        <v>58</v>
      </c>
      <c r="F20" s="1">
        <v>1</v>
      </c>
      <c r="G20" s="3" t="s">
        <v>40</v>
      </c>
      <c r="H20" s="1"/>
      <c r="I20" s="1">
        <f t="shared" si="0"/>
        <v>150</v>
      </c>
      <c r="J20" s="1">
        <f t="shared" si="1"/>
        <v>1.5</v>
      </c>
      <c r="K20" s="12" t="s">
        <v>51</v>
      </c>
    </row>
    <row r="21" spans="1:11" ht="22.5" customHeight="1" x14ac:dyDescent="0.35">
      <c r="A21" s="7">
        <v>2</v>
      </c>
      <c r="B21" s="39" t="s">
        <v>8</v>
      </c>
      <c r="C21" s="39"/>
      <c r="D21" s="39"/>
      <c r="E21" s="39"/>
      <c r="F21" s="39"/>
      <c r="G21" s="39"/>
      <c r="H21" s="39"/>
      <c r="I21" s="39"/>
      <c r="J21" s="39"/>
      <c r="K21" s="39"/>
    </row>
    <row r="22" spans="1:11" ht="31" x14ac:dyDescent="0.35">
      <c r="A22" s="1" t="s">
        <v>75</v>
      </c>
      <c r="B22" s="2" t="s">
        <v>74</v>
      </c>
      <c r="C22" s="9" t="s">
        <v>36</v>
      </c>
      <c r="D22" s="9" t="s">
        <v>52</v>
      </c>
      <c r="E22" s="3" t="s">
        <v>70</v>
      </c>
      <c r="F22" s="1">
        <v>6</v>
      </c>
      <c r="G22" s="3" t="s">
        <v>40</v>
      </c>
      <c r="H22" s="3"/>
      <c r="I22" s="1">
        <f>IF(G22="Khó và phức tạp",200,IF(G22="Cao",150,IF(G22="Trungbình",120,100)))</f>
        <v>150</v>
      </c>
      <c r="J22" s="1">
        <f>I22*0.01</f>
        <v>1.5</v>
      </c>
      <c r="K22" s="12" t="s">
        <v>51</v>
      </c>
    </row>
    <row r="23" spans="1:11" ht="22.5" customHeight="1" x14ac:dyDescent="0.35">
      <c r="A23" s="21">
        <v>3</v>
      </c>
      <c r="B23" s="36" t="s">
        <v>9</v>
      </c>
      <c r="C23" s="36"/>
      <c r="D23" s="36"/>
      <c r="E23" s="36"/>
      <c r="F23" s="36"/>
      <c r="G23" s="39"/>
      <c r="H23" s="39"/>
      <c r="I23" s="39"/>
      <c r="J23" s="39"/>
      <c r="K23" s="39"/>
    </row>
    <row r="24" spans="1:11" ht="31" x14ac:dyDescent="0.35">
      <c r="A24" s="1" t="s">
        <v>78</v>
      </c>
      <c r="B24" s="20" t="s">
        <v>85</v>
      </c>
      <c r="C24" s="9" t="s">
        <v>33</v>
      </c>
      <c r="D24" s="3" t="s">
        <v>52</v>
      </c>
      <c r="E24" s="3" t="s">
        <v>70</v>
      </c>
      <c r="F24" s="1">
        <v>3</v>
      </c>
      <c r="G24" s="3" t="s">
        <v>39</v>
      </c>
      <c r="H24" s="3"/>
      <c r="I24" s="1">
        <f>IF(G24="Khó và phức tạp",200,IF(G24="Cao",150,IF(G24="Trungbình",120,100)))</f>
        <v>100</v>
      </c>
      <c r="J24" s="1">
        <f>I24*0.01</f>
        <v>1</v>
      </c>
      <c r="K24" s="13" t="s">
        <v>50</v>
      </c>
    </row>
    <row r="25" spans="1:11" ht="31" x14ac:dyDescent="0.35">
      <c r="A25" s="1" t="s">
        <v>79</v>
      </c>
      <c r="B25" s="20" t="s">
        <v>76</v>
      </c>
      <c r="C25" s="9" t="s">
        <v>33</v>
      </c>
      <c r="D25" s="3" t="s">
        <v>52</v>
      </c>
      <c r="E25" s="3" t="s">
        <v>77</v>
      </c>
      <c r="F25" s="1">
        <v>10</v>
      </c>
      <c r="G25" s="3" t="s">
        <v>40</v>
      </c>
      <c r="H25" s="2"/>
      <c r="I25" s="1">
        <f>IF(G25="Khó và phức tạp",200,IF(G25="Cao",150,IF(G25="Trungbình",120,100)))</f>
        <v>150</v>
      </c>
      <c r="J25" s="1">
        <f>I25*0.01</f>
        <v>1.5</v>
      </c>
      <c r="K25" s="12" t="s">
        <v>51</v>
      </c>
    </row>
    <row r="26" spans="1:11" ht="46.5" customHeight="1" x14ac:dyDescent="0.35">
      <c r="A26" s="7">
        <v>4</v>
      </c>
      <c r="B26" s="40" t="s">
        <v>10</v>
      </c>
      <c r="C26" s="40"/>
      <c r="D26" s="40"/>
      <c r="E26" s="40"/>
      <c r="F26" s="41"/>
      <c r="G26" s="41"/>
      <c r="H26" s="41"/>
      <c r="I26" s="41"/>
      <c r="J26" s="41"/>
      <c r="K26" s="41"/>
    </row>
    <row r="27" spans="1:11" ht="31" x14ac:dyDescent="0.35">
      <c r="A27" s="18" t="s">
        <v>83</v>
      </c>
      <c r="B27" s="20" t="s">
        <v>81</v>
      </c>
      <c r="C27" s="9" t="s">
        <v>35</v>
      </c>
      <c r="D27" s="3" t="s">
        <v>52</v>
      </c>
      <c r="E27" s="3" t="s">
        <v>70</v>
      </c>
      <c r="F27" s="19">
        <v>3</v>
      </c>
      <c r="G27" s="3" t="s">
        <v>39</v>
      </c>
      <c r="H27" s="3"/>
      <c r="I27" s="1">
        <f>IF(G27="Khó và phức tạp",200,IF(G27="Cao",150,IF(G27="Trungbình",120,100)))</f>
        <v>100</v>
      </c>
      <c r="J27" s="1">
        <f>I27*0.01</f>
        <v>1</v>
      </c>
      <c r="K27" s="12" t="s">
        <v>51</v>
      </c>
    </row>
    <row r="28" spans="1:11" ht="31" x14ac:dyDescent="0.35">
      <c r="A28" s="18" t="s">
        <v>84</v>
      </c>
      <c r="B28" s="20" t="s">
        <v>82</v>
      </c>
      <c r="C28" s="9" t="s">
        <v>35</v>
      </c>
      <c r="D28" s="3" t="s">
        <v>52</v>
      </c>
      <c r="E28" s="3" t="s">
        <v>70</v>
      </c>
      <c r="F28" s="19">
        <v>3</v>
      </c>
      <c r="G28" s="3" t="s">
        <v>39</v>
      </c>
      <c r="H28" s="3"/>
      <c r="I28" s="1">
        <f t="shared" ref="I28" si="2">IF(G28="Khó và phức tạp",200,IF(G28="Cao",150,IF(G28="Trungbình",120,100)))</f>
        <v>100</v>
      </c>
      <c r="J28" s="1">
        <f t="shared" ref="J28:J35" si="3">I28*0.01</f>
        <v>1</v>
      </c>
      <c r="K28" s="12" t="s">
        <v>51</v>
      </c>
    </row>
    <row r="29" spans="1:11" ht="22.5" customHeight="1" x14ac:dyDescent="0.35">
      <c r="A29" s="7">
        <v>5</v>
      </c>
      <c r="B29" s="38" t="s">
        <v>11</v>
      </c>
      <c r="C29" s="39"/>
      <c r="D29" s="39"/>
      <c r="E29" s="39"/>
      <c r="F29" s="39"/>
      <c r="G29" s="39"/>
      <c r="H29" s="39"/>
      <c r="I29" s="39"/>
      <c r="J29" s="39"/>
      <c r="K29" s="39"/>
    </row>
    <row r="30" spans="1:11" ht="46.5" x14ac:dyDescent="0.35">
      <c r="A30" s="18" t="s">
        <v>89</v>
      </c>
      <c r="B30" s="20" t="s">
        <v>86</v>
      </c>
      <c r="C30" s="22" t="s">
        <v>38</v>
      </c>
      <c r="D30" s="3" t="s">
        <v>52</v>
      </c>
      <c r="E30" s="3" t="s">
        <v>88</v>
      </c>
      <c r="F30" s="1">
        <v>3</v>
      </c>
      <c r="G30" s="3" t="s">
        <v>39</v>
      </c>
      <c r="H30" s="3"/>
      <c r="I30" s="1">
        <f t="shared" ref="I30:I33" si="4">IF(G30="Khó và phức tạp",200,IF(G30="Cao",150,IF(G30="Trungbình",120,100)))</f>
        <v>100</v>
      </c>
      <c r="J30" s="1">
        <f t="shared" si="3"/>
        <v>1</v>
      </c>
      <c r="K30" s="12" t="s">
        <v>51</v>
      </c>
    </row>
    <row r="31" spans="1:11" ht="46.5" x14ac:dyDescent="0.35">
      <c r="A31" s="18" t="s">
        <v>90</v>
      </c>
      <c r="B31" s="27" t="s">
        <v>87</v>
      </c>
      <c r="C31" s="28" t="s">
        <v>37</v>
      </c>
      <c r="D31" s="29" t="s">
        <v>52</v>
      </c>
      <c r="E31" s="29" t="s">
        <v>88</v>
      </c>
      <c r="F31" s="30">
        <v>3</v>
      </c>
      <c r="G31" s="29" t="s">
        <v>39</v>
      </c>
      <c r="H31" s="29"/>
      <c r="I31" s="30">
        <f t="shared" si="4"/>
        <v>100</v>
      </c>
      <c r="J31" s="30">
        <f t="shared" si="3"/>
        <v>1</v>
      </c>
      <c r="K31" s="31" t="s">
        <v>51</v>
      </c>
    </row>
    <row r="32" spans="1:11" ht="31" x14ac:dyDescent="0.35">
      <c r="A32" s="18" t="s">
        <v>91</v>
      </c>
      <c r="B32" s="20" t="s">
        <v>94</v>
      </c>
      <c r="C32" s="9" t="s">
        <v>33</v>
      </c>
      <c r="D32" s="3" t="s">
        <v>52</v>
      </c>
      <c r="E32" s="3" t="s">
        <v>95</v>
      </c>
      <c r="F32" s="1">
        <v>3</v>
      </c>
      <c r="G32" s="3" t="s">
        <v>40</v>
      </c>
      <c r="H32" s="3"/>
      <c r="I32" s="1">
        <f t="shared" si="4"/>
        <v>150</v>
      </c>
      <c r="J32" s="1">
        <f t="shared" si="3"/>
        <v>1.5</v>
      </c>
      <c r="K32" s="13" t="s">
        <v>50</v>
      </c>
    </row>
    <row r="33" spans="1:11" ht="31" x14ac:dyDescent="0.35">
      <c r="A33" s="18" t="s">
        <v>93</v>
      </c>
      <c r="B33" s="20" t="s">
        <v>92</v>
      </c>
      <c r="C33" s="9" t="s">
        <v>33</v>
      </c>
      <c r="D33" s="3" t="s">
        <v>52</v>
      </c>
      <c r="E33" s="3" t="s">
        <v>88</v>
      </c>
      <c r="F33" s="1">
        <v>2</v>
      </c>
      <c r="G33" s="3" t="s">
        <v>40</v>
      </c>
      <c r="H33" s="3"/>
      <c r="I33" s="1">
        <f t="shared" si="4"/>
        <v>150</v>
      </c>
      <c r="J33" s="1">
        <f t="shared" si="3"/>
        <v>1.5</v>
      </c>
      <c r="K33" s="13" t="s">
        <v>50</v>
      </c>
    </row>
    <row r="34" spans="1:11" ht="22.5" customHeight="1" x14ac:dyDescent="0.35">
      <c r="A34" s="26">
        <v>6</v>
      </c>
      <c r="B34" s="39" t="s">
        <v>12</v>
      </c>
      <c r="C34" s="39"/>
      <c r="D34" s="39"/>
      <c r="E34" s="39"/>
      <c r="F34" s="39"/>
      <c r="G34" s="39"/>
      <c r="H34" s="39"/>
      <c r="I34" s="39"/>
      <c r="J34" s="39"/>
      <c r="K34" s="39"/>
    </row>
    <row r="35" spans="1:11" ht="31" x14ac:dyDescent="0.35">
      <c r="A35" s="18" t="s">
        <v>97</v>
      </c>
      <c r="B35" s="20" t="s">
        <v>96</v>
      </c>
      <c r="C35" s="9" t="s">
        <v>33</v>
      </c>
      <c r="D35" s="3" t="s">
        <v>52</v>
      </c>
      <c r="E35" s="3" t="s">
        <v>88</v>
      </c>
      <c r="F35" s="1">
        <v>5</v>
      </c>
      <c r="G35" s="3" t="s">
        <v>41</v>
      </c>
      <c r="H35" s="3"/>
      <c r="I35" s="1">
        <f t="shared" ref="I35" si="5">IF(G35="Khó và phức tạp",200,IF(G35="Cao",150,IF(G35="Trungbình",120,100)))</f>
        <v>200</v>
      </c>
      <c r="J35" s="1">
        <f t="shared" si="3"/>
        <v>2</v>
      </c>
      <c r="K35" s="13" t="s">
        <v>50</v>
      </c>
    </row>
    <row r="36" spans="1:11" ht="22.5" customHeight="1" x14ac:dyDescent="0.35">
      <c r="A36" s="7" t="s">
        <v>13</v>
      </c>
      <c r="B36" s="36" t="s">
        <v>44</v>
      </c>
      <c r="C36" s="36"/>
      <c r="D36" s="36"/>
      <c r="E36" s="36"/>
      <c r="F36" s="36"/>
      <c r="G36" s="36"/>
      <c r="H36" s="36"/>
      <c r="I36" s="36"/>
      <c r="J36" s="36"/>
      <c r="K36" s="36"/>
    </row>
    <row r="37" spans="1:11" ht="15.5" x14ac:dyDescent="0.35">
      <c r="A37" s="3">
        <v>1</v>
      </c>
      <c r="B37" s="2"/>
      <c r="C37" s="9"/>
      <c r="D37" s="9"/>
      <c r="E37" s="3"/>
      <c r="F37" s="1"/>
      <c r="G37" s="3"/>
      <c r="H37" s="3"/>
      <c r="I37" s="1"/>
      <c r="J37" s="1"/>
      <c r="K37" s="13"/>
    </row>
    <row r="38" spans="1:11" ht="15.5" x14ac:dyDescent="0.35">
      <c r="A38" s="3">
        <v>2</v>
      </c>
      <c r="B38" s="2"/>
      <c r="C38" s="9"/>
      <c r="D38" s="9"/>
      <c r="E38" s="3"/>
      <c r="F38" s="1"/>
      <c r="G38" s="3"/>
      <c r="H38" s="3"/>
      <c r="I38" s="1"/>
      <c r="J38" s="1"/>
      <c r="K38" s="12"/>
    </row>
    <row r="39" spans="1:11" ht="15.5" x14ac:dyDescent="0.35">
      <c r="A39" s="3" t="s">
        <v>7</v>
      </c>
      <c r="B39" s="2"/>
      <c r="C39" s="9"/>
      <c r="D39" s="9"/>
      <c r="E39" s="3"/>
      <c r="F39" s="1"/>
      <c r="G39" s="3"/>
      <c r="H39" s="3"/>
      <c r="I39" s="1"/>
      <c r="J39" s="1"/>
      <c r="K39" s="3"/>
    </row>
    <row r="40" spans="1:11" s="8" customFormat="1" ht="119.25" customHeight="1" x14ac:dyDescent="0.35">
      <c r="B40" s="37" t="s">
        <v>31</v>
      </c>
      <c r="C40" s="37"/>
      <c r="D40" s="37"/>
      <c r="E40" s="37"/>
      <c r="F40" s="37"/>
      <c r="G40" s="37"/>
      <c r="H40" s="37"/>
      <c r="I40" s="37"/>
      <c r="J40" s="37"/>
      <c r="K40" s="37"/>
    </row>
    <row r="41" spans="1:11" s="11" customFormat="1" ht="132" customHeight="1" x14ac:dyDescent="0.35">
      <c r="A41" s="34" t="s">
        <v>32</v>
      </c>
      <c r="B41" s="34"/>
      <c r="C41" s="34"/>
      <c r="D41" s="10"/>
      <c r="G41" s="33" t="s">
        <v>100</v>
      </c>
      <c r="H41" s="33"/>
      <c r="I41" s="33"/>
      <c r="J41" s="33"/>
      <c r="K41" s="33"/>
    </row>
  </sheetData>
  <mergeCells count="29">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 ref="I6:I7"/>
    <mergeCell ref="J6:J7"/>
    <mergeCell ref="G41:K41"/>
    <mergeCell ref="A41:C41"/>
    <mergeCell ref="B9:K9"/>
    <mergeCell ref="B36:K36"/>
    <mergeCell ref="B40:K40"/>
    <mergeCell ref="B10:K10"/>
    <mergeCell ref="B21:K21"/>
    <mergeCell ref="B23:K23"/>
    <mergeCell ref="B26:K26"/>
    <mergeCell ref="B29:K29"/>
    <mergeCell ref="B34:K34"/>
  </mergeCells>
  <conditionalFormatting sqref="C11:C12 C17:C20">
    <cfRule type="dataBar" priority="16">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3">
    <cfRule type="dataBar" priority="5">
      <dataBar>
        <cfvo type="min"/>
        <cfvo type="max"/>
        <color rgb="FF638EC6"/>
      </dataBar>
      <extLst>
        <ext xmlns:x14="http://schemas.microsoft.com/office/spreadsheetml/2009/9/main" uri="{B025F937-C7B1-47D3-B67F-A62EFF666E3E}">
          <x14:id>{E1FACCE3-EC27-4E73-9181-99B892F6B8D0}</x14:id>
        </ext>
      </extLst>
    </cfRule>
  </conditionalFormatting>
  <conditionalFormatting sqref="C14:C16">
    <cfRule type="dataBar" priority="4">
      <dataBar>
        <cfvo type="min"/>
        <cfvo type="max"/>
        <color rgb="FF638EC6"/>
      </dataBar>
      <extLst>
        <ext xmlns:x14="http://schemas.microsoft.com/office/spreadsheetml/2009/9/main" uri="{B025F937-C7B1-47D3-B67F-A62EFF666E3E}">
          <x14:id>{040F5FBB-0213-4263-89B9-F732E9E31333}</x14:id>
        </ext>
      </extLst>
    </cfRule>
  </conditionalFormatting>
  <conditionalFormatting sqref="C22">
    <cfRule type="dataBar" priority="1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4:C25">
    <cfRule type="dataBar" priority="2">
      <dataBar>
        <cfvo type="min"/>
        <cfvo type="max"/>
        <color rgb="FF638EC6"/>
      </dataBar>
      <extLst>
        <ext xmlns:x14="http://schemas.microsoft.com/office/spreadsheetml/2009/9/main" uri="{B025F937-C7B1-47D3-B67F-A62EFF666E3E}">
          <x14:id>{AD677C10-5ACA-4C66-B154-24B643ECEB91}</x14:id>
        </ext>
      </extLst>
    </cfRule>
  </conditionalFormatting>
  <conditionalFormatting sqref="C27:C28">
    <cfRule type="dataBar" priority="1">
      <dataBar>
        <cfvo type="min"/>
        <cfvo type="max"/>
        <color rgb="FF638EC6"/>
      </dataBar>
      <extLst>
        <ext xmlns:x14="http://schemas.microsoft.com/office/spreadsheetml/2009/9/main" uri="{B025F937-C7B1-47D3-B67F-A62EFF666E3E}">
          <x14:id>{7C62AC2F-4643-4158-83C0-54345A7D9C04}</x14:id>
        </ext>
      </extLst>
    </cfRule>
  </conditionalFormatting>
  <conditionalFormatting sqref="C30">
    <cfRule type="dataBar" priority="6">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1:C33">
    <cfRule type="dataBar" priority="17">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5">
    <cfRule type="dataBar" priority="18">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7:C39">
    <cfRule type="dataBar" priority="8">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37:D39 D11:D20 D22" xr:uid="{00000000-0002-0000-01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30:C33 C11:C20 C22 C35 C37:C39 C24:C25 C27:C28" xr:uid="{00000000-0002-0000-01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7:E39 E35 E22 E30:E33 E11:E20" xr:uid="{00000000-0002-0000-01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11:G20 G35 G27:G28 G24:G25 G22 G37:G39 G30:G33" xr:uid="{00000000-0002-0000-0100-000003000000}">
      <formula1>"Thấp,Trung bình,Cao,Khó và phức tạp"</formula1>
    </dataValidation>
    <dataValidation allowBlank="1" showInputMessage="1" sqref="H27:K28 H22:K22 H24:K25 H30:K33 H37:K39 H35:K35 H11:K20" xr:uid="{00000000-0002-0000-0100-000004000000}"/>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C11:C12 C17:C20</xm:sqref>
        </x14:conditionalFormatting>
        <x14:conditionalFormatting xmlns:xm="http://schemas.microsoft.com/office/excel/2006/main">
          <x14:cfRule type="dataBar" id="{E1FACCE3-EC27-4E73-9181-99B892F6B8D0}">
            <x14:dataBar minLength="0" maxLength="100" gradient="0">
              <x14:cfvo type="autoMin"/>
              <x14:cfvo type="autoMax"/>
              <x14:negativeFillColor rgb="FFFF0000"/>
              <x14:axisColor rgb="FF000000"/>
            </x14:dataBar>
          </x14:cfRule>
          <xm:sqref>C13</xm:sqref>
        </x14:conditionalFormatting>
        <x14:conditionalFormatting xmlns:xm="http://schemas.microsoft.com/office/excel/2006/main">
          <x14:cfRule type="dataBar" id="{040F5FBB-0213-4263-89B9-F732E9E31333}">
            <x14:dataBar minLength="0" maxLength="100" gradient="0">
              <x14:cfvo type="autoMin"/>
              <x14:cfvo type="autoMax"/>
              <x14:negativeFillColor rgb="FFFF0000"/>
              <x14:axisColor rgb="FF000000"/>
            </x14:dataBar>
          </x14:cfRule>
          <xm:sqref>C14:C16</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AD677C10-5ACA-4C66-B154-24B643ECEB91}">
            <x14:dataBar minLength="0" maxLength="100" gradient="0">
              <x14:cfvo type="autoMin"/>
              <x14:cfvo type="autoMax"/>
              <x14:negativeFillColor rgb="FFFF0000"/>
              <x14:axisColor rgb="FF000000"/>
            </x14:dataBar>
          </x14:cfRule>
          <xm:sqref>C24:C25</xm:sqref>
        </x14:conditionalFormatting>
        <x14:conditionalFormatting xmlns:xm="http://schemas.microsoft.com/office/excel/2006/main">
          <x14:cfRule type="dataBar" id="{7C62AC2F-4643-4158-83C0-54345A7D9C04}">
            <x14:dataBar minLength="0" maxLength="100" gradient="0">
              <x14:cfvo type="autoMin"/>
              <x14:cfvo type="autoMax"/>
              <x14:negativeFillColor rgb="FFFF0000"/>
              <x14:axisColor rgb="FF000000"/>
            </x14:dataBar>
          </x14:cfRule>
          <xm:sqref>C27:C28</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C31:C33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C37:C39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2026-06-25T01:37:08Z</cp:lastPrinted>
  <dcterms:created xsi:type="dcterms:W3CDTF">2026-05-27T07:08:41Z</dcterms:created>
  <dcterms:modified xsi:type="dcterms:W3CDTF">2026-08-17T09:11:25Z</dcterms:modified>
</cp:coreProperties>
</file>