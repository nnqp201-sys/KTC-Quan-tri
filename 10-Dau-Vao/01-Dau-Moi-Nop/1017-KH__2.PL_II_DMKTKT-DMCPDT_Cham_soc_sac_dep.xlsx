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AppData\Roaming\VNPT Plugin\Files\FileTemp\"/>
    </mc:Choice>
  </mc:AlternateContent>
  <xr:revisionPtr revIDLastSave="0" documentId="13_ncr:1_{268B9380-EB14-45C6-8CC3-69FDBE7BAE5D}" xr6:coauthVersionLast="47" xr6:coauthVersionMax="47" xr10:uidLastSave="{00000000-0000-0000-0000-000000000000}"/>
  <bookViews>
    <workbookView xWindow="-110" yWindow="-110" windowWidth="19420" windowHeight="11020" activeTab="2" xr2:uid="{00000000-000D-0000-FFFF-FFFF00000000}"/>
  </bookViews>
  <sheets>
    <sheet name="DMKTKT" sheetId="1" r:id="rId1"/>
    <sheet name="DMCPDT" sheetId="2" r:id="rId2"/>
    <sheet name="THUYET_MINH" sheetId="3" r:id="rId3"/>
    <sheet name="THAM_SO"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05" i="1" l="1"/>
  <c r="E107" i="1" l="1"/>
  <c r="E108" i="1"/>
  <c r="B9" i="4"/>
  <c r="B10" i="4" s="1"/>
  <c r="G110" i="2"/>
  <c r="G109"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E43" i="2"/>
  <c r="B43" i="2"/>
  <c r="E42" i="2"/>
  <c r="B42" i="2"/>
  <c r="B37" i="2"/>
  <c r="H36" i="2"/>
  <c r="B36" i="2"/>
  <c r="H35" i="2"/>
  <c r="B35" i="2"/>
  <c r="H34" i="2"/>
  <c r="B34" i="2"/>
  <c r="H33" i="2"/>
  <c r="B33" i="2"/>
  <c r="H32" i="2"/>
  <c r="B32" i="2"/>
  <c r="H31" i="2"/>
  <c r="B31" i="2"/>
  <c r="H30" i="2"/>
  <c r="B30" i="2"/>
  <c r="H29" i="2"/>
  <c r="B29" i="2"/>
  <c r="H28" i="2"/>
  <c r="B28" i="2"/>
  <c r="H27" i="2"/>
  <c r="B27" i="2"/>
  <c r="H26" i="2"/>
  <c r="B26" i="2"/>
  <c r="H25" i="2"/>
  <c r="B25" i="2"/>
  <c r="H24" i="2"/>
  <c r="B24" i="2"/>
  <c r="H23" i="2"/>
  <c r="B23" i="2"/>
  <c r="H22" i="2"/>
  <c r="B22" i="2"/>
  <c r="H21" i="2"/>
  <c r="B21" i="2"/>
  <c r="H20" i="2"/>
  <c r="B20" i="2"/>
  <c r="H19" i="2"/>
  <c r="B19" i="2"/>
  <c r="H18" i="2"/>
  <c r="B18" i="2"/>
  <c r="H17" i="2"/>
  <c r="B17" i="2"/>
  <c r="H16" i="2"/>
  <c r="B16" i="2"/>
  <c r="H15" i="2"/>
  <c r="B15" i="2"/>
  <c r="H14" i="2"/>
  <c r="B14" i="2"/>
  <c r="H13" i="2"/>
  <c r="B13" i="2"/>
  <c r="E8" i="2"/>
  <c r="E7" i="2"/>
  <c r="E6" i="2"/>
  <c r="D113" i="1"/>
  <c r="C113" i="1"/>
  <c r="D112" i="1"/>
  <c r="C112" i="1"/>
  <c r="F108" i="1"/>
  <c r="F107" i="1"/>
  <c r="F106" i="1"/>
  <c r="H106" i="1" s="1"/>
  <c r="D102" i="2" s="1"/>
  <c r="F102" i="2" s="1"/>
  <c r="F105" i="1"/>
  <c r="H105" i="1" s="1"/>
  <c r="D101" i="2" s="1"/>
  <c r="F101" i="2" s="1"/>
  <c r="F104" i="1"/>
  <c r="E104" i="1"/>
  <c r="H104" i="1" s="1"/>
  <c r="D100" i="2" s="1"/>
  <c r="F100" i="2" s="1"/>
  <c r="F103" i="1"/>
  <c r="E103" i="1"/>
  <c r="F102" i="1"/>
  <c r="E102" i="1"/>
  <c r="F101" i="1"/>
  <c r="E101" i="1"/>
  <c r="F100" i="1"/>
  <c r="E100" i="1"/>
  <c r="F99" i="1"/>
  <c r="E99" i="1"/>
  <c r="F98" i="1"/>
  <c r="E98" i="1"/>
  <c r="F97" i="1"/>
  <c r="E97" i="1"/>
  <c r="F96" i="1"/>
  <c r="H96" i="1" s="1"/>
  <c r="D92" i="2" s="1"/>
  <c r="F92" i="2" s="1"/>
  <c r="F95" i="1"/>
  <c r="H95" i="1" s="1"/>
  <c r="D91" i="2" s="1"/>
  <c r="F91" i="2" s="1"/>
  <c r="F94" i="1"/>
  <c r="E94" i="1"/>
  <c r="F93" i="1"/>
  <c r="E93" i="1"/>
  <c r="F92" i="1"/>
  <c r="E92" i="1"/>
  <c r="F91" i="1"/>
  <c r="H91" i="1" s="1"/>
  <c r="D87" i="2" s="1"/>
  <c r="F87" i="2" s="1"/>
  <c r="F90" i="1"/>
  <c r="E90" i="1"/>
  <c r="F89" i="1"/>
  <c r="E89" i="1"/>
  <c r="F88" i="1"/>
  <c r="E88" i="1"/>
  <c r="F87" i="1"/>
  <c r="H87" i="1" s="1"/>
  <c r="D83" i="2" s="1"/>
  <c r="F83" i="2" s="1"/>
  <c r="F86" i="1"/>
  <c r="E86" i="1"/>
  <c r="F85" i="1"/>
  <c r="E85" i="1"/>
  <c r="F84" i="1"/>
  <c r="H84" i="1" s="1"/>
  <c r="D80" i="2" s="1"/>
  <c r="F80" i="2" s="1"/>
  <c r="F83" i="1"/>
  <c r="H83" i="1" s="1"/>
  <c r="D79" i="2" s="1"/>
  <c r="F79" i="2" s="1"/>
  <c r="F82" i="1"/>
  <c r="H82" i="1" s="1"/>
  <c r="D78" i="2" s="1"/>
  <c r="F78" i="2" s="1"/>
  <c r="F81" i="1"/>
  <c r="E81" i="1"/>
  <c r="F80" i="1"/>
  <c r="H80" i="1" s="1"/>
  <c r="D76" i="2" s="1"/>
  <c r="F76" i="2" s="1"/>
  <c r="F79" i="1"/>
  <c r="H79" i="1" s="1"/>
  <c r="D75" i="2" s="1"/>
  <c r="F75" i="2" s="1"/>
  <c r="F78" i="1"/>
  <c r="E78" i="1"/>
  <c r="F77" i="1"/>
  <c r="E77" i="1"/>
  <c r="F76" i="1"/>
  <c r="E76" i="1"/>
  <c r="F75" i="1"/>
  <c r="E75" i="1"/>
  <c r="F74" i="1"/>
  <c r="E74" i="1"/>
  <c r="F73" i="1"/>
  <c r="E73" i="1"/>
  <c r="F72" i="1"/>
  <c r="H72" i="1" s="1"/>
  <c r="D68" i="2" s="1"/>
  <c r="F68" i="2" s="1"/>
  <c r="F71" i="1"/>
  <c r="H71" i="1" s="1"/>
  <c r="D67" i="2" s="1"/>
  <c r="F67" i="2" s="1"/>
  <c r="F70" i="1"/>
  <c r="H70" i="1" s="1"/>
  <c r="D66" i="2" s="1"/>
  <c r="F66" i="2" s="1"/>
  <c r="F69" i="1"/>
  <c r="H69" i="1" s="1"/>
  <c r="D65" i="2" s="1"/>
  <c r="F65" i="2" s="1"/>
  <c r="F68" i="1"/>
  <c r="H68" i="1" s="1"/>
  <c r="D64" i="2" s="1"/>
  <c r="F64" i="2" s="1"/>
  <c r="F67" i="1"/>
  <c r="E67" i="1"/>
  <c r="F66" i="1"/>
  <c r="H66" i="1" s="1"/>
  <c r="D62" i="2" s="1"/>
  <c r="F62" i="2" s="1"/>
  <c r="F65" i="1"/>
  <c r="H65" i="1" s="1"/>
  <c r="D61" i="2" s="1"/>
  <c r="F61" i="2" s="1"/>
  <c r="F64" i="1"/>
  <c r="H64" i="1" s="1"/>
  <c r="D60" i="2" s="1"/>
  <c r="F60" i="2" s="1"/>
  <c r="F63" i="1"/>
  <c r="H63" i="1" s="1"/>
  <c r="D59" i="2" s="1"/>
  <c r="F59" i="2" s="1"/>
  <c r="F62" i="1"/>
  <c r="H62" i="1" s="1"/>
  <c r="D58" i="2" s="1"/>
  <c r="F58" i="2" s="1"/>
  <c r="F61" i="1"/>
  <c r="E61" i="1"/>
  <c r="F60" i="1"/>
  <c r="H60" i="1" s="1"/>
  <c r="D56" i="2" s="1"/>
  <c r="F56" i="2" s="1"/>
  <c r="F59" i="1"/>
  <c r="H59" i="1" s="1"/>
  <c r="D55" i="2" s="1"/>
  <c r="F55" i="2" s="1"/>
  <c r="F58" i="1"/>
  <c r="H58" i="1" s="1"/>
  <c r="D54" i="2" s="1"/>
  <c r="F54" i="2" s="1"/>
  <c r="F57" i="1"/>
  <c r="E57" i="1"/>
  <c r="F56" i="1"/>
  <c r="H56" i="1" s="1"/>
  <c r="D52" i="2" s="1"/>
  <c r="F52" i="2" s="1"/>
  <c r="F55" i="1"/>
  <c r="H55" i="1" s="1"/>
  <c r="D51" i="2" s="1"/>
  <c r="F51" i="2" s="1"/>
  <c r="F54" i="1"/>
  <c r="E54" i="1"/>
  <c r="F53" i="1"/>
  <c r="H53" i="1" s="1"/>
  <c r="D49" i="2" s="1"/>
  <c r="F49" i="2" s="1"/>
  <c r="F52" i="1"/>
  <c r="E52" i="1"/>
  <c r="F51" i="1"/>
  <c r="E51" i="1"/>
  <c r="F50" i="1"/>
  <c r="E50" i="1"/>
  <c r="F49" i="1"/>
  <c r="E49" i="1"/>
  <c r="F48" i="1"/>
  <c r="E48" i="1"/>
  <c r="F47" i="1"/>
  <c r="E47" i="1"/>
  <c r="F46" i="1"/>
  <c r="E46" i="1"/>
  <c r="G42" i="1"/>
  <c r="E42" i="1"/>
  <c r="G41" i="1"/>
  <c r="F41" i="1"/>
  <c r="G40" i="1"/>
  <c r="F40" i="1"/>
  <c r="G39" i="1"/>
  <c r="F39" i="1"/>
  <c r="G38" i="1"/>
  <c r="H38" i="1" s="1"/>
  <c r="C33" i="2" s="1"/>
  <c r="G37" i="1"/>
  <c r="H37" i="1" s="1"/>
  <c r="C32" i="2" s="1"/>
  <c r="I32" i="2" s="1"/>
  <c r="G36" i="1"/>
  <c r="F36" i="1"/>
  <c r="E36" i="1"/>
  <c r="G35" i="1"/>
  <c r="F35" i="1"/>
  <c r="E35" i="1"/>
  <c r="G34" i="1"/>
  <c r="F34" i="1"/>
  <c r="E34" i="1"/>
  <c r="G33" i="1"/>
  <c r="H33" i="1" s="1"/>
  <c r="C28" i="2" s="1"/>
  <c r="G32" i="1"/>
  <c r="H32" i="1" s="1"/>
  <c r="C27" i="2" s="1"/>
  <c r="G31" i="1"/>
  <c r="E31" i="1"/>
  <c r="G30" i="1"/>
  <c r="H30" i="1" s="1"/>
  <c r="C25" i="2" s="1"/>
  <c r="G29" i="1"/>
  <c r="H29" i="1" s="1"/>
  <c r="C24" i="2" s="1"/>
  <c r="I24" i="2" s="1"/>
  <c r="G28" i="1"/>
  <c r="H28" i="1" s="1"/>
  <c r="C23" i="2" s="1"/>
  <c r="G27" i="1"/>
  <c r="E27" i="1"/>
  <c r="G26" i="1"/>
  <c r="E26" i="1"/>
  <c r="G25" i="1"/>
  <c r="E25" i="1"/>
  <c r="G24" i="1"/>
  <c r="H24" i="1" s="1"/>
  <c r="C19" i="2" s="1"/>
  <c r="G23" i="1"/>
  <c r="H23" i="1" s="1"/>
  <c r="C18" i="2" s="1"/>
  <c r="I18" i="2" s="1"/>
  <c r="G22" i="1"/>
  <c r="H22" i="1" s="1"/>
  <c r="C17" i="2" s="1"/>
  <c r="G21" i="1"/>
  <c r="F21" i="1"/>
  <c r="G20" i="1"/>
  <c r="F20" i="1"/>
  <c r="G19" i="1"/>
  <c r="F19" i="1"/>
  <c r="G18" i="1"/>
  <c r="F18" i="1"/>
  <c r="G13" i="1"/>
  <c r="E13" i="1"/>
  <c r="D13" i="1"/>
  <c r="E12" i="1"/>
  <c r="D12" i="1"/>
  <c r="A6" i="1"/>
  <c r="I23" i="2" l="1"/>
  <c r="I19" i="2"/>
  <c r="I33" i="2"/>
  <c r="H50" i="1"/>
  <c r="D46" i="2" s="1"/>
  <c r="F46" i="2" s="1"/>
  <c r="I25" i="2"/>
  <c r="I28" i="2"/>
  <c r="H20" i="1"/>
  <c r="C15" i="2" s="1"/>
  <c r="I15" i="2" s="1"/>
  <c r="H31" i="1"/>
  <c r="C26" i="2" s="1"/>
  <c r="I26" i="2" s="1"/>
  <c r="D11" i="1"/>
  <c r="A4" i="1"/>
  <c r="H100" i="1"/>
  <c r="D96" i="2" s="1"/>
  <c r="F96" i="2" s="1"/>
  <c r="H73" i="1"/>
  <c r="D69" i="2" s="1"/>
  <c r="F69" i="2" s="1"/>
  <c r="H103" i="1"/>
  <c r="D99" i="2" s="1"/>
  <c r="F99" i="2" s="1"/>
  <c r="H52" i="1"/>
  <c r="D48" i="2" s="1"/>
  <c r="F48" i="2" s="1"/>
  <c r="H27" i="1"/>
  <c r="C22" i="2" s="1"/>
  <c r="I22" i="2" s="1"/>
  <c r="H41" i="1"/>
  <c r="C36" i="2" s="1"/>
  <c r="I36" i="2" s="1"/>
  <c r="H76" i="1"/>
  <c r="D72" i="2" s="1"/>
  <c r="F72" i="2" s="1"/>
  <c r="I27" i="2"/>
  <c r="I17" i="2"/>
  <c r="H34" i="1"/>
  <c r="C29" i="2" s="1"/>
  <c r="I29" i="2" s="1"/>
  <c r="H46" i="1"/>
  <c r="D42" i="2" s="1"/>
  <c r="F42" i="2" s="1"/>
  <c r="H94" i="1"/>
  <c r="D90" i="2" s="1"/>
  <c r="F90" i="2" s="1"/>
  <c r="H99" i="1"/>
  <c r="D95" i="2" s="1"/>
  <c r="F95" i="2" s="1"/>
  <c r="H25" i="1"/>
  <c r="C20" i="2" s="1"/>
  <c r="I20" i="2" s="1"/>
  <c r="H47" i="1"/>
  <c r="D43" i="2" s="1"/>
  <c r="F43" i="2" s="1"/>
  <c r="E113" i="1"/>
  <c r="C110" i="2" s="1"/>
  <c r="H110" i="2" s="1"/>
  <c r="H26" i="1"/>
  <c r="C21" i="2" s="1"/>
  <c r="I21" i="2" s="1"/>
  <c r="H61" i="1"/>
  <c r="D57" i="2" s="1"/>
  <c r="F57" i="2" s="1"/>
  <c r="H74" i="1"/>
  <c r="D70" i="2" s="1"/>
  <c r="F70" i="2" s="1"/>
  <c r="H78" i="1"/>
  <c r="D74" i="2" s="1"/>
  <c r="F74" i="2" s="1"/>
  <c r="H97" i="1"/>
  <c r="D93" i="2" s="1"/>
  <c r="F93" i="2" s="1"/>
  <c r="E112" i="1"/>
  <c r="C109" i="2" s="1"/>
  <c r="H109" i="2" s="1"/>
  <c r="H21" i="1"/>
  <c r="C16" i="2" s="1"/>
  <c r="I16" i="2" s="1"/>
  <c r="H75" i="1"/>
  <c r="D71" i="2" s="1"/>
  <c r="F71" i="2" s="1"/>
  <c r="H85" i="1"/>
  <c r="D81" i="2" s="1"/>
  <c r="F81" i="2" s="1"/>
  <c r="H93" i="1"/>
  <c r="D89" i="2" s="1"/>
  <c r="F89" i="2" s="1"/>
  <c r="H101" i="1"/>
  <c r="D97" i="2" s="1"/>
  <c r="F97" i="2" s="1"/>
  <c r="H42" i="1"/>
  <c r="C37" i="2" s="1"/>
  <c r="H37" i="2" s="1"/>
  <c r="I37" i="2" s="1"/>
  <c r="H54" i="1"/>
  <c r="D50" i="2" s="1"/>
  <c r="F50" i="2" s="1"/>
  <c r="H90" i="1"/>
  <c r="D86" i="2" s="1"/>
  <c r="F86" i="2" s="1"/>
  <c r="H102" i="1"/>
  <c r="D98" i="2" s="1"/>
  <c r="F98" i="2" s="1"/>
  <c r="H107" i="1"/>
  <c r="D103" i="2" s="1"/>
  <c r="F103" i="2" s="1"/>
  <c r="H88" i="1"/>
  <c r="D84" i="2" s="1"/>
  <c r="F84" i="2" s="1"/>
  <c r="H19" i="1"/>
  <c r="C14" i="2" s="1"/>
  <c r="I14" i="2" s="1"/>
  <c r="H40" i="1"/>
  <c r="C35" i="2" s="1"/>
  <c r="I35" i="2" s="1"/>
  <c r="H67" i="1"/>
  <c r="D63" i="2" s="1"/>
  <c r="F63" i="2" s="1"/>
  <c r="H77" i="1"/>
  <c r="D73" i="2" s="1"/>
  <c r="F73" i="2" s="1"/>
  <c r="H108" i="1"/>
  <c r="D104" i="2" s="1"/>
  <c r="F104" i="2" s="1"/>
  <c r="F12" i="1"/>
  <c r="D6" i="2" s="1"/>
  <c r="F6" i="2" s="1"/>
  <c r="H48" i="1"/>
  <c r="D44" i="2" s="1"/>
  <c r="F44" i="2" s="1"/>
  <c r="H57" i="1"/>
  <c r="D53" i="2" s="1"/>
  <c r="F53" i="2" s="1"/>
  <c r="F13" i="1"/>
  <c r="D7" i="2" s="1"/>
  <c r="F7" i="2" s="1"/>
  <c r="H35" i="1"/>
  <c r="C30" i="2" s="1"/>
  <c r="I30" i="2" s="1"/>
  <c r="H39" i="1"/>
  <c r="C34" i="2" s="1"/>
  <c r="I34" i="2" s="1"/>
  <c r="H49" i="1"/>
  <c r="D45" i="2" s="1"/>
  <c r="F45" i="2" s="1"/>
  <c r="H18" i="1"/>
  <c r="C13" i="2" s="1"/>
  <c r="I13" i="2" s="1"/>
  <c r="H36" i="1"/>
  <c r="C31" i="2" s="1"/>
  <c r="I31" i="2" s="1"/>
  <c r="H51" i="1"/>
  <c r="D47" i="2" s="1"/>
  <c r="F47" i="2" s="1"/>
  <c r="H89" i="1"/>
  <c r="D85" i="2" s="1"/>
  <c r="F85" i="2" s="1"/>
  <c r="H86" i="1"/>
  <c r="D82" i="2" s="1"/>
  <c r="F82" i="2" s="1"/>
  <c r="H98" i="1"/>
  <c r="D94" i="2" s="1"/>
  <c r="F94" i="2" s="1"/>
  <c r="H81" i="1"/>
  <c r="D77" i="2" s="1"/>
  <c r="F77" i="2" s="1"/>
  <c r="H92" i="1"/>
  <c r="D88" i="2" s="1"/>
  <c r="F88" i="2" s="1"/>
  <c r="H111" i="2" l="1"/>
  <c r="C118" i="2" s="1"/>
  <c r="F11" i="1"/>
  <c r="F14" i="1" s="1"/>
  <c r="D8" i="2" s="1"/>
  <c r="F8" i="2" s="1"/>
  <c r="F9" i="2" s="1"/>
  <c r="C115" i="2" s="1"/>
  <c r="I38" i="2"/>
  <c r="C116" i="2" s="1"/>
  <c r="F105" i="2"/>
  <c r="C117" i="2" s="1"/>
  <c r="C119" i="2" l="1"/>
  <c r="F10" i="1"/>
</calcChain>
</file>

<file path=xl/sharedStrings.xml><?xml version="1.0" encoding="utf-8"?>
<sst xmlns="http://schemas.openxmlformats.org/spreadsheetml/2006/main" count="670" uniqueCount="321">
  <si>
    <t>Phụ lục</t>
  </si>
  <si>
    <t>ĐỊNH MỨC KINH TẾ - KỸ THUẬT NGHỀ CHĂM SÓC SẮC ĐẸP</t>
  </si>
  <si>
    <t>I. ĐỊNH MỨC LAO ĐỘNG</t>
  </si>
  <si>
    <t>STT</t>
  </si>
  <si>
    <t>Định mức lao động</t>
  </si>
  <si>
    <t>ĐVT</t>
  </si>
  <si>
    <t>Số giờ CTĐT</t>
  </si>
  <si>
    <t>Mẫu số (sĩ số)</t>
  </si>
  <si>
    <t>Định mức (giờ/người học)</t>
  </si>
  <si>
    <t>Ghi chú</t>
  </si>
  <si>
    <t>Tổng cộng (1)+(2)</t>
  </si>
  <si>
    <t>Giờ</t>
  </si>
  <si>
    <t>1</t>
  </si>
  <si>
    <t>Định mức lao động trực tiếp (ĐMLĐTT)</t>
  </si>
  <si>
    <t>1.1</t>
  </si>
  <si>
    <t>Định mức giờ dạy lý thuyết</t>
  </si>
  <si>
    <t>Giờ LT ÷ sĩ số lớp LT</t>
  </si>
  <si>
    <t>1.2</t>
  </si>
  <si>
    <t>Định mức giờ dạy thực hành (bao gồm cả kiểm tra)</t>
  </si>
  <si>
    <t>2</t>
  </si>
  <si>
    <t>Định mức lao động gián tiếp (ĐMLĐGT)</t>
  </si>
  <si>
    <t>15% ĐMLĐTT</t>
  </si>
  <si>
    <t>II. ĐỊNH MỨC THIẾT BỊ</t>
  </si>
  <si>
    <t>Tên thiết bị, dụng cụ</t>
  </si>
  <si>
    <t>Thông số kỹ thuật cơ bản</t>
  </si>
  <si>
    <t>Số lượng sử dụng đồng thời/lớp</t>
  </si>
  <si>
    <t>Giờ sử dụng theo CTĐT (giờ)</t>
  </si>
  <si>
    <t>Mẫu số (sĩ số lớp)</t>
  </si>
  <si>
    <t>Định mức thiết bị (giờ/người học)</t>
  </si>
  <si>
    <t>Ti vi (máy chiếu) 65 inch trở lên</t>
  </si>
  <si>
    <t>Loại thông dụng trên thị trường</t>
  </si>
  <si>
    <t>Bộ</t>
  </si>
  <si>
    <t>Toàn bộ giờ lý thuyết (40 giờ); 20%/năm</t>
  </si>
  <si>
    <t>Máy vi tính (laptop)</t>
  </si>
  <si>
    <t>Thông số thông dụng</t>
  </si>
  <si>
    <t>Toàn bộ giờ lý thuyết; 14,29%/năm</t>
  </si>
  <si>
    <t>Bút trình chiếu</t>
  </si>
  <si>
    <t>Cái</t>
  </si>
  <si>
    <t>Toàn bộ giờ lý thuyết; tiêu hao 80% -&gt; 1 năm</t>
  </si>
  <si>
    <t>Bảng từ chống lóa (phòng học lý thuyết)</t>
  </si>
  <si>
    <t>Loại thông dụng</t>
  </si>
  <si>
    <t>Toàn bộ giờ lý thuyết; tiêu hao 50% -&gt; 2 năm</t>
  </si>
  <si>
    <t>Giường spa</t>
  </si>
  <si>
    <t>Theo cặp thực hành (9 cái/lớp, một người làm, một người làm mẫu). MĐ1: bài 2 (18) + bài 3-6 (75) + kiểm tra (2) = 95 giờ; tiêu hao 50% -&gt; 2 năm</t>
  </si>
  <si>
    <t>Ga trải giường spa</t>
  </si>
  <si>
    <t>Theo giường (9 cái/lớp), đi kèm giường spa, 95 giờ</t>
  </si>
  <si>
    <t>Tủ hấp khăn</t>
  </si>
  <si>
    <t>Dùng chung cả lớp thực hành (01 cái/lớp). MĐ1 bài 3-6 (75) + kiểm tra (2) = 77 giờ</t>
  </si>
  <si>
    <t>Máy xông hơi (mặt)</t>
  </si>
  <si>
    <t>Máy soi da</t>
  </si>
  <si>
    <t>Đèn soi da (đèn LED)</t>
  </si>
  <si>
    <t>Bộ bàn trang điểm</t>
  </si>
  <si>
    <t>Loại thông dụng (CTĐT: bàn + ghế 25 bộ)</t>
  </si>
  <si>
    <t>Gương trang điểm có đèn</t>
  </si>
  <si>
    <t>Theo cặp (9 cái/lớp), MĐ2 102 giờ</t>
  </si>
  <si>
    <t>Đèn LED trang điểm chuyên dụng</t>
  </si>
  <si>
    <t>Bộ cọ trang điểm</t>
  </si>
  <si>
    <t>Cá nhân (18 bộ/lớp) để bảo đảm vệ sinh, MĐ2 102 giờ</t>
  </si>
  <si>
    <t>Cốp đựng đồ trang điểm</t>
  </si>
  <si>
    <t>Nhíp gắp phụ kiện</t>
  </si>
  <si>
    <t>Theo cặp (9 cái/lớp). MĐ2 bài 6 trang điểm mắt, gắn mi giả: 15 giờ</t>
  </si>
  <si>
    <t>Gương cầm tay</t>
  </si>
  <si>
    <t>Cá nhân (18 cái/lớp), toàn bộ giờ thực hành và kiểm tra (204 giờ)</t>
  </si>
  <si>
    <t>Ổ cắm điện di động</t>
  </si>
  <si>
    <t>Tủ/kệ đựng mỹ phẩm</t>
  </si>
  <si>
    <t>Camera ghi hình cận cảnh</t>
  </si>
  <si>
    <t>Chân máy ảnh/chân máy quay</t>
  </si>
  <si>
    <t>Ti vi (phòng thực hành)</t>
  </si>
  <si>
    <t>CTĐT: ti vi; dùng giá ti vi 65 inch</t>
  </si>
  <si>
    <t>Dùng chung cả lớp thực hành (01 cái/lớp), 204 giờ; 20%/năm</t>
  </si>
  <si>
    <t>Máy vi tính (laptop) – phòng thực hành</t>
  </si>
  <si>
    <t>CTĐT ghi laptop; dùng giá máy vi tính</t>
  </si>
  <si>
    <t>Dùng chung cả lớp thực hành, 204 giờ; 14,29%/năm</t>
  </si>
  <si>
    <t>Bảng từ chống lóa (phòng thực hành)</t>
  </si>
  <si>
    <t>Dùng chung cả lớp thực hành, 204 giờ; tiêu hao 50% -&gt; 2 năm</t>
  </si>
  <si>
    <t>Máy điện di tinh chất</t>
  </si>
  <si>
    <t>III. ĐỊNH MỨC VẬT TƯ</t>
  </si>
  <si>
    <t>Tên vật tư</t>
  </si>
  <si>
    <t>Yêu cầu kỹ thuật</t>
  </si>
  <si>
    <t>Số lượng/lớp</t>
  </si>
  <si>
    <t>Tỷ lệ thu hồi (%)</t>
  </si>
  <si>
    <t>Tiêu hao (đơn vị/người học)</t>
  </si>
  <si>
    <t>Tài liệu học tập - Giáo trình mô đun Chăm sóc da</t>
  </si>
  <si>
    <t>Giáo trình do Trường biên soạn</t>
  </si>
  <si>
    <t>Quyển</t>
  </si>
  <si>
    <t>Tài liệu học tập - Giáo trình mô đun Kỹ thuật trang điểm căn bản</t>
  </si>
  <si>
    <t>Vở</t>
  </si>
  <si>
    <t>01/người</t>
  </si>
  <si>
    <t>Bút</t>
  </si>
  <si>
    <t>Cây</t>
  </si>
  <si>
    <t>Hồ sơ học nghề</t>
  </si>
  <si>
    <t>Đơn đăng ký học nghề</t>
  </si>
  <si>
    <t>Tờ</t>
  </si>
  <si>
    <t>01 tờ/người</t>
  </si>
  <si>
    <t>Giấy thi, giấy kiểm tra</t>
  </si>
  <si>
    <t>Chứng chỉ tốt nghiệp</t>
  </si>
  <si>
    <t>Theo mẫu quy định</t>
  </si>
  <si>
    <t>Khung khen, giấy khen, tiền khen thưởng</t>
  </si>
  <si>
    <t>Loại thông dụng (3 bộ/lớp)</t>
  </si>
  <si>
    <t>03 bộ/lớp</t>
  </si>
  <si>
    <t>Nước uống khai giảng</t>
  </si>
  <si>
    <t>Chai</t>
  </si>
  <si>
    <t>01 chai/người</t>
  </si>
  <si>
    <t>Ma két phục vụ khai giảng (3 m²)</t>
  </si>
  <si>
    <t>Tấm</t>
  </si>
  <si>
    <t>01 tấm/lớp</t>
  </si>
  <si>
    <t>Hoa khai giảng</t>
  </si>
  <si>
    <t>Bình</t>
  </si>
  <si>
    <t>01 bình/lớp</t>
  </si>
  <si>
    <t>Nước uống bế giảng</t>
  </si>
  <si>
    <t>Ma két phục vụ bế giảng (3 m²)</t>
  </si>
  <si>
    <t>Hoa bế giảng</t>
  </si>
  <si>
    <t>Hồ sơ tốt nghiệp</t>
  </si>
  <si>
    <t>Sữa rửa mặt</t>
  </si>
  <si>
    <t>Nước hoa hồng</t>
  </si>
  <si>
    <t>Serum</t>
  </si>
  <si>
    <t>Kem dưỡng ẩm</t>
  </si>
  <si>
    <t>Tuýp</t>
  </si>
  <si>
    <t>Kem dưỡng da</t>
  </si>
  <si>
    <t>Kem chống nắng</t>
  </si>
  <si>
    <t>Gel tẩy tế bào chết</t>
  </si>
  <si>
    <t>Khoáng dưỡng ẩm</t>
  </si>
  <si>
    <t>Mặt nạ dẻo (bột)</t>
  </si>
  <si>
    <t>Hộp</t>
  </si>
  <si>
    <t>Mặt nạ dưỡng ẩm dùng cho mọi loại da</t>
  </si>
  <si>
    <t>Mặt nạ thạch cao</t>
  </si>
  <si>
    <t>Kg</t>
  </si>
  <si>
    <t>Muối biển</t>
  </si>
  <si>
    <t>Tinh dầu massage</t>
  </si>
  <si>
    <t>Kem lót sáng da</t>
  </si>
  <si>
    <t>Kem nền</t>
  </si>
  <si>
    <t>Lọ</t>
  </si>
  <si>
    <t>Kem che khuyết điểm</t>
  </si>
  <si>
    <t>Phấn phủ</t>
  </si>
  <si>
    <t>Phấn má hồng</t>
  </si>
  <si>
    <t>Phấn vẽ sống mũi</t>
  </si>
  <si>
    <t>Son dưỡng môi</t>
  </si>
  <si>
    <t>Son môi màu sáng</t>
  </si>
  <si>
    <t>Son bóng môi</t>
  </si>
  <si>
    <t>Son môi màu tối</t>
  </si>
  <si>
    <t>Son môi lì</t>
  </si>
  <si>
    <t>Chì kẻ viền môi</t>
  </si>
  <si>
    <t>Phấn tạo bóng mắt</t>
  </si>
  <si>
    <t>Bảng phấn màu mắt</t>
  </si>
  <si>
    <t>Mascara chải lông mi</t>
  </si>
  <si>
    <t>Chì kẻ viền mắt</t>
  </si>
  <si>
    <t>Chì kẻ chân mày</t>
  </si>
  <si>
    <t>Nước tẩy trang</t>
  </si>
  <si>
    <t>Bông tẩy trang</t>
  </si>
  <si>
    <t>Khăn ướt</t>
  </si>
  <si>
    <t>Gel vuốt tóc</t>
  </si>
  <si>
    <t>Phấn rôm</t>
  </si>
  <si>
    <t>Mút dặm nền</t>
  </si>
  <si>
    <t>Miếng</t>
  </si>
  <si>
    <t>Mút lau mặt (bọt biển)</t>
  </si>
  <si>
    <t>Khẩu trang</t>
  </si>
  <si>
    <t>Băng đô quấn tóc</t>
  </si>
  <si>
    <t>Bộ dụng cụ tỉa lông mày</t>
  </si>
  <si>
    <t>Dao lam</t>
  </si>
  <si>
    <t>Dao cạo râu</t>
  </si>
  <si>
    <t>Kéo tỉa lông mày</t>
  </si>
  <si>
    <t>Kẹp bấm lông mi</t>
  </si>
  <si>
    <t>Kéo lớn</t>
  </si>
  <si>
    <t>Tăm bông</t>
  </si>
  <si>
    <t>Nguyên liệu tươi pha chế mặt nạ (dưa leo, mật ong, sữa chua...)</t>
  </si>
  <si>
    <t>Tươi, sạch, rõ nguồn gốc</t>
  </si>
  <si>
    <t>Phần</t>
  </si>
  <si>
    <t>IV. ĐỊNH MỨC CƠ SỞ VẬT CHẤT</t>
  </si>
  <si>
    <t>Tên cơ sở vật chất</t>
  </si>
  <si>
    <t>Diện tích sử dụng trung bình của 01 người học (m²)</t>
  </si>
  <si>
    <t>Tổng thời gian sử dụng của 01 người học (giờ)</t>
  </si>
  <si>
    <t>Định mức sử dụng của 01 người học (m² × giờ)</t>
  </si>
  <si>
    <t>Khu học lý thuyết (Cơ sở 1 – Trụ sở chính)</t>
  </si>
  <si>
    <t>Đlt = Slt × Tlt</t>
  </si>
  <si>
    <t>Khu học thực hành (Cơ sở 1 – phòng thực hành trang điểm)</t>
  </si>
  <si>
    <t>Đth = Sth × Tth (gồm 4 giờ kiểm tra thực hành)</t>
  </si>
  <si>
    <t>ĐỊNH MỨC CHI PHÍ ĐÀO TẠO NGHỀ CHĂM SÓC SẮC ĐẸP</t>
  </si>
  <si>
    <t>I. CHI PHÍ LAO ĐỘNG</t>
  </si>
  <si>
    <t>Nội dung</t>
  </si>
  <si>
    <t>Đơn giá (đồng/giờ)</t>
  </si>
  <si>
    <t>Thành tiền (đồng)</t>
  </si>
  <si>
    <t>Lao động trực tiếp – lý thuyết</t>
  </si>
  <si>
    <t>Lao động trực tiếp – thực hành (gồm kiểm tra)</t>
  </si>
  <si>
    <t>Lao động gián tiếp (15% trực tiếp)</t>
  </si>
  <si>
    <t>Đơn giá giờ gián tiếp = trực tiếp</t>
  </si>
  <si>
    <t>Cộng chi phí lao động</t>
  </si>
  <si>
    <t>II. CHI PHÍ THIẾT BỊ, DỤNG CỤ (khấu hao, hao mòn, phân bổ)</t>
  </si>
  <si>
    <t>Nguyên giá (đồng)</t>
  </si>
  <si>
    <t>Phân loại</t>
  </si>
  <si>
    <t>Tỷ lệ hao mòn/năm</t>
  </si>
  <si>
    <t>Số năm phân bổ (CCDC)</t>
  </si>
  <si>
    <t>TSCĐ</t>
  </si>
  <si>
    <t>–</t>
  </si>
  <si>
    <t>CCDC</t>
  </si>
  <si>
    <t>Cộng chi phí thiết bị, dụng cụ (phần đã có giá)</t>
  </si>
  <si>
    <t>III. CHI PHÍ VẬT TƯ</t>
  </si>
  <si>
    <t>Đơn giá (đồng)</t>
  </si>
  <si>
    <t>Cộng chi phí vật tư (phần đã có giá)</t>
  </si>
  <si>
    <t>IV. CHI PHÍ CƠ SỞ VẬT CHẤT (Cơ sở 1 – Trụ sở chính)</t>
  </si>
  <si>
    <t>Định mức (m² × giờ/người học)</t>
  </si>
  <si>
    <t>Diện tích sàn (m²)</t>
  </si>
  <si>
    <t>Đơn giá (đồng/m²·giờ)</t>
  </si>
  <si>
    <t>Khu học lý thuyết</t>
  </si>
  <si>
    <t>Nhà cấp II – Khu B (2%/năm), 3 tầng, diện tích sàn 1.530 m²</t>
  </si>
  <si>
    <t>Khu học thực hành (phòng thực hành trang điểm)</t>
  </si>
  <si>
    <t>Cùng nhà cấp II – Khu B, cùng nguyên giá (bảng tổng hợp ghi chung cho khu lý thuyết và phòng thực hành)</t>
  </si>
  <si>
    <t>Cộng chi phí cơ sở vật chất</t>
  </si>
  <si>
    <t>TỔNG HỢP CHI PHÍ ĐÀO TẠO CHO 01 NGƯỜI HỌC/KHÓA (các dòng đã có giá)</t>
  </si>
  <si>
    <t>Thành phần</t>
  </si>
  <si>
    <t>Số dòng chưa có giá</t>
  </si>
  <si>
    <t>Chi phí lao động</t>
  </si>
  <si>
    <t>Chi phí thiết bị, dụng cụ (phần đã có giá)</t>
  </si>
  <si>
    <t>Chi phí vật tư (phần đã có giá)</t>
  </si>
  <si>
    <t>Chi phí cơ sở vật chất</t>
  </si>
  <si>
    <t>TỔNG CÁC DÒNG ĐÃ CÓ GIÁ – CHƯA ĐẦY ĐỦ (đồng/người học/khóa)</t>
  </si>
  <si>
    <t>BẢNG THUYẾT MINH CƠ SỞ XÂY DỰNG ĐỊNH MỨC KINH TẾ - KỸ THUẬT VÀ ĐỊNH MỨC CHI PHÍ ĐÀO TẠO</t>
  </si>
  <si>
    <t>NGHỀ CHĂM SÓC SẮC ĐẸP</t>
  </si>
  <si>
    <t>CTĐT nghề Chăm sóc sắc đẹp dưới 3 tháng (bản nhận được chưa ghi số, ngày Quyết định ban hành; Hội đồng thẩm định ngày 12/9/2026, chưa ban hành): 244 giờ, 2,5 tháng (lý thuyết 40; thực hành 200; kiểm tra 04 giờ tính vào thực hành), 2 mô đun: Chăm sóc da (330200053) 122 giờ, Kỹ thuật trang điểm căn bản (330200063) 122 giờ. Lao động trực tiếp = 40 ÷ 35 + 204 ÷ 18; gián tiếp = 15% trực tiếp; mỗi khoản làm tròn 2 chữ số thập phân (14,34 giờ). Giảng viên dạy thực hành cho cả lớp 18 người học (chia 02 nhóm để bố trí thiết bị, vật tư) nên giờ dạy không nhân theo số nhóm.</t>
  </si>
  <si>
    <t>3. Định mức thiết bị</t>
  </si>
  <si>
    <t>4. Định mức vật tư</t>
  </si>
  <si>
    <t>5. Định mức cơ sở vật chất</t>
  </si>
  <si>
    <t>Đlt = 1,7 m²/người học × 40 giờ = 68 m²·giờ; Đth = 4,0 m²/người học × 204 giờ = 816 m²·giờ (Cơ sở 1). Không tính khu chức năng, hạ tầng kỹ thuật khác (sơ cấp, dưới 3 tháng). CTĐT ghi phòng thực hành 50 m² (khoảng 2,8 m²/người học với lớp 18).</t>
  </si>
  <si>
    <t>6. Đơn giá lao động</t>
  </si>
  <si>
    <t>7. Đơn giá thiết bị</t>
  </si>
  <si>
    <t>8. Đơn giá vật tư</t>
  </si>
  <si>
    <t>9. Đơn giá cơ sở vật chất</t>
  </si>
  <si>
    <t>Cơ sở 1: nhà cấp II - Khu B, nguyên giá 4.956.627.928 đồng, 2%/năm, diện tích sàn 1.530 m² (khu lý thuyết và phòng thực hành chung nhà). Đơn giá (đồng/m²·giờ) = nguyên giá × tỷ lệ ÷ (diện tích sàn × 1.760).</t>
  </si>
  <si>
    <t>THAM SỐ TÍNH TOÁN (đổi ô nền vàng nhạt thì DMKTKT, DMCPDT tự tính lại)</t>
  </si>
  <si>
    <t>Tham số</t>
  </si>
  <si>
    <t>Giá trị</t>
  </si>
  <si>
    <t>Nguồn / ghi chú</t>
  </si>
  <si>
    <t>Sĩ số lớp lý thuyết</t>
  </si>
  <si>
    <t>người</t>
  </si>
  <si>
    <t>Khóa tuyển sinh trước 10/11/2026 (file nguồn, Thong_so C12). Khóa từ 10/11/2026: 45</t>
  </si>
  <si>
    <t>Sĩ số lớp thực hành</t>
  </si>
  <si>
    <t>Như trên; QĐ 1400/QĐ-CĐKT Điều 5 khoản 1. Khóa từ 10/11/2026: 25</t>
  </si>
  <si>
    <t>Giờ lý thuyết theo CTĐT</t>
  </si>
  <si>
    <t>giờ</t>
  </si>
  <si>
    <t>CTĐT dưới 3 tháng, 2 mô đun: Chăm sóc da 20 + Kỹ thuật trang điểm căn bản 20 (file nguồn, Thong_so D6:D7)</t>
  </si>
  <si>
    <t>Giờ thực hành theo CTĐT (không gồm kiểm tra)</t>
  </si>
  <si>
    <t>CTĐT: 100 + 100</t>
  </si>
  <si>
    <t>Giờ kiểm tra kết thúc mô đun (tính vào thực hành)</t>
  </si>
  <si>
    <t>CTĐT: 2 + 2 (tự luận + thực hành)</t>
  </si>
  <si>
    <t>Giờ thực hành gồm kiểm tra</t>
  </si>
  <si>
    <t>200 + 4</t>
  </si>
  <si>
    <t>Tổng giờ đào tạo</t>
  </si>
  <si>
    <t>CTĐT: 244 giờ (40 + 200 + 4), toàn khóa 2,5 tháng (MĐ1 122 giờ; MĐ2 122 giờ)</t>
  </si>
  <si>
    <t>Tỷ lệ lao động gián tiếp / trực tiếp</t>
  </si>
  <si>
    <t>%</t>
  </si>
  <si>
    <t>Phòng TC-KT xác nhận 30/9/2026</t>
  </si>
  <si>
    <t>Đơn giá giờ giảng (trực tiếp = gián tiếp)</t>
  </si>
  <si>
    <t>đồng/giờ</t>
  </si>
  <si>
    <t>Như hồ sơ nghề Kỹ thuật trang điểm: 200.000 đồng/giờ (điểm a khoản 1 Điều 20 Quy chế chi tiêu nội bộ 2026, QĐ 1334/QĐ-CĐKT). Thong_so C16 của file nguồn còn ghi 120.000</t>
  </si>
  <si>
    <t>Số giờ sử dụng tài sản/năm</t>
  </si>
  <si>
    <t>44 tuần x 40 giờ (Phòng TC-KT 30/9/2026)</t>
  </si>
  <si>
    <t>Diện tích lý thuyết/người học (Slt)</t>
  </si>
  <si>
    <t>m2</t>
  </si>
  <si>
    <t>Bảng giá đầu vào nghề Chăm sóc sắc đẹp, sheet Cơ sở vật chất, Cơ sở 1 (ghi chú áp dụng sơ cấp)</t>
  </si>
  <si>
    <t>Diện tích thực hành/người học (Sth)</t>
  </si>
  <si>
    <t>Như trên; không sử dụng khu chức năng, hạ tầng khác</t>
  </si>
  <si>
    <t>Đơn giá tài liệu học tập</t>
  </si>
  <si>
    <t>đồng/trang</t>
  </si>
  <si>
    <t>Như hồ sơ nghề Kỹ thuật trang điểm: số trang x 500 đồng/trang (Can_xac_nhan mục 8 của file nguồn ghi 50.000 đồng/cuốn)</t>
  </si>
  <si>
    <t>Số trang giáo trình Chăm sóc da (330200053)</t>
  </si>
  <si>
    <t>trang</t>
  </si>
  <si>
    <t>Thuộc tính tệp Word (Pages = 104); mục lục ghi Tài liệu tham khảo trang 96. BCN xác nhận số trang bản in</t>
  </si>
  <si>
    <t>Số trang giáo trình Kỹ thuật trang điểm căn bản (330200063)</t>
  </si>
  <si>
    <t>Thuộc tính tệp Word (Pages = 67); mục lục ghi Tài liệu tham khảo trang 58</t>
  </si>
  <si>
    <t>Số trang giáo trình Kỹ thuật trang điểm nâng cao</t>
  </si>
  <si>
    <t>Thuộc tính tệp Word (Pages = 36); mục lục ghi Tài liệu tham khảo trang 31. Mô đun này không có trong CTĐT 2 mô đun của file nguồn – BCN xác nhận có phát giáo trình này không</t>
  </si>
  <si>
    <t>Số nhóm thực hành trong lớp</t>
  </si>
  <si>
    <t>nhóm</t>
  </si>
  <si>
    <t>Theo yêu cầu 07/10/2026: lớp thực hành chia 02 nhóm (18 người học = 02 nhóm, mỗi nhóm 9 người)</t>
  </si>
  <si>
    <t>Theo cặp (5 cái/lớp), MĐ2 102 giờ</t>
  </si>
  <si>
    <t>Theo nhóm, 01 ổ cắm/nhóm x 02 nhóm = 02 cái/lớp, 204 giờ</t>
  </si>
  <si>
    <t xml:space="preserve"> 01 máy/nhóm x 02 nhóm = 02 máy/lớp. MĐ1 bài 2 phân loại da, soi da (10) + bài 5 thăm khám, soi da (10) = 20 giờ</t>
  </si>
  <si>
    <t>01 cái/nhóm x 02 nhóm = 02 cái/lớp . Như máy soi da, 20 giờ</t>
  </si>
  <si>
    <t>Theo cặp thực hành (9 bộ/lớp, một người trang điểm, một người làm mẫu). MĐ2: 100 giờ thực hành + 2 giờ kiểm tra = 102 giờ.</t>
  </si>
  <si>
    <t xml:space="preserve">Dùng chung theo nhóm, 01 tủ/nhóm x 02 nhóm = 02 cái/lớp, 204 giờ. </t>
  </si>
  <si>
    <t xml:space="preserve">Dùng chung cả lớp thực hành (01 cái/lớp). 60 giờ: trình chiếu thao tác mẫu của giáo viên (khoảng 30 giờ/mô đun). </t>
  </si>
  <si>
    <t xml:space="preserve">Dùng chung (01 cái/lớp), đi kèm camera; 60 giờ. </t>
  </si>
  <si>
    <t xml:space="preserve">01 quyển/người; số trang x 500 đồng/trang </t>
  </si>
  <si>
    <t xml:space="preserve">01 tờ/bài kiểm tra/mô đun x 2 mô đun = 02 tờ/người </t>
  </si>
  <si>
    <t>Dùng chung theo nhóm, 01 chai/nhóm cho cả khóa x 02 nhóm = 02 chai/lớp</t>
  </si>
  <si>
    <t>Dùng chung cả lớp thực hành, 01 chai/lớp cho cả khóa (chỉ dùng ở một số bài, thao tác mẫu)</t>
  </si>
  <si>
    <t>Dùng chung cả lớp thực hành, 01 tuýp/lớp cho cả khóa (chỉ dùng ở một số bài, thao tác mẫu)</t>
  </si>
  <si>
    <t>Dùng chung theo nhóm, 01 tuýp/nhóm cho cả khóa x 02 nhóm = 02 tuýp/lớp</t>
  </si>
  <si>
    <t>Dùng chung cả lớp thực hành, 01 hộp/lớp cho cả khóa (chỉ dùng ở một số bài, thao tác mẫu)</t>
  </si>
  <si>
    <t>Dùng chung cả lớp thực hành, 01 kg/lớp cho cả khóa (chỉ dùng ở một số bài, thao tác mẫu)</t>
  </si>
  <si>
    <t>Dùng chung theo nhóm, 01 hộp/nhóm cho cả khóa x 02 nhóm = 02 hộp/lớp</t>
  </si>
  <si>
    <t>Dùng chung theo nhóm, 01 lọ/nhóm cho cả khóa x 02 nhóm = 02 lọ/lớp</t>
  </si>
  <si>
    <t>Dùng chung cả lớp thực hành, 01 cây/lớp cho cả khóa (chỉ dùng ở một số bài, thao tác mẫu)</t>
  </si>
  <si>
    <t>Dùng chung theo nhóm, 01 cây/nhóm cho cả khóa x 02 nhóm = 02 cây/lớp</t>
  </si>
  <si>
    <t>02 hộp/nhóm x 02 nhóm = 04 hộp/lớp</t>
  </si>
  <si>
    <t xml:space="preserve">Dùng chung theo nhóm, 01 miếng/nhóm cho cả khóa x 02 nhóm = 02 miếng/lớp. </t>
  </si>
  <si>
    <t>02 cái/nhóm x 02 nhóm = 04 cái/lớp</t>
  </si>
  <si>
    <t>Dùng chung theo nhóm, 01 bộ/nhóm cho cả khóa x 02 nhóm = 02 bộ/lớp</t>
  </si>
  <si>
    <t xml:space="preserve">02 hộp/nhóm x 02 nhóm = 04 hộp/lớp. </t>
  </si>
  <si>
    <t>Dùng chung theo nhóm, 01 cái/nhóm cho cả khóa x 02 nhóm = 02 cái/lớp</t>
  </si>
  <si>
    <t xml:space="preserve">02 cái/lớp thực hành </t>
  </si>
  <si>
    <t xml:space="preserve">MĐ1 bài 4: 10 loại mặt nạ tươi; 10 người học/phần </t>
  </si>
  <si>
    <t xml:space="preserve">01 hộp/4 người học </t>
  </si>
  <si>
    <t xml:space="preserve">Theo cặp thực hành, 01 cái/4 người học </t>
  </si>
  <si>
    <t>Mi giả, keo dán mi</t>
  </si>
  <si>
    <t>Dùng chung cả lớp thực hành, 01 hộp/lớp cho cả khóa (chỉ dùng ở một số bài, thao tác mẫu, MĐ2 bài 6)</t>
  </si>
  <si>
    <t xml:space="preserve">01 máy/nhóm x 02 nhóm = 02 máy/lớp. MĐ1 bài 5 (8) + bài 6 chăm sóc vùng mắt (4) = 12 giờ. </t>
  </si>
  <si>
    <t xml:space="preserve">Theo nhóm, 01 máy/nhóm x 02 nhóm = 02 máy/lớp. MĐ1 bài 4 mặt nạ (20) + bài 5 chăm sóc, điều trị da mặt (22) = 42 giờ. </t>
  </si>
  <si>
    <t xml:space="preserve">Số trang x 500 đồng/trang </t>
  </si>
  <si>
    <t>Trình độ đào tạo: Chương trình đào tạo nghề khác (đào tạo dưới 3 tháng theo CTĐT ban hành kèm Quyết định số 2235/QĐ-CĐKT ngày 07/10/2026)</t>
  </si>
  <si>
    <t xml:space="preserve">     Căn cứ Quyết định số 2235/QĐ-CĐKT ngày 07/10/2026 của Hiệu trưởng Trường Cao đẳng Kon Tum ban hành Chương trình, giáo trình đào tạo nghề Chăm sóc sắc đẹp, đào tạo dưới 3 tháng năm 2026. Đào tạo tại Cơ sở 1 (Trụ sở chính).
</t>
  </si>
  <si>
    <t>Trình độ đào tạo: Chương trình đào tạo nghề khác (đào tạo dưới 3 tháng theo CTĐT ban hành kèm Quyết định số  2235/QĐ-CĐKT ngày 07/10/2026)</t>
  </si>
  <si>
    <t xml:space="preserve">1. Thời gian đào tạo </t>
  </si>
  <si>
    <t>2. Định mức lao động</t>
  </si>
  <si>
    <t>Lao động trực tiếp: giờ lý thuyết ÷ sĩ số lớp lý thuyết + giờ thực hành (gồm kiểm tra) ÷ sĩ số lớp thực hành; lao động gián tiếp (quản lý, phục vụ, tuyển sinh, bế giảng) = 15% lao động trực tiếp. Mỗi thành phần làm tròn 2 chữ số thập phân trước khi cộng.</t>
  </si>
  <si>
    <t xml:space="preserve">Định mức (giờ/người học) = số lượng sử dụng đồng thời × giờ sử dụng ÷ sĩ số, làm tròn 2 chữ số thập phân. Thiết bị lý thuyết: 40 giờ ÷ 35. Giường spa, ga, bộ bàn trang điểm, gương có đèn, đèn LED, cốp, nhíp: theo cặp 09 cái/lớp (học viên làm mẫu cho nhau). Bộ cọ, gương cầm tay: cá nhân 18 cái/lớp. Máy xông hơi, máy soi da, đèn soi da, ổ cắm, tủ/kệ mỹ phẩm, máy hút mụn, máy điện di: 01 thiết bị/nhóm x 02 nhóm = 02 thiết bị/lớp (tệp nguồn: 2 đến 5). Tủ hấp khăn, camera, chân máy, ti vi, máy vi tính, bảng phòng thực hành: dùng chung 01 cái/lớp. Giờ T lấy theo tệp nguồn (MĐ1 theo bài chăm sóc da, MĐ2 102 giờ, 204 giờ cho thiết bị dùng suốt khóa). </t>
  </si>
  <si>
    <t xml:space="preserve">Vật tư dùng chung theo mẫu của Trường: tài liệu học tập (03 giáo trình x số trang x 500 đồng/trang), vở, bút, hồ sơ học nghề, giấy thi 02 tờ, chứng chỉ, khen thưởng 03 bộ/lớp, khai giảng, bế giảng, hồ sơ tốt nghiệp 03 bộ/lớp; chia cho sĩ số lớp lý thuyết. Vật tư nghề: : mỹ phẩm dùng mọi buổi (sữa rửa mặt, gel tẩy tế bào chết, tinh dầu massage, kem lót, kem nền, che khuyết điểm, phấn phủ, má hồng, son màu sáng, chì kẻ, phấn mắt, mascara, tẩy trang, mút) 01 sản phẩm/nhóm; sản phẩm chỉ dùng ở một số bài hoặc thao tác mẫu (serum, kem dưỡng, kem chống nắng, mặt nạ, muối biển, son dưỡng, bóng, tối, lì, bảng màu mắt, mi giả...) 01 sản phẩm/lớp; bông tẩy trang, khăn ướt, khẩu trang, băng đô, dao lam, dao cạo râu 02/nhóm; bộ tỉa lông mày, kéo tỉa 01/nhóm; kẹp bấm lông mi theo cặp 09/lớp. </t>
  </si>
  <si>
    <t>Đơn giá tiền lương bình quân: Tổng quỹ lương (lấy bảng lương tháng 7/2026 Bao gồm BHXH, BHYT, KPCĐ ,ĐPCĐ) là: 55.115.442.474 cho 246 người (Bao gồm hợp đồng) = 224.046.432 đồng/người/năm, định mức giờ giảng sơ cấp và dạy nghề khác (Theo Thông tư 05) là 580 giờ. Vì vậy đơn giá bình quân là 386.287 đồng, đề xuất tỷ lệ 52% = 200.869 đ (làm tròn 200.000đ)</t>
  </si>
  <si>
    <t>Nguyên giá theo tệp “Tổng hợp giá đầu vào”. Tài sản cố định (≥ 10 triệu đồng): đơn giá/giờ = nguyên giá × tỷ lệ hao mòn năm (TT 141/2025/TT-BTC Phụ lục I) ÷ 1.760 giờ. Công cụ, dụng cụ (&lt; 10 triệu đồng): đơn giá/giờ = nguyên giá ÷ (số năm phân bổ × 1.760); số năm theo mức tiêu hao (≥80%: 1 năm; 30–&lt;80%: 2 năm; &lt;30%: 3 năm). 1.760 giờ = 44 tuần × 40 giờ.</t>
  </si>
  <si>
    <t xml:space="preserve">Căn cứ vào Báo giá (gồm thuế GTGT nếu có). </t>
  </si>
  <si>
    <t>10.  Phạm vi</t>
  </si>
  <si>
    <t>Kết quả là định mức chi phí đào tạo (bảng chi phí đã tính) cho 01 người học/khóa, 04 thành phần, không gồm chi phí quản lý chung theo quyết định của Trường; chưa phải giá dịch vụ đào tạo hay mức thu học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</si>
</sst>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
    <numFmt numFmtId="166" formatCode="0.0"/>
    <numFmt numFmtId="167" formatCode="#,##0.0"/>
  </numFmts>
  <fonts count="4" x14ac:knownFonts="1">
    <font>
      <sz val="11"/>
      <color theme="1"/>
      <name val="Calibri"/>
      <family val="2"/>
      <charset val="1"/>
    </font>
    <font>
      <b/>
      <sz val="13"/>
      <name val="Times New Roman"/>
      <charset val="1"/>
    </font>
    <font>
      <sz val="12"/>
      <name val="Times New Roman"/>
      <charset val="1"/>
    </font>
    <font>
      <b/>
      <sz val="12"/>
      <name val="Times New Roman"/>
      <charset val="1"/>
    </font>
  </fonts>
  <fills count="5">
    <fill>
      <patternFill patternType="none"/>
    </fill>
    <fill>
      <patternFill patternType="gray125"/>
    </fill>
    <fill>
      <patternFill patternType="solid">
        <fgColor rgb="FFDDEBF7"/>
        <bgColor rgb="FFCCFFFF"/>
      </patternFill>
    </fill>
    <fill>
      <patternFill patternType="solid">
        <fgColor rgb="FFFCE4D6"/>
        <bgColor rgb="FFFFF2CC"/>
      </patternFill>
    </fill>
    <fill>
      <patternFill patternType="solid">
        <fgColor rgb="FFFFF2CC"/>
        <bgColor rgb="FFFCE4D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8">
    <xf numFmtId="0" fontId="0" fillId="0" borderId="0" xfId="0"/>
    <xf numFmtId="0" fontId="2" fillId="0" borderId="1" xfId="0" applyFont="1" applyBorder="1" applyAlignment="1">
      <alignment horizontal="left" vertical="center" wrapText="1"/>
    </xf>
    <xf numFmtId="0" fontId="0" fillId="0" borderId="1" xfId="0" applyBorder="1"/>
    <xf numFmtId="0" fontId="3" fillId="2" borderId="1" xfId="0" applyFont="1" applyFill="1" applyBorder="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center" vertical="center" wrapText="1"/>
    </xf>
    <xf numFmtId="0" fontId="3" fillId="0" borderId="0" xfId="0" applyFont="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164" fontId="2" fillId="3" borderId="1" xfId="0" applyNumberFormat="1" applyFont="1" applyFill="1" applyBorder="1" applyAlignment="1">
      <alignment horizontal="center" vertical="center" wrapText="1"/>
    </xf>
    <xf numFmtId="1"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166" fontId="2" fillId="0" borderId="1" xfId="0" applyNumberFormat="1" applyFont="1" applyBorder="1" applyAlignment="1">
      <alignment horizontal="center" vertical="center" wrapText="1"/>
    </xf>
    <xf numFmtId="167" fontId="2" fillId="0" borderId="1" xfId="0" applyNumberFormat="1" applyFont="1" applyBorder="1" applyAlignment="1">
      <alignment horizontal="center" vertical="center" wrapText="1"/>
    </xf>
    <xf numFmtId="3" fontId="2" fillId="0" borderId="1" xfId="0" applyNumberFormat="1" applyFont="1" applyBorder="1" applyAlignment="1">
      <alignment horizontal="right" vertical="center" wrapText="1"/>
    </xf>
    <xf numFmtId="3" fontId="3" fillId="0" borderId="1" xfId="0" applyNumberFormat="1" applyFont="1" applyBorder="1" applyAlignment="1">
      <alignment horizontal="right" vertical="center" wrapText="1"/>
    </xf>
    <xf numFmtId="10" fontId="2" fillId="0" borderId="1" xfId="0" applyNumberFormat="1" applyFont="1" applyBorder="1" applyAlignment="1">
      <alignment horizontal="center" vertical="center" wrapText="1"/>
    </xf>
    <xf numFmtId="4" fontId="2" fillId="0" borderId="1" xfId="0" applyNumberFormat="1" applyFont="1" applyBorder="1" applyAlignment="1">
      <alignment horizontal="right" vertical="center" wrapText="1"/>
    </xf>
    <xf numFmtId="0" fontId="2" fillId="4" borderId="1" xfId="0" applyFont="1" applyFill="1" applyBorder="1" applyAlignment="1">
      <alignment horizontal="center" vertical="center" wrapText="1"/>
    </xf>
    <xf numFmtId="1" fontId="3"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3" fillId="2" borderId="1" xfId="0" applyFont="1" applyFill="1" applyBorder="1" applyAlignment="1">
      <alignment horizontal="left" vertical="center" wrapText="1"/>
    </xf>
    <xf numFmtId="9" fontId="2" fillId="4" borderId="1" xfId="0" applyNumberFormat="1" applyFont="1" applyFill="1" applyBorder="1" applyAlignment="1">
      <alignment horizontal="center" vertical="center" wrapText="1"/>
    </xf>
    <xf numFmtId="3"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3" fillId="0" borderId="1" xfId="0" applyFont="1" applyBorder="1" applyAlignment="1">
      <alignment horizontal="center" vertical="center" wrapText="1"/>
    </xf>
    <xf numFmtId="0" fontId="0" fillId="0" borderId="1" xfId="0" applyBorder="1"/>
    <xf numFmtId="0" fontId="2" fillId="0" borderId="1" xfId="0" applyFont="1" applyBorder="1" applyAlignment="1">
      <alignment horizontal="left" vertical="center" wrapText="1"/>
    </xf>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CE4D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13"/>
  <sheetViews>
    <sheetView topLeftCell="A108" zoomScaleNormal="100" workbookViewId="0">
      <selection activeCell="C113" sqref="C113"/>
    </sheetView>
  </sheetViews>
  <sheetFormatPr defaultColWidth="8.7265625" defaultRowHeight="14.5" x14ac:dyDescent="0.35"/>
  <cols>
    <col min="1" max="1" width="6" customWidth="1"/>
    <col min="2" max="2" width="40" customWidth="1"/>
    <col min="3" max="3" width="34" customWidth="1"/>
    <col min="4" max="4" width="9" customWidth="1"/>
    <col min="5" max="5" width="13" customWidth="1"/>
    <col min="6" max="6" width="12" customWidth="1"/>
    <col min="7" max="7" width="11" customWidth="1"/>
    <col min="8" max="8" width="14" customWidth="1"/>
    <col min="9" max="9" width="46" customWidth="1"/>
  </cols>
  <sheetData>
    <row r="1" spans="1:9" ht="19.5" customHeight="1" x14ac:dyDescent="0.35">
      <c r="A1" s="31" t="s">
        <v>0</v>
      </c>
      <c r="B1" s="31"/>
      <c r="C1" s="31"/>
      <c r="D1" s="31"/>
      <c r="E1" s="31"/>
      <c r="F1" s="31"/>
      <c r="G1" s="31"/>
      <c r="H1" s="31"/>
      <c r="I1" s="31"/>
    </row>
    <row r="2" spans="1:9" ht="19.5" customHeight="1" x14ac:dyDescent="0.35">
      <c r="A2" s="31" t="s">
        <v>1</v>
      </c>
      <c r="B2" s="31"/>
      <c r="C2" s="31"/>
      <c r="D2" s="31"/>
      <c r="E2" s="31"/>
      <c r="F2" s="31"/>
      <c r="G2" s="31"/>
      <c r="H2" s="31"/>
      <c r="I2" s="31"/>
    </row>
    <row r="3" spans="1:9" ht="36" customHeight="1" x14ac:dyDescent="0.35">
      <c r="A3" s="32" t="s">
        <v>308</v>
      </c>
      <c r="B3" s="32"/>
      <c r="C3" s="32"/>
      <c r="D3" s="32"/>
      <c r="E3" s="32"/>
      <c r="F3" s="32"/>
      <c r="G3" s="32"/>
      <c r="H3" s="32"/>
      <c r="I3" s="32"/>
    </row>
    <row r="4" spans="1:9" ht="19.5" customHeight="1" x14ac:dyDescent="0.35">
      <c r="A4" s="32" t="str">
        <f>"Thời gian đào tạo: "&amp;THAM_SO!$B$10&amp;" giờ (2,5 tháng)"</f>
        <v>Thời gian đào tạo: 244 giờ (2,5 tháng)</v>
      </c>
      <c r="B4" s="32"/>
      <c r="C4" s="32"/>
      <c r="D4" s="32"/>
      <c r="E4" s="32"/>
      <c r="F4" s="32"/>
      <c r="G4" s="32"/>
      <c r="H4" s="32"/>
      <c r="I4" s="32"/>
    </row>
    <row r="5" spans="1:9" ht="45.75" customHeight="1" x14ac:dyDescent="0.35">
      <c r="A5" s="33" t="s">
        <v>309</v>
      </c>
      <c r="B5" s="33"/>
      <c r="C5" s="33"/>
      <c r="D5" s="33"/>
      <c r="E5" s="33"/>
      <c r="F5" s="33"/>
      <c r="G5" s="33"/>
      <c r="H5" s="33"/>
      <c r="I5" s="33"/>
    </row>
    <row r="6" spans="1:9" ht="25.5" customHeight="1" x14ac:dyDescent="0.35">
      <c r="A6" s="33" t="str">
        <f>"     Định mức kinh tế - kỹ thuật về đào tạo cho 01 người học, trong điều kiện lớp học lý thuyết "&amp;THAM_SO!$B$4&amp;" người học và lớp học thực hành "&amp;THAM_SO!$B$5&amp;" người học."</f>
        <v xml:space="preserve">     Định mức kinh tế - kỹ thuật về đào tạo cho 01 người học, trong điều kiện lớp học lý thuyết 35 người học và lớp học thực hành 18 người học.</v>
      </c>
      <c r="B6" s="33"/>
      <c r="C6" s="33"/>
      <c r="D6" s="33"/>
      <c r="E6" s="33"/>
      <c r="F6" s="33"/>
      <c r="G6" s="33"/>
      <c r="H6" s="33"/>
      <c r="I6" s="33"/>
    </row>
    <row r="8" spans="1:9" ht="15" x14ac:dyDescent="0.35">
      <c r="A8" s="6" t="s">
        <v>2</v>
      </c>
    </row>
    <row r="9" spans="1:9" ht="45" customHeight="1" x14ac:dyDescent="0.35">
      <c r="A9" s="29" t="s">
        <v>3</v>
      </c>
      <c r="B9" s="29" t="s">
        <v>4</v>
      </c>
      <c r="C9" s="29" t="s">
        <v>5</v>
      </c>
      <c r="D9" s="29" t="s">
        <v>6</v>
      </c>
      <c r="E9" s="29" t="s">
        <v>7</v>
      </c>
      <c r="F9" s="29" t="s">
        <v>8</v>
      </c>
      <c r="G9" s="34" t="s">
        <v>9</v>
      </c>
      <c r="H9" s="34"/>
      <c r="I9" s="34"/>
    </row>
    <row r="10" spans="1:9" ht="30" customHeight="1" x14ac:dyDescent="0.35">
      <c r="B10" s="7" t="s">
        <v>10</v>
      </c>
      <c r="C10" s="8" t="s">
        <v>11</v>
      </c>
      <c r="D10" s="2"/>
      <c r="E10" s="2"/>
      <c r="F10" s="9">
        <f>F11+F14</f>
        <v>14.34</v>
      </c>
      <c r="G10" s="35"/>
      <c r="H10" s="35"/>
      <c r="I10" s="35"/>
    </row>
    <row r="11" spans="1:9" ht="30" customHeight="1" x14ac:dyDescent="0.35">
      <c r="A11" s="8" t="s">
        <v>12</v>
      </c>
      <c r="B11" s="1" t="s">
        <v>13</v>
      </c>
      <c r="C11" s="8" t="s">
        <v>11</v>
      </c>
      <c r="D11" s="10">
        <f>THAM_SO!$B$10</f>
        <v>244</v>
      </c>
      <c r="E11" s="2"/>
      <c r="F11" s="11">
        <f>F12+F13</f>
        <v>12.47</v>
      </c>
      <c r="G11" s="35"/>
      <c r="H11" s="35"/>
      <c r="I11" s="35"/>
    </row>
    <row r="12" spans="1:9" ht="30" customHeight="1" x14ac:dyDescent="0.35">
      <c r="A12" s="8" t="s">
        <v>14</v>
      </c>
      <c r="B12" s="1" t="s">
        <v>15</v>
      </c>
      <c r="C12" s="8" t="s">
        <v>11</v>
      </c>
      <c r="D12" s="10">
        <f>THAM_SO!$B$6</f>
        <v>40</v>
      </c>
      <c r="E12" s="10">
        <f>THAM_SO!$B$4</f>
        <v>35</v>
      </c>
      <c r="F12" s="11">
        <f>ROUND(D12/E12,2)</f>
        <v>1.1399999999999999</v>
      </c>
      <c r="G12" s="36" t="s">
        <v>16</v>
      </c>
      <c r="H12" s="36"/>
      <c r="I12" s="36"/>
    </row>
    <row r="13" spans="1:9" ht="30" customHeight="1" x14ac:dyDescent="0.35">
      <c r="A13" s="8" t="s">
        <v>17</v>
      </c>
      <c r="B13" s="1" t="s">
        <v>18</v>
      </c>
      <c r="C13" s="8" t="s">
        <v>11</v>
      </c>
      <c r="D13" s="10">
        <f>THAM_SO!$B$9</f>
        <v>204</v>
      </c>
      <c r="E13" s="10">
        <f>THAM_SO!$B$5</f>
        <v>18</v>
      </c>
      <c r="F13" s="11">
        <f>ROUND(D13/E13,2)</f>
        <v>11.33</v>
      </c>
      <c r="G13" s="36" t="str">
        <f>"("&amp;THAM_SO!$B$7&amp;" TH + "&amp;THAM_SO!$B$8&amp;" KT) ÷ sĩ số lớp TH"</f>
        <v>(200 TH + 4 KT) ÷ sĩ số lớp TH</v>
      </c>
      <c r="H13" s="36"/>
      <c r="I13" s="36"/>
    </row>
    <row r="14" spans="1:9" ht="30" customHeight="1" x14ac:dyDescent="0.35">
      <c r="A14" s="8" t="s">
        <v>19</v>
      </c>
      <c r="B14" s="1" t="s">
        <v>20</v>
      </c>
      <c r="C14" s="8" t="s">
        <v>11</v>
      </c>
      <c r="D14" s="2"/>
      <c r="E14" s="2"/>
      <c r="F14" s="11">
        <f>ROUND(F11*THAM_SO!$B$11,2)</f>
        <v>1.87</v>
      </c>
      <c r="G14" s="36" t="s">
        <v>21</v>
      </c>
      <c r="H14" s="36"/>
      <c r="I14" s="36"/>
    </row>
    <row r="16" spans="1:9" ht="15" x14ac:dyDescent="0.35">
      <c r="A16" s="6" t="s">
        <v>22</v>
      </c>
    </row>
    <row r="17" spans="1:9" ht="53.25" customHeight="1" x14ac:dyDescent="0.35">
      <c r="A17" s="3" t="s">
        <v>3</v>
      </c>
      <c r="B17" s="3" t="s">
        <v>23</v>
      </c>
      <c r="C17" s="3" t="s">
        <v>24</v>
      </c>
      <c r="D17" s="3" t="s">
        <v>5</v>
      </c>
      <c r="E17" s="3" t="s">
        <v>25</v>
      </c>
      <c r="F17" s="3" t="s">
        <v>26</v>
      </c>
      <c r="G17" s="3" t="s">
        <v>27</v>
      </c>
      <c r="H17" s="3" t="s">
        <v>28</v>
      </c>
      <c r="I17" s="3" t="s">
        <v>9</v>
      </c>
    </row>
    <row r="18" spans="1:9" ht="33" customHeight="1" x14ac:dyDescent="0.35">
      <c r="A18" s="8">
        <v>1</v>
      </c>
      <c r="B18" s="1" t="s">
        <v>29</v>
      </c>
      <c r="C18" s="1" t="s">
        <v>30</v>
      </c>
      <c r="D18" s="8" t="s">
        <v>31</v>
      </c>
      <c r="E18" s="12">
        <v>1</v>
      </c>
      <c r="F18" s="12">
        <f>THAM_SO!$B$6</f>
        <v>40</v>
      </c>
      <c r="G18" s="10">
        <f>THAM_SO!$B$4</f>
        <v>35</v>
      </c>
      <c r="H18" s="11">
        <f t="shared" ref="H18:H42" si="0">IF(OR(E18="",F18=""),"",ROUND(E18*F18/G18,2))</f>
        <v>1.1399999999999999</v>
      </c>
      <c r="I18" s="1" t="s">
        <v>32</v>
      </c>
    </row>
    <row r="19" spans="1:9" ht="33" customHeight="1" x14ac:dyDescent="0.35">
      <c r="A19" s="8">
        <v>2</v>
      </c>
      <c r="B19" s="1" t="s">
        <v>33</v>
      </c>
      <c r="C19" s="1" t="s">
        <v>34</v>
      </c>
      <c r="D19" s="8" t="s">
        <v>31</v>
      </c>
      <c r="E19" s="12">
        <v>1</v>
      </c>
      <c r="F19" s="12">
        <f>THAM_SO!$B$6</f>
        <v>40</v>
      </c>
      <c r="G19" s="10">
        <f>THAM_SO!$B$4</f>
        <v>35</v>
      </c>
      <c r="H19" s="11">
        <f t="shared" si="0"/>
        <v>1.1399999999999999</v>
      </c>
      <c r="I19" s="1" t="s">
        <v>35</v>
      </c>
    </row>
    <row r="20" spans="1:9" ht="33" customHeight="1" x14ac:dyDescent="0.35">
      <c r="A20" s="8">
        <v>3</v>
      </c>
      <c r="B20" s="1" t="s">
        <v>36</v>
      </c>
      <c r="C20" s="1" t="s">
        <v>30</v>
      </c>
      <c r="D20" s="8" t="s">
        <v>37</v>
      </c>
      <c r="E20" s="12">
        <v>1</v>
      </c>
      <c r="F20" s="12">
        <f>THAM_SO!$B$6</f>
        <v>40</v>
      </c>
      <c r="G20" s="10">
        <f>THAM_SO!$B$4</f>
        <v>35</v>
      </c>
      <c r="H20" s="11">
        <f t="shared" si="0"/>
        <v>1.1399999999999999</v>
      </c>
      <c r="I20" s="1" t="s">
        <v>38</v>
      </c>
    </row>
    <row r="21" spans="1:9" ht="33" customHeight="1" x14ac:dyDescent="0.35">
      <c r="A21" s="8">
        <v>4</v>
      </c>
      <c r="B21" s="1" t="s">
        <v>39</v>
      </c>
      <c r="C21" s="1" t="s">
        <v>40</v>
      </c>
      <c r="D21" s="8" t="s">
        <v>37</v>
      </c>
      <c r="E21" s="12">
        <v>1</v>
      </c>
      <c r="F21" s="12">
        <f>THAM_SO!$B$6</f>
        <v>40</v>
      </c>
      <c r="G21" s="10">
        <f>THAM_SO!$B$4</f>
        <v>35</v>
      </c>
      <c r="H21" s="11">
        <f t="shared" si="0"/>
        <v>1.1399999999999999</v>
      </c>
      <c r="I21" s="1" t="s">
        <v>41</v>
      </c>
    </row>
    <row r="22" spans="1:9" ht="63.75" customHeight="1" x14ac:dyDescent="0.35">
      <c r="A22" s="8">
        <v>5</v>
      </c>
      <c r="B22" s="1" t="s">
        <v>42</v>
      </c>
      <c r="C22" s="1" t="s">
        <v>40</v>
      </c>
      <c r="D22" s="8" t="s">
        <v>37</v>
      </c>
      <c r="E22" s="12">
        <v>9</v>
      </c>
      <c r="F22" s="12">
        <v>95</v>
      </c>
      <c r="G22" s="10">
        <f>THAM_SO!$B$5</f>
        <v>18</v>
      </c>
      <c r="H22" s="11">
        <f t="shared" si="0"/>
        <v>47.5</v>
      </c>
      <c r="I22" s="1" t="s">
        <v>43</v>
      </c>
    </row>
    <row r="23" spans="1:9" ht="33" customHeight="1" x14ac:dyDescent="0.35">
      <c r="A23" s="8">
        <v>6</v>
      </c>
      <c r="B23" s="1" t="s">
        <v>44</v>
      </c>
      <c r="C23" s="1" t="s">
        <v>40</v>
      </c>
      <c r="D23" s="8" t="s">
        <v>37</v>
      </c>
      <c r="E23" s="12">
        <v>9</v>
      </c>
      <c r="F23" s="12">
        <v>95</v>
      </c>
      <c r="G23" s="10">
        <f>THAM_SO!$B$5</f>
        <v>18</v>
      </c>
      <c r="H23" s="11">
        <f t="shared" si="0"/>
        <v>47.5</v>
      </c>
      <c r="I23" s="1" t="s">
        <v>45</v>
      </c>
    </row>
    <row r="24" spans="1:9" ht="48" customHeight="1" x14ac:dyDescent="0.35">
      <c r="A24" s="8">
        <v>7</v>
      </c>
      <c r="B24" s="1" t="s">
        <v>46</v>
      </c>
      <c r="C24" s="1" t="s">
        <v>40</v>
      </c>
      <c r="D24" s="8" t="s">
        <v>37</v>
      </c>
      <c r="E24" s="12">
        <v>1</v>
      </c>
      <c r="F24" s="12">
        <v>77</v>
      </c>
      <c r="G24" s="10">
        <f>THAM_SO!$B$5</f>
        <v>18</v>
      </c>
      <c r="H24" s="11">
        <f t="shared" si="0"/>
        <v>4.28</v>
      </c>
      <c r="I24" s="1" t="s">
        <v>47</v>
      </c>
    </row>
    <row r="25" spans="1:9" ht="96" customHeight="1" x14ac:dyDescent="0.35">
      <c r="A25" s="8">
        <v>8</v>
      </c>
      <c r="B25" s="1" t="s">
        <v>48</v>
      </c>
      <c r="C25" s="1" t="s">
        <v>40</v>
      </c>
      <c r="D25" s="8" t="s">
        <v>37</v>
      </c>
      <c r="E25" s="13">
        <f>1*THAM_SO!$B$20</f>
        <v>2</v>
      </c>
      <c r="F25" s="13">
        <v>42</v>
      </c>
      <c r="G25" s="10">
        <f>THAM_SO!$B$5</f>
        <v>18</v>
      </c>
      <c r="H25" s="11">
        <f t="shared" si="0"/>
        <v>4.67</v>
      </c>
      <c r="I25" s="1" t="s">
        <v>306</v>
      </c>
    </row>
    <row r="26" spans="1:9" ht="63.75" customHeight="1" x14ac:dyDescent="0.35">
      <c r="A26" s="8">
        <v>9</v>
      </c>
      <c r="B26" s="1" t="s">
        <v>49</v>
      </c>
      <c r="C26" s="1" t="s">
        <v>40</v>
      </c>
      <c r="D26" s="8" t="s">
        <v>37</v>
      </c>
      <c r="E26" s="13">
        <f>1*THAM_SO!$B$20</f>
        <v>2</v>
      </c>
      <c r="F26" s="13">
        <v>20</v>
      </c>
      <c r="G26" s="10">
        <f>THAM_SO!$B$5</f>
        <v>18</v>
      </c>
      <c r="H26" s="11">
        <f t="shared" si="0"/>
        <v>2.2200000000000002</v>
      </c>
      <c r="I26" s="1" t="s">
        <v>275</v>
      </c>
    </row>
    <row r="27" spans="1:9" ht="48" customHeight="1" x14ac:dyDescent="0.35">
      <c r="A27" s="8">
        <v>10</v>
      </c>
      <c r="B27" s="1" t="s">
        <v>50</v>
      </c>
      <c r="C27" s="1" t="s">
        <v>40</v>
      </c>
      <c r="D27" s="8" t="s">
        <v>37</v>
      </c>
      <c r="E27" s="13">
        <f>1*THAM_SO!$B$20</f>
        <v>2</v>
      </c>
      <c r="F27" s="13">
        <v>20</v>
      </c>
      <c r="G27" s="10">
        <f>THAM_SO!$B$5</f>
        <v>18</v>
      </c>
      <c r="H27" s="11">
        <f t="shared" si="0"/>
        <v>2.2200000000000002</v>
      </c>
      <c r="I27" s="1" t="s">
        <v>276</v>
      </c>
    </row>
    <row r="28" spans="1:9" ht="79.5" customHeight="1" x14ac:dyDescent="0.35">
      <c r="A28" s="8">
        <v>11</v>
      </c>
      <c r="B28" s="1" t="s">
        <v>51</v>
      </c>
      <c r="C28" s="1" t="s">
        <v>52</v>
      </c>
      <c r="D28" s="8" t="s">
        <v>31</v>
      </c>
      <c r="E28" s="12">
        <v>9</v>
      </c>
      <c r="F28" s="12">
        <v>102</v>
      </c>
      <c r="G28" s="10">
        <f>THAM_SO!$B$5</f>
        <v>18</v>
      </c>
      <c r="H28" s="11">
        <f t="shared" si="0"/>
        <v>51</v>
      </c>
      <c r="I28" s="1" t="s">
        <v>277</v>
      </c>
    </row>
    <row r="29" spans="1:9" ht="33" customHeight="1" x14ac:dyDescent="0.35">
      <c r="A29" s="8">
        <v>12</v>
      </c>
      <c r="B29" s="1" t="s">
        <v>53</v>
      </c>
      <c r="C29" s="1" t="s">
        <v>40</v>
      </c>
      <c r="D29" s="8" t="s">
        <v>37</v>
      </c>
      <c r="E29" s="12">
        <v>5</v>
      </c>
      <c r="F29" s="12">
        <v>102</v>
      </c>
      <c r="G29" s="10">
        <f>THAM_SO!$B$5</f>
        <v>18</v>
      </c>
      <c r="H29" s="11">
        <f t="shared" si="0"/>
        <v>28.33</v>
      </c>
      <c r="I29" s="1" t="s">
        <v>273</v>
      </c>
    </row>
    <row r="30" spans="1:9" ht="33" customHeight="1" x14ac:dyDescent="0.35">
      <c r="A30" s="8">
        <v>13</v>
      </c>
      <c r="B30" s="1" t="s">
        <v>55</v>
      </c>
      <c r="C30" s="1" t="s">
        <v>40</v>
      </c>
      <c r="D30" s="8" t="s">
        <v>37</v>
      </c>
      <c r="E30" s="12">
        <v>5</v>
      </c>
      <c r="F30" s="12">
        <v>102</v>
      </c>
      <c r="G30" s="10">
        <f>THAM_SO!$B$5</f>
        <v>18</v>
      </c>
      <c r="H30" s="11">
        <f t="shared" si="0"/>
        <v>28.33</v>
      </c>
      <c r="I30" s="1" t="s">
        <v>273</v>
      </c>
    </row>
    <row r="31" spans="1:9" ht="33" customHeight="1" x14ac:dyDescent="0.35">
      <c r="A31" s="8">
        <v>14</v>
      </c>
      <c r="B31" s="1" t="s">
        <v>56</v>
      </c>
      <c r="C31" s="1" t="s">
        <v>40</v>
      </c>
      <c r="D31" s="8" t="s">
        <v>31</v>
      </c>
      <c r="E31" s="12">
        <f>THAM_SO!$B$5</f>
        <v>18</v>
      </c>
      <c r="F31" s="12">
        <v>102</v>
      </c>
      <c r="G31" s="10">
        <f>THAM_SO!$B$5</f>
        <v>18</v>
      </c>
      <c r="H31" s="11">
        <f t="shared" si="0"/>
        <v>102</v>
      </c>
      <c r="I31" s="1" t="s">
        <v>57</v>
      </c>
    </row>
    <row r="32" spans="1:9" ht="33" customHeight="1" x14ac:dyDescent="0.35">
      <c r="A32" s="8">
        <v>15</v>
      </c>
      <c r="B32" s="1" t="s">
        <v>58</v>
      </c>
      <c r="C32" s="1" t="s">
        <v>40</v>
      </c>
      <c r="D32" s="8" t="s">
        <v>37</v>
      </c>
      <c r="E32" s="12">
        <v>9</v>
      </c>
      <c r="F32" s="12">
        <v>102</v>
      </c>
      <c r="G32" s="10">
        <f>THAM_SO!$B$5</f>
        <v>18</v>
      </c>
      <c r="H32" s="11">
        <f t="shared" si="0"/>
        <v>51</v>
      </c>
      <c r="I32" s="1" t="s">
        <v>54</v>
      </c>
    </row>
    <row r="33" spans="1:9" ht="33" customHeight="1" x14ac:dyDescent="0.35">
      <c r="A33" s="8">
        <v>16</v>
      </c>
      <c r="B33" s="1" t="s">
        <v>59</v>
      </c>
      <c r="C33" s="1" t="s">
        <v>40</v>
      </c>
      <c r="D33" s="8" t="s">
        <v>37</v>
      </c>
      <c r="E33" s="12">
        <v>9</v>
      </c>
      <c r="F33" s="12">
        <v>15</v>
      </c>
      <c r="G33" s="10">
        <f>THAM_SO!$B$5</f>
        <v>18</v>
      </c>
      <c r="H33" s="11">
        <f t="shared" si="0"/>
        <v>7.5</v>
      </c>
      <c r="I33" s="1" t="s">
        <v>60</v>
      </c>
    </row>
    <row r="34" spans="1:9" ht="33" customHeight="1" x14ac:dyDescent="0.35">
      <c r="A34" s="8">
        <v>17</v>
      </c>
      <c r="B34" s="1" t="s">
        <v>61</v>
      </c>
      <c r="C34" s="1" t="s">
        <v>40</v>
      </c>
      <c r="D34" s="8" t="s">
        <v>37</v>
      </c>
      <c r="E34" s="12">
        <f>THAM_SO!$B$5</f>
        <v>18</v>
      </c>
      <c r="F34" s="12">
        <f>THAM_SO!$B$9</f>
        <v>204</v>
      </c>
      <c r="G34" s="10">
        <f>THAM_SO!$B$5</f>
        <v>18</v>
      </c>
      <c r="H34" s="11">
        <f t="shared" si="0"/>
        <v>204</v>
      </c>
      <c r="I34" s="1" t="s">
        <v>62</v>
      </c>
    </row>
    <row r="35" spans="1:9" ht="48" customHeight="1" x14ac:dyDescent="0.35">
      <c r="A35" s="8">
        <v>18</v>
      </c>
      <c r="B35" s="1" t="s">
        <v>63</v>
      </c>
      <c r="C35" s="1" t="s">
        <v>40</v>
      </c>
      <c r="D35" s="8" t="s">
        <v>37</v>
      </c>
      <c r="E35" s="13">
        <f>1*THAM_SO!$B$20</f>
        <v>2</v>
      </c>
      <c r="F35" s="13">
        <f>THAM_SO!$B$9</f>
        <v>204</v>
      </c>
      <c r="G35" s="10">
        <f>THAM_SO!$B$5</f>
        <v>18</v>
      </c>
      <c r="H35" s="11">
        <f t="shared" si="0"/>
        <v>22.67</v>
      </c>
      <c r="I35" s="1" t="s">
        <v>274</v>
      </c>
    </row>
    <row r="36" spans="1:9" ht="96" customHeight="1" x14ac:dyDescent="0.35">
      <c r="A36" s="8">
        <v>19</v>
      </c>
      <c r="B36" s="1" t="s">
        <v>64</v>
      </c>
      <c r="C36" s="1" t="s">
        <v>40</v>
      </c>
      <c r="D36" s="8" t="s">
        <v>37</v>
      </c>
      <c r="E36" s="13">
        <f>1*THAM_SO!$B$20</f>
        <v>2</v>
      </c>
      <c r="F36" s="13">
        <f>THAM_SO!$B$9</f>
        <v>204</v>
      </c>
      <c r="G36" s="10">
        <f>THAM_SO!$B$5</f>
        <v>18</v>
      </c>
      <c r="H36" s="11">
        <f t="shared" si="0"/>
        <v>22.67</v>
      </c>
      <c r="I36" s="1" t="s">
        <v>278</v>
      </c>
    </row>
    <row r="37" spans="1:9" ht="96" customHeight="1" x14ac:dyDescent="0.35">
      <c r="A37" s="8">
        <v>20</v>
      </c>
      <c r="B37" s="1" t="s">
        <v>65</v>
      </c>
      <c r="C37" s="1" t="s">
        <v>40</v>
      </c>
      <c r="D37" s="8" t="s">
        <v>37</v>
      </c>
      <c r="E37" s="12">
        <v>1</v>
      </c>
      <c r="F37" s="12">
        <v>60</v>
      </c>
      <c r="G37" s="10">
        <f>THAM_SO!$B$5</f>
        <v>18</v>
      </c>
      <c r="H37" s="11">
        <f t="shared" si="0"/>
        <v>3.33</v>
      </c>
      <c r="I37" s="1" t="s">
        <v>279</v>
      </c>
    </row>
    <row r="38" spans="1:9" ht="63.75" customHeight="1" x14ac:dyDescent="0.35">
      <c r="A38" s="8">
        <v>21</v>
      </c>
      <c r="B38" s="1" t="s">
        <v>66</v>
      </c>
      <c r="C38" s="1" t="s">
        <v>40</v>
      </c>
      <c r="D38" s="8" t="s">
        <v>37</v>
      </c>
      <c r="E38" s="12">
        <v>1</v>
      </c>
      <c r="F38" s="12">
        <v>60</v>
      </c>
      <c r="G38" s="10">
        <f>THAM_SO!$B$5</f>
        <v>18</v>
      </c>
      <c r="H38" s="11">
        <f t="shared" si="0"/>
        <v>3.33</v>
      </c>
      <c r="I38" s="1" t="s">
        <v>280</v>
      </c>
    </row>
    <row r="39" spans="1:9" ht="33" customHeight="1" x14ac:dyDescent="0.35">
      <c r="A39" s="8">
        <v>22</v>
      </c>
      <c r="B39" s="1" t="s">
        <v>67</v>
      </c>
      <c r="C39" s="1" t="s">
        <v>68</v>
      </c>
      <c r="D39" s="8" t="s">
        <v>37</v>
      </c>
      <c r="E39" s="12">
        <v>1</v>
      </c>
      <c r="F39" s="12">
        <f>THAM_SO!$B$9</f>
        <v>204</v>
      </c>
      <c r="G39" s="10">
        <f>THAM_SO!$B$5</f>
        <v>18</v>
      </c>
      <c r="H39" s="11">
        <f t="shared" si="0"/>
        <v>11.33</v>
      </c>
      <c r="I39" s="1" t="s">
        <v>69</v>
      </c>
    </row>
    <row r="40" spans="1:9" ht="33" customHeight="1" x14ac:dyDescent="0.35">
      <c r="A40" s="8">
        <v>23</v>
      </c>
      <c r="B40" s="1" t="s">
        <v>70</v>
      </c>
      <c r="C40" s="1" t="s">
        <v>71</v>
      </c>
      <c r="D40" s="8" t="s">
        <v>37</v>
      </c>
      <c r="E40" s="12">
        <v>1</v>
      </c>
      <c r="F40" s="12">
        <f>THAM_SO!$B$9</f>
        <v>204</v>
      </c>
      <c r="G40" s="10">
        <f>THAM_SO!$B$5</f>
        <v>18</v>
      </c>
      <c r="H40" s="11">
        <f t="shared" si="0"/>
        <v>11.33</v>
      </c>
      <c r="I40" s="1" t="s">
        <v>72</v>
      </c>
    </row>
    <row r="41" spans="1:9" ht="33" customHeight="1" x14ac:dyDescent="0.35">
      <c r="A41" s="8">
        <v>24</v>
      </c>
      <c r="B41" s="1" t="s">
        <v>73</v>
      </c>
      <c r="C41" s="1" t="s">
        <v>40</v>
      </c>
      <c r="D41" s="8" t="s">
        <v>37</v>
      </c>
      <c r="E41" s="12">
        <v>1</v>
      </c>
      <c r="F41" s="12">
        <f>THAM_SO!$B$9</f>
        <v>204</v>
      </c>
      <c r="G41" s="10">
        <f>THAM_SO!$B$5</f>
        <v>18</v>
      </c>
      <c r="H41" s="11">
        <f t="shared" si="0"/>
        <v>11.33</v>
      </c>
      <c r="I41" s="1" t="s">
        <v>74</v>
      </c>
    </row>
    <row r="42" spans="1:9" ht="63.75" customHeight="1" x14ac:dyDescent="0.35">
      <c r="A42" s="8">
        <v>25</v>
      </c>
      <c r="B42" s="1" t="s">
        <v>75</v>
      </c>
      <c r="C42" s="1" t="s">
        <v>40</v>
      </c>
      <c r="D42" s="8" t="s">
        <v>37</v>
      </c>
      <c r="E42" s="12">
        <f>1*THAM_SO!$B$20</f>
        <v>2</v>
      </c>
      <c r="F42" s="12">
        <v>12</v>
      </c>
      <c r="G42" s="10">
        <f>THAM_SO!$B$5</f>
        <v>18</v>
      </c>
      <c r="H42" s="11">
        <f t="shared" si="0"/>
        <v>1.33</v>
      </c>
      <c r="I42" s="1" t="s">
        <v>305</v>
      </c>
    </row>
    <row r="44" spans="1:9" ht="15" x14ac:dyDescent="0.35">
      <c r="A44" s="6" t="s">
        <v>76</v>
      </c>
    </row>
    <row r="45" spans="1:9" ht="45" customHeight="1" x14ac:dyDescent="0.35">
      <c r="A45" s="29" t="s">
        <v>3</v>
      </c>
      <c r="B45" s="29" t="s">
        <v>77</v>
      </c>
      <c r="C45" s="29" t="s">
        <v>78</v>
      </c>
      <c r="D45" s="29" t="s">
        <v>5</v>
      </c>
      <c r="E45" s="29" t="s">
        <v>79</v>
      </c>
      <c r="F45" s="29" t="s">
        <v>27</v>
      </c>
      <c r="G45" s="29" t="s">
        <v>80</v>
      </c>
      <c r="H45" s="29" t="s">
        <v>81</v>
      </c>
      <c r="I45" s="29" t="s">
        <v>9</v>
      </c>
    </row>
    <row r="46" spans="1:9" ht="33" customHeight="1" x14ac:dyDescent="0.35">
      <c r="A46" s="8">
        <v>1</v>
      </c>
      <c r="B46" s="1" t="s">
        <v>82</v>
      </c>
      <c r="C46" s="1" t="s">
        <v>83</v>
      </c>
      <c r="D46" s="8" t="s">
        <v>84</v>
      </c>
      <c r="E46" s="12">
        <f>THAM_SO!$B$4</f>
        <v>35</v>
      </c>
      <c r="F46" s="10">
        <f>THAM_SO!$B$4</f>
        <v>35</v>
      </c>
      <c r="G46" s="14">
        <v>0</v>
      </c>
      <c r="H46" s="15">
        <f t="shared" ref="H46:H52" si="1">IF(E46="","",E46/F46*(1-G46/100))</f>
        <v>1</v>
      </c>
      <c r="I46" s="1" t="s">
        <v>281</v>
      </c>
    </row>
    <row r="47" spans="1:9" ht="33" customHeight="1" x14ac:dyDescent="0.35">
      <c r="A47" s="8">
        <v>2</v>
      </c>
      <c r="B47" s="1" t="s">
        <v>85</v>
      </c>
      <c r="C47" s="1" t="s">
        <v>83</v>
      </c>
      <c r="D47" s="8" t="s">
        <v>84</v>
      </c>
      <c r="E47" s="12">
        <f>THAM_SO!$B$4</f>
        <v>35</v>
      </c>
      <c r="F47" s="10">
        <f>THAM_SO!$B$4</f>
        <v>35</v>
      </c>
      <c r="G47" s="14">
        <v>0</v>
      </c>
      <c r="H47" s="15">
        <f t="shared" si="1"/>
        <v>1</v>
      </c>
      <c r="I47" s="1" t="s">
        <v>281</v>
      </c>
    </row>
    <row r="48" spans="1:9" ht="33" customHeight="1" x14ac:dyDescent="0.35">
      <c r="A48" s="8">
        <v>3</v>
      </c>
      <c r="B48" s="1" t="s">
        <v>86</v>
      </c>
      <c r="C48" s="1" t="s">
        <v>30</v>
      </c>
      <c r="D48" s="8" t="s">
        <v>84</v>
      </c>
      <c r="E48" s="12">
        <f>THAM_SO!$B$4</f>
        <v>35</v>
      </c>
      <c r="F48" s="10">
        <f>THAM_SO!$B$4</f>
        <v>35</v>
      </c>
      <c r="G48" s="14">
        <v>0</v>
      </c>
      <c r="H48" s="15">
        <f t="shared" si="1"/>
        <v>1</v>
      </c>
      <c r="I48" s="1" t="s">
        <v>87</v>
      </c>
    </row>
    <row r="49" spans="1:9" ht="33" customHeight="1" x14ac:dyDescent="0.35">
      <c r="A49" s="8">
        <v>4</v>
      </c>
      <c r="B49" s="1" t="s">
        <v>88</v>
      </c>
      <c r="C49" s="1" t="s">
        <v>30</v>
      </c>
      <c r="D49" s="8" t="s">
        <v>89</v>
      </c>
      <c r="E49" s="12">
        <f>THAM_SO!$B$4</f>
        <v>35</v>
      </c>
      <c r="F49" s="10">
        <f>THAM_SO!$B$4</f>
        <v>35</v>
      </c>
      <c r="G49" s="14">
        <v>0</v>
      </c>
      <c r="H49" s="15">
        <f t="shared" si="1"/>
        <v>1</v>
      </c>
      <c r="I49" s="1" t="s">
        <v>87</v>
      </c>
    </row>
    <row r="50" spans="1:9" ht="33" customHeight="1" x14ac:dyDescent="0.35">
      <c r="A50" s="8">
        <v>5</v>
      </c>
      <c r="B50" s="1" t="s">
        <v>90</v>
      </c>
      <c r="C50" s="1" t="s">
        <v>91</v>
      </c>
      <c r="D50" s="8" t="s">
        <v>92</v>
      </c>
      <c r="E50" s="12">
        <f>THAM_SO!$B$4</f>
        <v>35</v>
      </c>
      <c r="F50" s="10">
        <f>THAM_SO!$B$4</f>
        <v>35</v>
      </c>
      <c r="G50" s="14">
        <v>0</v>
      </c>
      <c r="H50" s="15">
        <f t="shared" si="1"/>
        <v>1</v>
      </c>
      <c r="I50" s="1" t="s">
        <v>93</v>
      </c>
    </row>
    <row r="51" spans="1:9" ht="33" customHeight="1" x14ac:dyDescent="0.35">
      <c r="A51" s="8">
        <v>6</v>
      </c>
      <c r="B51" s="1" t="s">
        <v>94</v>
      </c>
      <c r="C51" s="1" t="s">
        <v>30</v>
      </c>
      <c r="D51" s="8" t="s">
        <v>92</v>
      </c>
      <c r="E51" s="12">
        <f>2*THAM_SO!$B$4</f>
        <v>70</v>
      </c>
      <c r="F51" s="10">
        <f>THAM_SO!$B$4</f>
        <v>35</v>
      </c>
      <c r="G51" s="14">
        <v>0</v>
      </c>
      <c r="H51" s="15">
        <f t="shared" si="1"/>
        <v>2</v>
      </c>
      <c r="I51" s="1" t="s">
        <v>282</v>
      </c>
    </row>
    <row r="52" spans="1:9" ht="33" customHeight="1" x14ac:dyDescent="0.35">
      <c r="A52" s="8">
        <v>7</v>
      </c>
      <c r="B52" s="1" t="s">
        <v>95</v>
      </c>
      <c r="C52" s="1" t="s">
        <v>96</v>
      </c>
      <c r="D52" s="8" t="s">
        <v>37</v>
      </c>
      <c r="E52" s="12">
        <f>THAM_SO!$B$4</f>
        <v>35</v>
      </c>
      <c r="F52" s="10">
        <f>THAM_SO!$B$4</f>
        <v>35</v>
      </c>
      <c r="G52" s="14">
        <v>0</v>
      </c>
      <c r="H52" s="15">
        <f t="shared" si="1"/>
        <v>1</v>
      </c>
      <c r="I52" s="1" t="s">
        <v>87</v>
      </c>
    </row>
    <row r="53" spans="1:9" ht="33" customHeight="1" x14ac:dyDescent="0.35">
      <c r="A53" s="8">
        <v>8</v>
      </c>
      <c r="B53" s="1" t="s">
        <v>97</v>
      </c>
      <c r="C53" s="1" t="s">
        <v>98</v>
      </c>
      <c r="D53" s="8" t="s">
        <v>31</v>
      </c>
      <c r="E53" s="12">
        <v>3</v>
      </c>
      <c r="F53" s="10">
        <f>THAM_SO!$B$4</f>
        <v>35</v>
      </c>
      <c r="G53" s="14">
        <v>0</v>
      </c>
      <c r="H53" s="12">
        <f>IF(E53="","",ROUND(E53/F53*(1-G53/100),2))</f>
        <v>0.09</v>
      </c>
      <c r="I53" s="1" t="s">
        <v>99</v>
      </c>
    </row>
    <row r="54" spans="1:9" ht="33" customHeight="1" x14ac:dyDescent="0.35">
      <c r="A54" s="8">
        <v>9</v>
      </c>
      <c r="B54" s="1" t="s">
        <v>100</v>
      </c>
      <c r="C54" s="1" t="s">
        <v>30</v>
      </c>
      <c r="D54" s="8" t="s">
        <v>101</v>
      </c>
      <c r="E54" s="12">
        <f>THAM_SO!$B$4</f>
        <v>35</v>
      </c>
      <c r="F54" s="10">
        <f>THAM_SO!$B$4</f>
        <v>35</v>
      </c>
      <c r="G54" s="14">
        <v>0</v>
      </c>
      <c r="H54" s="15">
        <f>IF(E54="","",E54/F54*(1-G54/100))</f>
        <v>1</v>
      </c>
      <c r="I54" s="1" t="s">
        <v>102</v>
      </c>
    </row>
    <row r="55" spans="1:9" ht="33" customHeight="1" x14ac:dyDescent="0.35">
      <c r="A55" s="8">
        <v>10</v>
      </c>
      <c r="B55" s="1" t="s">
        <v>103</v>
      </c>
      <c r="C55" s="1" t="s">
        <v>30</v>
      </c>
      <c r="D55" s="8" t="s">
        <v>104</v>
      </c>
      <c r="E55" s="12">
        <v>1</v>
      </c>
      <c r="F55" s="10">
        <f>THAM_SO!$B$4</f>
        <v>35</v>
      </c>
      <c r="G55" s="14">
        <v>0</v>
      </c>
      <c r="H55" s="12">
        <f>IF(E55="","",ROUND(E55/F55*(1-G55/100),2))</f>
        <v>0.03</v>
      </c>
      <c r="I55" s="1" t="s">
        <v>105</v>
      </c>
    </row>
    <row r="56" spans="1:9" ht="33" customHeight="1" x14ac:dyDescent="0.35">
      <c r="A56" s="8">
        <v>11</v>
      </c>
      <c r="B56" s="1" t="s">
        <v>106</v>
      </c>
      <c r="C56" s="1" t="s">
        <v>30</v>
      </c>
      <c r="D56" s="8" t="s">
        <v>107</v>
      </c>
      <c r="E56" s="12">
        <v>1</v>
      </c>
      <c r="F56" s="10">
        <f>THAM_SO!$B$4</f>
        <v>35</v>
      </c>
      <c r="G56" s="14">
        <v>0</v>
      </c>
      <c r="H56" s="12">
        <f>IF(E56="","",ROUND(E56/F56*(1-G56/100),2))</f>
        <v>0.03</v>
      </c>
      <c r="I56" s="1" t="s">
        <v>108</v>
      </c>
    </row>
    <row r="57" spans="1:9" ht="33" customHeight="1" x14ac:dyDescent="0.35">
      <c r="A57" s="8">
        <v>12</v>
      </c>
      <c r="B57" s="1" t="s">
        <v>109</v>
      </c>
      <c r="C57" s="1" t="s">
        <v>30</v>
      </c>
      <c r="D57" s="8" t="s">
        <v>101</v>
      </c>
      <c r="E57" s="12">
        <f>THAM_SO!$B$4</f>
        <v>35</v>
      </c>
      <c r="F57" s="10">
        <f>THAM_SO!$B$4</f>
        <v>35</v>
      </c>
      <c r="G57" s="14">
        <v>0</v>
      </c>
      <c r="H57" s="15">
        <f>IF(E57="","",E57/F57*(1-G57/100))</f>
        <v>1</v>
      </c>
      <c r="I57" s="1" t="s">
        <v>102</v>
      </c>
    </row>
    <row r="58" spans="1:9" ht="33" customHeight="1" x14ac:dyDescent="0.35">
      <c r="A58" s="8">
        <v>13</v>
      </c>
      <c r="B58" s="1" t="s">
        <v>110</v>
      </c>
      <c r="C58" s="1" t="s">
        <v>30</v>
      </c>
      <c r="D58" s="8" t="s">
        <v>104</v>
      </c>
      <c r="E58" s="12">
        <v>1</v>
      </c>
      <c r="F58" s="10">
        <f>THAM_SO!$B$4</f>
        <v>35</v>
      </c>
      <c r="G58" s="14">
        <v>0</v>
      </c>
      <c r="H58" s="12">
        <f>IF(E58="","",ROUND(E58/F58*(1-G58/100),2))</f>
        <v>0.03</v>
      </c>
      <c r="I58" s="1" t="s">
        <v>105</v>
      </c>
    </row>
    <row r="59" spans="1:9" ht="33" customHeight="1" x14ac:dyDescent="0.35">
      <c r="A59" s="8">
        <v>14</v>
      </c>
      <c r="B59" s="1" t="s">
        <v>111</v>
      </c>
      <c r="C59" s="1" t="s">
        <v>30</v>
      </c>
      <c r="D59" s="8" t="s">
        <v>107</v>
      </c>
      <c r="E59" s="12">
        <v>1</v>
      </c>
      <c r="F59" s="10">
        <f>THAM_SO!$B$4</f>
        <v>35</v>
      </c>
      <c r="G59" s="14">
        <v>0</v>
      </c>
      <c r="H59" s="12">
        <f>IF(E59="","",ROUND(E59/F59*(1-G59/100),2))</f>
        <v>0.03</v>
      </c>
      <c r="I59" s="1" t="s">
        <v>108</v>
      </c>
    </row>
    <row r="60" spans="1:9" ht="33" customHeight="1" x14ac:dyDescent="0.35">
      <c r="A60" s="8">
        <v>15</v>
      </c>
      <c r="B60" s="1" t="s">
        <v>112</v>
      </c>
      <c r="C60" s="1" t="s">
        <v>98</v>
      </c>
      <c r="D60" s="8" t="s">
        <v>31</v>
      </c>
      <c r="E60" s="12">
        <v>3</v>
      </c>
      <c r="F60" s="10">
        <f>THAM_SO!$B$4</f>
        <v>35</v>
      </c>
      <c r="G60" s="14">
        <v>0</v>
      </c>
      <c r="H60" s="12">
        <f>IF(E60="","",ROUND(E60/F60*(1-G60/100),2))</f>
        <v>0.09</v>
      </c>
      <c r="I60" s="1" t="s">
        <v>99</v>
      </c>
    </row>
    <row r="61" spans="1:9" ht="33" customHeight="1" x14ac:dyDescent="0.35">
      <c r="A61" s="8">
        <v>16</v>
      </c>
      <c r="B61" s="1" t="s">
        <v>113</v>
      </c>
      <c r="C61" s="1" t="s">
        <v>40</v>
      </c>
      <c r="D61" s="8" t="s">
        <v>101</v>
      </c>
      <c r="E61" s="12">
        <f>1*THAM_SO!$B$20</f>
        <v>2</v>
      </c>
      <c r="F61" s="10">
        <f>THAM_SO!$B$5</f>
        <v>18</v>
      </c>
      <c r="G61" s="14">
        <v>0</v>
      </c>
      <c r="H61" s="15">
        <f t="shared" ref="H61:H92" si="2">IF(E61="","",E61/F61*(1-G61/100))</f>
        <v>0.1111111111111111</v>
      </c>
      <c r="I61" s="1" t="s">
        <v>283</v>
      </c>
    </row>
    <row r="62" spans="1:9" ht="48" customHeight="1" x14ac:dyDescent="0.35">
      <c r="A62" s="8">
        <v>17</v>
      </c>
      <c r="B62" s="1" t="s">
        <v>114</v>
      </c>
      <c r="C62" s="1" t="s">
        <v>40</v>
      </c>
      <c r="D62" s="8" t="s">
        <v>101</v>
      </c>
      <c r="E62" s="12">
        <v>1</v>
      </c>
      <c r="F62" s="10">
        <f>THAM_SO!$B$5</f>
        <v>18</v>
      </c>
      <c r="G62" s="14">
        <v>0</v>
      </c>
      <c r="H62" s="15">
        <f t="shared" si="2"/>
        <v>5.5555555555555552E-2</v>
      </c>
      <c r="I62" s="1" t="s">
        <v>284</v>
      </c>
    </row>
    <row r="63" spans="1:9" ht="48" customHeight="1" x14ac:dyDescent="0.35">
      <c r="A63" s="8">
        <v>18</v>
      </c>
      <c r="B63" s="1" t="s">
        <v>115</v>
      </c>
      <c r="C63" s="1" t="s">
        <v>40</v>
      </c>
      <c r="D63" s="8" t="s">
        <v>101</v>
      </c>
      <c r="E63" s="12">
        <v>1</v>
      </c>
      <c r="F63" s="10">
        <f>THAM_SO!$B$5</f>
        <v>18</v>
      </c>
      <c r="G63" s="14">
        <v>0</v>
      </c>
      <c r="H63" s="15">
        <f t="shared" si="2"/>
        <v>5.5555555555555552E-2</v>
      </c>
      <c r="I63" s="1" t="s">
        <v>284</v>
      </c>
    </row>
    <row r="64" spans="1:9" ht="48" customHeight="1" x14ac:dyDescent="0.35">
      <c r="A64" s="8">
        <v>19</v>
      </c>
      <c r="B64" s="1" t="s">
        <v>116</v>
      </c>
      <c r="C64" s="1" t="s">
        <v>40</v>
      </c>
      <c r="D64" s="8" t="s">
        <v>117</v>
      </c>
      <c r="E64" s="12">
        <v>1</v>
      </c>
      <c r="F64" s="10">
        <f>THAM_SO!$B$5</f>
        <v>18</v>
      </c>
      <c r="G64" s="14">
        <v>0</v>
      </c>
      <c r="H64" s="15">
        <f t="shared" si="2"/>
        <v>5.5555555555555552E-2</v>
      </c>
      <c r="I64" s="1" t="s">
        <v>285</v>
      </c>
    </row>
    <row r="65" spans="1:9" ht="48" customHeight="1" x14ac:dyDescent="0.35">
      <c r="A65" s="8">
        <v>20</v>
      </c>
      <c r="B65" s="1" t="s">
        <v>118</v>
      </c>
      <c r="C65" s="1" t="s">
        <v>40</v>
      </c>
      <c r="D65" s="8" t="s">
        <v>117</v>
      </c>
      <c r="E65" s="12">
        <v>1</v>
      </c>
      <c r="F65" s="10">
        <f>THAM_SO!$B$5</f>
        <v>18</v>
      </c>
      <c r="G65" s="14">
        <v>0</v>
      </c>
      <c r="H65" s="15">
        <f t="shared" si="2"/>
        <v>5.5555555555555552E-2</v>
      </c>
      <c r="I65" s="1" t="s">
        <v>285</v>
      </c>
    </row>
    <row r="66" spans="1:9" ht="48" customHeight="1" x14ac:dyDescent="0.35">
      <c r="A66" s="8">
        <v>21</v>
      </c>
      <c r="B66" s="1" t="s">
        <v>119</v>
      </c>
      <c r="C66" s="1" t="s">
        <v>40</v>
      </c>
      <c r="D66" s="8" t="s">
        <v>117</v>
      </c>
      <c r="E66" s="12">
        <v>1</v>
      </c>
      <c r="F66" s="10">
        <f>THAM_SO!$B$5</f>
        <v>18</v>
      </c>
      <c r="G66" s="14">
        <v>0</v>
      </c>
      <c r="H66" s="15">
        <f t="shared" si="2"/>
        <v>5.5555555555555552E-2</v>
      </c>
      <c r="I66" s="1" t="s">
        <v>285</v>
      </c>
    </row>
    <row r="67" spans="1:9" ht="33" customHeight="1" x14ac:dyDescent="0.35">
      <c r="A67" s="8">
        <v>22</v>
      </c>
      <c r="B67" s="1" t="s">
        <v>120</v>
      </c>
      <c r="C67" s="1" t="s">
        <v>40</v>
      </c>
      <c r="D67" s="8" t="s">
        <v>117</v>
      </c>
      <c r="E67" s="12">
        <f>1*THAM_SO!$B$20</f>
        <v>2</v>
      </c>
      <c r="F67" s="10">
        <f>THAM_SO!$B$5</f>
        <v>18</v>
      </c>
      <c r="G67" s="14">
        <v>0</v>
      </c>
      <c r="H67" s="15">
        <f t="shared" si="2"/>
        <v>0.1111111111111111</v>
      </c>
      <c r="I67" s="1" t="s">
        <v>286</v>
      </c>
    </row>
    <row r="68" spans="1:9" ht="48" customHeight="1" x14ac:dyDescent="0.35">
      <c r="A68" s="8">
        <v>23</v>
      </c>
      <c r="B68" s="1" t="s">
        <v>121</v>
      </c>
      <c r="C68" s="1" t="s">
        <v>40</v>
      </c>
      <c r="D68" s="8" t="s">
        <v>101</v>
      </c>
      <c r="E68" s="12">
        <v>1</v>
      </c>
      <c r="F68" s="10">
        <f>THAM_SO!$B$5</f>
        <v>18</v>
      </c>
      <c r="G68" s="14">
        <v>0</v>
      </c>
      <c r="H68" s="15">
        <f t="shared" si="2"/>
        <v>5.5555555555555552E-2</v>
      </c>
      <c r="I68" s="1" t="s">
        <v>284</v>
      </c>
    </row>
    <row r="69" spans="1:9" ht="48" customHeight="1" x14ac:dyDescent="0.35">
      <c r="A69" s="8">
        <v>24</v>
      </c>
      <c r="B69" s="1" t="s">
        <v>122</v>
      </c>
      <c r="C69" s="1" t="s">
        <v>40</v>
      </c>
      <c r="D69" s="8" t="s">
        <v>123</v>
      </c>
      <c r="E69" s="12">
        <v>1</v>
      </c>
      <c r="F69" s="10">
        <f>THAM_SO!$B$5</f>
        <v>18</v>
      </c>
      <c r="G69" s="14">
        <v>0</v>
      </c>
      <c r="H69" s="15">
        <f t="shared" si="2"/>
        <v>5.5555555555555552E-2</v>
      </c>
      <c r="I69" s="1" t="s">
        <v>287</v>
      </c>
    </row>
    <row r="70" spans="1:9" ht="48" customHeight="1" x14ac:dyDescent="0.35">
      <c r="A70" s="8">
        <v>25</v>
      </c>
      <c r="B70" s="1" t="s">
        <v>124</v>
      </c>
      <c r="C70" s="1" t="s">
        <v>40</v>
      </c>
      <c r="D70" s="8" t="s">
        <v>123</v>
      </c>
      <c r="E70" s="12">
        <v>1</v>
      </c>
      <c r="F70" s="10">
        <f>THAM_SO!$B$5</f>
        <v>18</v>
      </c>
      <c r="G70" s="14">
        <v>0</v>
      </c>
      <c r="H70" s="15">
        <f t="shared" si="2"/>
        <v>5.5555555555555552E-2</v>
      </c>
      <c r="I70" s="1" t="s">
        <v>287</v>
      </c>
    </row>
    <row r="71" spans="1:9" ht="48" customHeight="1" x14ac:dyDescent="0.35">
      <c r="A71" s="8">
        <v>26</v>
      </c>
      <c r="B71" s="1" t="s">
        <v>125</v>
      </c>
      <c r="C71" s="1" t="s">
        <v>40</v>
      </c>
      <c r="D71" s="8" t="s">
        <v>126</v>
      </c>
      <c r="E71" s="12">
        <v>1</v>
      </c>
      <c r="F71" s="10">
        <f>THAM_SO!$B$5</f>
        <v>18</v>
      </c>
      <c r="G71" s="14">
        <v>0</v>
      </c>
      <c r="H71" s="15">
        <f t="shared" si="2"/>
        <v>5.5555555555555552E-2</v>
      </c>
      <c r="I71" s="1" t="s">
        <v>288</v>
      </c>
    </row>
    <row r="72" spans="1:9" ht="48" customHeight="1" x14ac:dyDescent="0.35">
      <c r="A72" s="8">
        <v>27</v>
      </c>
      <c r="B72" s="1" t="s">
        <v>127</v>
      </c>
      <c r="C72" s="1" t="s">
        <v>40</v>
      </c>
      <c r="D72" s="8" t="s">
        <v>123</v>
      </c>
      <c r="E72" s="12">
        <v>1</v>
      </c>
      <c r="F72" s="10">
        <f>THAM_SO!$B$5</f>
        <v>18</v>
      </c>
      <c r="G72" s="14">
        <v>0</v>
      </c>
      <c r="H72" s="15">
        <f t="shared" si="2"/>
        <v>5.5555555555555552E-2</v>
      </c>
      <c r="I72" s="1" t="s">
        <v>287</v>
      </c>
    </row>
    <row r="73" spans="1:9" ht="33" customHeight="1" x14ac:dyDescent="0.35">
      <c r="A73" s="8">
        <v>28</v>
      </c>
      <c r="B73" s="1" t="s">
        <v>128</v>
      </c>
      <c r="C73" s="1" t="s">
        <v>40</v>
      </c>
      <c r="D73" s="8" t="s">
        <v>123</v>
      </c>
      <c r="E73" s="12">
        <f>1*THAM_SO!$B$20</f>
        <v>2</v>
      </c>
      <c r="F73" s="10">
        <f>THAM_SO!$B$5</f>
        <v>18</v>
      </c>
      <c r="G73" s="14">
        <v>0</v>
      </c>
      <c r="H73" s="15">
        <f t="shared" si="2"/>
        <v>0.1111111111111111</v>
      </c>
      <c r="I73" s="1" t="s">
        <v>289</v>
      </c>
    </row>
    <row r="74" spans="1:9" ht="33" customHeight="1" x14ac:dyDescent="0.35">
      <c r="A74" s="8">
        <v>29</v>
      </c>
      <c r="B74" s="1" t="s">
        <v>129</v>
      </c>
      <c r="C74" s="1" t="s">
        <v>40</v>
      </c>
      <c r="D74" s="8" t="s">
        <v>123</v>
      </c>
      <c r="E74" s="12">
        <f>1*THAM_SO!$B$20</f>
        <v>2</v>
      </c>
      <c r="F74" s="10">
        <f>THAM_SO!$B$5</f>
        <v>18</v>
      </c>
      <c r="G74" s="14">
        <v>0</v>
      </c>
      <c r="H74" s="15">
        <f t="shared" si="2"/>
        <v>0.1111111111111111</v>
      </c>
      <c r="I74" s="1" t="s">
        <v>289</v>
      </c>
    </row>
    <row r="75" spans="1:9" ht="33" customHeight="1" x14ac:dyDescent="0.35">
      <c r="A75" s="8">
        <v>30</v>
      </c>
      <c r="B75" s="1" t="s">
        <v>130</v>
      </c>
      <c r="C75" s="1" t="s">
        <v>40</v>
      </c>
      <c r="D75" s="8" t="s">
        <v>131</v>
      </c>
      <c r="E75" s="12">
        <f>1*THAM_SO!$B$20</f>
        <v>2</v>
      </c>
      <c r="F75" s="10">
        <f>THAM_SO!$B$5</f>
        <v>18</v>
      </c>
      <c r="G75" s="14">
        <v>0</v>
      </c>
      <c r="H75" s="15">
        <f t="shared" si="2"/>
        <v>0.1111111111111111</v>
      </c>
      <c r="I75" s="1" t="s">
        <v>290</v>
      </c>
    </row>
    <row r="76" spans="1:9" ht="33" customHeight="1" x14ac:dyDescent="0.35">
      <c r="A76" s="8">
        <v>31</v>
      </c>
      <c r="B76" s="1" t="s">
        <v>132</v>
      </c>
      <c r="C76" s="1" t="s">
        <v>40</v>
      </c>
      <c r="D76" s="8" t="s">
        <v>131</v>
      </c>
      <c r="E76" s="12">
        <f>1*THAM_SO!$B$20</f>
        <v>2</v>
      </c>
      <c r="F76" s="10">
        <f>THAM_SO!$B$5</f>
        <v>18</v>
      </c>
      <c r="G76" s="14">
        <v>0</v>
      </c>
      <c r="H76" s="15">
        <f t="shared" si="2"/>
        <v>0.1111111111111111</v>
      </c>
      <c r="I76" s="1" t="s">
        <v>290</v>
      </c>
    </row>
    <row r="77" spans="1:9" ht="33" customHeight="1" x14ac:dyDescent="0.35">
      <c r="A77" s="8">
        <v>32</v>
      </c>
      <c r="B77" s="1" t="s">
        <v>133</v>
      </c>
      <c r="C77" s="1" t="s">
        <v>40</v>
      </c>
      <c r="D77" s="8" t="s">
        <v>123</v>
      </c>
      <c r="E77" s="12">
        <f>1*THAM_SO!$B$20</f>
        <v>2</v>
      </c>
      <c r="F77" s="10">
        <f>THAM_SO!$B$5</f>
        <v>18</v>
      </c>
      <c r="G77" s="14">
        <v>0</v>
      </c>
      <c r="H77" s="15">
        <f t="shared" si="2"/>
        <v>0.1111111111111111</v>
      </c>
      <c r="I77" s="1" t="s">
        <v>289</v>
      </c>
    </row>
    <row r="78" spans="1:9" ht="33" customHeight="1" x14ac:dyDescent="0.35">
      <c r="A78" s="8">
        <v>33</v>
      </c>
      <c r="B78" s="1" t="s">
        <v>134</v>
      </c>
      <c r="C78" s="1" t="s">
        <v>40</v>
      </c>
      <c r="D78" s="8" t="s">
        <v>123</v>
      </c>
      <c r="E78" s="12">
        <f>1*THAM_SO!$B$20</f>
        <v>2</v>
      </c>
      <c r="F78" s="10">
        <f>THAM_SO!$B$5</f>
        <v>18</v>
      </c>
      <c r="G78" s="14">
        <v>0</v>
      </c>
      <c r="H78" s="15">
        <f t="shared" si="2"/>
        <v>0.1111111111111111</v>
      </c>
      <c r="I78" s="1" t="s">
        <v>289</v>
      </c>
    </row>
    <row r="79" spans="1:9" ht="48" customHeight="1" x14ac:dyDescent="0.35">
      <c r="A79" s="8">
        <v>34</v>
      </c>
      <c r="B79" s="1" t="s">
        <v>135</v>
      </c>
      <c r="C79" s="1" t="s">
        <v>40</v>
      </c>
      <c r="D79" s="8" t="s">
        <v>123</v>
      </c>
      <c r="E79" s="12">
        <v>1</v>
      </c>
      <c r="F79" s="10">
        <f>THAM_SO!$B$5</f>
        <v>18</v>
      </c>
      <c r="G79" s="14">
        <v>0</v>
      </c>
      <c r="H79" s="15">
        <f t="shared" si="2"/>
        <v>5.5555555555555552E-2</v>
      </c>
      <c r="I79" s="1" t="s">
        <v>287</v>
      </c>
    </row>
    <row r="80" spans="1:9" ht="48" customHeight="1" x14ac:dyDescent="0.35">
      <c r="A80" s="8">
        <v>35</v>
      </c>
      <c r="B80" s="1" t="s">
        <v>136</v>
      </c>
      <c r="C80" s="1" t="s">
        <v>40</v>
      </c>
      <c r="D80" s="8" t="s">
        <v>89</v>
      </c>
      <c r="E80" s="12">
        <v>1</v>
      </c>
      <c r="F80" s="10">
        <f>THAM_SO!$B$5</f>
        <v>18</v>
      </c>
      <c r="G80" s="14">
        <v>0</v>
      </c>
      <c r="H80" s="15">
        <f t="shared" si="2"/>
        <v>5.5555555555555552E-2</v>
      </c>
      <c r="I80" s="1" t="s">
        <v>291</v>
      </c>
    </row>
    <row r="81" spans="1:9" ht="33" customHeight="1" x14ac:dyDescent="0.35">
      <c r="A81" s="8">
        <v>36</v>
      </c>
      <c r="B81" s="1" t="s">
        <v>137</v>
      </c>
      <c r="C81" s="1" t="s">
        <v>40</v>
      </c>
      <c r="D81" s="8" t="s">
        <v>89</v>
      </c>
      <c r="E81" s="12">
        <f>1*THAM_SO!$B$20</f>
        <v>2</v>
      </c>
      <c r="F81" s="10">
        <f>THAM_SO!$B$5</f>
        <v>18</v>
      </c>
      <c r="G81" s="14">
        <v>0</v>
      </c>
      <c r="H81" s="15">
        <f t="shared" si="2"/>
        <v>0.1111111111111111</v>
      </c>
      <c r="I81" s="1" t="s">
        <v>292</v>
      </c>
    </row>
    <row r="82" spans="1:9" ht="48" customHeight="1" x14ac:dyDescent="0.35">
      <c r="A82" s="8">
        <v>37</v>
      </c>
      <c r="B82" s="1" t="s">
        <v>138</v>
      </c>
      <c r="C82" s="1" t="s">
        <v>40</v>
      </c>
      <c r="D82" s="8" t="s">
        <v>89</v>
      </c>
      <c r="E82" s="12">
        <v>1</v>
      </c>
      <c r="F82" s="10">
        <f>THAM_SO!$B$5</f>
        <v>18</v>
      </c>
      <c r="G82" s="14">
        <v>0</v>
      </c>
      <c r="H82" s="15">
        <f t="shared" si="2"/>
        <v>5.5555555555555552E-2</v>
      </c>
      <c r="I82" s="1" t="s">
        <v>291</v>
      </c>
    </row>
    <row r="83" spans="1:9" ht="48" customHeight="1" x14ac:dyDescent="0.35">
      <c r="A83" s="8">
        <v>38</v>
      </c>
      <c r="B83" s="1" t="s">
        <v>139</v>
      </c>
      <c r="C83" s="1" t="s">
        <v>40</v>
      </c>
      <c r="D83" s="8" t="s">
        <v>89</v>
      </c>
      <c r="E83" s="12">
        <v>1</v>
      </c>
      <c r="F83" s="10">
        <f>THAM_SO!$B$5</f>
        <v>18</v>
      </c>
      <c r="G83" s="14">
        <v>0</v>
      </c>
      <c r="H83" s="15">
        <f t="shared" si="2"/>
        <v>5.5555555555555552E-2</v>
      </c>
      <c r="I83" s="1" t="s">
        <v>291</v>
      </c>
    </row>
    <row r="84" spans="1:9" ht="48" customHeight="1" x14ac:dyDescent="0.35">
      <c r="A84" s="8">
        <v>39</v>
      </c>
      <c r="B84" s="1" t="s">
        <v>140</v>
      </c>
      <c r="C84" s="1" t="s">
        <v>40</v>
      </c>
      <c r="D84" s="8" t="s">
        <v>89</v>
      </c>
      <c r="E84" s="12">
        <v>1</v>
      </c>
      <c r="F84" s="10">
        <f>THAM_SO!$B$5</f>
        <v>18</v>
      </c>
      <c r="G84" s="14">
        <v>0</v>
      </c>
      <c r="H84" s="15">
        <f t="shared" si="2"/>
        <v>5.5555555555555552E-2</v>
      </c>
      <c r="I84" s="1" t="s">
        <v>291</v>
      </c>
    </row>
    <row r="85" spans="1:9" ht="33" customHeight="1" x14ac:dyDescent="0.35">
      <c r="A85" s="8">
        <v>40</v>
      </c>
      <c r="B85" s="1" t="s">
        <v>141</v>
      </c>
      <c r="C85" s="1" t="s">
        <v>40</v>
      </c>
      <c r="D85" s="8" t="s">
        <v>89</v>
      </c>
      <c r="E85" s="12">
        <f>1*THAM_SO!$B$20</f>
        <v>2</v>
      </c>
      <c r="F85" s="10">
        <f>THAM_SO!$B$5</f>
        <v>18</v>
      </c>
      <c r="G85" s="14">
        <v>0</v>
      </c>
      <c r="H85" s="15">
        <f t="shared" si="2"/>
        <v>0.1111111111111111</v>
      </c>
      <c r="I85" s="1" t="s">
        <v>292</v>
      </c>
    </row>
    <row r="86" spans="1:9" ht="33" customHeight="1" x14ac:dyDescent="0.35">
      <c r="A86" s="8">
        <v>41</v>
      </c>
      <c r="B86" s="1" t="s">
        <v>142</v>
      </c>
      <c r="C86" s="1" t="s">
        <v>40</v>
      </c>
      <c r="D86" s="8" t="s">
        <v>123</v>
      </c>
      <c r="E86" s="12">
        <f>1*THAM_SO!$B$20</f>
        <v>2</v>
      </c>
      <c r="F86" s="10">
        <f>THAM_SO!$B$5</f>
        <v>18</v>
      </c>
      <c r="G86" s="14">
        <v>0</v>
      </c>
      <c r="H86" s="15">
        <f t="shared" si="2"/>
        <v>0.1111111111111111</v>
      </c>
      <c r="I86" s="1" t="s">
        <v>289</v>
      </c>
    </row>
    <row r="87" spans="1:9" ht="48" customHeight="1" x14ac:dyDescent="0.35">
      <c r="A87" s="8">
        <v>42</v>
      </c>
      <c r="B87" s="1" t="s">
        <v>143</v>
      </c>
      <c r="C87" s="1" t="s">
        <v>40</v>
      </c>
      <c r="D87" s="8" t="s">
        <v>123</v>
      </c>
      <c r="E87" s="12">
        <v>1</v>
      </c>
      <c r="F87" s="10">
        <f>THAM_SO!$B$5</f>
        <v>18</v>
      </c>
      <c r="G87" s="14">
        <v>0</v>
      </c>
      <c r="H87" s="15">
        <f t="shared" si="2"/>
        <v>5.5555555555555552E-2</v>
      </c>
      <c r="I87" s="1" t="s">
        <v>287</v>
      </c>
    </row>
    <row r="88" spans="1:9" ht="33" customHeight="1" x14ac:dyDescent="0.35">
      <c r="A88" s="8">
        <v>43</v>
      </c>
      <c r="B88" s="1" t="s">
        <v>144</v>
      </c>
      <c r="C88" s="1" t="s">
        <v>40</v>
      </c>
      <c r="D88" s="8" t="s">
        <v>89</v>
      </c>
      <c r="E88" s="12">
        <f>1*THAM_SO!$B$20</f>
        <v>2</v>
      </c>
      <c r="F88" s="10">
        <f>THAM_SO!$B$5</f>
        <v>18</v>
      </c>
      <c r="G88" s="14">
        <v>0</v>
      </c>
      <c r="H88" s="15">
        <f t="shared" si="2"/>
        <v>0.1111111111111111</v>
      </c>
      <c r="I88" s="1" t="s">
        <v>292</v>
      </c>
    </row>
    <row r="89" spans="1:9" ht="33" customHeight="1" x14ac:dyDescent="0.35">
      <c r="A89" s="8">
        <v>44</v>
      </c>
      <c r="B89" s="1" t="s">
        <v>145</v>
      </c>
      <c r="C89" s="1" t="s">
        <v>40</v>
      </c>
      <c r="D89" s="8" t="s">
        <v>89</v>
      </c>
      <c r="E89" s="12">
        <f>1*THAM_SO!$B$20</f>
        <v>2</v>
      </c>
      <c r="F89" s="10">
        <f>THAM_SO!$B$5</f>
        <v>18</v>
      </c>
      <c r="G89" s="14">
        <v>0</v>
      </c>
      <c r="H89" s="15">
        <f t="shared" si="2"/>
        <v>0.1111111111111111</v>
      </c>
      <c r="I89" s="1" t="s">
        <v>292</v>
      </c>
    </row>
    <row r="90" spans="1:9" ht="33" customHeight="1" x14ac:dyDescent="0.35">
      <c r="A90" s="8">
        <v>45</v>
      </c>
      <c r="B90" s="1" t="s">
        <v>146</v>
      </c>
      <c r="C90" s="1" t="s">
        <v>40</v>
      </c>
      <c r="D90" s="8" t="s">
        <v>89</v>
      </c>
      <c r="E90" s="12">
        <f>1*THAM_SO!$B$20</f>
        <v>2</v>
      </c>
      <c r="F90" s="10">
        <f>THAM_SO!$B$5</f>
        <v>18</v>
      </c>
      <c r="G90" s="14">
        <v>0</v>
      </c>
      <c r="H90" s="15">
        <f t="shared" si="2"/>
        <v>0.1111111111111111</v>
      </c>
      <c r="I90" s="1" t="s">
        <v>292</v>
      </c>
    </row>
    <row r="91" spans="1:9" ht="48" customHeight="1" x14ac:dyDescent="0.35">
      <c r="A91" s="8">
        <v>46</v>
      </c>
      <c r="B91" s="1" t="s">
        <v>303</v>
      </c>
      <c r="C91" s="1" t="s">
        <v>40</v>
      </c>
      <c r="D91" s="8" t="s">
        <v>123</v>
      </c>
      <c r="E91" s="12">
        <v>1</v>
      </c>
      <c r="F91" s="10">
        <f>THAM_SO!$B$5</f>
        <v>18</v>
      </c>
      <c r="G91" s="14">
        <v>0</v>
      </c>
      <c r="H91" s="15">
        <f t="shared" si="2"/>
        <v>5.5555555555555552E-2</v>
      </c>
      <c r="I91" s="1" t="s">
        <v>304</v>
      </c>
    </row>
    <row r="92" spans="1:9" ht="33" customHeight="1" x14ac:dyDescent="0.35">
      <c r="A92" s="8">
        <v>47</v>
      </c>
      <c r="B92" s="1" t="s">
        <v>147</v>
      </c>
      <c r="C92" s="1" t="s">
        <v>40</v>
      </c>
      <c r="D92" s="8" t="s">
        <v>131</v>
      </c>
      <c r="E92" s="12">
        <f>1*THAM_SO!$B$20</f>
        <v>2</v>
      </c>
      <c r="F92" s="10">
        <f>THAM_SO!$B$5</f>
        <v>18</v>
      </c>
      <c r="G92" s="14">
        <v>0</v>
      </c>
      <c r="H92" s="15">
        <f t="shared" si="2"/>
        <v>0.1111111111111111</v>
      </c>
      <c r="I92" s="1" t="s">
        <v>290</v>
      </c>
    </row>
    <row r="93" spans="1:9" ht="33" customHeight="1" x14ac:dyDescent="0.35">
      <c r="A93" s="8">
        <v>48</v>
      </c>
      <c r="B93" s="1" t="s">
        <v>148</v>
      </c>
      <c r="C93" s="1" t="s">
        <v>40</v>
      </c>
      <c r="D93" s="8" t="s">
        <v>123</v>
      </c>
      <c r="E93" s="12">
        <f>2*THAM_SO!$B$20</f>
        <v>4</v>
      </c>
      <c r="F93" s="10">
        <f>THAM_SO!$B$5</f>
        <v>18</v>
      </c>
      <c r="G93" s="14">
        <v>0</v>
      </c>
      <c r="H93" s="15">
        <f t="shared" ref="H93:H108" si="3">IF(E93="","",E93/F93*(1-G93/100))</f>
        <v>0.22222222222222221</v>
      </c>
      <c r="I93" s="1" t="s">
        <v>293</v>
      </c>
    </row>
    <row r="94" spans="1:9" ht="33" customHeight="1" x14ac:dyDescent="0.35">
      <c r="A94" s="8">
        <v>49</v>
      </c>
      <c r="B94" s="1" t="s">
        <v>149</v>
      </c>
      <c r="C94" s="1" t="s">
        <v>40</v>
      </c>
      <c r="D94" s="8" t="s">
        <v>123</v>
      </c>
      <c r="E94" s="12">
        <f>2*THAM_SO!$B$20</f>
        <v>4</v>
      </c>
      <c r="F94" s="10">
        <f>THAM_SO!$B$5</f>
        <v>18</v>
      </c>
      <c r="G94" s="14">
        <v>0</v>
      </c>
      <c r="H94" s="15">
        <f t="shared" si="3"/>
        <v>0.22222222222222221</v>
      </c>
      <c r="I94" s="1" t="s">
        <v>293</v>
      </c>
    </row>
    <row r="95" spans="1:9" ht="48" customHeight="1" x14ac:dyDescent="0.35">
      <c r="A95" s="8">
        <v>50</v>
      </c>
      <c r="B95" s="1" t="s">
        <v>150</v>
      </c>
      <c r="C95" s="1" t="s">
        <v>40</v>
      </c>
      <c r="D95" s="8" t="s">
        <v>101</v>
      </c>
      <c r="E95" s="12">
        <v>1</v>
      </c>
      <c r="F95" s="10">
        <f>THAM_SO!$B$5</f>
        <v>18</v>
      </c>
      <c r="G95" s="14">
        <v>0</v>
      </c>
      <c r="H95" s="15">
        <f t="shared" si="3"/>
        <v>5.5555555555555552E-2</v>
      </c>
      <c r="I95" s="1" t="s">
        <v>284</v>
      </c>
    </row>
    <row r="96" spans="1:9" ht="48" customHeight="1" x14ac:dyDescent="0.35">
      <c r="A96" s="8">
        <v>51</v>
      </c>
      <c r="B96" s="1" t="s">
        <v>151</v>
      </c>
      <c r="C96" s="1" t="s">
        <v>40</v>
      </c>
      <c r="D96" s="8" t="s">
        <v>101</v>
      </c>
      <c r="E96" s="12">
        <v>1</v>
      </c>
      <c r="F96" s="10">
        <f>THAM_SO!$B$5</f>
        <v>18</v>
      </c>
      <c r="G96" s="14">
        <v>0</v>
      </c>
      <c r="H96" s="15">
        <f t="shared" si="3"/>
        <v>5.5555555555555552E-2</v>
      </c>
      <c r="I96" s="1" t="s">
        <v>284</v>
      </c>
    </row>
    <row r="97" spans="1:9" ht="43.5" customHeight="1" x14ac:dyDescent="0.35">
      <c r="A97" s="8">
        <v>52</v>
      </c>
      <c r="B97" s="1" t="s">
        <v>152</v>
      </c>
      <c r="C97" s="1" t="s">
        <v>40</v>
      </c>
      <c r="D97" s="8" t="s">
        <v>153</v>
      </c>
      <c r="E97" s="12">
        <f>1*THAM_SO!$B$20</f>
        <v>2</v>
      </c>
      <c r="F97" s="10">
        <f>THAM_SO!$B$5</f>
        <v>18</v>
      </c>
      <c r="G97" s="14">
        <v>0</v>
      </c>
      <c r="H97" s="15">
        <f t="shared" si="3"/>
        <v>0.1111111111111111</v>
      </c>
      <c r="I97" s="1" t="s">
        <v>294</v>
      </c>
    </row>
    <row r="98" spans="1:9" ht="40.5" customHeight="1" x14ac:dyDescent="0.35">
      <c r="A98" s="8">
        <v>53</v>
      </c>
      <c r="B98" s="1" t="s">
        <v>154</v>
      </c>
      <c r="C98" s="1" t="s">
        <v>40</v>
      </c>
      <c r="D98" s="8" t="s">
        <v>153</v>
      </c>
      <c r="E98" s="12">
        <f>1*THAM_SO!$B$20</f>
        <v>2</v>
      </c>
      <c r="F98" s="10">
        <f>THAM_SO!$B$5</f>
        <v>18</v>
      </c>
      <c r="G98" s="14">
        <v>0</v>
      </c>
      <c r="H98" s="15">
        <f t="shared" si="3"/>
        <v>0.1111111111111111</v>
      </c>
      <c r="I98" s="1" t="s">
        <v>294</v>
      </c>
    </row>
    <row r="99" spans="1:9" ht="33" customHeight="1" x14ac:dyDescent="0.35">
      <c r="A99" s="8">
        <v>54</v>
      </c>
      <c r="B99" s="1" t="s">
        <v>155</v>
      </c>
      <c r="C99" s="1" t="s">
        <v>40</v>
      </c>
      <c r="D99" s="8" t="s">
        <v>123</v>
      </c>
      <c r="E99" s="12">
        <f>2*THAM_SO!$B$20</f>
        <v>4</v>
      </c>
      <c r="F99" s="10">
        <f>THAM_SO!$B$5</f>
        <v>18</v>
      </c>
      <c r="G99" s="14">
        <v>0</v>
      </c>
      <c r="H99" s="15">
        <f t="shared" si="3"/>
        <v>0.22222222222222221</v>
      </c>
      <c r="I99" s="1" t="s">
        <v>293</v>
      </c>
    </row>
    <row r="100" spans="1:9" ht="33" customHeight="1" x14ac:dyDescent="0.35">
      <c r="A100" s="8">
        <v>55</v>
      </c>
      <c r="B100" s="1" t="s">
        <v>156</v>
      </c>
      <c r="C100" s="1" t="s">
        <v>40</v>
      </c>
      <c r="D100" s="8" t="s">
        <v>37</v>
      </c>
      <c r="E100" s="12">
        <f>2*THAM_SO!$B$20</f>
        <v>4</v>
      </c>
      <c r="F100" s="10">
        <f>THAM_SO!$B$5</f>
        <v>18</v>
      </c>
      <c r="G100" s="14">
        <v>0</v>
      </c>
      <c r="H100" s="15">
        <f t="shared" si="3"/>
        <v>0.22222222222222221</v>
      </c>
      <c r="I100" s="1" t="s">
        <v>295</v>
      </c>
    </row>
    <row r="101" spans="1:9" ht="33" customHeight="1" x14ac:dyDescent="0.35">
      <c r="A101" s="8">
        <v>56</v>
      </c>
      <c r="B101" s="1" t="s">
        <v>157</v>
      </c>
      <c r="C101" s="1" t="s">
        <v>40</v>
      </c>
      <c r="D101" s="8" t="s">
        <v>31</v>
      </c>
      <c r="E101" s="12">
        <f>1*THAM_SO!$B$20</f>
        <v>2</v>
      </c>
      <c r="F101" s="10">
        <f>THAM_SO!$B$5</f>
        <v>18</v>
      </c>
      <c r="G101" s="14">
        <v>0</v>
      </c>
      <c r="H101" s="15">
        <f t="shared" si="3"/>
        <v>0.1111111111111111</v>
      </c>
      <c r="I101" s="1" t="s">
        <v>296</v>
      </c>
    </row>
    <row r="102" spans="1:9" ht="36.75" customHeight="1" x14ac:dyDescent="0.35">
      <c r="A102" s="8">
        <v>57</v>
      </c>
      <c r="B102" s="1" t="s">
        <v>158</v>
      </c>
      <c r="C102" s="1" t="s">
        <v>40</v>
      </c>
      <c r="D102" s="8" t="s">
        <v>123</v>
      </c>
      <c r="E102" s="12">
        <f>2*THAM_SO!$B$20</f>
        <v>4</v>
      </c>
      <c r="F102" s="10">
        <f>THAM_SO!$B$5</f>
        <v>18</v>
      </c>
      <c r="G102" s="14">
        <v>0</v>
      </c>
      <c r="H102" s="15">
        <f t="shared" si="3"/>
        <v>0.22222222222222221</v>
      </c>
      <c r="I102" s="1" t="s">
        <v>297</v>
      </c>
    </row>
    <row r="103" spans="1:9" ht="33" customHeight="1" x14ac:dyDescent="0.35">
      <c r="A103" s="8">
        <v>58</v>
      </c>
      <c r="B103" s="1" t="s">
        <v>159</v>
      </c>
      <c r="C103" s="1" t="s">
        <v>40</v>
      </c>
      <c r="D103" s="8" t="s">
        <v>123</v>
      </c>
      <c r="E103" s="12">
        <f>2*THAM_SO!$B$20</f>
        <v>4</v>
      </c>
      <c r="F103" s="10">
        <f>THAM_SO!$B$5</f>
        <v>18</v>
      </c>
      <c r="G103" s="14">
        <v>0</v>
      </c>
      <c r="H103" s="15">
        <f t="shared" si="3"/>
        <v>0.22222222222222221</v>
      </c>
      <c r="I103" s="1" t="s">
        <v>293</v>
      </c>
    </row>
    <row r="104" spans="1:9" ht="33" customHeight="1" x14ac:dyDescent="0.35">
      <c r="A104" s="8">
        <v>59</v>
      </c>
      <c r="B104" s="1" t="s">
        <v>160</v>
      </c>
      <c r="C104" s="1" t="s">
        <v>40</v>
      </c>
      <c r="D104" s="8" t="s">
        <v>37</v>
      </c>
      <c r="E104" s="12">
        <f>1*THAM_SO!$B$20</f>
        <v>2</v>
      </c>
      <c r="F104" s="10">
        <f>THAM_SO!$B$5</f>
        <v>18</v>
      </c>
      <c r="G104" s="14">
        <v>0</v>
      </c>
      <c r="H104" s="15">
        <f t="shared" si="3"/>
        <v>0.1111111111111111</v>
      </c>
      <c r="I104" s="1" t="s">
        <v>298</v>
      </c>
    </row>
    <row r="105" spans="1:9" ht="48" customHeight="1" x14ac:dyDescent="0.35">
      <c r="A105" s="8">
        <v>60</v>
      </c>
      <c r="B105" s="1" t="s">
        <v>161</v>
      </c>
      <c r="C105" s="1" t="s">
        <v>40</v>
      </c>
      <c r="D105" s="8" t="s">
        <v>37</v>
      </c>
      <c r="E105" s="12">
        <f>0.25*18</f>
        <v>4.5</v>
      </c>
      <c r="F105" s="10">
        <f>THAM_SO!$B$5</f>
        <v>18</v>
      </c>
      <c r="G105" s="14">
        <v>0</v>
      </c>
      <c r="H105" s="15">
        <f t="shared" si="3"/>
        <v>0.25</v>
      </c>
      <c r="I105" s="1" t="s">
        <v>302</v>
      </c>
    </row>
    <row r="106" spans="1:9" ht="33" customHeight="1" x14ac:dyDescent="0.35">
      <c r="A106" s="8">
        <v>61</v>
      </c>
      <c r="B106" s="1" t="s">
        <v>162</v>
      </c>
      <c r="C106" s="1" t="s">
        <v>40</v>
      </c>
      <c r="D106" s="8" t="s">
        <v>37</v>
      </c>
      <c r="E106" s="12">
        <v>2</v>
      </c>
      <c r="F106" s="10">
        <f>THAM_SO!$B$5</f>
        <v>18</v>
      </c>
      <c r="G106" s="14">
        <v>0</v>
      </c>
      <c r="H106" s="15">
        <f t="shared" si="3"/>
        <v>0.1111111111111111</v>
      </c>
      <c r="I106" s="1" t="s">
        <v>299</v>
      </c>
    </row>
    <row r="107" spans="1:9" ht="33" customHeight="1" x14ac:dyDescent="0.35">
      <c r="A107" s="8">
        <v>62</v>
      </c>
      <c r="B107" s="1" t="s">
        <v>163</v>
      </c>
      <c r="C107" s="1" t="s">
        <v>40</v>
      </c>
      <c r="D107" s="8" t="s">
        <v>123</v>
      </c>
      <c r="E107" s="12">
        <f>0.25*THAM_SO!$B$5</f>
        <v>4.5</v>
      </c>
      <c r="F107" s="10">
        <f>THAM_SO!$B$5</f>
        <v>18</v>
      </c>
      <c r="G107" s="14">
        <v>0</v>
      </c>
      <c r="H107" s="15">
        <f t="shared" si="3"/>
        <v>0.25</v>
      </c>
      <c r="I107" s="1" t="s">
        <v>301</v>
      </c>
    </row>
    <row r="108" spans="1:9" ht="48" customHeight="1" x14ac:dyDescent="0.35">
      <c r="A108" s="8">
        <v>63</v>
      </c>
      <c r="B108" s="1" t="s">
        <v>164</v>
      </c>
      <c r="C108" s="1" t="s">
        <v>165</v>
      </c>
      <c r="D108" s="8" t="s">
        <v>166</v>
      </c>
      <c r="E108" s="12">
        <f>0.1*THAM_SO!$B$5</f>
        <v>1.8</v>
      </c>
      <c r="F108" s="10">
        <f>THAM_SO!$B$5</f>
        <v>18</v>
      </c>
      <c r="G108" s="14">
        <v>0</v>
      </c>
      <c r="H108" s="15">
        <f t="shared" si="3"/>
        <v>0.1</v>
      </c>
      <c r="I108" s="1" t="s">
        <v>300</v>
      </c>
    </row>
    <row r="110" spans="1:9" ht="15" x14ac:dyDescent="0.35">
      <c r="A110" s="6" t="s">
        <v>167</v>
      </c>
    </row>
    <row r="111" spans="1:9" ht="60" customHeight="1" x14ac:dyDescent="0.35">
      <c r="A111" s="29" t="s">
        <v>3</v>
      </c>
      <c r="B111" s="29" t="s">
        <v>168</v>
      </c>
      <c r="C111" s="29" t="s">
        <v>169</v>
      </c>
      <c r="D111" s="29" t="s">
        <v>170</v>
      </c>
      <c r="E111" s="29" t="s">
        <v>171</v>
      </c>
      <c r="F111" s="34" t="s">
        <v>9</v>
      </c>
      <c r="G111" s="34"/>
      <c r="H111" s="34"/>
      <c r="I111" s="34"/>
    </row>
    <row r="112" spans="1:9" ht="33" customHeight="1" x14ac:dyDescent="0.35">
      <c r="A112" s="8">
        <v>1</v>
      </c>
      <c r="B112" s="1" t="s">
        <v>172</v>
      </c>
      <c r="C112" s="16">
        <f>THAM_SO!$B$14</f>
        <v>1.7</v>
      </c>
      <c r="D112" s="10">
        <f>THAM_SO!$B$6</f>
        <v>40</v>
      </c>
      <c r="E112" s="17">
        <f>C112*D112</f>
        <v>68</v>
      </c>
      <c r="F112" s="36" t="s">
        <v>173</v>
      </c>
      <c r="G112" s="36"/>
      <c r="H112" s="36"/>
      <c r="I112" s="36"/>
    </row>
    <row r="113" spans="1:9" ht="33" customHeight="1" x14ac:dyDescent="0.35">
      <c r="A113" s="8">
        <v>2</v>
      </c>
      <c r="B113" s="1" t="s">
        <v>174</v>
      </c>
      <c r="C113" s="16">
        <f>THAM_SO!$B$15</f>
        <v>4</v>
      </c>
      <c r="D113" s="10">
        <f>THAM_SO!$B$9</f>
        <v>204</v>
      </c>
      <c r="E113" s="17">
        <f>C113*D113</f>
        <v>816</v>
      </c>
      <c r="F113" s="36" t="s">
        <v>175</v>
      </c>
      <c r="G113" s="36"/>
      <c r="H113" s="36"/>
      <c r="I113" s="36"/>
    </row>
  </sheetData>
  <mergeCells count="15">
    <mergeCell ref="G13:I13"/>
    <mergeCell ref="G14:I14"/>
    <mergeCell ref="F111:I111"/>
    <mergeCell ref="F112:I112"/>
    <mergeCell ref="F113:I113"/>
    <mergeCell ref="A6:I6"/>
    <mergeCell ref="G9:I9"/>
    <mergeCell ref="G10:I10"/>
    <mergeCell ref="G11:I11"/>
    <mergeCell ref="G12:I12"/>
    <mergeCell ref="A1:I1"/>
    <mergeCell ref="A2:I2"/>
    <mergeCell ref="A3:I3"/>
    <mergeCell ref="A4:I4"/>
    <mergeCell ref="A5:I5"/>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19"/>
  <sheetViews>
    <sheetView zoomScaleNormal="100" workbookViewId="0">
      <selection activeCell="B8" sqref="B8"/>
    </sheetView>
  </sheetViews>
  <sheetFormatPr defaultColWidth="8.7265625" defaultRowHeight="14.5" x14ac:dyDescent="0.35"/>
  <cols>
    <col min="1" max="1" width="6" customWidth="1"/>
    <col min="2" max="2" width="44" customWidth="1"/>
    <col min="3" max="3" width="14" customWidth="1"/>
    <col min="4" max="4" width="16" customWidth="1"/>
    <col min="5" max="5" width="14" customWidth="1"/>
    <col min="6" max="6" width="13" customWidth="1"/>
    <col min="7" max="8" width="14" customWidth="1"/>
    <col min="9" max="9" width="26" customWidth="1"/>
  </cols>
  <sheetData>
    <row r="1" spans="1:9" ht="19.5" customHeight="1" x14ac:dyDescent="0.35">
      <c r="A1" s="31" t="s">
        <v>0</v>
      </c>
      <c r="B1" s="31"/>
      <c r="C1" s="31"/>
      <c r="D1" s="31"/>
      <c r="E1" s="31"/>
      <c r="F1" s="31"/>
      <c r="G1" s="31"/>
      <c r="H1" s="31"/>
      <c r="I1" s="31"/>
    </row>
    <row r="2" spans="1:9" ht="19.5" customHeight="1" x14ac:dyDescent="0.35">
      <c r="A2" s="31" t="s">
        <v>176</v>
      </c>
      <c r="B2" s="31"/>
      <c r="C2" s="31"/>
      <c r="D2" s="31"/>
      <c r="E2" s="31"/>
      <c r="F2" s="31"/>
      <c r="G2" s="31"/>
      <c r="H2" s="31"/>
      <c r="I2" s="31"/>
    </row>
    <row r="3" spans="1:9" ht="30" customHeight="1" x14ac:dyDescent="0.35">
      <c r="A3" s="32" t="s">
        <v>310</v>
      </c>
      <c r="B3" s="32"/>
      <c r="C3" s="32"/>
      <c r="D3" s="32"/>
      <c r="E3" s="32"/>
      <c r="F3" s="32"/>
      <c r="G3" s="32"/>
      <c r="H3" s="32"/>
      <c r="I3" s="32"/>
    </row>
    <row r="4" spans="1:9" ht="15" x14ac:dyDescent="0.35">
      <c r="A4" s="6" t="s">
        <v>177</v>
      </c>
    </row>
    <row r="5" spans="1:9" ht="45" customHeight="1" x14ac:dyDescent="0.35">
      <c r="A5" s="29" t="s">
        <v>3</v>
      </c>
      <c r="B5" s="29" t="s">
        <v>178</v>
      </c>
      <c r="C5" s="29" t="s">
        <v>5</v>
      </c>
      <c r="D5" s="29" t="s">
        <v>8</v>
      </c>
      <c r="E5" s="29" t="s">
        <v>179</v>
      </c>
      <c r="F5" s="29" t="s">
        <v>180</v>
      </c>
      <c r="G5" s="34" t="s">
        <v>9</v>
      </c>
      <c r="H5" s="34"/>
      <c r="I5" s="34"/>
    </row>
    <row r="6" spans="1:9" ht="27.75" customHeight="1" x14ac:dyDescent="0.35">
      <c r="A6" s="8" t="s">
        <v>14</v>
      </c>
      <c r="B6" s="1" t="s">
        <v>181</v>
      </c>
      <c r="C6" s="8" t="s">
        <v>11</v>
      </c>
      <c r="D6" s="11">
        <f>DMKTKT!F12</f>
        <v>1.1399999999999999</v>
      </c>
      <c r="E6" s="18">
        <f>THAM_SO!$B$12</f>
        <v>200000</v>
      </c>
      <c r="F6" s="18">
        <f>D6*E6</f>
        <v>227999.99999999997</v>
      </c>
      <c r="G6" s="36"/>
      <c r="H6" s="36"/>
      <c r="I6" s="36"/>
    </row>
    <row r="7" spans="1:9" ht="27.75" customHeight="1" x14ac:dyDescent="0.35">
      <c r="A7" s="8" t="s">
        <v>17</v>
      </c>
      <c r="B7" s="1" t="s">
        <v>182</v>
      </c>
      <c r="C7" s="8" t="s">
        <v>11</v>
      </c>
      <c r="D7" s="11">
        <f>DMKTKT!F13</f>
        <v>11.33</v>
      </c>
      <c r="E7" s="18">
        <f>THAM_SO!$B$12</f>
        <v>200000</v>
      </c>
      <c r="F7" s="18">
        <f>D7*E7</f>
        <v>2266000</v>
      </c>
      <c r="G7" s="36"/>
      <c r="H7" s="36"/>
      <c r="I7" s="36"/>
    </row>
    <row r="8" spans="1:9" ht="27.75" customHeight="1" x14ac:dyDescent="0.35">
      <c r="A8" s="8" t="s">
        <v>19</v>
      </c>
      <c r="B8" s="1" t="s">
        <v>183</v>
      </c>
      <c r="C8" s="8" t="s">
        <v>11</v>
      </c>
      <c r="D8" s="11">
        <f>DMKTKT!F14</f>
        <v>1.87</v>
      </c>
      <c r="E8" s="18">
        <f>THAM_SO!$B$12</f>
        <v>200000</v>
      </c>
      <c r="F8" s="18">
        <f>D8*E8</f>
        <v>374000</v>
      </c>
      <c r="G8" s="36" t="s">
        <v>184</v>
      </c>
      <c r="H8" s="36"/>
      <c r="I8" s="36"/>
    </row>
    <row r="9" spans="1:9" ht="15" x14ac:dyDescent="0.35">
      <c r="A9" s="2"/>
      <c r="B9" s="7" t="s">
        <v>185</v>
      </c>
      <c r="C9" s="2"/>
      <c r="D9" s="2"/>
      <c r="E9" s="2"/>
      <c r="F9" s="19">
        <f>SUM(F6:F8)</f>
        <v>2868000</v>
      </c>
      <c r="G9" s="2"/>
      <c r="H9" s="2"/>
      <c r="I9" s="2"/>
    </row>
    <row r="11" spans="1:9" ht="15" x14ac:dyDescent="0.35">
      <c r="A11" s="6" t="s">
        <v>186</v>
      </c>
    </row>
    <row r="12" spans="1:9" ht="45" customHeight="1" x14ac:dyDescent="0.35">
      <c r="A12" s="29" t="s">
        <v>3</v>
      </c>
      <c r="B12" s="29" t="s">
        <v>23</v>
      </c>
      <c r="C12" s="29" t="s">
        <v>8</v>
      </c>
      <c r="D12" s="29" t="s">
        <v>187</v>
      </c>
      <c r="E12" s="29" t="s">
        <v>188</v>
      </c>
      <c r="F12" s="29" t="s">
        <v>189</v>
      </c>
      <c r="G12" s="29" t="s">
        <v>190</v>
      </c>
      <c r="H12" s="29" t="s">
        <v>179</v>
      </c>
      <c r="I12" s="29" t="s">
        <v>180</v>
      </c>
    </row>
    <row r="13" spans="1:9" ht="31.5" customHeight="1" x14ac:dyDescent="0.35">
      <c r="A13" s="8">
        <v>1</v>
      </c>
      <c r="B13" s="1" t="str">
        <f>DMKTKT!B18</f>
        <v>Ti vi (máy chiếu) 65 inch trở lên</v>
      </c>
      <c r="C13" s="11">
        <f>IF(DMKTKT!H18="","",DMKTKT!H18)</f>
        <v>1.1399999999999999</v>
      </c>
      <c r="D13" s="18">
        <v>25980000</v>
      </c>
      <c r="E13" s="8" t="s">
        <v>191</v>
      </c>
      <c r="F13" s="20">
        <v>0.2</v>
      </c>
      <c r="G13" s="14" t="s">
        <v>192</v>
      </c>
      <c r="H13" s="21">
        <f>D13*F13/THAM_SO!$B$13</f>
        <v>2952.2727272727275</v>
      </c>
      <c r="I13" s="18">
        <f t="shared" ref="I13:I36" si="0">IF(C13="","",C13*H13)</f>
        <v>3365.590909090909</v>
      </c>
    </row>
    <row r="14" spans="1:9" ht="31.5" customHeight="1" x14ac:dyDescent="0.35">
      <c r="A14" s="8">
        <v>2</v>
      </c>
      <c r="B14" s="1" t="str">
        <f>DMKTKT!B19</f>
        <v>Máy vi tính (laptop)</v>
      </c>
      <c r="C14" s="11">
        <f>IF(DMKTKT!H19="","",DMKTKT!H19)</f>
        <v>1.1399999999999999</v>
      </c>
      <c r="D14" s="18">
        <v>16690000</v>
      </c>
      <c r="E14" s="8" t="s">
        <v>191</v>
      </c>
      <c r="F14" s="20">
        <v>0.1429</v>
      </c>
      <c r="G14" s="14" t="s">
        <v>192</v>
      </c>
      <c r="H14" s="21">
        <f>D14*F14/THAM_SO!$B$13</f>
        <v>1355.1142045454546</v>
      </c>
      <c r="I14" s="18">
        <f t="shared" si="0"/>
        <v>1544.8301931818182</v>
      </c>
    </row>
    <row r="15" spans="1:9" ht="31.5" customHeight="1" x14ac:dyDescent="0.35">
      <c r="A15" s="8">
        <v>3</v>
      </c>
      <c r="B15" s="1" t="str">
        <f>DMKTKT!B20</f>
        <v>Bút trình chiếu</v>
      </c>
      <c r="C15" s="11">
        <f>IF(DMKTKT!H20="","",DMKTKT!H20)</f>
        <v>1.1399999999999999</v>
      </c>
      <c r="D15" s="18">
        <v>250000</v>
      </c>
      <c r="E15" s="8" t="s">
        <v>193</v>
      </c>
      <c r="F15" s="20" t="s">
        <v>192</v>
      </c>
      <c r="G15" s="14">
        <v>1</v>
      </c>
      <c r="H15" s="21">
        <f>D15/(G15*THAM_SO!$B$13)</f>
        <v>142.04545454545453</v>
      </c>
      <c r="I15" s="18">
        <f t="shared" si="0"/>
        <v>161.93181818181816</v>
      </c>
    </row>
    <row r="16" spans="1:9" ht="31.5" customHeight="1" x14ac:dyDescent="0.35">
      <c r="A16" s="8">
        <v>4</v>
      </c>
      <c r="B16" s="1" t="str">
        <f>DMKTKT!B21</f>
        <v>Bảng từ chống lóa (phòng học lý thuyết)</v>
      </c>
      <c r="C16" s="11">
        <f>IF(DMKTKT!H21="","",DMKTKT!H21)</f>
        <v>1.1399999999999999</v>
      </c>
      <c r="D16" s="18">
        <v>5000000</v>
      </c>
      <c r="E16" s="8" t="s">
        <v>193</v>
      </c>
      <c r="F16" s="20" t="s">
        <v>192</v>
      </c>
      <c r="G16" s="14">
        <v>2</v>
      </c>
      <c r="H16" s="21">
        <f>D16/(G16*THAM_SO!$B$13)</f>
        <v>1420.4545454545455</v>
      </c>
      <c r="I16" s="18">
        <f t="shared" si="0"/>
        <v>1619.3181818181818</v>
      </c>
    </row>
    <row r="17" spans="1:9" ht="31.5" customHeight="1" x14ac:dyDescent="0.35">
      <c r="A17" s="8">
        <v>5</v>
      </c>
      <c r="B17" s="1" t="str">
        <f>DMKTKT!B22</f>
        <v>Giường spa</v>
      </c>
      <c r="C17" s="11">
        <f>IF(DMKTKT!H22="","",DMKTKT!H22)</f>
        <v>47.5</v>
      </c>
      <c r="D17" s="18">
        <v>975000</v>
      </c>
      <c r="E17" s="8" t="s">
        <v>193</v>
      </c>
      <c r="F17" s="20" t="s">
        <v>192</v>
      </c>
      <c r="G17" s="14">
        <v>2</v>
      </c>
      <c r="H17" s="21">
        <f>D17/(G17*THAM_SO!$B$13)</f>
        <v>276.98863636363637</v>
      </c>
      <c r="I17" s="18">
        <f t="shared" si="0"/>
        <v>13156.960227272728</v>
      </c>
    </row>
    <row r="18" spans="1:9" ht="31.5" customHeight="1" x14ac:dyDescent="0.35">
      <c r="A18" s="8">
        <v>6</v>
      </c>
      <c r="B18" s="1" t="str">
        <f>DMKTKT!B23</f>
        <v>Ga trải giường spa</v>
      </c>
      <c r="C18" s="11">
        <f>IF(DMKTKT!H23="","",DMKTKT!H23)</f>
        <v>47.5</v>
      </c>
      <c r="D18" s="18">
        <v>380000</v>
      </c>
      <c r="E18" s="8" t="s">
        <v>193</v>
      </c>
      <c r="F18" s="20" t="s">
        <v>192</v>
      </c>
      <c r="G18" s="14">
        <v>2</v>
      </c>
      <c r="H18" s="21">
        <f>D18/(G18*THAM_SO!$B$13)</f>
        <v>107.95454545454545</v>
      </c>
      <c r="I18" s="18">
        <f t="shared" si="0"/>
        <v>5127.840909090909</v>
      </c>
    </row>
    <row r="19" spans="1:9" ht="31.5" customHeight="1" x14ac:dyDescent="0.35">
      <c r="A19" s="8">
        <v>7</v>
      </c>
      <c r="B19" s="1" t="str">
        <f>DMKTKT!B24</f>
        <v>Tủ hấp khăn</v>
      </c>
      <c r="C19" s="11">
        <f>IF(DMKTKT!H24="","",DMKTKT!H24)</f>
        <v>4.28</v>
      </c>
      <c r="D19" s="18">
        <v>537000</v>
      </c>
      <c r="E19" s="8" t="s">
        <v>193</v>
      </c>
      <c r="F19" s="20" t="s">
        <v>192</v>
      </c>
      <c r="G19" s="14">
        <v>2</v>
      </c>
      <c r="H19" s="21">
        <f>D19/(G19*THAM_SO!$B$13)</f>
        <v>152.55681818181819</v>
      </c>
      <c r="I19" s="18">
        <f t="shared" si="0"/>
        <v>652.94318181818187</v>
      </c>
    </row>
    <row r="20" spans="1:9" ht="31.5" customHeight="1" x14ac:dyDescent="0.35">
      <c r="A20" s="8">
        <v>8</v>
      </c>
      <c r="B20" s="1" t="str">
        <f>DMKTKT!B25</f>
        <v>Máy xông hơi (mặt)</v>
      </c>
      <c r="C20" s="11">
        <f>IF(DMKTKT!H25="","",DMKTKT!H25)</f>
        <v>4.67</v>
      </c>
      <c r="D20" s="18">
        <v>1520000</v>
      </c>
      <c r="E20" s="8" t="s">
        <v>193</v>
      </c>
      <c r="F20" s="20" t="s">
        <v>192</v>
      </c>
      <c r="G20" s="14">
        <v>2</v>
      </c>
      <c r="H20" s="21">
        <f>D20/(G20*THAM_SO!$B$13)</f>
        <v>431.81818181818181</v>
      </c>
      <c r="I20" s="18">
        <f t="shared" si="0"/>
        <v>2016.590909090909</v>
      </c>
    </row>
    <row r="21" spans="1:9" ht="31.5" customHeight="1" x14ac:dyDescent="0.35">
      <c r="A21" s="8">
        <v>9</v>
      </c>
      <c r="B21" s="1" t="str">
        <f>DMKTKT!B26</f>
        <v>Máy soi da</v>
      </c>
      <c r="C21" s="11">
        <f>IF(DMKTKT!H26="","",DMKTKT!H26)</f>
        <v>2.2200000000000002</v>
      </c>
      <c r="D21" s="18">
        <v>1500000</v>
      </c>
      <c r="E21" s="8" t="s">
        <v>193</v>
      </c>
      <c r="F21" s="20" t="s">
        <v>192</v>
      </c>
      <c r="G21" s="14">
        <v>2</v>
      </c>
      <c r="H21" s="21">
        <f>D21/(G21*THAM_SO!$B$13)</f>
        <v>426.13636363636363</v>
      </c>
      <c r="I21" s="18">
        <f t="shared" si="0"/>
        <v>946.02272727272737</v>
      </c>
    </row>
    <row r="22" spans="1:9" ht="31.5" customHeight="1" x14ac:dyDescent="0.35">
      <c r="A22" s="8">
        <v>10</v>
      </c>
      <c r="B22" s="1" t="str">
        <f>DMKTKT!B27</f>
        <v>Đèn soi da (đèn LED)</v>
      </c>
      <c r="C22" s="11">
        <f>IF(DMKTKT!H27="","",DMKTKT!H27)</f>
        <v>2.2200000000000002</v>
      </c>
      <c r="D22" s="18">
        <v>294500</v>
      </c>
      <c r="E22" s="8" t="s">
        <v>193</v>
      </c>
      <c r="F22" s="20" t="s">
        <v>192</v>
      </c>
      <c r="G22" s="14">
        <v>2</v>
      </c>
      <c r="H22" s="21">
        <f>D22/(G22*THAM_SO!$B$13)</f>
        <v>83.664772727272734</v>
      </c>
      <c r="I22" s="18">
        <f t="shared" si="0"/>
        <v>185.7357954545455</v>
      </c>
    </row>
    <row r="23" spans="1:9" ht="31.5" customHeight="1" x14ac:dyDescent="0.35">
      <c r="A23" s="8">
        <v>11</v>
      </c>
      <c r="B23" s="1" t="str">
        <f>DMKTKT!B28</f>
        <v>Bộ bàn trang điểm</v>
      </c>
      <c r="C23" s="11">
        <f>IF(DMKTKT!H28="","",DMKTKT!H28)</f>
        <v>51</v>
      </c>
      <c r="D23" s="18">
        <v>2400000</v>
      </c>
      <c r="E23" s="8" t="s">
        <v>193</v>
      </c>
      <c r="F23" s="20" t="s">
        <v>192</v>
      </c>
      <c r="G23" s="14">
        <v>2</v>
      </c>
      <c r="H23" s="21">
        <f>D23/(G23*THAM_SO!$B$13)</f>
        <v>681.81818181818187</v>
      </c>
      <c r="I23" s="18">
        <f t="shared" si="0"/>
        <v>34772.727272727272</v>
      </c>
    </row>
    <row r="24" spans="1:9" ht="31.5" customHeight="1" x14ac:dyDescent="0.35">
      <c r="A24" s="8">
        <v>12</v>
      </c>
      <c r="B24" s="1" t="str">
        <f>DMKTKT!B29</f>
        <v>Gương trang điểm có đèn</v>
      </c>
      <c r="C24" s="11">
        <f>IF(DMKTKT!H29="","",DMKTKT!H29)</f>
        <v>28.33</v>
      </c>
      <c r="D24" s="18">
        <v>275000</v>
      </c>
      <c r="E24" s="8" t="s">
        <v>193</v>
      </c>
      <c r="F24" s="20" t="s">
        <v>192</v>
      </c>
      <c r="G24" s="14">
        <v>2</v>
      </c>
      <c r="H24" s="21">
        <f>D24/(G24*THAM_SO!$B$13)</f>
        <v>78.125</v>
      </c>
      <c r="I24" s="18">
        <f t="shared" si="0"/>
        <v>2213.28125</v>
      </c>
    </row>
    <row r="25" spans="1:9" ht="31.5" customHeight="1" x14ac:dyDescent="0.35">
      <c r="A25" s="8">
        <v>13</v>
      </c>
      <c r="B25" s="1" t="str">
        <f>DMKTKT!B30</f>
        <v>Đèn LED trang điểm chuyên dụng</v>
      </c>
      <c r="C25" s="11">
        <f>IF(DMKTKT!H30="","",DMKTKT!H30)</f>
        <v>28.33</v>
      </c>
      <c r="D25" s="18">
        <v>207950</v>
      </c>
      <c r="E25" s="8" t="s">
        <v>193</v>
      </c>
      <c r="F25" s="20" t="s">
        <v>192</v>
      </c>
      <c r="G25" s="14">
        <v>2</v>
      </c>
      <c r="H25" s="21">
        <f>D25/(G25*THAM_SO!$B$13)</f>
        <v>59.076704545454547</v>
      </c>
      <c r="I25" s="18">
        <f t="shared" si="0"/>
        <v>1673.6430397727272</v>
      </c>
    </row>
    <row r="26" spans="1:9" ht="31.5" customHeight="1" x14ac:dyDescent="0.35">
      <c r="A26" s="8">
        <v>14</v>
      </c>
      <c r="B26" s="1" t="str">
        <f>DMKTKT!B31</f>
        <v>Bộ cọ trang điểm</v>
      </c>
      <c r="C26" s="11">
        <f>IF(DMKTKT!H31="","",DMKTKT!H31)</f>
        <v>102</v>
      </c>
      <c r="D26" s="18">
        <v>530000</v>
      </c>
      <c r="E26" s="8" t="s">
        <v>193</v>
      </c>
      <c r="F26" s="20" t="s">
        <v>192</v>
      </c>
      <c r="G26" s="14">
        <v>2</v>
      </c>
      <c r="H26" s="21">
        <f>D26/(G26*THAM_SO!$B$13)</f>
        <v>150.56818181818181</v>
      </c>
      <c r="I26" s="18">
        <f t="shared" si="0"/>
        <v>15357.954545454544</v>
      </c>
    </row>
    <row r="27" spans="1:9" ht="31.5" customHeight="1" x14ac:dyDescent="0.35">
      <c r="A27" s="8">
        <v>15</v>
      </c>
      <c r="B27" s="1" t="str">
        <f>DMKTKT!B32</f>
        <v>Cốp đựng đồ trang điểm</v>
      </c>
      <c r="C27" s="11">
        <f>IF(DMKTKT!H32="","",DMKTKT!H32)</f>
        <v>51</v>
      </c>
      <c r="D27" s="18">
        <v>449000</v>
      </c>
      <c r="E27" s="8" t="s">
        <v>193</v>
      </c>
      <c r="F27" s="20" t="s">
        <v>192</v>
      </c>
      <c r="G27" s="14">
        <v>2</v>
      </c>
      <c r="H27" s="21">
        <f>D27/(G27*THAM_SO!$B$13)</f>
        <v>127.55681818181819</v>
      </c>
      <c r="I27" s="18">
        <f t="shared" si="0"/>
        <v>6505.3977272727279</v>
      </c>
    </row>
    <row r="28" spans="1:9" ht="31.5" customHeight="1" x14ac:dyDescent="0.35">
      <c r="A28" s="8">
        <v>16</v>
      </c>
      <c r="B28" s="1" t="str">
        <f>DMKTKT!B33</f>
        <v>Nhíp gắp phụ kiện</v>
      </c>
      <c r="C28" s="11">
        <f>IF(DMKTKT!H33="","",DMKTKT!H33)</f>
        <v>7.5</v>
      </c>
      <c r="D28" s="18">
        <v>119000</v>
      </c>
      <c r="E28" s="8" t="s">
        <v>193</v>
      </c>
      <c r="F28" s="20" t="s">
        <v>192</v>
      </c>
      <c r="G28" s="14">
        <v>2</v>
      </c>
      <c r="H28" s="21">
        <f>D28/(G28*THAM_SO!$B$13)</f>
        <v>33.80681818181818</v>
      </c>
      <c r="I28" s="18">
        <f t="shared" si="0"/>
        <v>253.55113636363635</v>
      </c>
    </row>
    <row r="29" spans="1:9" ht="31.5" customHeight="1" x14ac:dyDescent="0.35">
      <c r="A29" s="8">
        <v>17</v>
      </c>
      <c r="B29" s="1" t="str">
        <f>DMKTKT!B34</f>
        <v>Gương cầm tay</v>
      </c>
      <c r="C29" s="11">
        <f>IF(DMKTKT!H34="","",DMKTKT!H34)</f>
        <v>204</v>
      </c>
      <c r="D29" s="18">
        <v>37332</v>
      </c>
      <c r="E29" s="8" t="s">
        <v>193</v>
      </c>
      <c r="F29" s="20" t="s">
        <v>192</v>
      </c>
      <c r="G29" s="14">
        <v>2</v>
      </c>
      <c r="H29" s="21">
        <f>D29/(G29*THAM_SO!$B$13)</f>
        <v>10.605681818181818</v>
      </c>
      <c r="I29" s="18">
        <f t="shared" si="0"/>
        <v>2163.5590909090911</v>
      </c>
    </row>
    <row r="30" spans="1:9" ht="31.5" customHeight="1" x14ac:dyDescent="0.35">
      <c r="A30" s="8">
        <v>18</v>
      </c>
      <c r="B30" s="1" t="str">
        <f>DMKTKT!B35</f>
        <v>Ổ cắm điện di động</v>
      </c>
      <c r="C30" s="11">
        <f>IF(DMKTKT!H35="","",DMKTKT!H35)</f>
        <v>22.67</v>
      </c>
      <c r="D30" s="18">
        <v>135000</v>
      </c>
      <c r="E30" s="8" t="s">
        <v>193</v>
      </c>
      <c r="F30" s="20" t="s">
        <v>192</v>
      </c>
      <c r="G30" s="14">
        <v>2</v>
      </c>
      <c r="H30" s="21">
        <f>D30/(G30*THAM_SO!$B$13)</f>
        <v>38.352272727272727</v>
      </c>
      <c r="I30" s="18">
        <f t="shared" si="0"/>
        <v>869.44602272727275</v>
      </c>
    </row>
    <row r="31" spans="1:9" ht="31.5" customHeight="1" x14ac:dyDescent="0.35">
      <c r="A31" s="8">
        <v>19</v>
      </c>
      <c r="B31" s="1" t="str">
        <f>DMKTKT!B36</f>
        <v>Tủ/kệ đựng mỹ phẩm</v>
      </c>
      <c r="C31" s="11">
        <f>IF(DMKTKT!H36="","",DMKTKT!H36)</f>
        <v>22.67</v>
      </c>
      <c r="D31" s="18">
        <v>609000</v>
      </c>
      <c r="E31" s="8" t="s">
        <v>193</v>
      </c>
      <c r="F31" s="20" t="s">
        <v>192</v>
      </c>
      <c r="G31" s="14">
        <v>2</v>
      </c>
      <c r="H31" s="21">
        <f>D31/(G31*THAM_SO!$B$13)</f>
        <v>173.01136363636363</v>
      </c>
      <c r="I31" s="18">
        <f t="shared" si="0"/>
        <v>3922.1676136363635</v>
      </c>
    </row>
    <row r="32" spans="1:9" ht="31.5" customHeight="1" x14ac:dyDescent="0.35">
      <c r="A32" s="8">
        <v>20</v>
      </c>
      <c r="B32" s="1" t="str">
        <f>DMKTKT!B37</f>
        <v>Camera ghi hình cận cảnh</v>
      </c>
      <c r="C32" s="11">
        <f>IF(DMKTKT!H37="","",DMKTKT!H37)</f>
        <v>3.33</v>
      </c>
      <c r="D32" s="18">
        <v>825000</v>
      </c>
      <c r="E32" s="8" t="s">
        <v>193</v>
      </c>
      <c r="F32" s="20" t="s">
        <v>192</v>
      </c>
      <c r="G32" s="14">
        <v>2</v>
      </c>
      <c r="H32" s="21">
        <f>D32/(G32*THAM_SO!$B$13)</f>
        <v>234.375</v>
      </c>
      <c r="I32" s="18">
        <f t="shared" si="0"/>
        <v>780.46875</v>
      </c>
    </row>
    <row r="33" spans="1:9" ht="31.5" customHeight="1" x14ac:dyDescent="0.35">
      <c r="A33" s="8">
        <v>21</v>
      </c>
      <c r="B33" s="1" t="str">
        <f>DMKTKT!B38</f>
        <v>Chân máy ảnh/chân máy quay</v>
      </c>
      <c r="C33" s="11">
        <f>IF(DMKTKT!H38="","",DMKTKT!H38)</f>
        <v>3.33</v>
      </c>
      <c r="D33" s="18">
        <v>833000</v>
      </c>
      <c r="E33" s="8" t="s">
        <v>193</v>
      </c>
      <c r="F33" s="20" t="s">
        <v>192</v>
      </c>
      <c r="G33" s="14">
        <v>2</v>
      </c>
      <c r="H33" s="21">
        <f>D33/(G33*THAM_SO!$B$13)</f>
        <v>236.64772727272728</v>
      </c>
      <c r="I33" s="18">
        <f t="shared" si="0"/>
        <v>788.03693181818187</v>
      </c>
    </row>
    <row r="34" spans="1:9" ht="31.5" customHeight="1" x14ac:dyDescent="0.35">
      <c r="A34" s="8">
        <v>22</v>
      </c>
      <c r="B34" s="1" t="str">
        <f>DMKTKT!B39</f>
        <v>Ti vi (phòng thực hành)</v>
      </c>
      <c r="C34" s="11">
        <f>IF(DMKTKT!H39="","",DMKTKT!H39)</f>
        <v>11.33</v>
      </c>
      <c r="D34" s="18">
        <v>25980000</v>
      </c>
      <c r="E34" s="8" t="s">
        <v>191</v>
      </c>
      <c r="F34" s="20">
        <v>0.2</v>
      </c>
      <c r="G34" s="14" t="s">
        <v>192</v>
      </c>
      <c r="H34" s="21">
        <f>D34*F34/THAM_SO!$B$13</f>
        <v>2952.2727272727275</v>
      </c>
      <c r="I34" s="18">
        <f t="shared" si="0"/>
        <v>33449.25</v>
      </c>
    </row>
    <row r="35" spans="1:9" ht="31.5" customHeight="1" x14ac:dyDescent="0.35">
      <c r="A35" s="8">
        <v>23</v>
      </c>
      <c r="B35" s="1" t="str">
        <f>DMKTKT!B40</f>
        <v>Máy vi tính (laptop) – phòng thực hành</v>
      </c>
      <c r="C35" s="11">
        <f>IF(DMKTKT!H40="","",DMKTKT!H40)</f>
        <v>11.33</v>
      </c>
      <c r="D35" s="18">
        <v>16690000</v>
      </c>
      <c r="E35" s="8" t="s">
        <v>191</v>
      </c>
      <c r="F35" s="20">
        <v>0.1429</v>
      </c>
      <c r="G35" s="14" t="s">
        <v>192</v>
      </c>
      <c r="H35" s="21">
        <f>D35*F35/THAM_SO!$B$13</f>
        <v>1355.1142045454546</v>
      </c>
      <c r="I35" s="18">
        <f t="shared" si="0"/>
        <v>15353.443937500002</v>
      </c>
    </row>
    <row r="36" spans="1:9" ht="31.5" customHeight="1" x14ac:dyDescent="0.35">
      <c r="A36" s="8">
        <v>24</v>
      </c>
      <c r="B36" s="1" t="str">
        <f>DMKTKT!B41</f>
        <v>Bảng từ chống lóa (phòng thực hành)</v>
      </c>
      <c r="C36" s="11">
        <f>IF(DMKTKT!H41="","",DMKTKT!H41)</f>
        <v>11.33</v>
      </c>
      <c r="D36" s="18">
        <v>5000000</v>
      </c>
      <c r="E36" s="8" t="s">
        <v>193</v>
      </c>
      <c r="F36" s="20" t="s">
        <v>192</v>
      </c>
      <c r="G36" s="14">
        <v>2</v>
      </c>
      <c r="H36" s="21">
        <f>D36/(G36*THAM_SO!$B$13)</f>
        <v>1420.4545454545455</v>
      </c>
      <c r="I36" s="18">
        <f t="shared" si="0"/>
        <v>16093.75</v>
      </c>
    </row>
    <row r="37" spans="1:9" ht="31.5" customHeight="1" x14ac:dyDescent="0.35">
      <c r="A37" s="8">
        <v>25</v>
      </c>
      <c r="B37" s="1" t="str">
        <f>DMKTKT!B42</f>
        <v>Máy điện di tinh chất</v>
      </c>
      <c r="C37" s="11">
        <f>IF(DMKTKT!H42="","",DMKTKT!H42)</f>
        <v>1.33</v>
      </c>
      <c r="D37" s="18">
        <v>450000</v>
      </c>
      <c r="E37" s="8" t="s">
        <v>193</v>
      </c>
      <c r="F37" s="20"/>
      <c r="G37" s="8">
        <v>2</v>
      </c>
      <c r="H37" s="21">
        <f>IF(OR(D37="",C37=""),"",IF(E37="TSCĐ",D37*F37/THAM_SO!$B$13,IF(E37="CCDC",D37/(G37*THAM_SO!$B$13),"")))</f>
        <v>127.84090909090909</v>
      </c>
      <c r="I37" s="18">
        <f>IF(OR(C37="",H37=""),"",C37*H37)</f>
        <v>170.02840909090909</v>
      </c>
    </row>
    <row r="38" spans="1:9" ht="30" x14ac:dyDescent="0.35">
      <c r="A38" s="2"/>
      <c r="B38" s="7" t="s">
        <v>194</v>
      </c>
      <c r="C38" s="2"/>
      <c r="D38" s="2"/>
      <c r="E38" s="2"/>
      <c r="F38" s="2"/>
      <c r="G38" s="2"/>
      <c r="H38" s="2"/>
      <c r="I38" s="19">
        <f>SUM(I13:I37)</f>
        <v>163144.47057954545</v>
      </c>
    </row>
    <row r="40" spans="1:9" ht="15" x14ac:dyDescent="0.35">
      <c r="A40" s="6" t="s">
        <v>195</v>
      </c>
    </row>
    <row r="41" spans="1:9" ht="45" customHeight="1" x14ac:dyDescent="0.35">
      <c r="A41" s="29" t="s">
        <v>3</v>
      </c>
      <c r="B41" s="29" t="s">
        <v>77</v>
      </c>
      <c r="C41" s="29" t="s">
        <v>5</v>
      </c>
      <c r="D41" s="29" t="s">
        <v>81</v>
      </c>
      <c r="E41" s="29" t="s">
        <v>196</v>
      </c>
      <c r="F41" s="29" t="s">
        <v>180</v>
      </c>
      <c r="G41" s="34" t="s">
        <v>9</v>
      </c>
      <c r="H41" s="34"/>
      <c r="I41" s="34"/>
    </row>
    <row r="42" spans="1:9" ht="24" customHeight="1" x14ac:dyDescent="0.35">
      <c r="A42" s="8">
        <v>1</v>
      </c>
      <c r="B42" s="1" t="str">
        <f>DMKTKT!B46</f>
        <v>Tài liệu học tập - Giáo trình mô đun Chăm sóc da</v>
      </c>
      <c r="C42" s="8" t="s">
        <v>84</v>
      </c>
      <c r="D42" s="15">
        <f>IF(DMKTKT!H46="","",DMKTKT!H46)</f>
        <v>1</v>
      </c>
      <c r="E42" s="18">
        <f>THAM_SO!$B$17*THAM_SO!$B$16</f>
        <v>52000</v>
      </c>
      <c r="F42" s="18">
        <f t="shared" ref="F42:F72" si="1">IF(OR(D42="",E42=""),"",D42*E42)</f>
        <v>52000</v>
      </c>
      <c r="G42" s="36" t="s">
        <v>307</v>
      </c>
      <c r="H42" s="36"/>
      <c r="I42" s="36"/>
    </row>
    <row r="43" spans="1:9" ht="32.25" customHeight="1" x14ac:dyDescent="0.35">
      <c r="A43" s="8">
        <v>2</v>
      </c>
      <c r="B43" s="1" t="str">
        <f>DMKTKT!B47</f>
        <v>Tài liệu học tập - Giáo trình mô đun Kỹ thuật trang điểm căn bản</v>
      </c>
      <c r="C43" s="8" t="s">
        <v>84</v>
      </c>
      <c r="D43" s="15">
        <f>IF(DMKTKT!H47="","",DMKTKT!H47)</f>
        <v>1</v>
      </c>
      <c r="E43" s="18">
        <f>THAM_SO!$B$18*THAM_SO!$B$16</f>
        <v>33500</v>
      </c>
      <c r="F43" s="18">
        <f t="shared" si="1"/>
        <v>33500</v>
      </c>
      <c r="G43" s="36" t="s">
        <v>307</v>
      </c>
      <c r="H43" s="36"/>
      <c r="I43" s="36"/>
    </row>
    <row r="44" spans="1:9" ht="24" customHeight="1" x14ac:dyDescent="0.35">
      <c r="A44" s="8">
        <v>3</v>
      </c>
      <c r="B44" s="1" t="str">
        <f>DMKTKT!B48</f>
        <v>Vở</v>
      </c>
      <c r="C44" s="8" t="s">
        <v>84</v>
      </c>
      <c r="D44" s="15">
        <f>IF(DMKTKT!H48="","",DMKTKT!H48)</f>
        <v>1</v>
      </c>
      <c r="E44" s="18">
        <v>15000</v>
      </c>
      <c r="F44" s="18">
        <f t="shared" si="1"/>
        <v>15000</v>
      </c>
      <c r="G44" s="36"/>
      <c r="H44" s="36"/>
      <c r="I44" s="36"/>
    </row>
    <row r="45" spans="1:9" ht="24" customHeight="1" x14ac:dyDescent="0.35">
      <c r="A45" s="8">
        <v>4</v>
      </c>
      <c r="B45" s="1" t="str">
        <f>DMKTKT!B49</f>
        <v>Bút</v>
      </c>
      <c r="C45" s="8" t="s">
        <v>89</v>
      </c>
      <c r="D45" s="15">
        <f>IF(DMKTKT!H49="","",DMKTKT!H49)</f>
        <v>1</v>
      </c>
      <c r="E45" s="18">
        <v>5000</v>
      </c>
      <c r="F45" s="18">
        <f t="shared" si="1"/>
        <v>5000</v>
      </c>
      <c r="G45" s="36"/>
      <c r="H45" s="36"/>
      <c r="I45" s="36"/>
    </row>
    <row r="46" spans="1:9" ht="24" customHeight="1" x14ac:dyDescent="0.35">
      <c r="A46" s="8">
        <v>5</v>
      </c>
      <c r="B46" s="1" t="str">
        <f>DMKTKT!B50</f>
        <v>Hồ sơ học nghề</v>
      </c>
      <c r="C46" s="8" t="s">
        <v>92</v>
      </c>
      <c r="D46" s="15">
        <f>IF(DMKTKT!H50="","",DMKTKT!H50)</f>
        <v>1</v>
      </c>
      <c r="E46" s="18">
        <v>1000</v>
      </c>
      <c r="F46" s="18">
        <f t="shared" si="1"/>
        <v>1000</v>
      </c>
      <c r="G46" s="36"/>
      <c r="H46" s="36"/>
      <c r="I46" s="36"/>
    </row>
    <row r="47" spans="1:9" ht="24" customHeight="1" x14ac:dyDescent="0.35">
      <c r="A47" s="8">
        <v>6</v>
      </c>
      <c r="B47" s="1" t="str">
        <f>DMKTKT!B51</f>
        <v>Giấy thi, giấy kiểm tra</v>
      </c>
      <c r="C47" s="8" t="s">
        <v>92</v>
      </c>
      <c r="D47" s="15">
        <f>IF(DMKTKT!H51="","",DMKTKT!H51)</f>
        <v>2</v>
      </c>
      <c r="E47" s="18">
        <v>1000</v>
      </c>
      <c r="F47" s="18">
        <f t="shared" si="1"/>
        <v>2000</v>
      </c>
      <c r="G47" s="36"/>
      <c r="H47" s="36"/>
      <c r="I47" s="36"/>
    </row>
    <row r="48" spans="1:9" ht="24" customHeight="1" x14ac:dyDescent="0.35">
      <c r="A48" s="8">
        <v>7</v>
      </c>
      <c r="B48" s="1" t="str">
        <f>DMKTKT!B52</f>
        <v>Chứng chỉ tốt nghiệp</v>
      </c>
      <c r="C48" s="8" t="s">
        <v>37</v>
      </c>
      <c r="D48" s="15">
        <f>IF(DMKTKT!H52="","",DMKTKT!H52)</f>
        <v>1</v>
      </c>
      <c r="E48" s="18">
        <v>50000</v>
      </c>
      <c r="F48" s="18">
        <f t="shared" si="1"/>
        <v>50000</v>
      </c>
      <c r="G48" s="36"/>
      <c r="H48" s="36"/>
      <c r="I48" s="36"/>
    </row>
    <row r="49" spans="1:9" ht="24" customHeight="1" x14ac:dyDescent="0.35">
      <c r="A49" s="8">
        <v>8</v>
      </c>
      <c r="B49" s="1" t="str">
        <f>DMKTKT!B53</f>
        <v>Khung khen, giấy khen, tiền khen thưởng</v>
      </c>
      <c r="C49" s="8" t="s">
        <v>31</v>
      </c>
      <c r="D49" s="15">
        <f>IF(DMKTKT!H53="","",DMKTKT!H53)</f>
        <v>0.09</v>
      </c>
      <c r="E49" s="18">
        <v>50000</v>
      </c>
      <c r="F49" s="18">
        <f t="shared" si="1"/>
        <v>4500</v>
      </c>
      <c r="G49" s="36"/>
      <c r="H49" s="36"/>
      <c r="I49" s="36"/>
    </row>
    <row r="50" spans="1:9" ht="24" customHeight="1" x14ac:dyDescent="0.35">
      <c r="A50" s="8">
        <v>9</v>
      </c>
      <c r="B50" s="1" t="str">
        <f>DMKTKT!B54</f>
        <v>Nước uống khai giảng</v>
      </c>
      <c r="C50" s="8" t="s">
        <v>101</v>
      </c>
      <c r="D50" s="15">
        <f>IF(DMKTKT!H54="","",DMKTKT!H54)</f>
        <v>1</v>
      </c>
      <c r="E50" s="18">
        <v>5000</v>
      </c>
      <c r="F50" s="18">
        <f t="shared" si="1"/>
        <v>5000</v>
      </c>
      <c r="G50" s="36"/>
      <c r="H50" s="36"/>
      <c r="I50" s="36"/>
    </row>
    <row r="51" spans="1:9" ht="24" customHeight="1" x14ac:dyDescent="0.35">
      <c r="A51" s="8">
        <v>10</v>
      </c>
      <c r="B51" s="1" t="str">
        <f>DMKTKT!B55</f>
        <v>Ma két phục vụ khai giảng (3 m²)</v>
      </c>
      <c r="C51" s="8" t="s">
        <v>104</v>
      </c>
      <c r="D51" s="15">
        <f>IF(DMKTKT!H55="","",DMKTKT!H55)</f>
        <v>0.03</v>
      </c>
      <c r="E51" s="18">
        <v>240000</v>
      </c>
      <c r="F51" s="18">
        <f t="shared" si="1"/>
        <v>7200</v>
      </c>
      <c r="G51" s="36"/>
      <c r="H51" s="36"/>
      <c r="I51" s="36"/>
    </row>
    <row r="52" spans="1:9" ht="24" customHeight="1" x14ac:dyDescent="0.35">
      <c r="A52" s="8">
        <v>11</v>
      </c>
      <c r="B52" s="1" t="str">
        <f>DMKTKT!B56</f>
        <v>Hoa khai giảng</v>
      </c>
      <c r="C52" s="8" t="s">
        <v>107</v>
      </c>
      <c r="D52" s="15">
        <f>IF(DMKTKT!H56="","",DMKTKT!H56)</f>
        <v>0.03</v>
      </c>
      <c r="E52" s="18">
        <v>200000</v>
      </c>
      <c r="F52" s="18">
        <f t="shared" si="1"/>
        <v>6000</v>
      </c>
      <c r="G52" s="36"/>
      <c r="H52" s="36"/>
      <c r="I52" s="36"/>
    </row>
    <row r="53" spans="1:9" ht="24" customHeight="1" x14ac:dyDescent="0.35">
      <c r="A53" s="8">
        <v>12</v>
      </c>
      <c r="B53" s="1" t="str">
        <f>DMKTKT!B57</f>
        <v>Nước uống bế giảng</v>
      </c>
      <c r="C53" s="8" t="s">
        <v>101</v>
      </c>
      <c r="D53" s="15">
        <f>IF(DMKTKT!H57="","",DMKTKT!H57)</f>
        <v>1</v>
      </c>
      <c r="E53" s="18">
        <v>5000</v>
      </c>
      <c r="F53" s="18">
        <f t="shared" si="1"/>
        <v>5000</v>
      </c>
      <c r="G53" s="36"/>
      <c r="H53" s="36"/>
      <c r="I53" s="36"/>
    </row>
    <row r="54" spans="1:9" ht="24" customHeight="1" x14ac:dyDescent="0.35">
      <c r="A54" s="8">
        <v>13</v>
      </c>
      <c r="B54" s="1" t="str">
        <f>DMKTKT!B58</f>
        <v>Ma két phục vụ bế giảng (3 m²)</v>
      </c>
      <c r="C54" s="8" t="s">
        <v>104</v>
      </c>
      <c r="D54" s="15">
        <f>IF(DMKTKT!H58="","",DMKTKT!H58)</f>
        <v>0.03</v>
      </c>
      <c r="E54" s="18">
        <v>240000</v>
      </c>
      <c r="F54" s="18">
        <f t="shared" si="1"/>
        <v>7200</v>
      </c>
      <c r="G54" s="36"/>
      <c r="H54" s="36"/>
      <c r="I54" s="36"/>
    </row>
    <row r="55" spans="1:9" ht="24" customHeight="1" x14ac:dyDescent="0.35">
      <c r="A55" s="8">
        <v>14</v>
      </c>
      <c r="B55" s="1" t="str">
        <f>DMKTKT!B59</f>
        <v>Hoa bế giảng</v>
      </c>
      <c r="C55" s="8" t="s">
        <v>107</v>
      </c>
      <c r="D55" s="15">
        <f>IF(DMKTKT!H59="","",DMKTKT!H59)</f>
        <v>0.03</v>
      </c>
      <c r="E55" s="18">
        <v>200000</v>
      </c>
      <c r="F55" s="18">
        <f t="shared" si="1"/>
        <v>6000</v>
      </c>
      <c r="G55" s="36"/>
      <c r="H55" s="36"/>
      <c r="I55" s="36"/>
    </row>
    <row r="56" spans="1:9" ht="24" customHeight="1" x14ac:dyDescent="0.35">
      <c r="A56" s="8">
        <v>15</v>
      </c>
      <c r="B56" s="1" t="str">
        <f>DMKTKT!B60</f>
        <v>Hồ sơ tốt nghiệp</v>
      </c>
      <c r="C56" s="8" t="s">
        <v>31</v>
      </c>
      <c r="D56" s="15">
        <f>IF(DMKTKT!H60="","",DMKTKT!H60)</f>
        <v>0.09</v>
      </c>
      <c r="E56" s="18">
        <v>100000</v>
      </c>
      <c r="F56" s="18">
        <f t="shared" si="1"/>
        <v>9000</v>
      </c>
      <c r="G56" s="36"/>
      <c r="H56" s="36"/>
      <c r="I56" s="36"/>
    </row>
    <row r="57" spans="1:9" ht="24" customHeight="1" x14ac:dyDescent="0.35">
      <c r="A57" s="8">
        <v>16</v>
      </c>
      <c r="B57" s="1" t="str">
        <f>DMKTKT!B61</f>
        <v>Sữa rửa mặt</v>
      </c>
      <c r="C57" s="8" t="s">
        <v>101</v>
      </c>
      <c r="D57" s="15">
        <f>IF(DMKTKT!H61="","",DMKTKT!H61)</f>
        <v>0.1111111111111111</v>
      </c>
      <c r="E57" s="18">
        <v>135000</v>
      </c>
      <c r="F57" s="18">
        <f t="shared" si="1"/>
        <v>15000</v>
      </c>
      <c r="G57" s="36"/>
      <c r="H57" s="36"/>
      <c r="I57" s="36"/>
    </row>
    <row r="58" spans="1:9" ht="24" customHeight="1" x14ac:dyDescent="0.35">
      <c r="A58" s="8">
        <v>17</v>
      </c>
      <c r="B58" s="1" t="str">
        <f>DMKTKT!B62</f>
        <v>Nước hoa hồng</v>
      </c>
      <c r="C58" s="8" t="s">
        <v>101</v>
      </c>
      <c r="D58" s="15">
        <f>IF(DMKTKT!H62="","",DMKTKT!H62)</f>
        <v>5.5555555555555552E-2</v>
      </c>
      <c r="E58" s="18">
        <v>109000</v>
      </c>
      <c r="F58" s="18">
        <f t="shared" si="1"/>
        <v>6055.5555555555557</v>
      </c>
      <c r="G58" s="36"/>
      <c r="H58" s="36"/>
      <c r="I58" s="36"/>
    </row>
    <row r="59" spans="1:9" ht="24" customHeight="1" x14ac:dyDescent="0.35">
      <c r="A59" s="8">
        <v>18</v>
      </c>
      <c r="B59" s="1" t="str">
        <f>DMKTKT!B63</f>
        <v>Serum</v>
      </c>
      <c r="C59" s="8" t="s">
        <v>101</v>
      </c>
      <c r="D59" s="15">
        <f>IF(DMKTKT!H63="","",DMKTKT!H63)</f>
        <v>5.5555555555555552E-2</v>
      </c>
      <c r="E59" s="18">
        <v>220000</v>
      </c>
      <c r="F59" s="18">
        <f t="shared" si="1"/>
        <v>12222.222222222221</v>
      </c>
      <c r="G59" s="36"/>
      <c r="H59" s="36"/>
      <c r="I59" s="36"/>
    </row>
    <row r="60" spans="1:9" ht="24" customHeight="1" x14ac:dyDescent="0.35">
      <c r="A60" s="8">
        <v>19</v>
      </c>
      <c r="B60" s="1" t="str">
        <f>DMKTKT!B64</f>
        <v>Kem dưỡng ẩm</v>
      </c>
      <c r="C60" s="8" t="s">
        <v>117</v>
      </c>
      <c r="D60" s="15">
        <f>IF(DMKTKT!H64="","",DMKTKT!H64)</f>
        <v>5.5555555555555552E-2</v>
      </c>
      <c r="E60" s="18">
        <v>271000</v>
      </c>
      <c r="F60" s="18">
        <f t="shared" si="1"/>
        <v>15055.555555555555</v>
      </c>
      <c r="G60" s="36"/>
      <c r="H60" s="36"/>
      <c r="I60" s="36"/>
    </row>
    <row r="61" spans="1:9" ht="24" customHeight="1" x14ac:dyDescent="0.35">
      <c r="A61" s="8">
        <v>20</v>
      </c>
      <c r="B61" s="1" t="str">
        <f>DMKTKT!B65</f>
        <v>Kem dưỡng da</v>
      </c>
      <c r="C61" s="8" t="s">
        <v>117</v>
      </c>
      <c r="D61" s="15">
        <f>IF(DMKTKT!H65="","",DMKTKT!H65)</f>
        <v>5.5555555555555552E-2</v>
      </c>
      <c r="E61" s="18">
        <v>269000</v>
      </c>
      <c r="F61" s="18">
        <f t="shared" si="1"/>
        <v>14944.444444444443</v>
      </c>
      <c r="G61" s="36"/>
      <c r="H61" s="36"/>
      <c r="I61" s="36"/>
    </row>
    <row r="62" spans="1:9" ht="24" customHeight="1" x14ac:dyDescent="0.35">
      <c r="A62" s="8">
        <v>21</v>
      </c>
      <c r="B62" s="1" t="str">
        <f>DMKTKT!B66</f>
        <v>Kem chống nắng</v>
      </c>
      <c r="C62" s="8" t="s">
        <v>117</v>
      </c>
      <c r="D62" s="15">
        <f>IF(DMKTKT!H66="","",DMKTKT!H66)</f>
        <v>5.5555555555555552E-2</v>
      </c>
      <c r="E62" s="18">
        <v>370000</v>
      </c>
      <c r="F62" s="18">
        <f t="shared" si="1"/>
        <v>20555.555555555555</v>
      </c>
      <c r="G62" s="36"/>
      <c r="H62" s="36"/>
      <c r="I62" s="36"/>
    </row>
    <row r="63" spans="1:9" ht="24" customHeight="1" x14ac:dyDescent="0.35">
      <c r="A63" s="8">
        <v>22</v>
      </c>
      <c r="B63" s="1" t="str">
        <f>DMKTKT!B67</f>
        <v>Gel tẩy tế bào chết</v>
      </c>
      <c r="C63" s="8" t="s">
        <v>117</v>
      </c>
      <c r="D63" s="15">
        <f>IF(DMKTKT!H67="","",DMKTKT!H67)</f>
        <v>0.1111111111111111</v>
      </c>
      <c r="E63" s="18">
        <v>105000</v>
      </c>
      <c r="F63" s="18">
        <f t="shared" si="1"/>
        <v>11666.666666666666</v>
      </c>
      <c r="G63" s="36"/>
      <c r="H63" s="36"/>
      <c r="I63" s="36"/>
    </row>
    <row r="64" spans="1:9" ht="24" customHeight="1" x14ac:dyDescent="0.35">
      <c r="A64" s="8">
        <v>23</v>
      </c>
      <c r="B64" s="1" t="str">
        <f>DMKTKT!B68</f>
        <v>Khoáng dưỡng ẩm</v>
      </c>
      <c r="C64" s="8" t="s">
        <v>101</v>
      </c>
      <c r="D64" s="15">
        <f>IF(DMKTKT!H68="","",DMKTKT!H68)</f>
        <v>5.5555555555555552E-2</v>
      </c>
      <c r="E64" s="18">
        <v>248000</v>
      </c>
      <c r="F64" s="18">
        <f t="shared" si="1"/>
        <v>13777.777777777777</v>
      </c>
      <c r="G64" s="36"/>
      <c r="H64" s="36"/>
      <c r="I64" s="36"/>
    </row>
    <row r="65" spans="1:9" ht="24" customHeight="1" x14ac:dyDescent="0.35">
      <c r="A65" s="8">
        <v>24</v>
      </c>
      <c r="B65" s="1" t="str">
        <f>DMKTKT!B69</f>
        <v>Mặt nạ dẻo (bột)</v>
      </c>
      <c r="C65" s="8" t="s">
        <v>123</v>
      </c>
      <c r="D65" s="15">
        <f>IF(DMKTKT!H69="","",DMKTKT!H69)</f>
        <v>5.5555555555555552E-2</v>
      </c>
      <c r="E65" s="18">
        <v>265000</v>
      </c>
      <c r="F65" s="18">
        <f t="shared" si="1"/>
        <v>14722.222222222221</v>
      </c>
      <c r="G65" s="36"/>
      <c r="H65" s="36"/>
      <c r="I65" s="36"/>
    </row>
    <row r="66" spans="1:9" ht="24" customHeight="1" x14ac:dyDescent="0.35">
      <c r="A66" s="8">
        <v>25</v>
      </c>
      <c r="B66" s="1" t="str">
        <f>DMKTKT!B70</f>
        <v>Mặt nạ dưỡng ẩm dùng cho mọi loại da</v>
      </c>
      <c r="C66" s="8" t="s">
        <v>123</v>
      </c>
      <c r="D66" s="15">
        <f>IF(DMKTKT!H70="","",DMKTKT!H70)</f>
        <v>5.5555555555555552E-2</v>
      </c>
      <c r="E66" s="18">
        <v>295000</v>
      </c>
      <c r="F66" s="18">
        <f t="shared" si="1"/>
        <v>16388.888888888887</v>
      </c>
      <c r="G66" s="36"/>
      <c r="H66" s="36"/>
      <c r="I66" s="36"/>
    </row>
    <row r="67" spans="1:9" ht="24" customHeight="1" x14ac:dyDescent="0.35">
      <c r="A67" s="8">
        <v>26</v>
      </c>
      <c r="B67" s="1" t="str">
        <f>DMKTKT!B71</f>
        <v>Mặt nạ thạch cao</v>
      </c>
      <c r="C67" s="8" t="s">
        <v>126</v>
      </c>
      <c r="D67" s="15">
        <f>IF(DMKTKT!H71="","",DMKTKT!H71)</f>
        <v>5.5555555555555552E-2</v>
      </c>
      <c r="E67" s="18">
        <v>219000</v>
      </c>
      <c r="F67" s="18">
        <f t="shared" si="1"/>
        <v>12166.666666666666</v>
      </c>
      <c r="G67" s="36"/>
      <c r="H67" s="36"/>
      <c r="I67" s="36"/>
    </row>
    <row r="68" spans="1:9" ht="24" customHeight="1" x14ac:dyDescent="0.35">
      <c r="A68" s="8">
        <v>27</v>
      </c>
      <c r="B68" s="1" t="str">
        <f>DMKTKT!B72</f>
        <v>Muối biển</v>
      </c>
      <c r="C68" s="8" t="s">
        <v>123</v>
      </c>
      <c r="D68" s="15">
        <f>IF(DMKTKT!H72="","",DMKTKT!H72)</f>
        <v>5.5555555555555552E-2</v>
      </c>
      <c r="E68" s="18">
        <v>191000</v>
      </c>
      <c r="F68" s="18">
        <f t="shared" si="1"/>
        <v>10611.111111111111</v>
      </c>
      <c r="G68" s="36"/>
      <c r="H68" s="36"/>
      <c r="I68" s="36"/>
    </row>
    <row r="69" spans="1:9" ht="24" customHeight="1" x14ac:dyDescent="0.35">
      <c r="A69" s="8">
        <v>28</v>
      </c>
      <c r="B69" s="1" t="str">
        <f>DMKTKT!B73</f>
        <v>Tinh dầu massage</v>
      </c>
      <c r="C69" s="8" t="s">
        <v>123</v>
      </c>
      <c r="D69" s="15">
        <f>IF(DMKTKT!H73="","",DMKTKT!H73)</f>
        <v>0.1111111111111111</v>
      </c>
      <c r="E69" s="18">
        <v>319000</v>
      </c>
      <c r="F69" s="18">
        <f t="shared" si="1"/>
        <v>35444.444444444445</v>
      </c>
      <c r="G69" s="36"/>
      <c r="H69" s="36"/>
      <c r="I69" s="36"/>
    </row>
    <row r="70" spans="1:9" ht="24" customHeight="1" x14ac:dyDescent="0.35">
      <c r="A70" s="8">
        <v>29</v>
      </c>
      <c r="B70" s="1" t="str">
        <f>DMKTKT!B74</f>
        <v>Kem lót sáng da</v>
      </c>
      <c r="C70" s="8" t="s">
        <v>123</v>
      </c>
      <c r="D70" s="15">
        <f>IF(DMKTKT!H74="","",DMKTKT!H74)</f>
        <v>0.1111111111111111</v>
      </c>
      <c r="E70" s="18">
        <v>139000</v>
      </c>
      <c r="F70" s="18">
        <f t="shared" si="1"/>
        <v>15444.444444444443</v>
      </c>
      <c r="G70" s="36"/>
      <c r="H70" s="36"/>
      <c r="I70" s="36"/>
    </row>
    <row r="71" spans="1:9" ht="24" customHeight="1" x14ac:dyDescent="0.35">
      <c r="A71" s="8">
        <v>30</v>
      </c>
      <c r="B71" s="1" t="str">
        <f>DMKTKT!B75</f>
        <v>Kem nền</v>
      </c>
      <c r="C71" s="8" t="s">
        <v>131</v>
      </c>
      <c r="D71" s="15">
        <f>IF(DMKTKT!H75="","",DMKTKT!H75)</f>
        <v>0.1111111111111111</v>
      </c>
      <c r="E71" s="18">
        <v>286000</v>
      </c>
      <c r="F71" s="18">
        <f t="shared" si="1"/>
        <v>31777.777777777777</v>
      </c>
      <c r="G71" s="36"/>
      <c r="H71" s="36"/>
      <c r="I71" s="36"/>
    </row>
    <row r="72" spans="1:9" ht="24" customHeight="1" x14ac:dyDescent="0.35">
      <c r="A72" s="8">
        <v>31</v>
      </c>
      <c r="B72" s="1" t="str">
        <f>DMKTKT!B76</f>
        <v>Kem che khuyết điểm</v>
      </c>
      <c r="C72" s="8" t="s">
        <v>131</v>
      </c>
      <c r="D72" s="15">
        <f>IF(DMKTKT!H76="","",DMKTKT!H76)</f>
        <v>0.1111111111111111</v>
      </c>
      <c r="E72" s="18">
        <v>69000</v>
      </c>
      <c r="F72" s="18">
        <f t="shared" si="1"/>
        <v>7666.6666666666661</v>
      </c>
      <c r="G72" s="36"/>
      <c r="H72" s="36"/>
      <c r="I72" s="36"/>
    </row>
    <row r="73" spans="1:9" ht="24" customHeight="1" x14ac:dyDescent="0.35">
      <c r="A73" s="8">
        <v>32</v>
      </c>
      <c r="B73" s="1" t="str">
        <f>DMKTKT!B77</f>
        <v>Phấn phủ</v>
      </c>
      <c r="C73" s="8" t="s">
        <v>123</v>
      </c>
      <c r="D73" s="15">
        <f>IF(DMKTKT!H77="","",DMKTKT!H77)</f>
        <v>0.1111111111111111</v>
      </c>
      <c r="E73" s="18">
        <v>222000</v>
      </c>
      <c r="F73" s="18">
        <f t="shared" ref="F73:F102" si="2">IF(OR(D73="",E73=""),"",D73*E73)</f>
        <v>24666.666666666664</v>
      </c>
      <c r="G73" s="36"/>
      <c r="H73" s="36"/>
      <c r="I73" s="36"/>
    </row>
    <row r="74" spans="1:9" ht="24" customHeight="1" x14ac:dyDescent="0.35">
      <c r="A74" s="8">
        <v>33</v>
      </c>
      <c r="B74" s="1" t="str">
        <f>DMKTKT!B78</f>
        <v>Phấn má hồng</v>
      </c>
      <c r="C74" s="8" t="s">
        <v>123</v>
      </c>
      <c r="D74" s="15">
        <f>IF(DMKTKT!H78="","",DMKTKT!H78)</f>
        <v>0.1111111111111111</v>
      </c>
      <c r="E74" s="18">
        <v>139000</v>
      </c>
      <c r="F74" s="18">
        <f t="shared" si="2"/>
        <v>15444.444444444443</v>
      </c>
      <c r="G74" s="36"/>
      <c r="H74" s="36"/>
      <c r="I74" s="36"/>
    </row>
    <row r="75" spans="1:9" ht="24" customHeight="1" x14ac:dyDescent="0.35">
      <c r="A75" s="8">
        <v>34</v>
      </c>
      <c r="B75" s="1" t="str">
        <f>DMKTKT!B79</f>
        <v>Phấn vẽ sống mũi</v>
      </c>
      <c r="C75" s="8" t="s">
        <v>123</v>
      </c>
      <c r="D75" s="15">
        <f>IF(DMKTKT!H79="","",DMKTKT!H79)</f>
        <v>5.5555555555555552E-2</v>
      </c>
      <c r="E75" s="18">
        <v>151000</v>
      </c>
      <c r="F75" s="18">
        <f t="shared" si="2"/>
        <v>8388.8888888888887</v>
      </c>
      <c r="G75" s="36"/>
      <c r="H75" s="36"/>
      <c r="I75" s="36"/>
    </row>
    <row r="76" spans="1:9" ht="24" customHeight="1" x14ac:dyDescent="0.35">
      <c r="A76" s="8">
        <v>35</v>
      </c>
      <c r="B76" s="1" t="str">
        <f>DMKTKT!B80</f>
        <v>Son dưỡng môi</v>
      </c>
      <c r="C76" s="8" t="s">
        <v>89</v>
      </c>
      <c r="D76" s="15">
        <f>IF(DMKTKT!H80="","",DMKTKT!H80)</f>
        <v>5.5555555555555552E-2</v>
      </c>
      <c r="E76" s="18">
        <v>165000</v>
      </c>
      <c r="F76" s="18">
        <f t="shared" si="2"/>
        <v>9166.6666666666661</v>
      </c>
      <c r="G76" s="36"/>
      <c r="H76" s="36"/>
      <c r="I76" s="36"/>
    </row>
    <row r="77" spans="1:9" ht="24" customHeight="1" x14ac:dyDescent="0.35">
      <c r="A77" s="8">
        <v>36</v>
      </c>
      <c r="B77" s="1" t="str">
        <f>DMKTKT!B81</f>
        <v>Son môi màu sáng</v>
      </c>
      <c r="C77" s="8" t="s">
        <v>89</v>
      </c>
      <c r="D77" s="15">
        <f>IF(DMKTKT!H81="","",DMKTKT!H81)</f>
        <v>0.1111111111111111</v>
      </c>
      <c r="E77" s="18">
        <v>293000</v>
      </c>
      <c r="F77" s="18">
        <f t="shared" si="2"/>
        <v>32555.555555555555</v>
      </c>
      <c r="G77" s="36"/>
      <c r="H77" s="36"/>
      <c r="I77" s="36"/>
    </row>
    <row r="78" spans="1:9" ht="24" customHeight="1" x14ac:dyDescent="0.35">
      <c r="A78" s="8">
        <v>37</v>
      </c>
      <c r="B78" s="1" t="str">
        <f>DMKTKT!B82</f>
        <v>Son bóng môi</v>
      </c>
      <c r="C78" s="8" t="s">
        <v>89</v>
      </c>
      <c r="D78" s="15">
        <f>IF(DMKTKT!H82="","",DMKTKT!H82)</f>
        <v>5.5555555555555552E-2</v>
      </c>
      <c r="E78" s="18">
        <v>146000</v>
      </c>
      <c r="F78" s="18">
        <f t="shared" si="2"/>
        <v>8111.1111111111104</v>
      </c>
      <c r="G78" s="36"/>
      <c r="H78" s="36"/>
      <c r="I78" s="36"/>
    </row>
    <row r="79" spans="1:9" ht="24" customHeight="1" x14ac:dyDescent="0.35">
      <c r="A79" s="8">
        <v>38</v>
      </c>
      <c r="B79" s="1" t="str">
        <f>DMKTKT!B83</f>
        <v>Son môi màu tối</v>
      </c>
      <c r="C79" s="8" t="s">
        <v>89</v>
      </c>
      <c r="D79" s="15">
        <f>IF(DMKTKT!H83="","",DMKTKT!H83)</f>
        <v>5.5555555555555552E-2</v>
      </c>
      <c r="E79" s="18">
        <v>259000</v>
      </c>
      <c r="F79" s="18">
        <f t="shared" si="2"/>
        <v>14388.888888888889</v>
      </c>
      <c r="G79" s="36"/>
      <c r="H79" s="36"/>
      <c r="I79" s="36"/>
    </row>
    <row r="80" spans="1:9" ht="24" customHeight="1" x14ac:dyDescent="0.35">
      <c r="A80" s="8">
        <v>39</v>
      </c>
      <c r="B80" s="1" t="str">
        <f>DMKTKT!B84</f>
        <v>Son môi lì</v>
      </c>
      <c r="C80" s="8" t="s">
        <v>89</v>
      </c>
      <c r="D80" s="15">
        <f>IF(DMKTKT!H84="","",DMKTKT!H84)</f>
        <v>5.5555555555555552E-2</v>
      </c>
      <c r="E80" s="18">
        <v>309000</v>
      </c>
      <c r="F80" s="18">
        <f t="shared" si="2"/>
        <v>17166.666666666664</v>
      </c>
      <c r="G80" s="36"/>
      <c r="H80" s="36"/>
      <c r="I80" s="36"/>
    </row>
    <row r="81" spans="1:9" ht="24" customHeight="1" x14ac:dyDescent="0.35">
      <c r="A81" s="8">
        <v>40</v>
      </c>
      <c r="B81" s="1" t="str">
        <f>DMKTKT!B85</f>
        <v>Chì kẻ viền môi</v>
      </c>
      <c r="C81" s="8" t="s">
        <v>89</v>
      </c>
      <c r="D81" s="15">
        <f>IF(DMKTKT!H85="","",DMKTKT!H85)</f>
        <v>0.1111111111111111</v>
      </c>
      <c r="E81" s="18">
        <v>55000</v>
      </c>
      <c r="F81" s="18">
        <f t="shared" si="2"/>
        <v>6111.1111111111104</v>
      </c>
      <c r="G81" s="36"/>
      <c r="H81" s="36"/>
      <c r="I81" s="36"/>
    </row>
    <row r="82" spans="1:9" ht="24" customHeight="1" x14ac:dyDescent="0.35">
      <c r="A82" s="8">
        <v>41</v>
      </c>
      <c r="B82" s="1" t="str">
        <f>DMKTKT!B86</f>
        <v>Phấn tạo bóng mắt</v>
      </c>
      <c r="C82" s="8" t="s">
        <v>123</v>
      </c>
      <c r="D82" s="15">
        <f>IF(DMKTKT!H86="","",DMKTKT!H86)</f>
        <v>0.1111111111111111</v>
      </c>
      <c r="E82" s="18">
        <v>101000</v>
      </c>
      <c r="F82" s="18">
        <f t="shared" si="2"/>
        <v>11222.222222222221</v>
      </c>
      <c r="G82" s="36"/>
      <c r="H82" s="36"/>
      <c r="I82" s="36"/>
    </row>
    <row r="83" spans="1:9" ht="24" customHeight="1" x14ac:dyDescent="0.35">
      <c r="A83" s="8">
        <v>42</v>
      </c>
      <c r="B83" s="1" t="str">
        <f>DMKTKT!B87</f>
        <v>Bảng phấn màu mắt</v>
      </c>
      <c r="C83" s="8" t="s">
        <v>123</v>
      </c>
      <c r="D83" s="15">
        <f>IF(DMKTKT!H87="","",DMKTKT!H87)</f>
        <v>5.5555555555555552E-2</v>
      </c>
      <c r="E83" s="18">
        <v>143000</v>
      </c>
      <c r="F83" s="18">
        <f t="shared" si="2"/>
        <v>7944.4444444444443</v>
      </c>
      <c r="G83" s="36"/>
      <c r="H83" s="36"/>
      <c r="I83" s="36"/>
    </row>
    <row r="84" spans="1:9" ht="24" customHeight="1" x14ac:dyDescent="0.35">
      <c r="A84" s="8">
        <v>43</v>
      </c>
      <c r="B84" s="1" t="str">
        <f>DMKTKT!B88</f>
        <v>Mascara chải lông mi</v>
      </c>
      <c r="C84" s="8" t="s">
        <v>89</v>
      </c>
      <c r="D84" s="15">
        <f>IF(DMKTKT!H88="","",DMKTKT!H88)</f>
        <v>0.1111111111111111</v>
      </c>
      <c r="E84" s="18">
        <v>174000</v>
      </c>
      <c r="F84" s="18">
        <f t="shared" si="2"/>
        <v>19333.333333333332</v>
      </c>
      <c r="G84" s="36"/>
      <c r="H84" s="36"/>
      <c r="I84" s="36"/>
    </row>
    <row r="85" spans="1:9" ht="24" customHeight="1" x14ac:dyDescent="0.35">
      <c r="A85" s="8">
        <v>44</v>
      </c>
      <c r="B85" s="1" t="str">
        <f>DMKTKT!B89</f>
        <v>Chì kẻ viền mắt</v>
      </c>
      <c r="C85" s="8" t="s">
        <v>89</v>
      </c>
      <c r="D85" s="15">
        <f>IF(DMKTKT!H89="","",DMKTKT!H89)</f>
        <v>0.1111111111111111</v>
      </c>
      <c r="E85" s="18">
        <v>94000</v>
      </c>
      <c r="F85" s="18">
        <f t="shared" si="2"/>
        <v>10444.444444444443</v>
      </c>
      <c r="G85" s="36"/>
      <c r="H85" s="36"/>
      <c r="I85" s="36"/>
    </row>
    <row r="86" spans="1:9" ht="24" customHeight="1" x14ac:dyDescent="0.35">
      <c r="A86" s="8">
        <v>45</v>
      </c>
      <c r="B86" s="1" t="str">
        <f>DMKTKT!B90</f>
        <v>Chì kẻ chân mày</v>
      </c>
      <c r="C86" s="8" t="s">
        <v>89</v>
      </c>
      <c r="D86" s="15">
        <f>IF(DMKTKT!H90="","",DMKTKT!H90)</f>
        <v>0.1111111111111111</v>
      </c>
      <c r="E86" s="18">
        <v>53000</v>
      </c>
      <c r="F86" s="18">
        <f t="shared" si="2"/>
        <v>5888.8888888888887</v>
      </c>
      <c r="G86" s="36"/>
      <c r="H86" s="36"/>
      <c r="I86" s="36"/>
    </row>
    <row r="87" spans="1:9" ht="24" customHeight="1" x14ac:dyDescent="0.35">
      <c r="A87" s="8">
        <v>46</v>
      </c>
      <c r="B87" s="1" t="str">
        <f>DMKTKT!B91</f>
        <v>Mi giả, keo dán mi</v>
      </c>
      <c r="C87" s="8" t="s">
        <v>123</v>
      </c>
      <c r="D87" s="15">
        <f>IF(DMKTKT!H91="","",DMKTKT!H91)</f>
        <v>5.5555555555555552E-2</v>
      </c>
      <c r="E87" s="18">
        <v>111000</v>
      </c>
      <c r="F87" s="18">
        <f t="shared" si="2"/>
        <v>6166.6666666666661</v>
      </c>
      <c r="G87" s="36"/>
      <c r="H87" s="36"/>
      <c r="I87" s="36"/>
    </row>
    <row r="88" spans="1:9" ht="24" customHeight="1" x14ac:dyDescent="0.35">
      <c r="A88" s="8">
        <v>47</v>
      </c>
      <c r="B88" s="1" t="str">
        <f>DMKTKT!B92</f>
        <v>Nước tẩy trang</v>
      </c>
      <c r="C88" s="8" t="s">
        <v>131</v>
      </c>
      <c r="D88" s="15">
        <f>IF(DMKTKT!H92="","",DMKTKT!H92)</f>
        <v>0.1111111111111111</v>
      </c>
      <c r="E88" s="18">
        <v>128000</v>
      </c>
      <c r="F88" s="18">
        <f t="shared" si="2"/>
        <v>14222.222222222221</v>
      </c>
      <c r="G88" s="36"/>
      <c r="H88" s="36"/>
      <c r="I88" s="36"/>
    </row>
    <row r="89" spans="1:9" ht="24" customHeight="1" x14ac:dyDescent="0.35">
      <c r="A89" s="8">
        <v>48</v>
      </c>
      <c r="B89" s="1" t="str">
        <f>DMKTKT!B93</f>
        <v>Bông tẩy trang</v>
      </c>
      <c r="C89" s="8" t="s">
        <v>123</v>
      </c>
      <c r="D89" s="15">
        <f>IF(DMKTKT!H93="","",DMKTKT!H93)</f>
        <v>0.22222222222222221</v>
      </c>
      <c r="E89" s="18">
        <v>55000</v>
      </c>
      <c r="F89" s="18">
        <f t="shared" si="2"/>
        <v>12222.222222222221</v>
      </c>
      <c r="G89" s="36"/>
      <c r="H89" s="36"/>
      <c r="I89" s="36"/>
    </row>
    <row r="90" spans="1:9" ht="24" customHeight="1" x14ac:dyDescent="0.35">
      <c r="A90" s="8">
        <v>49</v>
      </c>
      <c r="B90" s="1" t="str">
        <f>DMKTKT!B94</f>
        <v>Khăn ướt</v>
      </c>
      <c r="C90" s="8" t="s">
        <v>123</v>
      </c>
      <c r="D90" s="15">
        <f>IF(DMKTKT!H94="","",DMKTKT!H94)</f>
        <v>0.22222222222222221</v>
      </c>
      <c r="E90" s="18">
        <v>29000</v>
      </c>
      <c r="F90" s="18">
        <f t="shared" si="2"/>
        <v>6444.4444444444443</v>
      </c>
      <c r="G90" s="36"/>
      <c r="H90" s="36"/>
      <c r="I90" s="36"/>
    </row>
    <row r="91" spans="1:9" ht="24" customHeight="1" x14ac:dyDescent="0.35">
      <c r="A91" s="8">
        <v>50</v>
      </c>
      <c r="B91" s="1" t="str">
        <f>DMKTKT!B95</f>
        <v>Gel vuốt tóc</v>
      </c>
      <c r="C91" s="8" t="s">
        <v>101</v>
      </c>
      <c r="D91" s="15">
        <f>IF(DMKTKT!H95="","",DMKTKT!H95)</f>
        <v>5.5555555555555552E-2</v>
      </c>
      <c r="E91" s="18">
        <v>107000</v>
      </c>
      <c r="F91" s="18">
        <f t="shared" si="2"/>
        <v>5944.4444444444443</v>
      </c>
      <c r="G91" s="36"/>
      <c r="H91" s="36"/>
      <c r="I91" s="36"/>
    </row>
    <row r="92" spans="1:9" ht="24" customHeight="1" x14ac:dyDescent="0.35">
      <c r="A92" s="8">
        <v>51</v>
      </c>
      <c r="B92" s="1" t="str">
        <f>DMKTKT!B96</f>
        <v>Phấn rôm</v>
      </c>
      <c r="C92" s="8" t="s">
        <v>101</v>
      </c>
      <c r="D92" s="15">
        <f>IF(DMKTKT!H96="","",DMKTKT!H96)</f>
        <v>5.5555555555555552E-2</v>
      </c>
      <c r="E92" s="18">
        <v>53000</v>
      </c>
      <c r="F92" s="18">
        <f t="shared" si="2"/>
        <v>2944.4444444444443</v>
      </c>
      <c r="G92" s="36"/>
      <c r="H92" s="36"/>
      <c r="I92" s="36"/>
    </row>
    <row r="93" spans="1:9" ht="24" customHeight="1" x14ac:dyDescent="0.35">
      <c r="A93" s="8">
        <v>52</v>
      </c>
      <c r="B93" s="1" t="str">
        <f>DMKTKT!B97</f>
        <v>Mút dặm nền</v>
      </c>
      <c r="C93" s="8" t="s">
        <v>153</v>
      </c>
      <c r="D93" s="15">
        <f>IF(DMKTKT!H97="","",DMKTKT!H97)</f>
        <v>0.1111111111111111</v>
      </c>
      <c r="E93" s="18">
        <v>80000</v>
      </c>
      <c r="F93" s="18">
        <f t="shared" si="2"/>
        <v>8888.8888888888887</v>
      </c>
      <c r="G93" s="36"/>
      <c r="H93" s="36"/>
      <c r="I93" s="36"/>
    </row>
    <row r="94" spans="1:9" ht="24" customHeight="1" x14ac:dyDescent="0.35">
      <c r="A94" s="8">
        <v>53</v>
      </c>
      <c r="B94" s="1" t="str">
        <f>DMKTKT!B98</f>
        <v>Mút lau mặt (bọt biển)</v>
      </c>
      <c r="C94" s="8" t="s">
        <v>153</v>
      </c>
      <c r="D94" s="15">
        <f>IF(DMKTKT!H98="","",DMKTKT!H98)</f>
        <v>0.1111111111111111</v>
      </c>
      <c r="E94" s="18">
        <v>186000</v>
      </c>
      <c r="F94" s="18">
        <f t="shared" si="2"/>
        <v>20666.666666666664</v>
      </c>
      <c r="G94" s="36"/>
      <c r="H94" s="36"/>
      <c r="I94" s="36"/>
    </row>
    <row r="95" spans="1:9" ht="24" customHeight="1" x14ac:dyDescent="0.35">
      <c r="A95" s="8">
        <v>54</v>
      </c>
      <c r="B95" s="1" t="str">
        <f>DMKTKT!B99</f>
        <v>Khẩu trang</v>
      </c>
      <c r="C95" s="8" t="s">
        <v>123</v>
      </c>
      <c r="D95" s="15">
        <f>IF(DMKTKT!H99="","",DMKTKT!H99)</f>
        <v>0.22222222222222221</v>
      </c>
      <c r="E95" s="18">
        <v>63000</v>
      </c>
      <c r="F95" s="18">
        <f t="shared" si="2"/>
        <v>14000</v>
      </c>
      <c r="G95" s="36"/>
      <c r="H95" s="36"/>
      <c r="I95" s="36"/>
    </row>
    <row r="96" spans="1:9" ht="24" customHeight="1" x14ac:dyDescent="0.35">
      <c r="A96" s="8">
        <v>55</v>
      </c>
      <c r="B96" s="1" t="str">
        <f>DMKTKT!B100</f>
        <v>Băng đô quấn tóc</v>
      </c>
      <c r="C96" s="8" t="s">
        <v>37</v>
      </c>
      <c r="D96" s="15">
        <f>IF(DMKTKT!H100="","",DMKTKT!H100)</f>
        <v>0.22222222222222221</v>
      </c>
      <c r="E96" s="18">
        <v>67000</v>
      </c>
      <c r="F96" s="18">
        <f t="shared" si="2"/>
        <v>14888.888888888889</v>
      </c>
      <c r="G96" s="36"/>
      <c r="H96" s="36"/>
      <c r="I96" s="36"/>
    </row>
    <row r="97" spans="1:9" ht="24" customHeight="1" x14ac:dyDescent="0.35">
      <c r="A97" s="8">
        <v>56</v>
      </c>
      <c r="B97" s="1" t="str">
        <f>DMKTKT!B101</f>
        <v>Bộ dụng cụ tỉa lông mày</v>
      </c>
      <c r="C97" s="8" t="s">
        <v>31</v>
      </c>
      <c r="D97" s="15">
        <f>IF(DMKTKT!H101="","",DMKTKT!H101)</f>
        <v>0.1111111111111111</v>
      </c>
      <c r="E97" s="18">
        <v>139000</v>
      </c>
      <c r="F97" s="18">
        <f t="shared" si="2"/>
        <v>15444.444444444443</v>
      </c>
      <c r="G97" s="36"/>
      <c r="H97" s="36"/>
      <c r="I97" s="36"/>
    </row>
    <row r="98" spans="1:9" ht="24" customHeight="1" x14ac:dyDescent="0.35">
      <c r="A98" s="8">
        <v>57</v>
      </c>
      <c r="B98" s="1" t="str">
        <f>DMKTKT!B102</f>
        <v>Dao lam</v>
      </c>
      <c r="C98" s="8" t="s">
        <v>123</v>
      </c>
      <c r="D98" s="15">
        <f>IF(DMKTKT!H102="","",DMKTKT!H102)</f>
        <v>0.22222222222222221</v>
      </c>
      <c r="E98" s="18">
        <v>81000</v>
      </c>
      <c r="F98" s="18">
        <f t="shared" si="2"/>
        <v>18000</v>
      </c>
      <c r="G98" s="36"/>
      <c r="H98" s="36"/>
      <c r="I98" s="36"/>
    </row>
    <row r="99" spans="1:9" ht="24" customHeight="1" x14ac:dyDescent="0.35">
      <c r="A99" s="8">
        <v>58</v>
      </c>
      <c r="B99" s="1" t="str">
        <f>DMKTKT!B103</f>
        <v>Dao cạo râu</v>
      </c>
      <c r="C99" s="8" t="s">
        <v>123</v>
      </c>
      <c r="D99" s="15">
        <f>IF(DMKTKT!H103="","",DMKTKT!H103)</f>
        <v>0.22222222222222221</v>
      </c>
      <c r="E99" s="18">
        <v>87000</v>
      </c>
      <c r="F99" s="18">
        <f t="shared" si="2"/>
        <v>19333.333333333332</v>
      </c>
      <c r="G99" s="36"/>
      <c r="H99" s="36"/>
      <c r="I99" s="36"/>
    </row>
    <row r="100" spans="1:9" ht="24" customHeight="1" x14ac:dyDescent="0.35">
      <c r="A100" s="8">
        <v>59</v>
      </c>
      <c r="B100" s="1" t="str">
        <f>DMKTKT!B104</f>
        <v>Kéo tỉa lông mày</v>
      </c>
      <c r="C100" s="8" t="s">
        <v>37</v>
      </c>
      <c r="D100" s="15">
        <f>IF(DMKTKT!H104="","",DMKTKT!H104)</f>
        <v>0.1111111111111111</v>
      </c>
      <c r="E100" s="18">
        <v>139000</v>
      </c>
      <c r="F100" s="18">
        <f t="shared" si="2"/>
        <v>15444.444444444443</v>
      </c>
      <c r="G100" s="36"/>
      <c r="H100" s="36"/>
      <c r="I100" s="36"/>
    </row>
    <row r="101" spans="1:9" ht="24" customHeight="1" x14ac:dyDescent="0.35">
      <c r="A101" s="8">
        <v>60</v>
      </c>
      <c r="B101" s="1" t="str">
        <f>DMKTKT!B105</f>
        <v>Kẹp bấm lông mi</v>
      </c>
      <c r="C101" s="8" t="s">
        <v>37</v>
      </c>
      <c r="D101" s="15">
        <f>IF(DMKTKT!H105="","",DMKTKT!H105)</f>
        <v>0.25</v>
      </c>
      <c r="E101" s="18">
        <v>61750</v>
      </c>
      <c r="F101" s="18">
        <f t="shared" si="2"/>
        <v>15437.5</v>
      </c>
      <c r="G101" s="36"/>
      <c r="H101" s="36"/>
      <c r="I101" s="36"/>
    </row>
    <row r="102" spans="1:9" ht="24" customHeight="1" x14ac:dyDescent="0.35">
      <c r="A102" s="8">
        <v>61</v>
      </c>
      <c r="B102" s="1" t="str">
        <f>DMKTKT!B106</f>
        <v>Kéo lớn</v>
      </c>
      <c r="C102" s="8" t="s">
        <v>37</v>
      </c>
      <c r="D102" s="15">
        <f>IF(DMKTKT!H106="","",DMKTKT!H106)</f>
        <v>0.1111111111111111</v>
      </c>
      <c r="E102" s="18">
        <v>89000</v>
      </c>
      <c r="F102" s="18">
        <f t="shared" si="2"/>
        <v>9888.8888888888887</v>
      </c>
      <c r="G102" s="36"/>
      <c r="H102" s="36"/>
      <c r="I102" s="36"/>
    </row>
    <row r="103" spans="1:9" ht="24" customHeight="1" x14ac:dyDescent="0.35">
      <c r="A103" s="8">
        <v>62</v>
      </c>
      <c r="B103" s="1" t="str">
        <f>DMKTKT!B107</f>
        <v>Tăm bông</v>
      </c>
      <c r="C103" s="8" t="s">
        <v>123</v>
      </c>
      <c r="D103" s="15">
        <f>IF(DMKTKT!H107="","",DMKTKT!H107)</f>
        <v>0.25</v>
      </c>
      <c r="E103" s="18">
        <v>23000</v>
      </c>
      <c r="F103" s="18">
        <f t="shared" ref="F103:F104" si="3">IF(OR(D103="",E103=""),"",D103*E103)</f>
        <v>5750</v>
      </c>
      <c r="G103" s="36"/>
      <c r="H103" s="36"/>
      <c r="I103" s="36"/>
    </row>
    <row r="104" spans="1:9" ht="33" customHeight="1" x14ac:dyDescent="0.35">
      <c r="A104" s="8">
        <v>63</v>
      </c>
      <c r="B104" s="1" t="str">
        <f>DMKTKT!B108</f>
        <v>Nguyên liệu tươi pha chế mặt nạ (dưa leo, mật ong, sữa chua...)</v>
      </c>
      <c r="C104" s="8" t="s">
        <v>166</v>
      </c>
      <c r="D104" s="15">
        <f>IF(DMKTKT!H108="","",DMKTKT!H108)</f>
        <v>0.1</v>
      </c>
      <c r="E104" s="18">
        <v>100000</v>
      </c>
      <c r="F104" s="18">
        <f t="shared" si="3"/>
        <v>10000</v>
      </c>
      <c r="G104" s="36"/>
      <c r="H104" s="36"/>
      <c r="I104" s="36"/>
    </row>
    <row r="105" spans="1:9" ht="15" x14ac:dyDescent="0.35">
      <c r="A105" s="2"/>
      <c r="B105" s="7" t="s">
        <v>197</v>
      </c>
      <c r="C105" s="2"/>
      <c r="D105" s="2"/>
      <c r="E105" s="2"/>
      <c r="F105" s="19">
        <f>SUM(F42:F104)</f>
        <v>868420.83333333372</v>
      </c>
      <c r="G105" s="2"/>
      <c r="H105" s="2"/>
      <c r="I105" s="2"/>
    </row>
    <row r="107" spans="1:9" ht="15" x14ac:dyDescent="0.35">
      <c r="A107" s="6" t="s">
        <v>198</v>
      </c>
    </row>
    <row r="108" spans="1:9" ht="45" customHeight="1" x14ac:dyDescent="0.35">
      <c r="A108" s="29" t="s">
        <v>3</v>
      </c>
      <c r="B108" s="29" t="s">
        <v>168</v>
      </c>
      <c r="C108" s="29" t="s">
        <v>199</v>
      </c>
      <c r="D108" s="29" t="s">
        <v>187</v>
      </c>
      <c r="E108" s="29" t="s">
        <v>189</v>
      </c>
      <c r="F108" s="29" t="s">
        <v>200</v>
      </c>
      <c r="G108" s="29" t="s">
        <v>201</v>
      </c>
      <c r="H108" s="29" t="s">
        <v>180</v>
      </c>
      <c r="I108" s="29" t="s">
        <v>9</v>
      </c>
    </row>
    <row r="109" spans="1:9" ht="45" customHeight="1" x14ac:dyDescent="0.35">
      <c r="A109" s="8">
        <v>1</v>
      </c>
      <c r="B109" s="1" t="s">
        <v>202</v>
      </c>
      <c r="C109" s="16">
        <f>DMKTKT!E112</f>
        <v>68</v>
      </c>
      <c r="D109" s="18">
        <v>4956627928</v>
      </c>
      <c r="E109" s="20">
        <v>0.02</v>
      </c>
      <c r="F109" s="10">
        <v>1530</v>
      </c>
      <c r="G109" s="21">
        <f>D109*E109/(F109*THAM_SO!$B$13)</f>
        <v>36.813932917409389</v>
      </c>
      <c r="H109" s="18">
        <f>C109*G109</f>
        <v>2503.3474383838384</v>
      </c>
      <c r="I109" s="1" t="s">
        <v>203</v>
      </c>
    </row>
    <row r="110" spans="1:9" ht="45" customHeight="1" x14ac:dyDescent="0.35">
      <c r="A110" s="8">
        <v>2</v>
      </c>
      <c r="B110" s="1" t="s">
        <v>204</v>
      </c>
      <c r="C110" s="16">
        <f>DMKTKT!E113</f>
        <v>816</v>
      </c>
      <c r="D110" s="18">
        <v>4956627928</v>
      </c>
      <c r="E110" s="20">
        <v>0.02</v>
      </c>
      <c r="F110" s="10">
        <v>1530</v>
      </c>
      <c r="G110" s="21">
        <f>D110*E110/(F110*THAM_SO!$B$13)</f>
        <v>36.813932917409389</v>
      </c>
      <c r="H110" s="18">
        <f>C110*G110</f>
        <v>30040.169260606061</v>
      </c>
      <c r="I110" s="1" t="s">
        <v>205</v>
      </c>
    </row>
    <row r="111" spans="1:9" ht="15" x14ac:dyDescent="0.35">
      <c r="A111" s="2"/>
      <c r="B111" s="7" t="s">
        <v>206</v>
      </c>
      <c r="C111" s="2"/>
      <c r="D111" s="2"/>
      <c r="E111" s="2"/>
      <c r="F111" s="2"/>
      <c r="G111" s="2"/>
      <c r="H111" s="19">
        <f>SUM(H109:H110)</f>
        <v>32543.516698989901</v>
      </c>
      <c r="I111" s="2"/>
    </row>
    <row r="113" spans="1:4" ht="15" x14ac:dyDescent="0.35">
      <c r="A113" s="6" t="s">
        <v>207</v>
      </c>
    </row>
    <row r="114" spans="1:4" ht="30" x14ac:dyDescent="0.35">
      <c r="A114" s="29" t="s">
        <v>3</v>
      </c>
      <c r="B114" s="29" t="s">
        <v>208</v>
      </c>
      <c r="C114" s="29" t="s">
        <v>180</v>
      </c>
      <c r="D114" s="29" t="s">
        <v>209</v>
      </c>
    </row>
    <row r="115" spans="1:4" ht="15.5" x14ac:dyDescent="0.35">
      <c r="A115" s="8">
        <v>1</v>
      </c>
      <c r="B115" s="1" t="s">
        <v>210</v>
      </c>
      <c r="C115" s="18">
        <f>F9</f>
        <v>2868000</v>
      </c>
      <c r="D115" s="14"/>
    </row>
    <row r="116" spans="1:4" ht="15.5" x14ac:dyDescent="0.35">
      <c r="A116" s="8">
        <v>2</v>
      </c>
      <c r="B116" s="1" t="s">
        <v>211</v>
      </c>
      <c r="C116" s="18">
        <f>I38</f>
        <v>163144.47057954545</v>
      </c>
      <c r="D116" s="14"/>
    </row>
    <row r="117" spans="1:4" ht="15.5" x14ac:dyDescent="0.35">
      <c r="A117" s="8">
        <v>3</v>
      </c>
      <c r="B117" s="1" t="s">
        <v>212</v>
      </c>
      <c r="C117" s="18">
        <f>F105</f>
        <v>868420.83333333372</v>
      </c>
      <c r="D117" s="14"/>
    </row>
    <row r="118" spans="1:4" ht="15.5" x14ac:dyDescent="0.35">
      <c r="A118" s="8">
        <v>4</v>
      </c>
      <c r="B118" s="1" t="s">
        <v>213</v>
      </c>
      <c r="C118" s="18">
        <f>H111</f>
        <v>32543.516698989901</v>
      </c>
      <c r="D118" s="14"/>
    </row>
    <row r="119" spans="1:4" ht="48" customHeight="1" x14ac:dyDescent="0.35">
      <c r="A119" s="8"/>
      <c r="B119" s="7" t="s">
        <v>214</v>
      </c>
      <c r="C119" s="19">
        <f>SUM(C115:C118)</f>
        <v>3932108.820611869</v>
      </c>
      <c r="D119" s="23"/>
    </row>
  </sheetData>
  <mergeCells count="71">
    <mergeCell ref="G102:I102"/>
    <mergeCell ref="G103:I103"/>
    <mergeCell ref="G104:I104"/>
    <mergeCell ref="G97:I97"/>
    <mergeCell ref="G98:I98"/>
    <mergeCell ref="G99:I99"/>
    <mergeCell ref="G100:I100"/>
    <mergeCell ref="G101:I101"/>
    <mergeCell ref="G92:I92"/>
    <mergeCell ref="G93:I93"/>
    <mergeCell ref="G94:I94"/>
    <mergeCell ref="G95:I95"/>
    <mergeCell ref="G96:I96"/>
    <mergeCell ref="G87:I87"/>
    <mergeCell ref="G88:I88"/>
    <mergeCell ref="G89:I89"/>
    <mergeCell ref="G90:I90"/>
    <mergeCell ref="G91:I91"/>
    <mergeCell ref="G82:I82"/>
    <mergeCell ref="G83:I83"/>
    <mergeCell ref="G84:I84"/>
    <mergeCell ref="G85:I85"/>
    <mergeCell ref="G86:I86"/>
    <mergeCell ref="G77:I77"/>
    <mergeCell ref="G78:I78"/>
    <mergeCell ref="G79:I79"/>
    <mergeCell ref="G80:I80"/>
    <mergeCell ref="G81:I81"/>
    <mergeCell ref="G72:I72"/>
    <mergeCell ref="G73:I73"/>
    <mergeCell ref="G74:I74"/>
    <mergeCell ref="G75:I75"/>
    <mergeCell ref="G76:I76"/>
    <mergeCell ref="G67:I67"/>
    <mergeCell ref="G68:I68"/>
    <mergeCell ref="G69:I69"/>
    <mergeCell ref="G70:I70"/>
    <mergeCell ref="G71:I71"/>
    <mergeCell ref="G62:I62"/>
    <mergeCell ref="G63:I63"/>
    <mergeCell ref="G64:I64"/>
    <mergeCell ref="G65:I65"/>
    <mergeCell ref="G66:I66"/>
    <mergeCell ref="G57:I57"/>
    <mergeCell ref="G58:I58"/>
    <mergeCell ref="G59:I59"/>
    <mergeCell ref="G60:I60"/>
    <mergeCell ref="G61:I61"/>
    <mergeCell ref="G52:I52"/>
    <mergeCell ref="G53:I53"/>
    <mergeCell ref="G54:I54"/>
    <mergeCell ref="G55:I55"/>
    <mergeCell ref="G56:I56"/>
    <mergeCell ref="G47:I47"/>
    <mergeCell ref="G48:I48"/>
    <mergeCell ref="G49:I49"/>
    <mergeCell ref="G50:I50"/>
    <mergeCell ref="G51:I51"/>
    <mergeCell ref="G44:I44"/>
    <mergeCell ref="G45:I45"/>
    <mergeCell ref="G46:I46"/>
    <mergeCell ref="G6:I6"/>
    <mergeCell ref="G7:I7"/>
    <mergeCell ref="G8:I8"/>
    <mergeCell ref="G41:I41"/>
    <mergeCell ref="G42:I42"/>
    <mergeCell ref="A1:I1"/>
    <mergeCell ref="A2:I2"/>
    <mergeCell ref="A3:I3"/>
    <mergeCell ref="G5:I5"/>
    <mergeCell ref="G43:I43"/>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23"/>
  <sheetViews>
    <sheetView tabSelected="1" topLeftCell="A9" zoomScaleNormal="100" workbookViewId="0">
      <selection activeCell="A9" sqref="A9:XFD9"/>
    </sheetView>
  </sheetViews>
  <sheetFormatPr defaultColWidth="8.7265625" defaultRowHeight="14.5" x14ac:dyDescent="0.35"/>
  <cols>
    <col min="1" max="1" width="140" customWidth="1"/>
  </cols>
  <sheetData>
    <row r="1" spans="1:1" ht="19.5" customHeight="1" x14ac:dyDescent="0.35">
      <c r="A1" s="5" t="s">
        <v>215</v>
      </c>
    </row>
    <row r="2" spans="1:1" ht="19.5" customHeight="1" x14ac:dyDescent="0.35">
      <c r="A2" s="5" t="s">
        <v>216</v>
      </c>
    </row>
    <row r="4" spans="1:1" ht="18" customHeight="1" x14ac:dyDescent="0.35">
      <c r="A4" s="24" t="s">
        <v>311</v>
      </c>
    </row>
    <row r="5" spans="1:1" ht="79.5" customHeight="1" x14ac:dyDescent="0.35">
      <c r="A5" s="4" t="s">
        <v>217</v>
      </c>
    </row>
    <row r="6" spans="1:1" ht="18" customHeight="1" x14ac:dyDescent="0.35">
      <c r="A6" s="24" t="s">
        <v>312</v>
      </c>
    </row>
    <row r="7" spans="1:1" ht="50.25" customHeight="1" x14ac:dyDescent="0.35">
      <c r="A7" s="30" t="s">
        <v>313</v>
      </c>
    </row>
    <row r="8" spans="1:1" ht="18" customHeight="1" x14ac:dyDescent="0.35">
      <c r="A8" s="24" t="s">
        <v>218</v>
      </c>
    </row>
    <row r="9" spans="1:1" ht="96" customHeight="1" x14ac:dyDescent="0.35">
      <c r="A9" s="4" t="s">
        <v>314</v>
      </c>
    </row>
    <row r="10" spans="1:1" ht="18" customHeight="1" x14ac:dyDescent="0.35">
      <c r="A10" s="24" t="s">
        <v>219</v>
      </c>
    </row>
    <row r="11" spans="1:1" ht="100.5" customHeight="1" x14ac:dyDescent="0.35">
      <c r="A11" s="4" t="s">
        <v>315</v>
      </c>
    </row>
    <row r="12" spans="1:1" ht="18" customHeight="1" x14ac:dyDescent="0.35">
      <c r="A12" s="24" t="s">
        <v>220</v>
      </c>
    </row>
    <row r="13" spans="1:1" ht="31.5" customHeight="1" x14ac:dyDescent="0.35">
      <c r="A13" s="4" t="s">
        <v>221</v>
      </c>
    </row>
    <row r="14" spans="1:1" ht="18" customHeight="1" x14ac:dyDescent="0.35">
      <c r="A14" s="24" t="s">
        <v>222</v>
      </c>
    </row>
    <row r="15" spans="1:1" ht="51.75" customHeight="1" x14ac:dyDescent="0.35">
      <c r="A15" s="4" t="s">
        <v>316</v>
      </c>
    </row>
    <row r="16" spans="1:1" ht="18" customHeight="1" x14ac:dyDescent="0.35">
      <c r="A16" s="24" t="s">
        <v>223</v>
      </c>
    </row>
    <row r="17" spans="1:1" ht="63.75" customHeight="1" x14ac:dyDescent="0.35">
      <c r="A17" s="30" t="s">
        <v>317</v>
      </c>
    </row>
    <row r="18" spans="1:1" ht="18" customHeight="1" x14ac:dyDescent="0.35">
      <c r="A18" s="24" t="s">
        <v>224</v>
      </c>
    </row>
    <row r="19" spans="1:1" ht="48" customHeight="1" x14ac:dyDescent="0.35">
      <c r="A19" s="30" t="s">
        <v>318</v>
      </c>
    </row>
    <row r="20" spans="1:1" ht="18" customHeight="1" x14ac:dyDescent="0.35">
      <c r="A20" s="24" t="s">
        <v>225</v>
      </c>
    </row>
    <row r="21" spans="1:1" ht="31.5" customHeight="1" x14ac:dyDescent="0.35">
      <c r="A21" s="4" t="s">
        <v>226</v>
      </c>
    </row>
    <row r="22" spans="1:1" ht="18" customHeight="1" x14ac:dyDescent="0.35">
      <c r="A22" s="24" t="s">
        <v>319</v>
      </c>
    </row>
    <row r="23" spans="1:1" ht="45.75" customHeight="1" x14ac:dyDescent="0.35">
      <c r="A23" s="30" t="s">
        <v>320</v>
      </c>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zoomScaleNormal="100" workbookViewId="0">
      <selection sqref="A1:D1"/>
    </sheetView>
  </sheetViews>
  <sheetFormatPr defaultColWidth="8.7265625" defaultRowHeight="14.5" x14ac:dyDescent="0.35"/>
  <cols>
    <col min="1" max="1" width="52" customWidth="1"/>
    <col min="2" max="2" width="14" customWidth="1"/>
    <col min="3" max="3" width="12" customWidth="1"/>
    <col min="4" max="4" width="95" customWidth="1"/>
  </cols>
  <sheetData>
    <row r="1" spans="1:4" ht="16.5" x14ac:dyDescent="0.35">
      <c r="A1" s="37" t="s">
        <v>227</v>
      </c>
      <c r="B1" s="37"/>
      <c r="C1" s="37"/>
      <c r="D1" s="37"/>
    </row>
    <row r="3" spans="1:4" ht="15" x14ac:dyDescent="0.35">
      <c r="A3" s="25" t="s">
        <v>228</v>
      </c>
      <c r="B3" s="3" t="s">
        <v>229</v>
      </c>
      <c r="C3" s="3" t="s">
        <v>5</v>
      </c>
      <c r="D3" s="25" t="s">
        <v>230</v>
      </c>
    </row>
    <row r="4" spans="1:4" ht="15.5" x14ac:dyDescent="0.35">
      <c r="A4" s="1" t="s">
        <v>231</v>
      </c>
      <c r="B4" s="22">
        <v>35</v>
      </c>
      <c r="C4" s="8" t="s">
        <v>232</v>
      </c>
      <c r="D4" s="1" t="s">
        <v>233</v>
      </c>
    </row>
    <row r="5" spans="1:4" ht="15.5" x14ac:dyDescent="0.35">
      <c r="A5" s="1" t="s">
        <v>234</v>
      </c>
      <c r="B5" s="22">
        <v>18</v>
      </c>
      <c r="C5" s="8" t="s">
        <v>232</v>
      </c>
      <c r="D5" s="1" t="s">
        <v>235</v>
      </c>
    </row>
    <row r="6" spans="1:4" ht="31" x14ac:dyDescent="0.35">
      <c r="A6" s="1" t="s">
        <v>236</v>
      </c>
      <c r="B6" s="22">
        <v>40</v>
      </c>
      <c r="C6" s="8" t="s">
        <v>237</v>
      </c>
      <c r="D6" s="1" t="s">
        <v>238</v>
      </c>
    </row>
    <row r="7" spans="1:4" ht="15.5" x14ac:dyDescent="0.35">
      <c r="A7" s="1" t="s">
        <v>239</v>
      </c>
      <c r="B7" s="22">
        <v>200</v>
      </c>
      <c r="C7" s="8" t="s">
        <v>237</v>
      </c>
      <c r="D7" s="1" t="s">
        <v>240</v>
      </c>
    </row>
    <row r="8" spans="1:4" ht="15.5" x14ac:dyDescent="0.35">
      <c r="A8" s="1" t="s">
        <v>241</v>
      </c>
      <c r="B8" s="22">
        <v>4</v>
      </c>
      <c r="C8" s="8" t="s">
        <v>237</v>
      </c>
      <c r="D8" s="1" t="s">
        <v>242</v>
      </c>
    </row>
    <row r="9" spans="1:4" ht="15.5" x14ac:dyDescent="0.35">
      <c r="A9" s="1" t="s">
        <v>243</v>
      </c>
      <c r="B9" s="8">
        <f>B7+B8</f>
        <v>204</v>
      </c>
      <c r="C9" s="8" t="s">
        <v>237</v>
      </c>
      <c r="D9" s="1" t="s">
        <v>244</v>
      </c>
    </row>
    <row r="10" spans="1:4" ht="15.5" x14ac:dyDescent="0.35">
      <c r="A10" s="1" t="s">
        <v>245</v>
      </c>
      <c r="B10" s="14">
        <f>B6+B9</f>
        <v>244</v>
      </c>
      <c r="C10" s="8" t="s">
        <v>237</v>
      </c>
      <c r="D10" s="1" t="s">
        <v>246</v>
      </c>
    </row>
    <row r="11" spans="1:4" ht="15.5" x14ac:dyDescent="0.35">
      <c r="A11" s="1" t="s">
        <v>247</v>
      </c>
      <c r="B11" s="26">
        <v>0.15</v>
      </c>
      <c r="C11" s="8" t="s">
        <v>248</v>
      </c>
      <c r="D11" s="1" t="s">
        <v>249</v>
      </c>
    </row>
    <row r="12" spans="1:4" ht="31" x14ac:dyDescent="0.35">
      <c r="A12" s="1" t="s">
        <v>250</v>
      </c>
      <c r="B12" s="27">
        <v>200000</v>
      </c>
      <c r="C12" s="8" t="s">
        <v>251</v>
      </c>
      <c r="D12" s="1" t="s">
        <v>252</v>
      </c>
    </row>
    <row r="13" spans="1:4" ht="15.5" x14ac:dyDescent="0.35">
      <c r="A13" s="1" t="s">
        <v>253</v>
      </c>
      <c r="B13" s="27">
        <v>1760</v>
      </c>
      <c r="C13" s="8" t="s">
        <v>237</v>
      </c>
      <c r="D13" s="1" t="s">
        <v>254</v>
      </c>
    </row>
    <row r="14" spans="1:4" ht="15.5" x14ac:dyDescent="0.35">
      <c r="A14" s="1" t="s">
        <v>255</v>
      </c>
      <c r="B14" s="22">
        <v>1.7</v>
      </c>
      <c r="C14" s="8" t="s">
        <v>256</v>
      </c>
      <c r="D14" s="1" t="s">
        <v>257</v>
      </c>
    </row>
    <row r="15" spans="1:4" ht="15.5" x14ac:dyDescent="0.35">
      <c r="A15" s="1" t="s">
        <v>258</v>
      </c>
      <c r="B15" s="22">
        <v>4</v>
      </c>
      <c r="C15" s="8" t="s">
        <v>256</v>
      </c>
      <c r="D15" s="1" t="s">
        <v>259</v>
      </c>
    </row>
    <row r="16" spans="1:4" ht="31" x14ac:dyDescent="0.35">
      <c r="A16" s="1" t="s">
        <v>260</v>
      </c>
      <c r="B16" s="27">
        <v>500</v>
      </c>
      <c r="C16" s="8" t="s">
        <v>261</v>
      </c>
      <c r="D16" s="1" t="s">
        <v>262</v>
      </c>
    </row>
    <row r="17" spans="1:4" ht="31" x14ac:dyDescent="0.35">
      <c r="A17" s="1" t="s">
        <v>263</v>
      </c>
      <c r="B17" s="27">
        <v>104</v>
      </c>
      <c r="C17" s="8" t="s">
        <v>264</v>
      </c>
      <c r="D17" s="1" t="s">
        <v>265</v>
      </c>
    </row>
    <row r="18" spans="1:4" ht="31" x14ac:dyDescent="0.35">
      <c r="A18" s="1" t="s">
        <v>266</v>
      </c>
      <c r="B18" s="27">
        <v>67</v>
      </c>
      <c r="C18" s="8" t="s">
        <v>264</v>
      </c>
      <c r="D18" s="1" t="s">
        <v>267</v>
      </c>
    </row>
    <row r="19" spans="1:4" ht="31" x14ac:dyDescent="0.35">
      <c r="A19" s="1" t="s">
        <v>268</v>
      </c>
      <c r="B19" s="27">
        <v>36</v>
      </c>
      <c r="C19" s="8" t="s">
        <v>264</v>
      </c>
      <c r="D19" s="1" t="s">
        <v>269</v>
      </c>
    </row>
    <row r="20" spans="1:4" ht="15.5" x14ac:dyDescent="0.35">
      <c r="A20" s="1" t="s">
        <v>270</v>
      </c>
      <c r="B20" s="28">
        <v>2</v>
      </c>
      <c r="C20" s="8" t="s">
        <v>271</v>
      </c>
      <c r="D20" s="1" t="s">
        <v>272</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DMKTKT</vt:lpstr>
      <vt:lpstr>DMCPDT</vt:lpstr>
      <vt:lpstr>THUYET_MINH</vt:lpstr>
      <vt:lpstr>THAM_SO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Lê Thị Hồng NGa</cp:lastModifiedBy>
  <dcterms:modified xsi:type="dcterms:W3CDTF">2026-10-09T07:05:17Z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2026-10-07T09:56:14Z</dcterms:created>
  <dc:creator>openpyxl</dc:creator>
  <dc:description/>
  <dc:language>en-US</dc:language>
  <cp:lastModifiedBy/>
  <dcterms:modified xsi:type="dcterms:W3CDTF">2026-10-07T09:56:15Z</dcterms:modified>
  <cp:revision>0</cp:revision>
  <dc:subject/>
  <dc:title/>
</cp:coreProperties>
</file>