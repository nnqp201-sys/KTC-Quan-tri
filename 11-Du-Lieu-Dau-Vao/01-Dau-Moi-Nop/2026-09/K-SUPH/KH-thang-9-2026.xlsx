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OneDrive - Trường Cao Đẳng Kon Tum\KHOA SƯ PHẠM\KE HOẠCH TUAN, QUY, THANG\MAU BAO CAO THANG, QUY\"/>
    </mc:Choice>
  </mc:AlternateContent>
  <xr:revisionPtr revIDLastSave="0" documentId="13_ncr:1_{38CEC99E-3466-4F71-A495-132C1AF70C0F}" xr6:coauthVersionLast="47" xr6:coauthVersionMax="47" xr10:uidLastSave="{00000000-0000-0000-0000-000000000000}"/>
  <bookViews>
    <workbookView xWindow="-110" yWindow="-110" windowWidth="19420" windowHeight="11500" firstSheet="1"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2" l="1"/>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14" i="1"/>
  <c r="J14" i="1" s="1"/>
  <c r="I12" i="1"/>
  <c r="J12" i="1" s="1"/>
  <c r="I11" i="1"/>
  <c r="J11" i="1" s="1"/>
</calcChain>
</file>

<file path=xl/sharedStrings.xml><?xml version="1.0" encoding="utf-8"?>
<sst xmlns="http://schemas.openxmlformats.org/spreadsheetml/2006/main" count="225" uniqueCount="86">
  <si>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</si>
  <si>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</si>
  <si>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</si>
  <si>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</si>
  <si>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</si>
  <si>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</si>
  <si>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</si>
  <si>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</si>
  <si>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</si>
  <si>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</si>
  <si>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</si>
  <si>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</si>
  <si>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</si>
  <si>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</si>
  <si>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</si>
  <si>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</si>
  <si>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</si>
  <si>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</si>
  <si>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</si>
  <si>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</si>
  <si>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</si>
  <si>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</si>
  <si>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</si>
  <si>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</si>
  <si>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</si>
  <si>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</si>
  <si>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</si>
  <si>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</si>
  <si>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</si>
  <si>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</si>
  <si>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</si>
  <si>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</si>
  <si>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</si>
  <si>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</si>
  <si>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</si>
  <si>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</si>
  <si>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</si>
  <si>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</si>
  <si>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</si>
  <si>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</si>
  <si>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</si>
  <si>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</si>
  <si>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</si>
  <si>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</si>
  <si>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</si>
  <si>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</si>
  <si>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</si>
  <si>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</si>
  <si>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</si>
  <si>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</si>
  <si>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</si>
  <si>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</si>
  <si>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</si>
  <si>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</si>
  <si>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</si>
  <si>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</si>
  <si>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</si>
  <si>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</si>
  <si>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</si>
  <si>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</si>
  <si>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</si>
  <si>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</si>
  <si>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</si>
  <si>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</si>
  <si>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</si>
  <si>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</si>
  <si>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Ib
MẪU KẾ HOẠCH CÔNG TÁC THÁNG CỦA TRƯỜNG CAO ĐẲNG KON TUM</t>
  </si>
  <si>
    <t>Phụ lục Ia
MẪU KẾ HOẠCH  CÔNG TÁC  QUÝ CỦA TRƯỜNG CAO ĐẲNG KON TUM</t>
  </si>
  <si>
    <t>Đưa vào KH Trường</t>
  </si>
  <si>
    <t>Thường xuyên của đơn vị</t>
  </si>
  <si>
    <t>Độ khó, mới, phức tạp; phạm vi tác động</t>
  </si>
  <si>
    <t>KHOA SƯ PHẠM</t>
  </si>
  <si>
    <t>KẾ HOẠCH 
công tác tháng 9 năm 2026</t>
  </si>
  <si>
    <t>Khoa Sư phạm</t>
  </si>
  <si>
    <t>Kế hoạch</t>
  </si>
  <si>
    <t>20/9/2026</t>
  </si>
  <si>
    <t>Xây dựng kế hoạch thực tập Sư phạm
 năm 2 các lớp K7C GDMN hình thức VLVH đầu học kỳ IV theo mẫu có tại Phụ lục Quyết định số 1587);</t>
  </si>
  <si>
    <t>30/8/2026</t>
  </si>
  <si>
    <t>Kê hoạch</t>
  </si>
  <si>
    <t>Chủ trì phối hợp với các đơn vị trực thuộc Trường có liên quan rà soát, tổng hợp những hạn chế, tồn tại cần sửa chữa, khắc phục qua đợt khảo sát chính thức đánh giá ngoài chương trình đào tạo ngành Giáo dục Mầm non của nhà trường;</t>
  </si>
  <si>
    <t>Báo cáo</t>
  </si>
  <si>
    <t>25/8/2026</t>
  </si>
  <si>
    <t>Hoàn thiện kế hoạch hoạt động năm 
học của bộ môn, trình Lãnh đạo khoa và Phó Hiệu trưởng được phân công theo dõi, phụ trách khoa xem xét, phê duyệt; tổ chức triển khai thực hiện trong tháng 8/2026</t>
  </si>
  <si>
    <r>
      <rPr>
        <b/>
        <i/>
        <sz val="12"/>
        <rFont val="Times New Roman"/>
        <family val="1"/>
        <charset val="163"/>
      </rPr>
      <t xml:space="preserve">
Nơi nhận:</t>
    </r>
    <r>
      <rPr>
        <sz val="12"/>
        <rFont val="Times New Roman"/>
        <family val="1"/>
      </rPr>
      <t xml:space="preserve">
</t>
    </r>
    <r>
      <rPr>
        <sz val="11"/>
        <rFont val="Times New Roman"/>
        <family val="1"/>
        <charset val="163"/>
      </rPr>
      <t>- Phòng TH-HC&amp;QT;
- Lưu: KSP</t>
    </r>
  </si>
  <si>
    <r>
      <rPr>
        <i/>
        <sz val="14"/>
        <rFont val="Times New Roman"/>
        <family val="1"/>
        <charset val="163"/>
      </rPr>
      <t>Quảng Ngãi, nggày 17 .tháng 8 năm 2026.</t>
    </r>
    <r>
      <rPr>
        <sz val="14"/>
        <rFont val="Times New Roman"/>
        <family val="1"/>
      </rPr>
      <t xml:space="preserve">
</t>
    </r>
    <r>
      <rPr>
        <b/>
        <sz val="14"/>
        <rFont val="Times New Roman"/>
        <family val="1"/>
      </rPr>
      <t xml:space="preserve">LÃNH ĐẠO KHOA
Nguyễn Văn Phúc
</t>
    </r>
  </si>
  <si>
    <t>Nguyễn Văn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</si>
</sst>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
      <sz val="14"/>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1">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wrapText="1"/>
    </xf>
    <xf numFmtId="0" fontId="18" fillId="0" borderId="0" xfId="0" applyFont="1" applyAlignment="1">
      <alignment horizontal="center" vertical="center"/>
    </xf>
    <xf numFmtId="0" fontId="19" fillId="0" borderId="0" xfId="0" applyFont="1" applyAlignment="1">
      <alignment horizontal="center" vertical="center"/>
    </xf>
    <xf numFmtId="0" fontId="23" fillId="0" borderId="2"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justify" vertical="center"/>
    </xf>
    <xf numFmtId="0" fontId="2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870857</xdr:colOff>
      <xdr:row>39</xdr:row>
      <xdr:rowOff>489857</xdr:rowOff>
    </xdr:from>
    <xdr:to>
      <xdr:col>10</xdr:col>
      <xdr:colOff>772432</xdr:colOff>
      <xdr:row>40</xdr:row>
      <xdr:rowOff>97518</xdr:rowOff>
    </xdr:to>
    <xdr:pic>
      <xdr:nvPicPr>
        <xdr:cNvPr id="5" name="Picture 4">
          <a:extLst>
            <a:ext uri="{FF2B5EF4-FFF2-40B4-BE49-F238E27FC236}">
              <a16:creationId xmlns:a16="http://schemas.microsoft.com/office/drawing/2014/main" id="{BB34BA22-5A5B-952C-0221-9999F73CD42B}"/>
            </a:ext>
          </a:extLst>
        </xdr:cNvPr>
        <xdr:cNvPicPr>
          <a:picLocks noChangeAspect="1"/>
        </xdr:cNvPicPr>
      </xdr:nvPicPr>
      <xdr:blipFill>
        <a:blip xmlns:r="http://schemas.openxmlformats.org/officeDocument/2006/relationships" r:embed="rId1"/>
        <a:stretch>
          <a:fillRect/>
        </a:stretch>
      </xdr:blipFill>
      <xdr:spPr>
        <a:xfrm>
          <a:off x="8182428" y="15539357"/>
          <a:ext cx="2886075" cy="12858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zoomScale="85" zoomScaleNormal="70" zoomScaleSheetLayoutView="85" workbookViewId="0">
      <selection activeCell="G6" sqref="G6:G7"/>
    </sheetView>
  </sheetViews>
  <sheetFormatPr defaultRowHeight="32.5" customHeight="1" x14ac:dyDescent="0.35"/>
  <cols>
    <col min="1" max="1" width="6" customWidth="1"/>
    <col min="2" max="2" width="40.26953125" customWidth="1"/>
    <col min="3" max="3" width="16.453125" customWidth="1"/>
    <col min="4" max="4" width="19.90625" customWidth="1"/>
    <col min="5" max="5" width="12.90625" customWidth="1"/>
    <col min="6" max="6" width="14.08984375" customWidth="1"/>
    <col min="7" max="7" width="14.6328125" customWidth="1"/>
    <col min="8" max="8" width="13.6328125" customWidth="1"/>
    <col min="9" max="9" width="10.90625" customWidth="1"/>
    <col min="10" max="10" width="8.36328125" customWidth="1"/>
    <col min="11" max="11" width="12.26953125" customWidth="1"/>
  </cols>
  <sheetData>
    <row r="1" spans="1:11" ht="42.75" customHeight="1" x14ac:dyDescent="0.35">
      <c r="A1" s="26" t="s">
        <v>67</v>
      </c>
      <c r="B1" s="27"/>
      <c r="C1" s="27"/>
      <c r="D1" s="27"/>
      <c r="E1" s="27"/>
      <c r="F1" s="27"/>
      <c r="G1" s="27"/>
      <c r="H1" s="27"/>
      <c r="I1" s="27"/>
      <c r="J1" s="27"/>
      <c r="K1" s="27"/>
    </row>
    <row r="2" spans="1:11" s="7" customFormat="1" ht="21.75" customHeight="1" x14ac:dyDescent="0.35">
      <c r="A2" s="35" t="s">
        <v>29</v>
      </c>
      <c r="B2" s="36"/>
      <c r="C2" s="17"/>
      <c r="D2" s="17"/>
      <c r="E2" s="32" t="s">
        <v>24</v>
      </c>
      <c r="F2" s="32"/>
      <c r="G2" s="32"/>
      <c r="H2" s="32"/>
      <c r="I2" s="32"/>
      <c r="J2" s="32"/>
      <c r="K2" s="32"/>
    </row>
    <row r="3" spans="1:11" s="7" customFormat="1" ht="18.75" customHeight="1" x14ac:dyDescent="0.35">
      <c r="A3" s="32" t="s">
        <v>30</v>
      </c>
      <c r="B3" s="32"/>
      <c r="C3" s="8"/>
      <c r="D3" s="17"/>
      <c r="E3" s="26" t="s">
        <v>25</v>
      </c>
      <c r="F3" s="26"/>
      <c r="G3" s="26"/>
      <c r="H3" s="26"/>
      <c r="I3" s="26"/>
      <c r="J3" s="26"/>
      <c r="K3" s="26"/>
    </row>
    <row r="4" spans="1:11" ht="44.25" customHeight="1" x14ac:dyDescent="0.35">
      <c r="A4" s="26" t="s">
        <v>59</v>
      </c>
      <c r="B4" s="33"/>
      <c r="C4" s="33"/>
      <c r="D4" s="33"/>
      <c r="E4" s="33"/>
      <c r="F4" s="33"/>
      <c r="G4" s="33"/>
      <c r="H4" s="33"/>
      <c r="I4" s="33"/>
      <c r="J4" s="33"/>
      <c r="K4" s="33"/>
    </row>
    <row r="5" spans="1:11" ht="9" customHeight="1" x14ac:dyDescent="0.35">
      <c r="A5" s="29"/>
      <c r="B5" s="29"/>
      <c r="C5" s="29"/>
      <c r="D5" s="29"/>
      <c r="E5" s="29"/>
      <c r="F5" s="29"/>
      <c r="G5" s="29"/>
      <c r="H5" s="29"/>
      <c r="I5" s="29"/>
      <c r="J5" s="29"/>
      <c r="K5" s="29"/>
    </row>
    <row r="6" spans="1:11" ht="39.75" customHeight="1" x14ac:dyDescent="0.35">
      <c r="A6" s="28" t="s">
        <v>0</v>
      </c>
      <c r="B6" s="28" t="s">
        <v>1</v>
      </c>
      <c r="C6" s="28" t="s">
        <v>2</v>
      </c>
      <c r="D6" s="28" t="s">
        <v>32</v>
      </c>
      <c r="E6" s="28" t="s">
        <v>60</v>
      </c>
      <c r="F6" s="28" t="s">
        <v>15</v>
      </c>
      <c r="G6" s="37" t="s">
        <v>70</v>
      </c>
      <c r="H6" s="19" t="s">
        <v>3</v>
      </c>
      <c r="I6" s="19" t="s">
        <v>62</v>
      </c>
      <c r="J6" s="19" t="s">
        <v>63</v>
      </c>
      <c r="K6" s="28" t="s">
        <v>4</v>
      </c>
    </row>
    <row r="7" spans="1:11" ht="21.75" customHeight="1" x14ac:dyDescent="0.35">
      <c r="A7" s="28"/>
      <c r="B7" s="28"/>
      <c r="C7" s="28"/>
      <c r="D7" s="28"/>
      <c r="E7" s="28"/>
      <c r="F7" s="28"/>
      <c r="G7" s="37"/>
      <c r="H7" s="19"/>
      <c r="I7" s="19"/>
      <c r="J7" s="19"/>
      <c r="K7" s="28"/>
    </row>
    <row r="8" spans="1:11" ht="15" x14ac:dyDescent="0.35">
      <c r="A8" s="6" t="s">
        <v>16</v>
      </c>
      <c r="B8" s="6" t="s">
        <v>17</v>
      </c>
      <c r="C8" s="6" t="s">
        <v>18</v>
      </c>
      <c r="D8" s="6" t="s">
        <v>19</v>
      </c>
      <c r="E8" s="6" t="s">
        <v>20</v>
      </c>
      <c r="F8" s="6" t="s">
        <v>21</v>
      </c>
      <c r="G8" s="6" t="s">
        <v>22</v>
      </c>
      <c r="H8" s="6" t="s">
        <v>23</v>
      </c>
      <c r="I8" s="6" t="s">
        <v>28</v>
      </c>
      <c r="J8" s="6" t="s">
        <v>33</v>
      </c>
      <c r="K8" s="6" t="s">
        <v>61</v>
      </c>
    </row>
    <row r="9" spans="1:11" ht="31.5" customHeight="1" x14ac:dyDescent="0.35">
      <c r="A9" s="1" t="s">
        <v>5</v>
      </c>
      <c r="B9" s="22" t="s">
        <v>31</v>
      </c>
      <c r="C9" s="22"/>
      <c r="D9" s="22"/>
      <c r="E9" s="22"/>
      <c r="F9" s="22"/>
      <c r="G9" s="22"/>
      <c r="H9" s="22"/>
      <c r="I9" s="22"/>
      <c r="J9" s="22"/>
      <c r="K9" s="22"/>
    </row>
    <row r="10" spans="1:11" ht="25.5" customHeight="1" x14ac:dyDescent="0.35">
      <c r="A10" s="9">
        <v>1</v>
      </c>
      <c r="B10" s="23" t="s">
        <v>6</v>
      </c>
      <c r="C10" s="23"/>
      <c r="D10" s="23"/>
      <c r="E10" s="23"/>
      <c r="F10" s="23"/>
      <c r="G10" s="23"/>
      <c r="H10" s="23"/>
      <c r="I10" s="23"/>
      <c r="J10" s="23"/>
      <c r="K10" s="23"/>
    </row>
    <row r="11" spans="1:11" ht="84" customHeight="1" x14ac:dyDescent="0.35">
      <c r="A11" s="1" t="s">
        <v>26</v>
      </c>
      <c r="B11" s="3" t="s">
        <v>7</v>
      </c>
      <c r="C11" s="11" t="s">
        <v>38</v>
      </c>
      <c r="D11" s="11" t="s">
        <v>42</v>
      </c>
      <c r="E11" s="4" t="s">
        <v>49</v>
      </c>
      <c r="F11" s="1"/>
      <c r="G11" s="4" t="s">
        <v>52</v>
      </c>
      <c r="H11" s="1"/>
      <c r="I11" s="1">
        <f>IF(G11="Khó và phức tạp",200,IF(G11="Cao",150,IF(G11="Trungbình",120,100)))</f>
        <v>200</v>
      </c>
      <c r="J11" s="1">
        <f>I11*0.01</f>
        <v>2</v>
      </c>
      <c r="K11" s="18" t="s">
        <v>68</v>
      </c>
    </row>
    <row r="12" spans="1:11" ht="64.5" customHeight="1" x14ac:dyDescent="0.35">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69</v>
      </c>
    </row>
    <row r="13" spans="1:11" ht="36" x14ac:dyDescent="0.35">
      <c r="A13" s="1" t="s">
        <v>41</v>
      </c>
      <c r="B13" s="3" t="s">
        <v>7</v>
      </c>
      <c r="C13" s="14" t="s">
        <v>39</v>
      </c>
      <c r="D13" s="14" t="s">
        <v>54</v>
      </c>
      <c r="E13" s="15" t="s">
        <v>49</v>
      </c>
      <c r="F13" s="1"/>
      <c r="G13" s="4" t="s">
        <v>51</v>
      </c>
      <c r="H13" s="1"/>
      <c r="I13" s="1">
        <f t="shared" si="0"/>
        <v>150</v>
      </c>
      <c r="J13" s="1">
        <f t="shared" si="1"/>
        <v>1.5</v>
      </c>
      <c r="K13" s="1"/>
    </row>
    <row r="14" spans="1:11" ht="81" customHeight="1" x14ac:dyDescent="0.35">
      <c r="A14" s="1" t="s">
        <v>56</v>
      </c>
      <c r="B14" s="3" t="s">
        <v>7</v>
      </c>
      <c r="C14" s="14" t="s">
        <v>37</v>
      </c>
      <c r="D14" s="14" t="s">
        <v>55</v>
      </c>
      <c r="E14" s="15" t="s">
        <v>49</v>
      </c>
      <c r="F14" s="1"/>
      <c r="G14" s="4" t="s">
        <v>51</v>
      </c>
      <c r="H14" s="1"/>
      <c r="I14" s="1">
        <f t="shared" si="0"/>
        <v>150</v>
      </c>
      <c r="J14" s="1">
        <f t="shared" si="1"/>
        <v>1.5</v>
      </c>
      <c r="K14" s="18" t="s">
        <v>68</v>
      </c>
    </row>
    <row r="15" spans="1:11" ht="15" x14ac:dyDescent="0.35">
      <c r="A15" s="9">
        <v>2</v>
      </c>
      <c r="B15" s="23" t="s">
        <v>8</v>
      </c>
      <c r="C15" s="23"/>
      <c r="D15" s="23"/>
      <c r="E15" s="23"/>
      <c r="F15" s="23"/>
      <c r="G15" s="23"/>
      <c r="H15" s="23"/>
      <c r="I15" s="23"/>
      <c r="J15" s="23"/>
      <c r="K15" s="23"/>
    </row>
    <row r="16" spans="1:11" ht="36" x14ac:dyDescent="0.35">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68</v>
      </c>
    </row>
    <row r="17" spans="1:11" ht="46.5" x14ac:dyDescent="0.35">
      <c r="A17" s="1"/>
      <c r="B17" s="3" t="s">
        <v>7</v>
      </c>
      <c r="C17" s="14" t="s">
        <v>38</v>
      </c>
      <c r="D17" s="14" t="s">
        <v>55</v>
      </c>
      <c r="E17" s="15" t="s">
        <v>49</v>
      </c>
      <c r="F17" s="1"/>
      <c r="G17" s="4" t="s">
        <v>52</v>
      </c>
      <c r="H17" s="3"/>
      <c r="I17" s="1">
        <f t="shared" si="2"/>
        <v>200</v>
      </c>
      <c r="J17" s="1">
        <f t="shared" si="3"/>
        <v>2</v>
      </c>
      <c r="K17" s="15" t="s">
        <v>69</v>
      </c>
    </row>
    <row r="18" spans="1:11" ht="15" x14ac:dyDescent="0.35">
      <c r="A18" s="9">
        <v>3</v>
      </c>
      <c r="B18" s="23" t="s">
        <v>9</v>
      </c>
      <c r="C18" s="23"/>
      <c r="D18" s="23"/>
      <c r="E18" s="23"/>
      <c r="F18" s="23"/>
      <c r="G18" s="23"/>
      <c r="H18" s="23"/>
      <c r="I18" s="23"/>
      <c r="J18" s="23"/>
      <c r="K18" s="23"/>
    </row>
    <row r="19" spans="1:11" ht="36" x14ac:dyDescent="0.35">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68</v>
      </c>
    </row>
    <row r="20" spans="1:11" ht="46.5" x14ac:dyDescent="0.35">
      <c r="A20" s="1"/>
      <c r="B20" s="3" t="s">
        <v>7</v>
      </c>
      <c r="C20" s="14" t="s">
        <v>37</v>
      </c>
      <c r="D20" s="2"/>
      <c r="E20" s="2"/>
      <c r="F20" s="2"/>
      <c r="G20" s="3"/>
      <c r="H20" s="3"/>
      <c r="I20" s="1">
        <f t="shared" si="4"/>
        <v>100</v>
      </c>
      <c r="J20" s="1">
        <f t="shared" si="3"/>
        <v>1</v>
      </c>
      <c r="K20" s="15" t="s">
        <v>69</v>
      </c>
    </row>
    <row r="21" spans="1:11" s="16" customFormat="1" ht="15" x14ac:dyDescent="0.35">
      <c r="A21" s="1">
        <v>4</v>
      </c>
      <c r="B21" s="25" t="s">
        <v>10</v>
      </c>
      <c r="C21" s="25"/>
      <c r="D21" s="25"/>
      <c r="E21" s="25"/>
      <c r="F21" s="25"/>
      <c r="G21" s="25"/>
      <c r="H21" s="25"/>
      <c r="I21" s="25"/>
      <c r="J21" s="25"/>
      <c r="K21" s="25"/>
    </row>
    <row r="22" spans="1:11" ht="36" x14ac:dyDescent="0.35">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68</v>
      </c>
    </row>
    <row r="23" spans="1:11" ht="46.5" x14ac:dyDescent="0.35">
      <c r="A23" s="1"/>
      <c r="B23" s="3"/>
      <c r="C23" s="14" t="s">
        <v>44</v>
      </c>
      <c r="D23" s="14"/>
      <c r="E23" s="15" t="s">
        <v>49</v>
      </c>
      <c r="F23" s="1"/>
      <c r="G23" s="4" t="s">
        <v>52</v>
      </c>
      <c r="H23" s="4"/>
      <c r="I23" s="1">
        <f t="shared" si="5"/>
        <v>200</v>
      </c>
      <c r="J23" s="1">
        <f t="shared" si="3"/>
        <v>2</v>
      </c>
      <c r="K23" s="15" t="s">
        <v>69</v>
      </c>
    </row>
    <row r="24" spans="1:11" ht="31" x14ac:dyDescent="0.35">
      <c r="A24" s="1"/>
      <c r="B24" s="3"/>
      <c r="C24" s="14" t="s">
        <v>45</v>
      </c>
      <c r="D24" s="14"/>
      <c r="E24" s="15" t="s">
        <v>49</v>
      </c>
      <c r="F24" s="1"/>
      <c r="G24" s="4" t="s">
        <v>52</v>
      </c>
      <c r="H24" s="4"/>
      <c r="I24" s="1">
        <f t="shared" si="5"/>
        <v>200</v>
      </c>
      <c r="J24" s="1">
        <f t="shared" si="3"/>
        <v>2</v>
      </c>
      <c r="K24" s="18" t="s">
        <v>68</v>
      </c>
    </row>
    <row r="25" spans="1:11" ht="46.5" x14ac:dyDescent="0.35">
      <c r="A25" s="1"/>
      <c r="B25" s="3"/>
      <c r="C25" s="14" t="s">
        <v>46</v>
      </c>
      <c r="D25" s="14"/>
      <c r="E25" s="15" t="s">
        <v>49</v>
      </c>
      <c r="F25" s="1"/>
      <c r="G25" s="4" t="s">
        <v>52</v>
      </c>
      <c r="H25" s="4"/>
      <c r="I25" s="1">
        <f t="shared" si="5"/>
        <v>200</v>
      </c>
      <c r="J25" s="1">
        <f t="shared" si="3"/>
        <v>2</v>
      </c>
      <c r="K25" s="15" t="s">
        <v>69</v>
      </c>
    </row>
    <row r="26" spans="1:11" ht="31" x14ac:dyDescent="0.35">
      <c r="A26" s="1"/>
      <c r="B26" s="3"/>
      <c r="C26" s="14" t="s">
        <v>47</v>
      </c>
      <c r="D26" s="14"/>
      <c r="E26" s="15" t="s">
        <v>49</v>
      </c>
      <c r="F26" s="1"/>
      <c r="G26" s="4" t="s">
        <v>52</v>
      </c>
      <c r="H26" s="4"/>
      <c r="I26" s="1">
        <f t="shared" si="5"/>
        <v>200</v>
      </c>
      <c r="J26" s="1">
        <f t="shared" si="3"/>
        <v>2</v>
      </c>
      <c r="K26" s="18" t="s">
        <v>68</v>
      </c>
    </row>
    <row r="27" spans="1:11" ht="46.5" x14ac:dyDescent="0.35">
      <c r="A27" s="1"/>
      <c r="B27" s="3"/>
      <c r="C27" s="14" t="s">
        <v>48</v>
      </c>
      <c r="D27" s="14"/>
      <c r="E27" s="15" t="s">
        <v>49</v>
      </c>
      <c r="F27" s="1"/>
      <c r="G27" s="4" t="s">
        <v>52</v>
      </c>
      <c r="H27" s="4"/>
      <c r="I27" s="1">
        <f t="shared" si="5"/>
        <v>200</v>
      </c>
      <c r="J27" s="1">
        <f t="shared" si="3"/>
        <v>2</v>
      </c>
      <c r="K27" s="15" t="s">
        <v>69</v>
      </c>
    </row>
    <row r="28" spans="1:11" ht="15" x14ac:dyDescent="0.35">
      <c r="A28" s="9">
        <v>5</v>
      </c>
      <c r="B28" s="23" t="s">
        <v>11</v>
      </c>
      <c r="C28" s="23"/>
      <c r="D28" s="23"/>
      <c r="E28" s="23"/>
      <c r="F28" s="23"/>
      <c r="G28" s="23"/>
      <c r="H28" s="23"/>
      <c r="I28" s="23"/>
      <c r="J28" s="23"/>
      <c r="K28" s="23"/>
    </row>
    <row r="29" spans="1:11" ht="36" x14ac:dyDescent="0.35">
      <c r="A29" s="1"/>
      <c r="B29" s="3" t="s">
        <v>7</v>
      </c>
      <c r="C29" s="14" t="s">
        <v>43</v>
      </c>
      <c r="D29" s="14"/>
      <c r="E29" s="15" t="s">
        <v>49</v>
      </c>
      <c r="F29" s="1"/>
      <c r="G29" s="4" t="s">
        <v>52</v>
      </c>
      <c r="H29" s="4"/>
      <c r="I29" s="1">
        <f t="shared" ref="I29:I34" si="6">IF(G29="Khó và phức tạp",200,IF(G29="Cao",150,IF(G29="Trungbình",120,100)))</f>
        <v>200</v>
      </c>
      <c r="J29" s="1">
        <f t="shared" si="3"/>
        <v>2</v>
      </c>
      <c r="K29" s="18" t="s">
        <v>68</v>
      </c>
    </row>
    <row r="30" spans="1:11" ht="46.5" x14ac:dyDescent="0.35">
      <c r="A30" s="1"/>
      <c r="B30" s="3"/>
      <c r="C30" s="14" t="s">
        <v>44</v>
      </c>
      <c r="D30" s="14"/>
      <c r="E30" s="15" t="s">
        <v>49</v>
      </c>
      <c r="F30" s="1"/>
      <c r="G30" s="4" t="s">
        <v>51</v>
      </c>
      <c r="H30" s="4"/>
      <c r="I30" s="1">
        <f t="shared" si="6"/>
        <v>150</v>
      </c>
      <c r="J30" s="1">
        <f t="shared" si="3"/>
        <v>1.5</v>
      </c>
      <c r="K30" s="15" t="s">
        <v>69</v>
      </c>
    </row>
    <row r="31" spans="1:11" ht="31" x14ac:dyDescent="0.35">
      <c r="A31" s="1"/>
      <c r="B31" s="3"/>
      <c r="C31" s="14" t="s">
        <v>45</v>
      </c>
      <c r="D31" s="14"/>
      <c r="E31" s="15" t="s">
        <v>49</v>
      </c>
      <c r="F31" s="1"/>
      <c r="G31" s="4" t="s">
        <v>52</v>
      </c>
      <c r="H31" s="4"/>
      <c r="I31" s="1">
        <f t="shared" si="6"/>
        <v>200</v>
      </c>
      <c r="J31" s="1">
        <f t="shared" si="3"/>
        <v>2</v>
      </c>
      <c r="K31" s="18" t="s">
        <v>68</v>
      </c>
    </row>
    <row r="32" spans="1:11" ht="46.5" x14ac:dyDescent="0.35">
      <c r="A32" s="1"/>
      <c r="B32" s="3"/>
      <c r="C32" s="14" t="s">
        <v>46</v>
      </c>
      <c r="D32" s="14"/>
      <c r="E32" s="15" t="s">
        <v>49</v>
      </c>
      <c r="F32" s="1"/>
      <c r="G32" s="4" t="s">
        <v>50</v>
      </c>
      <c r="H32" s="4"/>
      <c r="I32" s="1">
        <f t="shared" si="6"/>
        <v>100</v>
      </c>
      <c r="J32" s="1">
        <f t="shared" si="3"/>
        <v>1</v>
      </c>
      <c r="K32" s="15" t="s">
        <v>69</v>
      </c>
    </row>
    <row r="33" spans="1:11" ht="30" x14ac:dyDescent="0.35">
      <c r="A33" s="1"/>
      <c r="B33" s="3"/>
      <c r="C33" s="14" t="s">
        <v>47</v>
      </c>
      <c r="D33" s="14"/>
      <c r="E33" s="15" t="s">
        <v>49</v>
      </c>
      <c r="F33" s="1"/>
      <c r="G33" s="4" t="s">
        <v>51</v>
      </c>
      <c r="H33" s="4"/>
      <c r="I33" s="1">
        <f t="shared" si="6"/>
        <v>150</v>
      </c>
      <c r="J33" s="1">
        <f t="shared" si="3"/>
        <v>1.5</v>
      </c>
      <c r="K33" s="18" t="s">
        <v>68</v>
      </c>
    </row>
    <row r="34" spans="1:11" ht="46.5" x14ac:dyDescent="0.35">
      <c r="A34" s="1"/>
      <c r="B34" s="3"/>
      <c r="C34" s="14" t="s">
        <v>48</v>
      </c>
      <c r="D34" s="14"/>
      <c r="E34" s="15" t="s">
        <v>49</v>
      </c>
      <c r="F34" s="1"/>
      <c r="G34" s="4" t="s">
        <v>64</v>
      </c>
      <c r="H34" s="4"/>
      <c r="I34" s="1">
        <f t="shared" si="6"/>
        <v>100</v>
      </c>
      <c r="J34" s="1">
        <f t="shared" si="3"/>
        <v>1</v>
      </c>
      <c r="K34" s="15" t="s">
        <v>69</v>
      </c>
    </row>
    <row r="35" spans="1:11" ht="15" x14ac:dyDescent="0.35">
      <c r="A35" s="9">
        <v>6</v>
      </c>
      <c r="B35" s="23" t="s">
        <v>12</v>
      </c>
      <c r="C35" s="23"/>
      <c r="D35" s="23"/>
      <c r="E35" s="23"/>
      <c r="F35" s="23"/>
      <c r="G35" s="23"/>
      <c r="H35" s="23"/>
      <c r="I35" s="23"/>
      <c r="J35" s="23"/>
      <c r="K35" s="23"/>
    </row>
    <row r="36" spans="1:11" ht="36" x14ac:dyDescent="0.35">
      <c r="A36" s="5"/>
      <c r="B36" s="3" t="s">
        <v>7</v>
      </c>
      <c r="C36" s="14" t="s">
        <v>43</v>
      </c>
      <c r="D36" s="14"/>
      <c r="E36" s="15" t="s">
        <v>49</v>
      </c>
      <c r="F36" s="1"/>
      <c r="G36" s="4" t="s">
        <v>52</v>
      </c>
      <c r="H36" s="4"/>
      <c r="I36" s="1">
        <f t="shared" ref="I36:I37" si="7">IF(G36="Khó và phức tạp",200,IF(G36="Cao",150,IF(G36="Trungbình",120,100)))</f>
        <v>200</v>
      </c>
      <c r="J36" s="1">
        <f t="shared" si="3"/>
        <v>2</v>
      </c>
      <c r="K36" s="18" t="s">
        <v>68</v>
      </c>
    </row>
    <row r="37" spans="1:11" ht="46.5" x14ac:dyDescent="0.35">
      <c r="A37" s="4"/>
      <c r="B37" s="3" t="s">
        <v>7</v>
      </c>
      <c r="C37" s="14" t="s">
        <v>44</v>
      </c>
      <c r="D37" s="14"/>
      <c r="E37" s="15" t="s">
        <v>49</v>
      </c>
      <c r="F37" s="1"/>
      <c r="G37" s="4" t="s">
        <v>52</v>
      </c>
      <c r="H37" s="4"/>
      <c r="I37" s="1">
        <f t="shared" si="7"/>
        <v>200</v>
      </c>
      <c r="J37" s="1">
        <f t="shared" si="3"/>
        <v>2</v>
      </c>
      <c r="K37" s="15" t="s">
        <v>69</v>
      </c>
    </row>
    <row r="38" spans="1:11" ht="15" x14ac:dyDescent="0.35">
      <c r="A38" s="9" t="s">
        <v>13</v>
      </c>
      <c r="B38" s="23" t="s">
        <v>14</v>
      </c>
      <c r="C38" s="23"/>
      <c r="D38" s="23"/>
      <c r="E38" s="23"/>
      <c r="F38" s="23"/>
      <c r="G38" s="23"/>
      <c r="H38" s="23"/>
      <c r="I38" s="23"/>
      <c r="J38" s="23"/>
      <c r="K38" s="23"/>
    </row>
    <row r="39" spans="1:11" ht="31" x14ac:dyDescent="0.35">
      <c r="A39" s="4">
        <v>1</v>
      </c>
      <c r="B39" s="3"/>
      <c r="C39" s="14" t="s">
        <v>38</v>
      </c>
      <c r="D39" s="14"/>
      <c r="E39" s="15" t="s">
        <v>49</v>
      </c>
      <c r="F39" s="1"/>
      <c r="G39" s="4" t="s">
        <v>52</v>
      </c>
      <c r="H39" s="4"/>
      <c r="I39" s="1">
        <f t="shared" ref="I39:I41" si="8">IF(G39="Khó và phức tạp",200,IF(G39="Cao",150,IF(G39="Trungbình",120,100)))</f>
        <v>200</v>
      </c>
      <c r="J39" s="1">
        <f t="shared" si="3"/>
        <v>2</v>
      </c>
      <c r="K39" s="18" t="s">
        <v>68</v>
      </c>
    </row>
    <row r="40" spans="1:11" ht="46.5" x14ac:dyDescent="0.35">
      <c r="A40" s="4">
        <v>2</v>
      </c>
      <c r="B40" s="3"/>
      <c r="C40" s="14" t="s">
        <v>43</v>
      </c>
      <c r="D40" s="14"/>
      <c r="E40" s="15" t="s">
        <v>49</v>
      </c>
      <c r="F40" s="1"/>
      <c r="G40" s="4" t="s">
        <v>52</v>
      </c>
      <c r="H40" s="4"/>
      <c r="I40" s="1">
        <f t="shared" si="8"/>
        <v>200</v>
      </c>
      <c r="J40" s="1">
        <f t="shared" si="3"/>
        <v>2</v>
      </c>
      <c r="K40" s="15" t="s">
        <v>69</v>
      </c>
    </row>
    <row r="41" spans="1:11" ht="36" x14ac:dyDescent="0.35">
      <c r="A41" s="4" t="s">
        <v>7</v>
      </c>
      <c r="B41" s="3"/>
      <c r="C41" s="14" t="s">
        <v>44</v>
      </c>
      <c r="D41" s="14"/>
      <c r="E41" s="15" t="s">
        <v>49</v>
      </c>
      <c r="F41" s="1"/>
      <c r="G41" s="4" t="s">
        <v>52</v>
      </c>
      <c r="H41" s="4"/>
      <c r="I41" s="1">
        <f t="shared" si="8"/>
        <v>200</v>
      </c>
      <c r="J41" s="1">
        <f t="shared" si="3"/>
        <v>2</v>
      </c>
      <c r="K41" s="4"/>
    </row>
    <row r="42" spans="1:11" s="10" customFormat="1" ht="119.25" customHeight="1" x14ac:dyDescent="0.35">
      <c r="B42" s="24" t="s">
        <v>34</v>
      </c>
      <c r="C42" s="24"/>
      <c r="D42" s="24"/>
      <c r="E42" s="24"/>
      <c r="F42" s="24"/>
      <c r="G42" s="24"/>
      <c r="H42" s="24"/>
      <c r="I42" s="24"/>
      <c r="J42" s="24"/>
      <c r="K42" s="24"/>
    </row>
    <row r="43" spans="1:11" s="13" customFormat="1" ht="133.5" customHeight="1" x14ac:dyDescent="0.35">
      <c r="A43" s="21" t="s">
        <v>36</v>
      </c>
      <c r="B43" s="21"/>
      <c r="C43" s="21"/>
      <c r="D43" s="12"/>
      <c r="F43" s="20" t="s">
        <v>35</v>
      </c>
      <c r="G43" s="20"/>
      <c r="H43" s="20"/>
      <c r="I43" s="20"/>
      <c r="J43" s="20"/>
      <c r="K43" s="20"/>
    </row>
  </sheetData>
  <mergeCells count="29">
    <mergeCell ref="B28:K28"/>
    <mergeCell ref="B35:K35"/>
    <mergeCell ref="B38:K38"/>
    <mergeCell ref="B42:K42"/>
    <mergeCell ref="H6:H7"/>
    <mergeCell ref="K6:K7"/>
    <mergeCell ref="B9:K9"/>
    <mergeCell ref="B10:K10"/>
    <mergeCell ref="B15:K15"/>
    <mergeCell ref="B18:K18"/>
    <mergeCell ref="B21:K21"/>
    <mergeCell ref="I6:I7"/>
    <mergeCell ref="J6:J7"/>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41"/>
  <sheetViews>
    <sheetView tabSelected="1" topLeftCell="A36" zoomScale="70" zoomScaleNormal="70" zoomScaleSheetLayoutView="48" workbookViewId="0">
      <selection activeCell="H45" sqref="H45"/>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ht="42.75" customHeight="1" x14ac:dyDescent="0.35">
      <c r="A1" s="26" t="s">
        <v>66</v>
      </c>
      <c r="B1" s="27"/>
      <c r="C1" s="27"/>
      <c r="D1" s="27"/>
      <c r="E1" s="27"/>
      <c r="F1" s="27"/>
      <c r="G1" s="27"/>
      <c r="H1" s="27"/>
      <c r="I1" s="27"/>
      <c r="J1" s="27"/>
      <c r="K1" s="27"/>
    </row>
    <row r="2" spans="1:11" s="7" customFormat="1" ht="28.5" customHeight="1" x14ac:dyDescent="0.4">
      <c r="A2" s="30" t="s">
        <v>29</v>
      </c>
      <c r="B2" s="31"/>
      <c r="D2" s="34" t="s">
        <v>24</v>
      </c>
      <c r="E2" s="34"/>
      <c r="F2" s="34"/>
      <c r="G2" s="34"/>
      <c r="H2" s="34"/>
      <c r="I2" s="34"/>
      <c r="J2" s="34"/>
      <c r="K2" s="34"/>
    </row>
    <row r="3" spans="1:11" s="7" customFormat="1" ht="18.75" customHeight="1" x14ac:dyDescent="0.35">
      <c r="A3" s="32" t="s">
        <v>71</v>
      </c>
      <c r="B3" s="32"/>
      <c r="C3" s="8"/>
      <c r="D3" s="26" t="s">
        <v>25</v>
      </c>
      <c r="E3" s="26"/>
      <c r="F3" s="26"/>
      <c r="G3" s="26"/>
      <c r="H3" s="26"/>
      <c r="I3" s="26"/>
      <c r="J3" s="26"/>
      <c r="K3" s="26"/>
    </row>
    <row r="4" spans="1:11" ht="44.25" customHeight="1" x14ac:dyDescent="0.35">
      <c r="A4" s="26" t="s">
        <v>72</v>
      </c>
      <c r="B4" s="33"/>
      <c r="C4" s="33"/>
      <c r="D4" s="33"/>
      <c r="E4" s="33"/>
      <c r="F4" s="33"/>
      <c r="G4" s="33"/>
      <c r="H4" s="33"/>
      <c r="I4" s="33"/>
      <c r="J4" s="33"/>
      <c r="K4" s="33"/>
    </row>
    <row r="5" spans="1:11" ht="9" customHeight="1" x14ac:dyDescent="0.35">
      <c r="A5" s="29"/>
      <c r="B5" s="29"/>
      <c r="C5" s="29"/>
      <c r="D5" s="29"/>
      <c r="E5" s="29"/>
      <c r="F5" s="29"/>
      <c r="G5" s="29"/>
      <c r="H5" s="29"/>
      <c r="I5" s="29"/>
      <c r="J5" s="29"/>
      <c r="K5" s="29"/>
    </row>
    <row r="6" spans="1:11" ht="22" customHeight="1" x14ac:dyDescent="0.35">
      <c r="A6" s="28" t="s">
        <v>0</v>
      </c>
      <c r="B6" s="28" t="s">
        <v>1</v>
      </c>
      <c r="C6" s="28" t="s">
        <v>2</v>
      </c>
      <c r="D6" s="28" t="s">
        <v>32</v>
      </c>
      <c r="E6" s="28" t="s">
        <v>60</v>
      </c>
      <c r="F6" s="28" t="s">
        <v>15</v>
      </c>
      <c r="G6" s="28" t="s">
        <v>57</v>
      </c>
      <c r="H6" s="19" t="s">
        <v>3</v>
      </c>
      <c r="I6" s="19" t="s">
        <v>62</v>
      </c>
      <c r="J6" s="19" t="s">
        <v>63</v>
      </c>
      <c r="K6" s="19" t="s">
        <v>4</v>
      </c>
    </row>
    <row r="7" spans="1:11" ht="63.75" customHeight="1" x14ac:dyDescent="0.35">
      <c r="A7" s="28"/>
      <c r="B7" s="28"/>
      <c r="C7" s="28"/>
      <c r="D7" s="28"/>
      <c r="E7" s="28"/>
      <c r="F7" s="28"/>
      <c r="G7" s="28"/>
      <c r="H7" s="19"/>
      <c r="I7" s="19"/>
      <c r="J7" s="19"/>
      <c r="K7" s="19"/>
    </row>
    <row r="8" spans="1:11" ht="15" x14ac:dyDescent="0.35">
      <c r="A8" s="6" t="s">
        <v>16</v>
      </c>
      <c r="B8" s="6" t="s">
        <v>17</v>
      </c>
      <c r="C8" s="6" t="s">
        <v>18</v>
      </c>
      <c r="D8" s="6" t="s">
        <v>19</v>
      </c>
      <c r="E8" s="6" t="s">
        <v>20</v>
      </c>
      <c r="F8" s="6" t="s">
        <v>21</v>
      </c>
      <c r="G8" s="6" t="s">
        <v>22</v>
      </c>
      <c r="H8" s="6" t="s">
        <v>23</v>
      </c>
      <c r="I8" s="6" t="s">
        <v>28</v>
      </c>
      <c r="J8" s="6" t="s">
        <v>33</v>
      </c>
      <c r="K8" s="6" t="s">
        <v>33</v>
      </c>
    </row>
    <row r="9" spans="1:11" ht="31.5" customHeight="1" x14ac:dyDescent="0.35">
      <c r="A9" s="1" t="s">
        <v>5</v>
      </c>
      <c r="B9" s="22" t="s">
        <v>65</v>
      </c>
      <c r="C9" s="22"/>
      <c r="D9" s="22"/>
      <c r="E9" s="22"/>
      <c r="F9" s="22"/>
      <c r="G9" s="22"/>
      <c r="H9" s="22"/>
      <c r="I9" s="22"/>
      <c r="J9" s="22"/>
      <c r="K9" s="22"/>
    </row>
    <row r="10" spans="1:11" ht="22.5" customHeight="1" x14ac:dyDescent="0.35">
      <c r="A10" s="9">
        <v>1</v>
      </c>
      <c r="B10" s="23" t="s">
        <v>6</v>
      </c>
      <c r="C10" s="23"/>
      <c r="D10" s="23"/>
      <c r="E10" s="23"/>
      <c r="F10" s="23"/>
      <c r="G10" s="23"/>
      <c r="H10" s="23"/>
      <c r="I10" s="23"/>
      <c r="J10" s="23"/>
      <c r="K10" s="23"/>
    </row>
    <row r="11" spans="1:11" ht="74.25" customHeight="1" x14ac:dyDescent="0.4">
      <c r="A11" s="1" t="s">
        <v>26</v>
      </c>
      <c r="B11" s="38" t="s">
        <v>76</v>
      </c>
      <c r="C11" s="11" t="s">
        <v>37</v>
      </c>
      <c r="D11" s="11" t="s">
        <v>73</v>
      </c>
      <c r="E11" s="4" t="s">
        <v>74</v>
      </c>
      <c r="F11" s="1">
        <v>5</v>
      </c>
      <c r="G11" s="4" t="s">
        <v>52</v>
      </c>
      <c r="H11" s="1" t="s">
        <v>75</v>
      </c>
      <c r="I11" s="1">
        <f>IF(G11="Khó và phức tạp",200,IF(G11="Cao",150,IF(G11="Trungbình",120,100)))</f>
        <v>200</v>
      </c>
      <c r="J11" s="1">
        <f>I11*0.01</f>
        <v>2</v>
      </c>
      <c r="K11" s="18" t="s">
        <v>68</v>
      </c>
    </row>
    <row r="12" spans="1:11" ht="126" x14ac:dyDescent="0.35">
      <c r="A12" s="1">
        <v>1.2</v>
      </c>
      <c r="B12" s="39" t="s">
        <v>79</v>
      </c>
      <c r="C12" s="11" t="s">
        <v>37</v>
      </c>
      <c r="D12" s="11" t="s">
        <v>73</v>
      </c>
      <c r="E12" s="4" t="s">
        <v>80</v>
      </c>
      <c r="F12" s="1">
        <v>1</v>
      </c>
      <c r="G12" s="4" t="s">
        <v>50</v>
      </c>
      <c r="H12" s="1" t="s">
        <v>81</v>
      </c>
      <c r="I12" s="1">
        <f t="shared" ref="I12" si="0">IF(G12="Khó và phức tạp",200,IF(G12="Cao",150,IF(G12="Trungbình",120,100)))</f>
        <v>100</v>
      </c>
      <c r="J12" s="1">
        <f t="shared" ref="J12" si="1">I12*0.01</f>
        <v>1</v>
      </c>
      <c r="K12" s="1"/>
    </row>
    <row r="13" spans="1:11" ht="22.5" customHeight="1" x14ac:dyDescent="0.35">
      <c r="A13" s="9">
        <v>2</v>
      </c>
      <c r="B13" s="23" t="s">
        <v>8</v>
      </c>
      <c r="C13" s="23"/>
      <c r="D13" s="23"/>
      <c r="E13" s="23"/>
      <c r="F13" s="23"/>
      <c r="G13" s="23"/>
      <c r="H13" s="23"/>
      <c r="I13" s="23"/>
      <c r="J13" s="23"/>
      <c r="K13" s="23"/>
    </row>
    <row r="14" spans="1:11" ht="108" x14ac:dyDescent="0.4">
      <c r="A14" s="1"/>
      <c r="B14" s="38" t="s">
        <v>82</v>
      </c>
      <c r="C14" s="11" t="s">
        <v>37</v>
      </c>
      <c r="D14" s="11" t="s">
        <v>73</v>
      </c>
      <c r="E14" s="4" t="s">
        <v>78</v>
      </c>
      <c r="F14" s="1">
        <v>2</v>
      </c>
      <c r="G14" s="4" t="s">
        <v>51</v>
      </c>
      <c r="H14" s="1" t="s">
        <v>77</v>
      </c>
      <c r="I14" s="1">
        <f>IF(G14="Khó và phức tạp",200,IF(G14="Cao",150,IF(G14="Trungbình",120,100)))</f>
        <v>150</v>
      </c>
      <c r="J14" s="1">
        <f>I14*0.01</f>
        <v>1.5</v>
      </c>
      <c r="K14" s="15" t="s">
        <v>69</v>
      </c>
    </row>
    <row r="15" spans="1:11" ht="22.5" customHeight="1" x14ac:dyDescent="0.35">
      <c r="A15" s="9">
        <v>3</v>
      </c>
      <c r="B15" s="23" t="s">
        <v>9</v>
      </c>
      <c r="C15" s="23"/>
      <c r="D15" s="23"/>
      <c r="E15" s="23"/>
      <c r="F15" s="23"/>
      <c r="G15" s="23"/>
      <c r="H15" s="23"/>
      <c r="I15" s="23"/>
      <c r="J15" s="23"/>
      <c r="K15" s="23"/>
    </row>
    <row r="16" spans="1:11" ht="15.5" x14ac:dyDescent="0.35">
      <c r="A16" s="1"/>
      <c r="B16" s="3"/>
      <c r="C16" s="11"/>
      <c r="D16" s="11"/>
      <c r="E16" s="4"/>
      <c r="F16" s="1"/>
      <c r="G16" s="4"/>
      <c r="H16" s="4"/>
      <c r="I16" s="1"/>
      <c r="J16" s="1"/>
      <c r="K16" s="18"/>
    </row>
    <row r="17" spans="1:11" ht="15.5" x14ac:dyDescent="0.35">
      <c r="A17" s="1"/>
      <c r="B17" s="3"/>
      <c r="C17" s="11"/>
      <c r="D17" s="11"/>
      <c r="E17" s="4"/>
      <c r="F17" s="1"/>
      <c r="G17" s="4"/>
      <c r="H17" s="3"/>
      <c r="I17" s="1"/>
      <c r="J17" s="1"/>
      <c r="K17" s="15"/>
    </row>
    <row r="18" spans="1:11" ht="46.5" customHeight="1" x14ac:dyDescent="0.35">
      <c r="A18" s="9">
        <v>4</v>
      </c>
      <c r="B18" s="25" t="s">
        <v>10</v>
      </c>
      <c r="C18" s="25"/>
      <c r="D18" s="25"/>
      <c r="E18" s="25"/>
      <c r="F18" s="25"/>
      <c r="G18" s="25"/>
      <c r="H18" s="25"/>
      <c r="I18" s="25"/>
      <c r="J18" s="25"/>
      <c r="K18" s="25"/>
    </row>
    <row r="19" spans="1:11" ht="15.5" x14ac:dyDescent="0.35">
      <c r="A19" s="1"/>
      <c r="B19" s="3"/>
      <c r="C19" s="11"/>
      <c r="D19" s="11"/>
      <c r="E19" s="4"/>
      <c r="F19" s="1"/>
      <c r="G19" s="4"/>
      <c r="H19" s="4"/>
      <c r="I19" s="1"/>
      <c r="J19" s="1"/>
      <c r="K19" s="18"/>
    </row>
    <row r="20" spans="1:11" ht="15.5" x14ac:dyDescent="0.35">
      <c r="A20" s="4"/>
      <c r="B20" s="3"/>
      <c r="C20" s="11"/>
      <c r="D20" s="11"/>
      <c r="E20" s="4"/>
      <c r="F20" s="1"/>
      <c r="G20" s="4"/>
      <c r="H20" s="4"/>
      <c r="I20" s="1"/>
      <c r="J20" s="1"/>
      <c r="K20" s="15"/>
    </row>
    <row r="21" spans="1:11" ht="15.5" x14ac:dyDescent="0.35">
      <c r="A21" s="4"/>
      <c r="B21" s="3"/>
      <c r="C21" s="11"/>
      <c r="D21" s="11"/>
      <c r="E21" s="4"/>
      <c r="F21" s="1"/>
      <c r="G21" s="4"/>
      <c r="H21" s="4"/>
      <c r="I21" s="1"/>
      <c r="J21" s="1"/>
      <c r="K21" s="18"/>
    </row>
    <row r="22" spans="1:11" ht="15.5" x14ac:dyDescent="0.35">
      <c r="A22" s="4"/>
      <c r="B22" s="3"/>
      <c r="C22" s="11"/>
      <c r="D22" s="11"/>
      <c r="E22" s="4"/>
      <c r="F22" s="1"/>
      <c r="G22" s="4"/>
      <c r="H22" s="4"/>
      <c r="I22" s="1"/>
      <c r="J22" s="1"/>
      <c r="K22" s="15"/>
    </row>
    <row r="23" spans="1:11" ht="15.5" x14ac:dyDescent="0.35">
      <c r="A23" s="4"/>
      <c r="B23" s="3"/>
      <c r="C23" s="11"/>
      <c r="D23" s="11"/>
      <c r="E23" s="4"/>
      <c r="F23" s="1"/>
      <c r="G23" s="4"/>
      <c r="H23" s="4"/>
      <c r="I23" s="1"/>
      <c r="J23" s="1"/>
      <c r="K23" s="18"/>
    </row>
    <row r="24" spans="1:11" ht="15.5" x14ac:dyDescent="0.35">
      <c r="A24" s="4"/>
      <c r="B24" s="3"/>
      <c r="C24" s="11"/>
      <c r="D24" s="11"/>
      <c r="E24" s="4"/>
      <c r="F24" s="1"/>
      <c r="G24" s="4"/>
      <c r="H24" s="4"/>
      <c r="I24" s="1"/>
      <c r="J24" s="1"/>
      <c r="K24" s="15"/>
    </row>
    <row r="25" spans="1:11" ht="22.5" customHeight="1" x14ac:dyDescent="0.35">
      <c r="A25" s="9">
        <v>5</v>
      </c>
      <c r="B25" s="23" t="s">
        <v>11</v>
      </c>
      <c r="C25" s="23"/>
      <c r="D25" s="23"/>
      <c r="E25" s="23"/>
      <c r="F25" s="23"/>
      <c r="G25" s="23"/>
      <c r="H25" s="23"/>
      <c r="I25" s="23"/>
      <c r="J25" s="23"/>
      <c r="K25" s="23"/>
    </row>
    <row r="26" spans="1:11" ht="15.5" x14ac:dyDescent="0.35">
      <c r="A26" s="1"/>
      <c r="B26" s="3"/>
      <c r="C26" s="11"/>
      <c r="D26" s="11"/>
      <c r="E26" s="4"/>
      <c r="F26" s="1"/>
      <c r="G26" s="4"/>
      <c r="H26" s="4"/>
      <c r="I26" s="1"/>
      <c r="J26" s="1"/>
      <c r="K26" s="18"/>
    </row>
    <row r="27" spans="1:11" ht="15.5" x14ac:dyDescent="0.35">
      <c r="A27" s="4"/>
      <c r="B27" s="3"/>
      <c r="C27" s="11"/>
      <c r="D27" s="11"/>
      <c r="E27" s="4"/>
      <c r="F27" s="1"/>
      <c r="G27" s="4"/>
      <c r="H27" s="4"/>
      <c r="I27" s="1"/>
      <c r="J27" s="1"/>
      <c r="K27" s="15"/>
    </row>
    <row r="28" spans="1:11" ht="15.5" x14ac:dyDescent="0.35">
      <c r="A28" s="4"/>
      <c r="B28" s="3"/>
      <c r="C28" s="11"/>
      <c r="D28" s="11"/>
      <c r="E28" s="4"/>
      <c r="F28" s="1"/>
      <c r="G28" s="4"/>
      <c r="H28" s="4"/>
      <c r="I28" s="1"/>
      <c r="J28" s="1"/>
      <c r="K28" s="18"/>
    </row>
    <row r="29" spans="1:11" ht="15.5" x14ac:dyDescent="0.35">
      <c r="A29" s="4"/>
      <c r="B29" s="3"/>
      <c r="C29" s="11"/>
      <c r="D29" s="11"/>
      <c r="E29" s="4"/>
      <c r="F29" s="1"/>
      <c r="G29" s="4"/>
      <c r="H29" s="4"/>
      <c r="I29" s="1"/>
      <c r="J29" s="1"/>
      <c r="K29" s="15"/>
    </row>
    <row r="30" spans="1:11" ht="15.5" x14ac:dyDescent="0.35">
      <c r="A30" s="4"/>
      <c r="B30" s="3"/>
      <c r="C30" s="11"/>
      <c r="D30" s="11"/>
      <c r="E30" s="4"/>
      <c r="F30" s="1"/>
      <c r="G30" s="4"/>
      <c r="H30" s="4"/>
      <c r="I30" s="1"/>
      <c r="J30" s="1"/>
      <c r="K30" s="18"/>
    </row>
    <row r="31" spans="1:11" ht="15.5" x14ac:dyDescent="0.35">
      <c r="A31" s="4"/>
      <c r="B31" s="3"/>
      <c r="C31" s="11"/>
      <c r="D31" s="11"/>
      <c r="E31" s="4"/>
      <c r="F31" s="1"/>
      <c r="G31" s="4"/>
      <c r="H31" s="4"/>
      <c r="I31" s="1"/>
      <c r="J31" s="1"/>
      <c r="K31" s="15"/>
    </row>
    <row r="32" spans="1:11" ht="22.5" customHeight="1" x14ac:dyDescent="0.35">
      <c r="A32" s="9">
        <v>6</v>
      </c>
      <c r="B32" s="23" t="s">
        <v>12</v>
      </c>
      <c r="C32" s="23"/>
      <c r="D32" s="23"/>
      <c r="E32" s="23"/>
      <c r="F32" s="23"/>
      <c r="G32" s="23"/>
      <c r="H32" s="23"/>
      <c r="I32" s="23"/>
      <c r="J32" s="23"/>
      <c r="K32" s="23"/>
    </row>
    <row r="33" spans="1:11" ht="15.5" x14ac:dyDescent="0.35">
      <c r="A33" s="1"/>
      <c r="B33" s="3"/>
      <c r="C33" s="11"/>
      <c r="D33" s="11"/>
      <c r="E33" s="4"/>
      <c r="F33" s="1"/>
      <c r="G33" s="4"/>
      <c r="H33" s="4"/>
      <c r="I33" s="1"/>
      <c r="J33" s="1"/>
      <c r="K33" s="18"/>
    </row>
    <row r="34" spans="1:11" ht="15.5" x14ac:dyDescent="0.35">
      <c r="A34" s="4"/>
      <c r="B34" s="3"/>
      <c r="C34" s="11"/>
      <c r="D34" s="11"/>
      <c r="E34" s="4"/>
      <c r="F34" s="1"/>
      <c r="G34" s="4"/>
      <c r="H34" s="4"/>
      <c r="I34" s="1"/>
      <c r="J34" s="1"/>
      <c r="K34" s="15"/>
    </row>
    <row r="35" spans="1:11" ht="22.5" customHeight="1" x14ac:dyDescent="0.35">
      <c r="A35" s="9" t="s">
        <v>13</v>
      </c>
      <c r="B35" s="23" t="s">
        <v>58</v>
      </c>
      <c r="C35" s="23"/>
      <c r="D35" s="23"/>
      <c r="E35" s="23"/>
      <c r="F35" s="23"/>
      <c r="G35" s="23"/>
      <c r="H35" s="23"/>
      <c r="I35" s="23"/>
      <c r="J35" s="23"/>
      <c r="K35" s="23"/>
    </row>
    <row r="36" spans="1:11" ht="15.5" x14ac:dyDescent="0.35">
      <c r="A36" s="4"/>
      <c r="B36" s="3"/>
      <c r="C36" s="11"/>
      <c r="D36" s="11"/>
      <c r="E36" s="4"/>
      <c r="F36" s="1"/>
      <c r="G36" s="4"/>
      <c r="H36" s="4"/>
      <c r="I36" s="1"/>
      <c r="J36" s="1"/>
      <c r="K36" s="18"/>
    </row>
    <row r="37" spans="1:11" ht="15.5" x14ac:dyDescent="0.35">
      <c r="A37" s="4"/>
      <c r="B37" s="3"/>
      <c r="C37" s="11"/>
      <c r="D37" s="11"/>
      <c r="E37" s="4"/>
      <c r="F37" s="1"/>
      <c r="G37" s="4"/>
      <c r="H37" s="4"/>
      <c r="I37" s="1"/>
      <c r="J37" s="1"/>
      <c r="K37" s="15"/>
    </row>
    <row r="38" spans="1:11" ht="15.5" x14ac:dyDescent="0.35">
      <c r="A38" s="4"/>
      <c r="B38" s="3"/>
      <c r="C38" s="11"/>
      <c r="D38" s="11"/>
      <c r="E38" s="4"/>
      <c r="F38" s="1"/>
      <c r="G38" s="4"/>
      <c r="H38" s="4"/>
      <c r="I38" s="1"/>
      <c r="J38" s="1"/>
      <c r="K38" s="4"/>
    </row>
    <row r="39" spans="1:11" s="10" customFormat="1" ht="119.25" customHeight="1" x14ac:dyDescent="0.35">
      <c r="B39" s="24" t="s">
        <v>34</v>
      </c>
      <c r="C39" s="24"/>
      <c r="D39" s="24"/>
      <c r="E39" s="24"/>
      <c r="F39" s="24"/>
      <c r="G39" s="24"/>
      <c r="H39" s="24"/>
      <c r="I39" s="24"/>
      <c r="J39" s="24"/>
      <c r="K39" s="24"/>
    </row>
    <row r="40" spans="1:11" s="13" customFormat="1" ht="132" customHeight="1" x14ac:dyDescent="0.35">
      <c r="A40" s="21" t="s">
        <v>83</v>
      </c>
      <c r="B40" s="21"/>
      <c r="C40" s="21"/>
      <c r="D40" s="12"/>
      <c r="G40" s="20" t="s">
        <v>84</v>
      </c>
      <c r="H40" s="20"/>
      <c r="I40" s="20"/>
      <c r="J40" s="20"/>
      <c r="K40" s="20"/>
    </row>
    <row r="41" spans="1:11" ht="32.5" customHeight="1" x14ac:dyDescent="0.4">
      <c r="H41" s="40" t="s">
        <v>85</v>
      </c>
      <c r="I41" s="40"/>
      <c r="J41" s="40"/>
      <c r="K41" s="40"/>
    </row>
  </sheetData>
  <mergeCells count="30">
    <mergeCell ref="H41:K41"/>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 ref="I6:I7"/>
    <mergeCell ref="J6:J7"/>
    <mergeCell ref="G40:K40"/>
    <mergeCell ref="A40:C40"/>
    <mergeCell ref="B9:K9"/>
    <mergeCell ref="B35:K35"/>
    <mergeCell ref="B39:K39"/>
    <mergeCell ref="B10:K10"/>
    <mergeCell ref="B13:K13"/>
    <mergeCell ref="B15:K15"/>
    <mergeCell ref="B18:K18"/>
    <mergeCell ref="B25:K25"/>
    <mergeCell ref="B32:K32"/>
  </mergeCells>
  <conditionalFormatting sqref="C16">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17">
    <cfRule type="dataBar" priority="7">
      <dataBar>
        <cfvo type="min"/>
        <cfvo type="max"/>
        <color rgb="FF638EC6"/>
      </dataBar>
      <extLst>
        <ext xmlns:x14="http://schemas.microsoft.com/office/spreadsheetml/2009/9/main" uri="{B025F937-C7B1-47D3-B67F-A62EFF666E3E}">
          <x14:id>{C43A89B3-42DD-4279-AA99-7BDD08DBEF47}</x14:id>
        </ext>
      </extLst>
    </cfRule>
  </conditionalFormatting>
  <conditionalFormatting sqref="C19:C24">
    <cfRule type="dataBar" priority="6">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6">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7:C31">
    <cfRule type="dataBar" priority="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3:C34">
    <cfRule type="dataBar" priority="4">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6:C38">
    <cfRule type="dataBar" priority="3">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1:C12 C14">
    <cfRule type="dataBar" priority="12">
      <dataBar>
        <cfvo type="min"/>
        <cfvo type="max"/>
        <color rgb="FF638EC6"/>
      </dataBar>
      <extLst>
        <ext xmlns:x14="http://schemas.microsoft.com/office/spreadsheetml/2009/9/main" uri="{B025F937-C7B1-47D3-B67F-A62EFF666E3E}">
          <x14:id>{503E23DC-A883-4E4A-9CEB-0585580125FE}</x14:id>
        </ext>
      </extLst>
    </cfRule>
  </conditionalFormatting>
  <dataValidations count="5">
    <dataValidation type="list" allowBlank="1" showInputMessage="1" sqref="D36:D38 D16:D17 D19:D24 D26:D31 D33:D34 D14 D11 D12"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6:C31 C16:C17 C19:C24 C36:C38 C33:C34 C14 C11 C12"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16:E17 E19:E24 E33:E34 E26:E31 E36:E38 E14 E11 E12"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6:G31 G33:G34 G19:G24 G16:G17 G36:G38 G14 G11 G12" xr:uid="{242DABCC-F988-4BD7-A39A-B18DD09F67B5}">
      <formula1>"Thấp,Trung bình,Cao,Khó và phức tạp"</formula1>
    </dataValidation>
    <dataValidation allowBlank="1" showInputMessage="1" sqref="H26:K31 H19:K24 H16:K17 H33:K34 H36:K38 H14:K14 H11:K11 H12:K12" xr:uid="{7A6D0803-D5AA-4103-B723-48076D69A4E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C19:C24</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C27:C31</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C33:C34</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C36:C38</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C11:C12 C14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Văn Phúc</cp:lastModifiedBy>
  <cp:lastPrinted>2026-06-25T01:37:08Z</cp:lastPrinted>
  <dcterms:created xsi:type="dcterms:W3CDTF">2026-05-27T07:08:41Z</dcterms:created>
  <dcterms:modified xsi:type="dcterms:W3CDTF">2026-08-17T11:09:45Z</dcterms:modified>
</cp:coreProperties>
</file>