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BÁO CÁO, LỊCH CÔNG TÁC TUẦN, THÁNG, QUÝ 2024, 2025, 2026\BÁO CÁO THÁNG, QUÝ, NĂM 2026\"/>
    </mc:Choice>
  </mc:AlternateContent>
  <xr:revisionPtr revIDLastSave="0" documentId="13_ncr:1_{E141D4D3-9337-4A13-8DBD-FE3A0A017D80}" xr6:coauthVersionLast="47" xr6:coauthVersionMax="47" xr10:uidLastSave="{00000000-0000-0000-0000-000000000000}"/>
  <bookViews>
    <workbookView xWindow="-120" yWindow="-120" windowWidth="29040" windowHeight="15720" xr2:uid="{CF09AA7D-F157-435F-8730-78D5FF9F5A39}"/>
  </bookViews>
  <sheets>
    <sheet name="Mẫu BC thá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1" l="1"/>
  <c r="L70" i="1" l="1"/>
  <c r="P71" i="1"/>
  <c r="N71" i="1"/>
  <c r="K71" i="1"/>
  <c r="P70" i="1"/>
  <c r="N70" i="1"/>
  <c r="K70" i="1"/>
  <c r="I65" i="1"/>
  <c r="P65" i="1" s="1"/>
  <c r="J65" i="1"/>
  <c r="K65" i="1"/>
  <c r="L65" i="1" s="1"/>
  <c r="I64" i="1"/>
  <c r="J64" i="1" s="1"/>
  <c r="I63" i="1"/>
  <c r="N63" i="1" s="1"/>
  <c r="J63" i="1"/>
  <c r="K64" i="1"/>
  <c r="K63" i="1"/>
  <c r="L63" i="1" s="1"/>
  <c r="I43" i="1"/>
  <c r="P43" i="1" s="1"/>
  <c r="I42" i="1"/>
  <c r="P42" i="1" s="1"/>
  <c r="I41" i="1"/>
  <c r="N41" i="1" s="1"/>
  <c r="I40" i="1"/>
  <c r="P40" i="1" s="1"/>
  <c r="I39" i="1"/>
  <c r="P39" i="1" s="1"/>
  <c r="M67" i="1"/>
  <c r="O67" i="1"/>
  <c r="K68" i="1"/>
  <c r="K69" i="1"/>
  <c r="K72" i="1"/>
  <c r="I68" i="1"/>
  <c r="H69" i="1"/>
  <c r="I69" i="1" s="1"/>
  <c r="P69" i="1" s="1"/>
  <c r="H72" i="1"/>
  <c r="I72" i="1" s="1"/>
  <c r="J72" i="1" s="1"/>
  <c r="I54" i="1"/>
  <c r="I55" i="1"/>
  <c r="I56" i="1"/>
  <c r="P56" i="1" s="1"/>
  <c r="K54" i="1"/>
  <c r="K56" i="1"/>
  <c r="K58" i="1"/>
  <c r="K59" i="1"/>
  <c r="K47" i="1"/>
  <c r="K48" i="1"/>
  <c r="K52" i="1"/>
  <c r="H46" i="1"/>
  <c r="I46" i="1" s="1"/>
  <c r="H47" i="1"/>
  <c r="I47" i="1" s="1"/>
  <c r="I48" i="1"/>
  <c r="H49" i="1"/>
  <c r="I49" i="1" s="1"/>
  <c r="H50" i="1"/>
  <c r="I50" i="1" s="1"/>
  <c r="H51" i="1"/>
  <c r="I51" i="1" s="1"/>
  <c r="I52" i="1"/>
  <c r="J52" i="1" s="1"/>
  <c r="K32" i="1"/>
  <c r="M32" i="1"/>
  <c r="O32" i="1"/>
  <c r="I33" i="1"/>
  <c r="I34" i="1"/>
  <c r="I35" i="1"/>
  <c r="I36" i="1"/>
  <c r="I38" i="1"/>
  <c r="K9" i="1"/>
  <c r="H10" i="1"/>
  <c r="I10" i="1" s="1"/>
  <c r="N10" i="1" s="1"/>
  <c r="H11" i="1"/>
  <c r="I11" i="1" s="1"/>
  <c r="H12" i="1"/>
  <c r="I12" i="1" s="1"/>
  <c r="P12" i="1" s="1"/>
  <c r="I13" i="1"/>
  <c r="P13" i="1" s="1"/>
  <c r="H14" i="1"/>
  <c r="I14" i="1" s="1"/>
  <c r="P14" i="1" s="1"/>
  <c r="H15" i="1"/>
  <c r="I15" i="1" s="1"/>
  <c r="H16" i="1"/>
  <c r="I16" i="1" s="1"/>
  <c r="I17" i="1"/>
  <c r="N17" i="1" s="1"/>
  <c r="H18" i="1"/>
  <c r="I18" i="1" s="1"/>
  <c r="H19" i="1"/>
  <c r="I19" i="1" s="1"/>
  <c r="N19" i="1" s="1"/>
  <c r="H20" i="1"/>
  <c r="I20" i="1" s="1"/>
  <c r="N20" i="1" s="1"/>
  <c r="H21" i="1"/>
  <c r="I21" i="1" s="1"/>
  <c r="H22" i="1"/>
  <c r="I22" i="1" s="1"/>
  <c r="H23" i="1"/>
  <c r="I23" i="1" s="1"/>
  <c r="H24" i="1"/>
  <c r="I24" i="1" s="1"/>
  <c r="H25" i="1"/>
  <c r="I25" i="1" s="1"/>
  <c r="H26" i="1"/>
  <c r="I26" i="1" s="1"/>
  <c r="H27" i="1"/>
  <c r="I27" i="1" s="1"/>
  <c r="H28" i="1"/>
  <c r="I28" i="1" s="1"/>
  <c r="H29" i="1"/>
  <c r="I29" i="1" s="1"/>
  <c r="H30" i="1"/>
  <c r="I30" i="1" s="1"/>
  <c r="I31" i="1"/>
  <c r="N64" i="1" l="1"/>
  <c r="P64" i="1"/>
  <c r="L64" i="1"/>
  <c r="P63" i="1"/>
  <c r="N65" i="1"/>
  <c r="P41" i="1"/>
  <c r="N40" i="1"/>
  <c r="N39" i="1"/>
  <c r="N43" i="1"/>
  <c r="N42" i="1"/>
  <c r="P68" i="1"/>
  <c r="N68" i="1"/>
  <c r="J68" i="1"/>
  <c r="J69" i="1"/>
  <c r="L72" i="1"/>
  <c r="L69" i="1"/>
  <c r="L68" i="1"/>
  <c r="N69" i="1"/>
  <c r="K53" i="1"/>
  <c r="P54" i="1"/>
  <c r="N54" i="1"/>
  <c r="J54" i="1"/>
  <c r="L54" i="1"/>
  <c r="P55" i="1"/>
  <c r="N55" i="1"/>
  <c r="L55" i="1"/>
  <c r="L56" i="1"/>
  <c r="J56" i="1"/>
  <c r="N56" i="1"/>
  <c r="L52" i="1"/>
  <c r="J47" i="1"/>
  <c r="P47" i="1"/>
  <c r="J51" i="1"/>
  <c r="P51" i="1"/>
  <c r="J50" i="1"/>
  <c r="P50" i="1"/>
  <c r="L50" i="1"/>
  <c r="J49" i="1"/>
  <c r="P49" i="1"/>
  <c r="L49" i="1"/>
  <c r="J48" i="1"/>
  <c r="P48" i="1"/>
  <c r="N50" i="1"/>
  <c r="N52" i="1"/>
  <c r="P52" i="1"/>
  <c r="N51" i="1"/>
  <c r="L48" i="1"/>
  <c r="L47" i="1"/>
  <c r="P46" i="1"/>
  <c r="N48" i="1"/>
  <c r="N47" i="1"/>
  <c r="L46" i="1"/>
  <c r="L12" i="1"/>
  <c r="L10" i="1"/>
  <c r="L38" i="1"/>
  <c r="J38" i="1"/>
  <c r="P37" i="1"/>
  <c r="P36" i="1"/>
  <c r="J36" i="1"/>
  <c r="P34" i="1"/>
  <c r="L34" i="1"/>
  <c r="J34" i="1"/>
  <c r="P33" i="1"/>
  <c r="J33" i="1"/>
  <c r="L33" i="1"/>
  <c r="P20" i="1"/>
  <c r="P19" i="1"/>
  <c r="P10" i="1"/>
  <c r="N37" i="1"/>
  <c r="N36" i="1"/>
  <c r="N35" i="1"/>
  <c r="N34" i="1"/>
  <c r="N33" i="1"/>
  <c r="L36" i="1"/>
  <c r="P35" i="1"/>
  <c r="N11" i="1"/>
  <c r="P11" i="1"/>
  <c r="L11" i="1"/>
  <c r="J11" i="1"/>
  <c r="N16" i="1"/>
  <c r="J16" i="1"/>
  <c r="L15" i="1"/>
  <c r="J15" i="1"/>
  <c r="J14" i="1"/>
  <c r="J13" i="1"/>
  <c r="J12" i="1"/>
  <c r="J10" i="1"/>
  <c r="L14" i="1"/>
  <c r="L13" i="1"/>
  <c r="N29" i="1"/>
  <c r="P29" i="1"/>
  <c r="J29" i="1"/>
  <c r="L29" i="1"/>
  <c r="P28" i="1"/>
  <c r="N28" i="1"/>
  <c r="J28" i="1"/>
  <c r="L28" i="1"/>
  <c r="P27" i="1"/>
  <c r="N27" i="1"/>
  <c r="J27" i="1"/>
  <c r="L27" i="1"/>
  <c r="P26" i="1"/>
  <c r="N26" i="1"/>
  <c r="J26" i="1"/>
  <c r="L26" i="1"/>
  <c r="N25" i="1"/>
  <c r="J25" i="1"/>
  <c r="L25" i="1"/>
  <c r="P25" i="1"/>
  <c r="J24" i="1"/>
  <c r="L24" i="1"/>
  <c r="P24" i="1"/>
  <c r="N24" i="1"/>
  <c r="J23" i="1"/>
  <c r="L23" i="1"/>
  <c r="P23" i="1"/>
  <c r="N23" i="1"/>
  <c r="J22" i="1"/>
  <c r="L22" i="1"/>
  <c r="P22" i="1"/>
  <c r="N22" i="1"/>
  <c r="J21" i="1"/>
  <c r="L21" i="1"/>
  <c r="P21" i="1"/>
  <c r="N21" i="1"/>
  <c r="N31" i="1"/>
  <c r="P31" i="1"/>
  <c r="J31" i="1"/>
  <c r="L31" i="1"/>
  <c r="N30" i="1"/>
  <c r="P30" i="1"/>
  <c r="J30" i="1"/>
  <c r="L30" i="1"/>
  <c r="L18" i="1"/>
  <c r="J18" i="1"/>
  <c r="N18" i="1"/>
  <c r="N15" i="1"/>
  <c r="P15" i="1"/>
  <c r="N14" i="1"/>
  <c r="N13" i="1"/>
  <c r="N12" i="1"/>
  <c r="P18" i="1"/>
  <c r="L20" i="1"/>
  <c r="J20" i="1"/>
  <c r="L17" i="1"/>
  <c r="P17" i="1"/>
  <c r="L19" i="1"/>
  <c r="J19" i="1"/>
  <c r="J17" i="1"/>
  <c r="L16" i="1"/>
  <c r="P16" i="1"/>
  <c r="K76" i="1"/>
  <c r="M76" i="1" s="1"/>
  <c r="K73" i="1"/>
  <c r="K67" i="1" s="1"/>
  <c r="N72" i="1"/>
  <c r="K62" i="1"/>
  <c r="K61" i="1"/>
  <c r="K45" i="1"/>
  <c r="H76" i="1"/>
  <c r="I76" i="1" s="1"/>
  <c r="J76" i="1" s="1"/>
  <c r="H73" i="1"/>
  <c r="I73" i="1" s="1"/>
  <c r="J73" i="1" s="1"/>
  <c r="I66" i="1"/>
  <c r="I62" i="1"/>
  <c r="J62" i="1" s="1"/>
  <c r="I61" i="1"/>
  <c r="J61" i="1" s="1"/>
  <c r="I59" i="1"/>
  <c r="H58" i="1"/>
  <c r="I58" i="1" s="1"/>
  <c r="I57" i="1"/>
  <c r="F53" i="1"/>
  <c r="F60" i="1"/>
  <c r="F75" i="1"/>
  <c r="F32" i="1"/>
  <c r="J67" i="1" l="1"/>
  <c r="L57" i="1"/>
  <c r="L58" i="1"/>
  <c r="J58" i="1"/>
  <c r="L59" i="1"/>
  <c r="J59" i="1"/>
  <c r="P58" i="1"/>
  <c r="N59" i="1"/>
  <c r="J45" i="1"/>
  <c r="N46" i="1"/>
  <c r="N45" i="1" s="1"/>
  <c r="M45" i="1"/>
  <c r="J32" i="1"/>
  <c r="P62" i="1"/>
  <c r="N73" i="1"/>
  <c r="N67" i="1" s="1"/>
  <c r="J75" i="1"/>
  <c r="L66" i="1"/>
  <c r="P9" i="1"/>
  <c r="L62" i="1"/>
  <c r="N66" i="1"/>
  <c r="L45" i="1"/>
  <c r="N62" i="1"/>
  <c r="N38" i="1"/>
  <c r="N58" i="1"/>
  <c r="L32" i="1"/>
  <c r="N76" i="1"/>
  <c r="K75" i="1"/>
  <c r="O76" i="1"/>
  <c r="L76" i="1"/>
  <c r="P73" i="1"/>
  <c r="P72" i="1"/>
  <c r="L73" i="1"/>
  <c r="L67" i="1" s="1"/>
  <c r="J60" i="1"/>
  <c r="N61" i="1"/>
  <c r="L61" i="1"/>
  <c r="K60" i="1"/>
  <c r="P66" i="1"/>
  <c r="P59" i="1"/>
  <c r="P38" i="1"/>
  <c r="L9" i="1"/>
  <c r="P67" i="1" l="1"/>
  <c r="J53" i="1"/>
  <c r="P32" i="1"/>
  <c r="L53" i="1"/>
  <c r="M53" i="1"/>
  <c r="N53" i="1"/>
  <c r="O53" i="1"/>
  <c r="P57" i="1"/>
  <c r="P53" i="1" s="1"/>
  <c r="P45" i="1"/>
  <c r="O45" i="1"/>
  <c r="N32" i="1"/>
  <c r="M9" i="1"/>
  <c r="N9" i="1"/>
  <c r="O9" i="1"/>
  <c r="M75" i="1"/>
  <c r="N75" i="1"/>
  <c r="L75" i="1"/>
  <c r="P76" i="1"/>
  <c r="P75" i="1" s="1"/>
  <c r="O75" i="1"/>
  <c r="M60" i="1"/>
  <c r="N60" i="1"/>
  <c r="L60" i="1"/>
  <c r="P61" i="1"/>
  <c r="P60" i="1" s="1"/>
  <c r="O60" i="1"/>
</calcChain>
</file>

<file path=xl/sharedStrings.xml><?xml version="1.0" encoding="utf-8"?>
<sst xmlns="http://schemas.openxmlformats.org/spreadsheetml/2006/main" count="340" uniqueCount="171">
  <si>
    <t>TT</t>
  </si>
  <si>
    <t>NỘI DUNG CÔNG VIỆC</t>
  </si>
  <si>
    <t>Người trực tiếp chỉ đạo</t>
  </si>
  <si>
    <t>I</t>
  </si>
  <si>
    <t xml:space="preserve">Trục (1) - Thực hiện mục tiêu phát triển Kinh tế - xã hội và nhiệm vụ chính trị được giao </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</si>
  <si>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</si>
  <si>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</si>
  <si>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</si>
  <si>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</si>
  <si>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</si>
  <si>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</si>
  <si>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</si>
  <si>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</si>
  <si>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</si>
  <si>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</si>
  <si>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</si>
  <si>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</si>
  <si>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</si>
  <si>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</si>
  <si>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CỘNG HÒA XÃ HỘI CHỦ NGHĨA VIỆT NAM</t>
  </si>
  <si>
    <t>Độc lập - Tự do - Hạnh phúc</t>
  </si>
  <si>
    <t>TRƯỜNG CAO ĐẲNG KON TUM</t>
  </si>
  <si>
    <t>Đơn vị chủ trì</t>
  </si>
  <si>
    <t>Phòng  TCCB&amp;CTHSSV</t>
  </si>
  <si>
    <t>Các nhiệm vụ đột xuất, phát sinh khác ngoài kế hoạch (nếu có)</t>
  </si>
  <si>
    <t>Trung bình</t>
  </si>
  <si>
    <t>Cao</t>
  </si>
  <si>
    <t>Phòng QLKHCN&amp;HTPT</t>
  </si>
  <si>
    <t>Điểm chấm công việc</t>
  </si>
  <si>
    <t>Hệ số quy đổi</t>
  </si>
  <si>
    <t>KPI (số lượng)</t>
  </si>
  <si>
    <t>KPI (chất lượng)</t>
  </si>
  <si>
    <t>KPI (tiến độ)</t>
  </si>
  <si>
    <t>Thực tế hoàn thành</t>
  </si>
  <si>
    <t>Quy đổi</t>
  </si>
  <si>
    <t>Số lượng quy đổi</t>
  </si>
  <si>
    <t>Thấp</t>
  </si>
  <si>
    <t> Các nhiệm vụ theo kế hoạch (chương trình) công tác đã đề ra từ đầu tháng</t>
  </si>
  <si>
    <t>Sản phẩm/ Công việc</t>
  </si>
  <si>
    <t>(8)</t>
  </si>
  <si>
    <t>(13)=(11)*[Tỷ lệ hoàn thành chất lượng]
Sửa đổi 1-2 lần 75% (trừ 0,25)</t>
  </si>
  <si>
    <t>(11)=(6)* [Tỷ lệ hoàn thành khối lượng]
Thiếu 1 = 75% (trừ 0,25)</t>
  </si>
  <si>
    <t>(15)=(11)*[Tỷ lệ hoàn thành tiến độ]
Chậm tiến độ 75% (trừ 0,25)</t>
  </si>
  <si>
    <t>Độ khó, mới, phức tạp; phạm vi tác
động</t>
  </si>
  <si>
    <t>(14)= (9)* (13)</t>
  </si>
  <si>
    <t>(16)= (9)* (15)</t>
  </si>
  <si>
    <t>(12)= (9)* (11)</t>
  </si>
  <si>
    <t>(10)= (6)* (9)</t>
  </si>
  <si>
    <t>(9)= (8)* 1%</t>
  </si>
  <si>
    <t>PHÒNG QLKHCN&amp;HTPT</t>
  </si>
  <si>
    <t>Huỳnh Văn Chung</t>
  </si>
  <si>
    <t>Lê Trí Khải</t>
  </si>
  <si>
    <t xml:space="preserve">Thấp </t>
  </si>
  <si>
    <t>Hiệu trưởng</t>
  </si>
  <si>
    <r>
      <rPr>
        <b/>
        <i/>
        <sz val="12"/>
        <color theme="1"/>
        <rFont val="Times New Roman"/>
        <family val="1"/>
        <charset val="163"/>
      </rPr>
      <t xml:space="preserve">
Nơi nhận:</t>
    </r>
    <r>
      <rPr>
        <sz val="12"/>
        <color theme="1"/>
        <rFont val="Times New Roman"/>
        <family val="1"/>
      </rPr>
      <t xml:space="preserve">
</t>
    </r>
    <r>
      <rPr>
        <sz val="11"/>
        <color theme="1"/>
        <rFont val="Times New Roman"/>
        <family val="1"/>
        <charset val="163"/>
      </rPr>
      <t>- Phòng THHCQT.
- Lưu: QLKHCN</t>
    </r>
  </si>
  <si>
    <t>PHT Huỳnh Văn Chung</t>
  </si>
  <si>
    <t>Công văn số 508/CĐKT-QLKHCN ngày 15/7/2026</t>
  </si>
  <si>
    <t>BÁO CÁO
kết quả thực hiện công tác tháng 8 năm 2026</t>
  </si>
  <si>
    <t>Công văn triển khai chương trình bồi dưỡng, tập huấn cập nhật, nâng cao trình độ về chuyển đổi số, kỹ năng số cho cán bộ, công chức, viên chức và người lao động trong khu vực công trên địa bàn tỉnh Quảng Ngãi năm 2026</t>
  </si>
  <si>
    <t>Thông báo kết quả thực hiện nhiệm vụ khoa học, công nghệ và sáng kiến của viên chức, người lao động năm học 2025 - 2026</t>
  </si>
  <si>
    <t>Thông báo số 822/TB-CĐKT ngày 15/7/2026</t>
  </si>
  <si>
    <t>Thông báo rà soát, điều chỉnh Danh mục thiết bị tham gia Hội thi thiết bị đào tạo tự làm cấp cơ sở lần thứ IV năm 2026</t>
  </si>
  <si>
    <t>Công văn nộp hồ sơ đề nghị xét, công nhận sáng kiến cấp tỉnh đợt 2 năm 2026</t>
  </si>
  <si>
    <t>Công văn giới thiệu nhân sự nhà trường tham gia Ban Chấp hành Liên hiệp các Hội Khoa học và Kỹ thuật tỉnh khoá I, nhiệm kỳ 2026-2031.</t>
  </si>
  <si>
    <t>Biên bản họp Hội đồng khoa học và đào tạo thẩm định, tư vấn kết quả xây dựng tiêu chuẩn, định mức sử dụng máy móc, thiết bị phục vụ hoạt động chung của Trường Cao đẳng Kon Tum (Phiên họp lần 3)</t>
  </si>
  <si>
    <t>Thông báo số 823/TB-CĐKT ngày 15/7/2026</t>
  </si>
  <si>
    <t>CV số 513/CĐKT-QLKHCN ngày 16/7/2026</t>
  </si>
  <si>
    <t>Công văn số 522/CĐKT-QLKHCN ngày 20/7/2026</t>
  </si>
  <si>
    <t>Biên bản số 151/BB-CĐKT ngày 20/7/2026</t>
  </si>
  <si>
    <t>Thông báo kết luận của Hiệu trưởng - Chủ tịch Hội đồng khoa học và đào tạo tại phiên họp thẩm định, tư vấn kết quả xây dựng tiêu chuẩn, định mức máy móc thiết bị dùng chung</t>
  </si>
  <si>
    <t>Báo cáo kết quả tham gia chương trình bồi dưỡng, tập huấn cập nhật, nâng cao trình độ về chuyển đổi số, kỹ năng số cho cán bộ, công chức, viên chức và người lao động năm 2026</t>
  </si>
  <si>
    <t>Đề xuất chủ đề Hội thảo khoa học quốc tế do Phòng QLKHCN&amp;HTPT chủ trì tổ chức vào tháng 10/2026</t>
  </si>
  <si>
    <t>Thống nhất cử viên chức tham gia Hội đồng Giám khảo Cuộc thi Sáng tạo Thanh thiếu niên, nhi đồng tỉnh Quảng Ngãi năm 2026</t>
  </si>
  <si>
    <t>Công văn góp ý dự thảo Thông tư quy định về an ninh vật liệu hạt nhân, thiết bị hạt nhân, cơ sở hạt nhân và thanh sát hạt nhân</t>
  </si>
  <si>
    <t>Thông báo số 847/TB-CĐKT ngày 21/7/2026</t>
  </si>
  <si>
    <t>Công văn số 536/CĐKT-QLKHCN ngày 21/7/2026</t>
  </si>
  <si>
    <t>Phiếu chuyển số 717/PC-CĐKT ngày 28/7/2026</t>
  </si>
  <si>
    <t>Công văn số 548/CĐKT-QLKHCN ngày 31/7/2026</t>
  </si>
  <si>
    <t>Công văn số 558/CĐKT-QLKHCN ngày 04/8/2026</t>
  </si>
  <si>
    <t>Công văn góp ý Dự thảo Quyết định của Thủ tướng Chính phủ ban hành Quy định về Cổng Sáng kiến khoa học, công nghệ, đổi mới sáng tạo và chuyển đổi số</t>
  </si>
  <si>
    <t>Công văn đăng ký thông tin sử dụng tài khoản ứng dụng trí tuệ nhân tạo Claude AI Pro</t>
  </si>
  <si>
    <t>Quyết định Phê duyệt kết quả tuyển chọn chủ nhiệm, giao thực hiện đề tài khoa học và công nghệ cấp cơ sở năm 2026 đối với đề tài "Mô hình ứng dụng chủng vi tảo C.vulgaris KT2023 và S.acuminatus KT2023 làm thức ăn nuôi cá rô phi đơn tính giống trong ao nuôi trồng thuỷ sản tại xã Đăk Hà, tỉnh Quảng Ngãi"</t>
  </si>
  <si>
    <t>Báo cáo kết quả thẩm định hồ sơ tuyển chọn chủ nhiệm đề tài "Mô hình ứng dụng chủng vi tảo C.vulgaris KT2023 và S.acuminatus KT2023 làm thức ăn nuôi cá rô phi đơn tính giống trong ao nuôi trồng thuỷ sản tại xã Đăk Hà, tỉnh Quảng Ngãi"</t>
  </si>
  <si>
    <t>Báo cáo kết quả thực hiện nhiệm vụ theo Nghị quyết số 68-NQ/TW và Nghị quyết số 79-NQ/TW tháng 7 năm 2026</t>
  </si>
  <si>
    <t>Công văn thống nhất cử thành viên tham gia Hội đồng khoa học và công nghệ cấp tỉnh</t>
  </si>
  <si>
    <t>Công văn số 558/CĐKT-QLKHCN ngày 06/8/2026</t>
  </si>
  <si>
    <t>Công văn số 573/CĐKT-QLKHCN ngày 07/8/2026</t>
  </si>
  <si>
    <t>Quyết định số 1739/QĐ-CĐKT ngày 07/8/2026</t>
  </si>
  <si>
    <t>Báo cáo số 361/BC-CĐKT ngày 06/8/2026</t>
  </si>
  <si>
    <t>Báo cáo số 362/BC-CĐKT ngày 06/08/2026</t>
  </si>
  <si>
    <t>Công văn số 553/CĐKT-QLKHCN ngày 03/8/2026</t>
  </si>
  <si>
    <t>Quyết định thành lập Hội đồng tư vấn tuyển chọn chủ nhiệm đề tài khoa học và công nghệ cấp cơ sở “Xây dựng cơ sở dữ liệu và phát triển phần mềm tra cứu dữ liệu khoa học, công nghệ và đổi mới sáng tạo của Trường Cao đẳng Kon Tum”</t>
  </si>
  <si>
    <t>Thông báo hướng dẫn cài đặt, quản lý và sử dụng phần mềm trí tuệ nhân tạo Claude (gói Claude Team - Standard seat)</t>
  </si>
  <si>
    <t>Công văn đề nghị báo giá, hỗ trợ hợp đồng và hình thức thanh toán chuyển khoản quốc tế (T/T) đối với gói dịch vụ Claude Team - Standard seat</t>
  </si>
  <si>
    <t>Công văn đăng ký phát triển các công cụ trí tuệ nhân tạo hỗ trợ thực hiện nhiệm vụ của các đơn vị thuộc Trường</t>
  </si>
  <si>
    <t>Kế hoạch phát triển công nghệ cao, sản phẩm công nghệ cao và công nghệ chiến lược, sản phẩm công nghệ chiến lược giai đoạn 2026 - 2030</t>
  </si>
  <si>
    <t>Quyết định số 1718/QĐ-CĐKT ngày 05/08/2026</t>
  </si>
  <si>
    <t>Thông báo số 924/TB-CĐKT ngày 11/8/2026</t>
  </si>
  <si>
    <t>Công văn số 586/CĐKT-QLKHCN ngày 12/8/2026</t>
  </si>
  <si>
    <t>Công văn số 588/CĐKT-QLKHCN ngày 12/8/2026</t>
  </si>
  <si>
    <t>Kế hoạch số 776/KH-CĐKT ngày 12/8/2026</t>
  </si>
  <si>
    <t>Mục tiêu chất lượng năm học 2026-2027</t>
  </si>
  <si>
    <t>Kế hoạch thực hiện mục tiêu chất lượng năm học 2026-2027</t>
  </si>
  <si>
    <t>Quyết định ban hành Quy chế làm việc của Tổ thẩm định kết quả bảng kiểm thực hiện nhiệm vụ bảo đảm sĩ số học sinh sinh viên từ đầu đến cuối khoá học</t>
  </si>
  <si>
    <t>Quyết định thành lập Tổ thẩm định kết quả bảng kiểm thực hiện nhiệm vụ bảo đảm sĩ số học sinh sinh viên từ đầu đến cuối khoá học</t>
  </si>
  <si>
    <t>Quyết định ban hành hệ thống bảng kiểm bảo đảm sĩ số học sinh sinh viên từ đầu đến cuối khóa học</t>
  </si>
  <si>
    <t>Thông báo phân công nhiệm vụ các thành viên Tổ thẩm định kết quả bảng kiểm thực hiện nhiệm vụ bảo đảm sĩ số học sinh sinh viên từ đầu đến cuối khóa học</t>
  </si>
  <si>
    <t>Phiếu chuyển số 693/PC-CĐKT ngày 23/7/2026</t>
  </si>
  <si>
    <t>Phiếu chuyển số 734/PC-CĐKT ngày 31/7/2026</t>
  </si>
  <si>
    <t>Quyết định số 1646/QĐ-CĐKT ngày 21/7/2026</t>
  </si>
  <si>
    <t>Quyết định số 1632/QĐ-CĐKT ngày 15/7/2026</t>
  </si>
  <si>
    <t>Quyết định số 1630/QĐ-CĐKT ngày 15/7/2026</t>
  </si>
  <si>
    <t>Thông báo số 01/TB-TTĐKQBK ngày 29/7/2026</t>
  </si>
  <si>
    <t>Nguyễn Văn Nam</t>
  </si>
  <si>
    <t>Quyết định công bố kết quả đánh giá bảng kiểm thực hiện nhiệm vụ bảo đảm sĩ số học sinh sinh viên từ đầu đến cuối khoá học Quý II năm 2026</t>
  </si>
  <si>
    <t>Công văn góp ý kiến hồ sơ dự thảo Nghị định quy định Cơ sở dữ liệu về di cư</t>
  </si>
  <si>
    <t>Quyết định ban hành Thể lệ Cuộc thi "Học sinh, sinh viên với ý tưởng khởi nghiệp" năm 2026</t>
  </si>
  <si>
    <t>Kế hoạch, Báo cáo tiếp thu, giải trình ý kiến góp ý dự thảo Kế hoạch triển khai thực hiện Thông tư số 49/2026/TT-BGDĐT ngày 30/6/2026 của Bộ trưởng Bộ Giáo dục và Đào tạo quy định ứng dụng công nghệ trong giáo dục đại học, giáo dục nghề nghiệp</t>
  </si>
  <si>
    <t>Quyết định ban hành Quy định quản lý và tổ chức sinh hoạt khoa học</t>
  </si>
  <si>
    <t>Quyết định số 1750/QĐ-CĐKT ngày 10/8/2026</t>
  </si>
  <si>
    <t>Công văn số 518/CĐKT-QLKHCN ngày 17/7/2026</t>
  </si>
  <si>
    <t>Quyết định số 1717/QĐ-CĐKT ngày 05/08/2026</t>
  </si>
  <si>
    <t>Kế hoạch số 726/KH-CĐKT ngày 28/7/2026, Phiếu chuyển số 711/PC-CĐKT ngày 28/7/2026</t>
  </si>
  <si>
    <t>Quyết định số 1765/QĐ-CĐKT ngày 13/8/2026</t>
  </si>
  <si>
    <t>Biên bản họp Hội đồng thẩm định Quy trình tạo ra/sản xuất sản phẩm đặc trưng (tương đương với sản phẩm OCOP) trong lĩnh vực Nông Lâm nghiệp</t>
  </si>
  <si>
    <t>Thông báo Kết luận của Hiệu trưởng – Chủ tịch Hội đồng thẩm định Quy trình tạo ra/sản xuất sản phẩm đặc trưng (tương đương với sản phẩm OCOP) trong lĩnh vực Nông Lâm nghiệp</t>
  </si>
  <si>
    <t>Kế hoạch tổ chức tổ chức Hội thảo khoa học “Chuyển đổi số toàn diện trong quản trị nhà trường gắn với nâng cao chất lượng đào tạo”</t>
  </si>
  <si>
    <t>Thông báo viết bài Hội thảo khoa học “Chuyển đổi số toàn diện trong quản trị nhà trường gắn với nâng cao chất lượng đào tạo”</t>
  </si>
  <si>
    <t>Thông báo đôn đốc, rà soát, hoàn thành chương trình bồi dưỡng, tập huấn cập nhật, nâng cao trình độ về chuyển đổi số, kỹ năng số cho cán bộ, công chức, viên chức và người lao động trong khu vực công trên địa bàn tỉnh Quảng Ngãi năm 2026</t>
  </si>
  <si>
    <t>Công văn phối hợp xây dựng kế hoạch phát triển các công cụ trí tuệ nhân tạo hỗ trợ thực hiện nhiệm vụ của các đơn vị thuộc Trường</t>
  </si>
  <si>
    <t>Tham dự Hội nghị tuyên truyền, triển khai các văn bản pháp luật về bảo đảm an ninh mạng, an ninh dữ liệu và tham gia diễn tập thực chiến bảo đảm an ninh mạng tỉnh năm 2026</t>
  </si>
  <si>
    <t>Biên bản số 152/BB-CĐKT, ngày 22/7/2026</t>
  </si>
  <si>
    <t>Thông báo số 857/TB-CĐKT ngày 23/7/2026</t>
  </si>
  <si>
    <t>Kế hoạch số 730/KH-CĐKT ngày 29/7/2026</t>
  </si>
  <si>
    <t>Thông báo số 882/TB-CĐKT ngày 30/7/2026</t>
  </si>
  <si>
    <t>Thông báo số 918/TB-CĐKT ngày 10/8/2026</t>
  </si>
  <si>
    <t>Công văn góp ý dự thảo quy chế làm việc của UBKT Đảng ủy UBND tỉnh</t>
  </si>
  <si>
    <t>Tham dự Hội nghị tập thể nhân sự chủ chốt của Trường lấy ý kiến về nhân sự xem xét bổ nhiệm lại Phó Trưởng phòng Quản lý khoa học công nghệ và Hợp tác phát triển</t>
  </si>
  <si>
    <t>Tham dự Hội nghị trực tuyến nghiên cứu, học tập, quán triệt và triển khai thực hiện Nghị quyết Hội nghị lần thứ ba, Ban Chấp hành Trung ương Đảng khóa XIV</t>
  </si>
  <si>
    <t>Họp Chi bộ Khối tham mưu tổng hợp tháng 8/2026</t>
  </si>
  <si>
    <t>Báo cáo tình hình thực hiện nhiệm vụ tháng 7 và nhiệm vụ công tác trọng tâm tháng 8 năm 2026</t>
  </si>
  <si>
    <t>Biên bản họp BCH Đảng bộ Trường Cao đẳng Kon Tum tháng 8/2026</t>
  </si>
  <si>
    <t>27/7/2026</t>
  </si>
  <si>
    <t>29/7/2026</t>
  </si>
  <si>
    <t>PHT Nguyễn Trung Hiếu</t>
  </si>
  <si>
    <t>Công văn số 104-CV/ĐU ngày 10/8/2026</t>
  </si>
  <si>
    <t>Báo cáo số 98-BC/ĐU ngày 12/8/2026</t>
  </si>
  <si>
    <t>Thông báo thực hiện khảo sát đề xuất nội dung hỗ trợ chi phí đào tạo nghề cho người lao động của doanh nghiệp nhỏ và vừa khi tham gia khóa đào tạo nghề trình độ sơ cấp hoặc chương trình đào tạo từ 3 tháng</t>
  </si>
  <si>
    <t>Công văn báo cáo kết quả khảo sát và đề xuất nhu cầu hỗ trợ chi phí đào tạo nghề cho người lao động của doanh nghiệp nhỏ và vừa</t>
  </si>
  <si>
    <t>Báo cáo kết quả khảo sát đề xuất nội dung hỗ trợ chi phí đào tạo nghề cho người lao động của doanh nghiệp nhỏ và vừa khi tham gia khóa đào tạo nghề trình độ sơ cấp hoặc chương trình đào tạo từ 03 tháng</t>
  </si>
  <si>
    <t>Công văn đề xuất nhiệm vụ, giải pháp nâng cao hiệu quả công tác hỗ trợ doanh nghiệp trên địa bàn tỉnh</t>
  </si>
  <si>
    <t>Họp làm việc xác định mức hưởng phụ cấp ưu đãi theo nghề đối với nhà giáo theo Nghị định số 182/2026/NĐ- CP</t>
  </si>
  <si>
    <t>Tham dự Hội nghị sơ kết về công tác lao động, việc làm và đào tạo nghề 6 tháng đầu năm 2026</t>
  </si>
  <si>
    <t>Thông báo số 850/TB-CĐKT ngày 21/7/2026</t>
  </si>
  <si>
    <t>Công văn số 570/CĐKT-QLKHCN ngày 07/8/2026</t>
  </si>
  <si>
    <t>Báo cáo số 363/BC-CĐKT ngày 06/8/2026</t>
  </si>
  <si>
    <t>Công văn số 593/CĐKT-QLKHCN ngày 13/8/2026</t>
  </si>
  <si>
    <t>Công văn cung cấp thông tin tình hình hợp tác với 04 tỉnh Nam Lào theo đề nghị của Tổng Lãnh sự quán Việt Nam tại Pakse, nước CHDCND Lào</t>
  </si>
  <si>
    <t>Công văn đề nghị tiếp đón Đoàn công tác của Trường Cao đẳng Kon Tum đến thăm và làm việc với Sở Giáo dục và Thể thao tỉnh Sê Kông, nước CHDCND Lào</t>
  </si>
  <si>
    <t>Công văn đề nghị tiếp đón Đoàn công tác của Trường Cao đẳng Kon Tum đến thăm và làm việc với Sở Giáo dục và Thể thao tỉnh Ăt-ta-pư, nước CHDCND Lào</t>
  </si>
  <si>
    <t>Công văn đề nghị hỗ trợ chuyển Công văn của Trường tới Sở Giáo dục và Thể thao các tỉnh Ăt-ta-pư, Sê Kông, nước Cộng hòa Dân chủ Nhân dân Lào</t>
  </si>
  <si>
    <t>Thông báo triển khai khảo sát nhu cầu học tiếng Nhật của học sinh sinh viên ngành, nghề Điều dưỡng, Điều dưỡng chất lượng cao và các ngành, nghề khác</t>
  </si>
  <si>
    <t>Công văn thông báo tuyển ứng viên điều dưỡng, nhân viên chăm sóc đi làm việc tại Nhật Bản theo chương trình EPA Khóa 15</t>
  </si>
  <si>
    <t>Đề xuất chủ đề Hội thảo khoa học quốc tế</t>
  </si>
  <si>
    <t>Công văn số 512/CĐKT-QLKHCN ngày 16/7/2026</t>
  </si>
  <si>
    <t>Công văn số 566/CĐKT-QLKHCN ngày 05/8/2026</t>
  </si>
  <si>
    <t>Công văn số 563/CĐKT-QLKHCN ngày 05/8/2026</t>
  </si>
  <si>
    <t>Công văn số 584/CĐKT-QLKHCN ngày 11/8/2026</t>
  </si>
  <si>
    <t>Thông báo số 829/TB-CĐKT ngày 16/7/2026</t>
  </si>
  <si>
    <t>Công văn số 591/CĐKT-QLKHCN ngày 12/8/2026</t>
  </si>
  <si>
    <r>
      <rPr>
        <i/>
        <sz val="14"/>
        <color theme="1"/>
        <rFont val="Times New Roman"/>
        <family val="1"/>
        <charset val="163"/>
      </rPr>
      <t>Quảng Ngãi, ngày 14 tháng 8 năm 2026</t>
    </r>
    <r>
      <rPr>
        <sz val="14"/>
        <color theme="1"/>
        <rFont val="Times New Roman"/>
        <family val="1"/>
      </rPr>
      <t xml:space="preserve">
</t>
    </r>
    <r>
      <rPr>
        <b/>
        <sz val="14"/>
        <color theme="1"/>
        <rFont val="Times New Roman"/>
        <family val="1"/>
      </rPr>
      <t xml:space="preserve">KT. TRƯỞNG PHÒNG
PHÓ TRƯỞNG PHÒNG
Nguyễn Thành Hiền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</si>
</sst>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0_);_(* \(#,##0.0\);_(* &quot;-&quot;??_);_(@_)"/>
    <numFmt numFmtId="165" formatCode="d\.m"/>
    <numFmt numFmtId="166" formatCode="0.0"/>
    <numFmt numFmtId="167" formatCode="0.0_);\(0.0\)"/>
    <numFmt numFmtId="168" formatCode="0_);\(0\)"/>
    <numFmt numFmtId="169" formatCode="#.##0_);\(#.##0\)"/>
  </numFmts>
  <fonts count="19"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sz val="12"/>
      <color theme="1"/>
      <name val="Calibri"/>
      <family val="2"/>
      <scheme val="minor"/>
    </font>
    <font>
      <b/>
      <sz val="13"/>
      <color theme="1"/>
      <name val="Times New Roman"/>
      <family val="1"/>
    </font>
    <font>
      <sz val="13"/>
      <color theme="1"/>
      <name val="Times New Roman"/>
      <family val="1"/>
    </font>
    <font>
      <sz val="11"/>
      <color theme="1"/>
      <name val="Calibri"/>
      <family val="2"/>
      <scheme val="minor"/>
    </font>
    <font>
      <sz val="14"/>
      <color theme="1"/>
      <name val="Times New Roman"/>
      <family val="1"/>
    </font>
    <font>
      <b/>
      <sz val="12"/>
      <color theme="1"/>
      <name val="Times New Roman"/>
      <family val="1"/>
    </font>
    <font>
      <b/>
      <sz val="12"/>
      <color theme="1"/>
      <name val="Times New Roman"/>
      <family val="1"/>
      <charset val="163"/>
    </font>
    <font>
      <sz val="12"/>
      <color theme="1"/>
      <name val="Calibri"/>
      <family val="2"/>
    </font>
    <font>
      <sz val="11"/>
      <color theme="1"/>
      <name val="Times New Roman"/>
      <family val="1"/>
      <charset val="163"/>
    </font>
    <font>
      <sz val="12"/>
      <color theme="1"/>
      <name val="Times New Roman"/>
      <family val="1"/>
      <charset val="163"/>
    </font>
    <font>
      <b/>
      <i/>
      <sz val="12"/>
      <color theme="1"/>
      <name val="Times New Roman"/>
      <family val="1"/>
      <charset val="163"/>
    </font>
    <font>
      <b/>
      <sz val="14"/>
      <color theme="1"/>
      <name val="Times New Roman"/>
      <family val="1"/>
      <charset val="163"/>
    </font>
    <font>
      <i/>
      <sz val="14"/>
      <color theme="1"/>
      <name val="Times New Roman"/>
      <family val="1"/>
      <charset val="163"/>
    </font>
    <font>
      <sz val="11"/>
      <color theme="1"/>
      <name val="Times New Roman"/>
      <family val="1"/>
    </font>
    <font>
      <sz val="14"/>
      <name val="Times New Roman"/>
      <family val="1"/>
    </font>
  </fonts>
  <fills count="8">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bgColor theme="0"/>
      </patternFill>
    </fill>
    <fill>
      <patternFill patternType="solid">
        <fgColor rgb="FFFFFFFF"/>
        <bgColor indexed="64"/>
      </patternFill>
    </fill>
  </fills>
  <borders count="2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rgb="FF000000"/>
      </top>
      <bottom style="thin">
        <color rgb="FF000000"/>
      </bottom>
      <diagonal/>
    </border>
    <border>
      <left style="thin">
        <color indexed="64"/>
      </left>
      <right/>
      <top/>
      <bottom style="thin">
        <color indexed="64"/>
      </bottom>
      <diagonal/>
    </border>
    <border>
      <left/>
      <right style="thin">
        <color rgb="FF000000"/>
      </right>
      <top/>
      <bottom style="thin">
        <color rgb="FF000000"/>
      </bottom>
      <diagonal/>
    </border>
    <border>
      <left style="thin">
        <color indexed="64"/>
      </left>
      <right/>
      <top/>
      <bottom/>
      <diagonal/>
    </border>
  </borders>
  <cellStyleXfs count="2">
    <xf numFmtId="0" fontId="0" fillId="0" borderId="0"/>
    <xf numFmtId="43" fontId="7" fillId="0" borderId="0" applyFont="0" applyFill="0" applyBorder="0" applyAlignment="0" applyProtection="0"/>
  </cellStyleXfs>
  <cellXfs count="125">
    <xf numFmtId="0" fontId="0" fillId="0" borderId="0" xfId="0"/>
    <xf numFmtId="0" fontId="4" fillId="0" borderId="0" xfId="0" applyFont="1"/>
    <xf numFmtId="0" fontId="5" fillId="0" borderId="0" xfId="0" applyFont="1" applyAlignment="1">
      <alignment wrapText="1"/>
    </xf>
    <xf numFmtId="0" fontId="1" fillId="0" borderId="0" xfId="0" applyFont="1" applyAlignment="1">
      <alignment vertical="center" wrapText="1"/>
    </xf>
    <xf numFmtId="0" fontId="8" fillId="0" borderId="8" xfId="0" applyFont="1" applyBorder="1" applyAlignment="1">
      <alignment horizontal="center" vertical="center" wrapText="1"/>
    </xf>
    <xf numFmtId="0" fontId="8" fillId="6" borderId="8" xfId="0" applyFont="1" applyFill="1" applyBorder="1" applyAlignment="1">
      <alignment horizontal="center" vertical="center" wrapText="1"/>
    </xf>
    <xf numFmtId="0" fontId="8" fillId="6" borderId="8" xfId="0" applyFont="1" applyFill="1" applyBorder="1" applyAlignment="1">
      <alignment horizontal="center" vertical="center"/>
    </xf>
    <xf numFmtId="165" fontId="8" fillId="0" borderId="8" xfId="0" applyNumberFormat="1" applyFont="1" applyBorder="1" applyAlignment="1">
      <alignment horizontal="center" vertical="center" wrapText="1"/>
    </xf>
    <xf numFmtId="0" fontId="8" fillId="0" borderId="8" xfId="0" applyFont="1" applyBorder="1" applyAlignment="1">
      <alignment horizontal="center" vertical="center"/>
    </xf>
    <xf numFmtId="2" fontId="9" fillId="0" borderId="8" xfId="0" applyNumberFormat="1" applyFont="1" applyBorder="1" applyAlignment="1">
      <alignment horizontal="center" vertical="center" wrapText="1"/>
    </xf>
    <xf numFmtId="0" fontId="12" fillId="0" borderId="2" xfId="0" quotePrefix="1" applyFont="1" applyBorder="1" applyAlignment="1">
      <alignment horizontal="center" vertical="center" wrapText="1"/>
    </xf>
    <xf numFmtId="0" fontId="9" fillId="0" borderId="2" xfId="0" applyFont="1" applyBorder="1" applyAlignment="1">
      <alignment horizontal="center" vertical="center" wrapText="1"/>
    </xf>
    <xf numFmtId="0" fontId="9" fillId="0" borderId="2" xfId="0" applyFont="1" applyBorder="1" applyAlignment="1">
      <alignment horizontal="center" vertical="center"/>
    </xf>
    <xf numFmtId="0" fontId="9" fillId="0" borderId="2" xfId="0" applyFont="1" applyBorder="1" applyAlignment="1">
      <alignment vertical="center"/>
    </xf>
    <xf numFmtId="0" fontId="3" fillId="0" borderId="2" xfId="0" applyFont="1" applyBorder="1" applyAlignment="1">
      <alignment horizontal="center" vertical="center"/>
    </xf>
    <xf numFmtId="0" fontId="3" fillId="0" borderId="2" xfId="0" applyFont="1" applyBorder="1" applyAlignment="1">
      <alignment horizontal="left" vertical="center"/>
    </xf>
    <xf numFmtId="0" fontId="13" fillId="0" borderId="2" xfId="0" applyFont="1" applyBorder="1" applyAlignment="1">
      <alignment horizontal="center" vertical="center" wrapText="1"/>
    </xf>
    <xf numFmtId="164" fontId="13" fillId="0" borderId="2" xfId="1" applyNumberFormat="1" applyFont="1" applyFill="1" applyBorder="1" applyAlignment="1">
      <alignment horizontal="center" vertical="center" wrapText="1"/>
    </xf>
    <xf numFmtId="1" fontId="9" fillId="0" borderId="2" xfId="0" applyNumberFormat="1" applyFont="1" applyBorder="1" applyAlignment="1">
      <alignment horizontal="center" vertical="center"/>
    </xf>
    <xf numFmtId="43" fontId="13" fillId="0" borderId="2" xfId="1" applyFont="1" applyFill="1" applyBorder="1" applyAlignment="1">
      <alignment horizontal="center" vertical="center" wrapText="1"/>
    </xf>
    <xf numFmtId="0" fontId="13" fillId="0" borderId="2" xfId="0" applyFont="1" applyBorder="1" applyAlignment="1">
      <alignment vertical="center" wrapText="1"/>
    </xf>
    <xf numFmtId="0" fontId="13" fillId="0" borderId="0" xfId="0" applyFont="1" applyAlignment="1">
      <alignment horizontal="left" vertical="top" wrapText="1"/>
    </xf>
    <xf numFmtId="0" fontId="0" fillId="2" borderId="0" xfId="0" applyFill="1"/>
    <xf numFmtId="0" fontId="0" fillId="4" borderId="0" xfId="0" applyFill="1"/>
    <xf numFmtId="0" fontId="0" fillId="3" borderId="0" xfId="0" applyFill="1"/>
    <xf numFmtId="0" fontId="0" fillId="5" borderId="0" xfId="0" applyFill="1"/>
    <xf numFmtId="0" fontId="3" fillId="0" borderId="2" xfId="0" applyFont="1" applyBorder="1" applyAlignment="1">
      <alignment horizontal="left" vertical="center" wrapText="1"/>
    </xf>
    <xf numFmtId="0" fontId="8" fillId="0" borderId="2" xfId="0" applyFont="1" applyBorder="1" applyAlignment="1">
      <alignment horizontal="left" vertical="center" wrapText="1"/>
    </xf>
    <xf numFmtId="0" fontId="8" fillId="0" borderId="2" xfId="0" applyFont="1" applyBorder="1" applyAlignment="1">
      <alignment vertical="center"/>
    </xf>
    <xf numFmtId="0" fontId="1" fillId="0" borderId="2" xfId="0" applyFont="1" applyBorder="1" applyAlignment="1">
      <alignment horizontal="center" vertical="center"/>
    </xf>
    <xf numFmtId="0" fontId="1" fillId="0" borderId="2" xfId="0" applyFont="1" applyBorder="1" applyAlignment="1">
      <alignment vertical="center"/>
    </xf>
    <xf numFmtId="0" fontId="8" fillId="0" borderId="0" xfId="0" applyFont="1" applyAlignment="1">
      <alignment horizontal="center" vertical="center"/>
    </xf>
    <xf numFmtId="0" fontId="8" fillId="0" borderId="13" xfId="0" applyFont="1" applyBorder="1" applyAlignment="1">
      <alignment horizontal="center" vertical="center"/>
    </xf>
    <xf numFmtId="0" fontId="13" fillId="0" borderId="6" xfId="0" applyFont="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horizontal="center" vertical="center" wrapText="1"/>
    </xf>
    <xf numFmtId="164" fontId="13" fillId="0" borderId="6" xfId="1" applyNumberFormat="1" applyFont="1" applyFill="1" applyBorder="1" applyAlignment="1">
      <alignment horizontal="center" vertical="center" wrapText="1"/>
    </xf>
    <xf numFmtId="0" fontId="8" fillId="6" borderId="13" xfId="0" applyFont="1" applyFill="1" applyBorder="1" applyAlignment="1">
      <alignment vertical="center" wrapText="1"/>
    </xf>
    <xf numFmtId="0" fontId="8" fillId="6" borderId="13" xfId="0" applyFont="1" applyFill="1" applyBorder="1" applyAlignment="1">
      <alignment horizontal="center" vertical="center" wrapText="1"/>
    </xf>
    <xf numFmtId="0" fontId="8" fillId="6" borderId="13" xfId="0" applyFont="1" applyFill="1" applyBorder="1" applyAlignment="1">
      <alignment horizontal="center" vertical="center"/>
    </xf>
    <xf numFmtId="0" fontId="8" fillId="6" borderId="2" xfId="0" applyFont="1" applyFill="1" applyBorder="1" applyAlignment="1">
      <alignment horizontal="center" vertical="center" wrapText="1"/>
    </xf>
    <xf numFmtId="0" fontId="8" fillId="6" borderId="2" xfId="0" applyFont="1" applyFill="1" applyBorder="1" applyAlignment="1">
      <alignment horizontal="center" vertical="center"/>
    </xf>
    <xf numFmtId="0" fontId="8" fillId="0" borderId="15" xfId="0" applyFont="1" applyBorder="1" applyAlignment="1">
      <alignment horizontal="center" vertical="center" wrapText="1"/>
    </xf>
    <xf numFmtId="0" fontId="17" fillId="0" borderId="0" xfId="0" applyFont="1" applyAlignment="1">
      <alignment horizontal="center" vertical="center" wrapText="1"/>
    </xf>
    <xf numFmtId="0" fontId="8" fillId="0" borderId="0" xfId="0" applyFont="1" applyAlignment="1">
      <alignment horizontal="center" vertical="center" wrapText="1"/>
    </xf>
    <xf numFmtId="0" fontId="3" fillId="0" borderId="4" xfId="0" applyFont="1" applyBorder="1" applyAlignment="1">
      <alignment horizontal="center" vertical="center"/>
    </xf>
    <xf numFmtId="0" fontId="8" fillId="0" borderId="9" xfId="0" applyFont="1" applyBorder="1" applyAlignment="1">
      <alignment horizontal="center" vertical="center" wrapText="1"/>
    </xf>
    <xf numFmtId="0" fontId="8" fillId="6" borderId="9" xfId="0" applyFont="1" applyFill="1" applyBorder="1" applyAlignment="1">
      <alignment horizontal="center" vertical="center" wrapText="1"/>
    </xf>
    <xf numFmtId="0" fontId="8" fillId="7" borderId="2" xfId="0" applyFont="1" applyFill="1" applyBorder="1" applyAlignment="1">
      <alignment vertical="center" wrapText="1"/>
    </xf>
    <xf numFmtId="0" fontId="8" fillId="0" borderId="2" xfId="0" applyFont="1" applyBorder="1" applyAlignment="1">
      <alignment vertical="top" wrapText="1"/>
    </xf>
    <xf numFmtId="0" fontId="3" fillId="0" borderId="4" xfId="0" applyFont="1" applyBorder="1" applyAlignment="1">
      <alignment horizontal="left" vertical="center"/>
    </xf>
    <xf numFmtId="0" fontId="8" fillId="7" borderId="2" xfId="0" applyFont="1" applyFill="1" applyBorder="1" applyAlignment="1">
      <alignment horizontal="center" vertical="center" wrapText="1"/>
    </xf>
    <xf numFmtId="0" fontId="8" fillId="7" borderId="6" xfId="0" applyFont="1" applyFill="1" applyBorder="1" applyAlignment="1">
      <alignment vertical="center" wrapText="1"/>
    </xf>
    <xf numFmtId="0" fontId="2" fillId="6" borderId="9" xfId="0" applyFont="1" applyFill="1" applyBorder="1" applyAlignment="1">
      <alignment horizontal="center" vertical="center"/>
    </xf>
    <xf numFmtId="0" fontId="8" fillId="7" borderId="6" xfId="0" applyFont="1" applyFill="1" applyBorder="1" applyAlignment="1">
      <alignment horizontal="center" vertical="center" wrapText="1"/>
    </xf>
    <xf numFmtId="0" fontId="2" fillId="6" borderId="9" xfId="0" applyFont="1" applyFill="1" applyBorder="1" applyAlignment="1">
      <alignment horizontal="center" vertical="center" wrapText="1"/>
    </xf>
    <xf numFmtId="0" fontId="8" fillId="0" borderId="10" xfId="0" applyFont="1" applyBorder="1" applyAlignment="1">
      <alignment horizontal="center" vertical="center" wrapText="1"/>
    </xf>
    <xf numFmtId="0" fontId="8" fillId="0" borderId="2" xfId="0" applyFont="1" applyBorder="1" applyAlignment="1">
      <alignment vertical="center" wrapText="1"/>
    </xf>
    <xf numFmtId="0" fontId="13" fillId="0" borderId="15" xfId="0" applyFont="1" applyBorder="1" applyAlignment="1">
      <alignment horizontal="center" vertical="center" wrapText="1"/>
    </xf>
    <xf numFmtId="0" fontId="18" fillId="0" borderId="2" xfId="0" applyFont="1" applyBorder="1" applyAlignment="1">
      <alignment horizontal="center" vertical="center" wrapText="1"/>
    </xf>
    <xf numFmtId="0" fontId="18" fillId="0" borderId="2" xfId="0" applyFont="1" applyBorder="1" applyAlignment="1">
      <alignment horizontal="left" vertical="center" wrapText="1"/>
    </xf>
    <xf numFmtId="166" fontId="13" fillId="0" borderId="2" xfId="1" applyNumberFormat="1" applyFont="1" applyFill="1" applyBorder="1" applyAlignment="1">
      <alignment horizontal="center" vertical="center" wrapText="1"/>
    </xf>
    <xf numFmtId="0" fontId="3" fillId="0" borderId="16" xfId="0" applyFont="1" applyBorder="1" applyAlignment="1">
      <alignment horizontal="center" vertical="center"/>
    </xf>
    <xf numFmtId="0" fontId="18" fillId="0" borderId="6" xfId="0" applyFont="1" applyBorder="1" applyAlignment="1">
      <alignment horizontal="left" vertical="center" wrapText="1"/>
    </xf>
    <xf numFmtId="0" fontId="8" fillId="6" borderId="14" xfId="0" applyFont="1" applyFill="1" applyBorder="1" applyAlignment="1">
      <alignment horizontal="center" vertical="center" wrapText="1"/>
    </xf>
    <xf numFmtId="0" fontId="3" fillId="0" borderId="16" xfId="0" applyFont="1" applyBorder="1" applyAlignment="1">
      <alignment horizontal="left" vertical="center"/>
    </xf>
    <xf numFmtId="0" fontId="18" fillId="0" borderId="6" xfId="0" applyFont="1" applyBorder="1" applyAlignment="1">
      <alignment horizontal="center" vertical="center" wrapText="1"/>
    </xf>
    <xf numFmtId="0" fontId="13" fillId="0" borderId="17" xfId="0" applyFont="1" applyBorder="1" applyAlignment="1">
      <alignment horizontal="center" vertical="center" wrapText="1"/>
    </xf>
    <xf numFmtId="0" fontId="8" fillId="0" borderId="7" xfId="0" applyFont="1" applyBorder="1" applyAlignment="1">
      <alignment horizontal="left" vertical="center" wrapText="1"/>
    </xf>
    <xf numFmtId="0" fontId="18" fillId="0" borderId="4" xfId="0" applyFont="1" applyBorder="1" applyAlignment="1">
      <alignment horizontal="left" vertical="center" wrapText="1"/>
    </xf>
    <xf numFmtId="0" fontId="8" fillId="0" borderId="4" xfId="0" applyFont="1" applyBorder="1" applyAlignment="1">
      <alignment horizontal="left" vertical="center" wrapText="1"/>
    </xf>
    <xf numFmtId="0" fontId="8" fillId="7" borderId="4" xfId="0" applyFont="1" applyFill="1" applyBorder="1" applyAlignment="1">
      <alignment horizontal="left" vertical="center" wrapText="1"/>
    </xf>
    <xf numFmtId="0" fontId="8" fillId="0" borderId="7" xfId="0" applyFont="1" applyBorder="1" applyAlignment="1">
      <alignment horizontal="center" vertical="center" wrapText="1"/>
    </xf>
    <xf numFmtId="166" fontId="8" fillId="0" borderId="8" xfId="0" applyNumberFormat="1" applyFont="1" applyBorder="1" applyAlignment="1">
      <alignment horizontal="center" vertical="center" wrapText="1"/>
    </xf>
    <xf numFmtId="1" fontId="8" fillId="6" borderId="9" xfId="0" applyNumberFormat="1" applyFont="1" applyFill="1" applyBorder="1" applyAlignment="1">
      <alignment horizontal="center" vertical="center" wrapText="1"/>
    </xf>
    <xf numFmtId="0" fontId="3" fillId="0" borderId="4" xfId="0" applyFont="1" applyBorder="1" applyAlignment="1">
      <alignment horizontal="center" vertical="center" wrapText="1"/>
    </xf>
    <xf numFmtId="0" fontId="3" fillId="0" borderId="4" xfId="0" applyFont="1" applyBorder="1" applyAlignment="1">
      <alignment horizontal="left" vertical="center" wrapText="1"/>
    </xf>
    <xf numFmtId="0" fontId="13" fillId="0" borderId="4" xfId="0" applyFont="1" applyBorder="1" applyAlignment="1">
      <alignment horizontal="center" vertical="center" wrapText="1"/>
    </xf>
    <xf numFmtId="14" fontId="8" fillId="0" borderId="2" xfId="0" applyNumberFormat="1" applyFont="1" applyBorder="1" applyAlignment="1">
      <alignment horizontal="center" vertical="center" wrapText="1"/>
    </xf>
    <xf numFmtId="0" fontId="8" fillId="0" borderId="18" xfId="0" applyFont="1" applyBorder="1" applyAlignment="1">
      <alignment horizontal="center" vertical="center" wrapText="1"/>
    </xf>
    <xf numFmtId="0" fontId="9" fillId="0" borderId="6" xfId="0" applyFont="1" applyBorder="1" applyAlignment="1">
      <alignment horizontal="center" vertical="center"/>
    </xf>
    <xf numFmtId="0" fontId="13"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6" xfId="0" applyFont="1" applyBorder="1" applyAlignment="1">
      <alignment horizontal="center" vertical="center" wrapText="1"/>
    </xf>
    <xf numFmtId="0" fontId="9" fillId="0" borderId="4" xfId="0" applyFont="1" applyBorder="1" applyAlignment="1">
      <alignment horizontal="center" vertical="center"/>
    </xf>
    <xf numFmtId="0" fontId="8" fillId="0" borderId="9" xfId="0" applyFont="1" applyBorder="1" applyAlignment="1">
      <alignment horizontal="center"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167" fontId="13" fillId="0" borderId="2" xfId="1" applyNumberFormat="1" applyFont="1" applyFill="1" applyBorder="1" applyAlignment="1">
      <alignment horizontal="center" vertical="center" wrapText="1"/>
    </xf>
    <xf numFmtId="168" fontId="13" fillId="0" borderId="2" xfId="1" applyNumberFormat="1" applyFont="1" applyFill="1" applyBorder="1" applyAlignment="1">
      <alignment horizontal="center" vertical="center" wrapText="1"/>
    </xf>
    <xf numFmtId="169" fontId="13" fillId="0" borderId="2" xfId="1" applyNumberFormat="1" applyFont="1" applyFill="1" applyBorder="1" applyAlignment="1">
      <alignment horizontal="center" vertical="center" wrapText="1"/>
    </xf>
    <xf numFmtId="0" fontId="8" fillId="6" borderId="9" xfId="0" applyFont="1" applyFill="1" applyBorder="1" applyAlignment="1">
      <alignment horizontal="center" vertical="center"/>
    </xf>
    <xf numFmtId="0" fontId="9" fillId="0" borderId="6" xfId="0" applyFont="1" applyBorder="1" applyAlignment="1">
      <alignment horizontal="left" vertical="center"/>
    </xf>
    <xf numFmtId="0" fontId="9" fillId="0" borderId="2" xfId="0" applyFont="1" applyBorder="1" applyAlignment="1">
      <alignment horizontal="left" vertical="center"/>
    </xf>
    <xf numFmtId="0" fontId="1" fillId="0" borderId="6" xfId="0" applyFont="1" applyBorder="1" applyAlignment="1">
      <alignment horizontal="left" vertical="center"/>
    </xf>
    <xf numFmtId="0" fontId="1" fillId="0" borderId="2" xfId="0" applyFont="1" applyBorder="1" applyAlignment="1">
      <alignment horizontal="left"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9" fillId="0" borderId="8" xfId="0" applyFont="1" applyBorder="1" applyAlignment="1">
      <alignment horizontal="center" vertical="center" wrapText="1"/>
    </xf>
    <xf numFmtId="0" fontId="11" fillId="0" borderId="10" xfId="0" applyFont="1" applyBorder="1"/>
    <xf numFmtId="0" fontId="5" fillId="0" borderId="0" xfId="0" applyFont="1" applyAlignment="1">
      <alignment horizontal="center" wrapText="1"/>
    </xf>
    <xf numFmtId="2" fontId="9" fillId="0" borderId="8" xfId="0" applyNumberFormat="1" applyFont="1" applyBorder="1" applyAlignment="1">
      <alignment horizontal="center" vertical="center" wrapText="1"/>
    </xf>
    <xf numFmtId="2" fontId="11" fillId="0" borderId="9" xfId="0" applyNumberFormat="1" applyFont="1" applyBorder="1" applyAlignment="1">
      <alignment wrapText="1"/>
    </xf>
    <xf numFmtId="0" fontId="3" fillId="0" borderId="1" xfId="0" applyFont="1" applyBorder="1" applyAlignment="1">
      <alignment horizontal="left" vertical="center"/>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6" fillId="0" borderId="0" xfId="0" applyFont="1" applyAlignment="1">
      <alignment horizontal="center"/>
    </xf>
    <xf numFmtId="0" fontId="5" fillId="0" borderId="0" xfId="0" applyFont="1" applyAlignment="1">
      <alignment horizontal="center" vertical="center" wrapText="1"/>
    </xf>
    <xf numFmtId="0" fontId="15" fillId="0" borderId="0" xfId="0" applyFont="1" applyAlignment="1">
      <alignment horizontal="center" vertical="top" wrapText="1"/>
    </xf>
    <xf numFmtId="0" fontId="1" fillId="0" borderId="0" xfId="0" applyFont="1" applyAlignment="1">
      <alignment horizontal="center" vertical="top" wrapText="1"/>
    </xf>
    <xf numFmtId="0" fontId="13" fillId="0" borderId="0" xfId="0" applyFont="1" applyAlignment="1">
      <alignment horizontal="left" vertical="top"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 fillId="0" borderId="2" xfId="0" applyFont="1" applyBorder="1" applyAlignment="1">
      <alignment vertical="center" wrapText="1"/>
    </xf>
    <xf numFmtId="0" fontId="3" fillId="0" borderId="3" xfId="0" applyFont="1" applyBorder="1" applyAlignment="1">
      <alignment horizontal="left" vertical="center" wrapText="1"/>
    </xf>
    <xf numFmtId="0" fontId="1" fillId="0" borderId="21"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9" fillId="0" borderId="19" xfId="0" applyFont="1" applyBorder="1" applyAlignment="1">
      <alignment horizontal="left" vertical="center"/>
    </xf>
    <xf numFmtId="0" fontId="9" fillId="0" borderId="5" xfId="0" applyFont="1" applyBorder="1" applyAlignment="1">
      <alignment horizontal="left" vertical="center"/>
    </xf>
    <xf numFmtId="0" fontId="9" fillId="0" borderId="1" xfId="0" applyFont="1" applyBorder="1" applyAlignment="1">
      <alignment horizontal="left" vertical="center"/>
    </xf>
    <xf numFmtId="0" fontId="9" fillId="0" borderId="6" xfId="0" applyFont="1" applyBorder="1" applyAlignment="1">
      <alignment horizontal="left" vertical="center" wrapText="1"/>
    </xf>
    <xf numFmtId="0" fontId="9" fillId="0" borderId="2" xfId="0"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1872742</xdr:colOff>
      <xdr:row>2</xdr:row>
      <xdr:rowOff>642</xdr:rowOff>
    </xdr:from>
    <xdr:to>
      <xdr:col>1</xdr:col>
      <xdr:colOff>2670601</xdr:colOff>
      <xdr:row>2</xdr:row>
      <xdr:rowOff>642</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2371671" y="599356"/>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707572</xdr:colOff>
      <xdr:row>2</xdr:row>
      <xdr:rowOff>22035</xdr:rowOff>
    </xdr:from>
    <xdr:to>
      <xdr:col>12</xdr:col>
      <xdr:colOff>290286</xdr:colOff>
      <xdr:row>2</xdr:row>
      <xdr:rowOff>22035</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12627429" y="620749"/>
          <a:ext cx="205921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1006927</xdr:colOff>
      <xdr:row>2</xdr:row>
      <xdr:rowOff>533400</xdr:rowOff>
    </xdr:from>
    <xdr:to>
      <xdr:col>6</xdr:col>
      <xdr:colOff>176892</xdr:colOff>
      <xdr:row>2</xdr:row>
      <xdr:rowOff>533400</xdr:rowOff>
    </xdr:to>
    <xdr:cxnSp macro="">
      <xdr:nvCxnSpPr>
        <xdr:cNvPr id="4" name="Straight Connector 3">
          <a:extLst>
            <a:ext uri="{FF2B5EF4-FFF2-40B4-BE49-F238E27FC236}">
              <a16:creationId xmlns:a16="http://schemas.microsoft.com/office/drawing/2014/main" id="{E126119D-5FF3-48E9-B8F9-5FADE7BBE46C}"/>
            </a:ext>
          </a:extLst>
        </xdr:cNvPr>
        <xdr:cNvCxnSpPr/>
      </xdr:nvCxnSpPr>
      <xdr:spPr>
        <a:xfrm>
          <a:off x="6300106" y="1690007"/>
          <a:ext cx="8028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Q80"/>
  <sheetViews>
    <sheetView tabSelected="1" view="pageBreakPreview" topLeftCell="A74" zoomScale="87" zoomScaleNormal="70" zoomScaleSheetLayoutView="87" workbookViewId="0">
      <selection activeCell="O87" sqref="O87"/>
    </sheetView>
  </sheetViews>
  <sheetFormatPr defaultColWidth="8.85546875" defaultRowHeight="32.450000000000003" customHeight="1" x14ac:dyDescent="0.25"/>
  <cols>
    <col min="1" max="1" width="7.140625" customWidth="1"/>
    <col min="2" max="2" width="48" customWidth="1"/>
    <col min="3" max="3" width="24.140625" customWidth="1"/>
    <col min="4" max="4" width="26.28515625" customWidth="1"/>
    <col min="5" max="5" width="17.28515625" customWidth="1"/>
    <col min="6" max="6" width="17.28515625" style="22" customWidth="1"/>
    <col min="7" max="7" width="12.140625" customWidth="1"/>
    <col min="8" max="8" width="11.7109375" style="23" customWidth="1"/>
    <col min="9" max="9" width="11.5703125" style="24" customWidth="1"/>
    <col min="10" max="10" width="11.7109375" customWidth="1"/>
    <col min="11" max="11" width="11.42578125" style="25" customWidth="1"/>
    <col min="12" max="12" width="12.28515625" customWidth="1"/>
    <col min="13" max="13" width="12.85546875" style="25" customWidth="1"/>
    <col min="14" max="14" width="10.85546875" customWidth="1"/>
    <col min="15" max="15" width="12.85546875" style="25" customWidth="1"/>
    <col min="16" max="16" width="12.85546875" customWidth="1"/>
  </cols>
  <sheetData>
    <row r="1" spans="1:17" s="1" customFormat="1" ht="28.5" customHeight="1" x14ac:dyDescent="0.25">
      <c r="A1" s="106" t="s">
        <v>21</v>
      </c>
      <c r="B1" s="106"/>
      <c r="C1" s="106"/>
      <c r="E1" s="2"/>
      <c r="F1" s="2"/>
      <c r="G1" s="100" t="s">
        <v>19</v>
      </c>
      <c r="H1" s="100"/>
      <c r="I1" s="100"/>
      <c r="J1" s="100"/>
      <c r="K1" s="100"/>
      <c r="L1" s="100"/>
      <c r="M1" s="100"/>
      <c r="N1" s="100"/>
      <c r="O1" s="100"/>
      <c r="P1" s="100"/>
    </row>
    <row r="2" spans="1:17" s="1" customFormat="1" ht="18.75" customHeight="1" x14ac:dyDescent="0.25">
      <c r="A2" s="107" t="s">
        <v>49</v>
      </c>
      <c r="B2" s="107"/>
      <c r="C2" s="107"/>
      <c r="E2" s="3"/>
      <c r="F2" s="3"/>
      <c r="G2" s="96" t="s">
        <v>20</v>
      </c>
      <c r="H2" s="96"/>
      <c r="I2" s="96"/>
      <c r="J2" s="96"/>
      <c r="K2" s="96"/>
      <c r="L2" s="96"/>
      <c r="M2" s="96"/>
      <c r="N2" s="96"/>
      <c r="O2" s="96"/>
      <c r="P2" s="96"/>
    </row>
    <row r="3" spans="1:17" ht="44.25" customHeight="1" x14ac:dyDescent="0.25">
      <c r="A3" s="96" t="s">
        <v>57</v>
      </c>
      <c r="B3" s="97"/>
      <c r="C3" s="97"/>
      <c r="D3" s="97"/>
      <c r="E3" s="97"/>
      <c r="F3" s="97"/>
      <c r="G3" s="97"/>
      <c r="H3" s="97"/>
      <c r="I3" s="97"/>
      <c r="J3" s="97"/>
      <c r="K3" s="97"/>
      <c r="L3" s="97"/>
      <c r="M3" s="97"/>
      <c r="N3" s="97"/>
      <c r="O3" s="97"/>
      <c r="P3" s="97"/>
    </row>
    <row r="4" spans="1:17" ht="9" customHeight="1" x14ac:dyDescent="0.25">
      <c r="A4" s="103"/>
      <c r="B4" s="103"/>
      <c r="C4" s="103"/>
      <c r="D4" s="103"/>
      <c r="E4" s="103"/>
      <c r="F4" s="103"/>
      <c r="G4" s="103"/>
      <c r="H4" s="103"/>
      <c r="I4" s="103"/>
      <c r="J4" s="103"/>
      <c r="K4" s="103"/>
      <c r="L4" s="103"/>
      <c r="M4" s="103"/>
      <c r="N4" s="103"/>
      <c r="O4" s="103"/>
      <c r="P4" s="103"/>
    </row>
    <row r="5" spans="1:17" ht="38.25" customHeight="1" x14ac:dyDescent="0.25">
      <c r="A5" s="111" t="s">
        <v>0</v>
      </c>
      <c r="B5" s="111" t="s">
        <v>1</v>
      </c>
      <c r="C5" s="111" t="s">
        <v>2</v>
      </c>
      <c r="D5" s="111" t="s">
        <v>22</v>
      </c>
      <c r="E5" s="111" t="s">
        <v>38</v>
      </c>
      <c r="F5" s="111" t="s">
        <v>11</v>
      </c>
      <c r="G5" s="113" t="s">
        <v>43</v>
      </c>
      <c r="H5" s="98" t="s">
        <v>28</v>
      </c>
      <c r="I5" s="98" t="s">
        <v>29</v>
      </c>
      <c r="J5" s="104" t="s">
        <v>35</v>
      </c>
      <c r="K5" s="101" t="s">
        <v>30</v>
      </c>
      <c r="L5" s="102"/>
      <c r="M5" s="101" t="s">
        <v>31</v>
      </c>
      <c r="N5" s="102"/>
      <c r="O5" s="101" t="s">
        <v>32</v>
      </c>
      <c r="P5" s="102"/>
      <c r="Q5" s="1"/>
    </row>
    <row r="6" spans="1:17" ht="75" customHeight="1" x14ac:dyDescent="0.25">
      <c r="A6" s="112"/>
      <c r="B6" s="112"/>
      <c r="C6" s="112"/>
      <c r="D6" s="112"/>
      <c r="E6" s="112"/>
      <c r="F6" s="112"/>
      <c r="G6" s="114"/>
      <c r="H6" s="99"/>
      <c r="I6" s="99"/>
      <c r="J6" s="105"/>
      <c r="K6" s="9" t="s">
        <v>33</v>
      </c>
      <c r="L6" s="9" t="s">
        <v>34</v>
      </c>
      <c r="M6" s="9" t="s">
        <v>33</v>
      </c>
      <c r="N6" s="9" t="s">
        <v>34</v>
      </c>
      <c r="O6" s="9" t="s">
        <v>33</v>
      </c>
      <c r="P6" s="9" t="s">
        <v>34</v>
      </c>
      <c r="Q6" s="1"/>
    </row>
    <row r="7" spans="1:17" ht="102" customHeight="1" x14ac:dyDescent="0.25">
      <c r="A7" s="10" t="s">
        <v>12</v>
      </c>
      <c r="B7" s="10" t="s">
        <v>13</v>
      </c>
      <c r="C7" s="10" t="s">
        <v>14</v>
      </c>
      <c r="D7" s="10" t="s">
        <v>15</v>
      </c>
      <c r="E7" s="10" t="s">
        <v>16</v>
      </c>
      <c r="F7" s="10" t="s">
        <v>17</v>
      </c>
      <c r="G7" s="10" t="s">
        <v>18</v>
      </c>
      <c r="H7" s="10" t="s">
        <v>39</v>
      </c>
      <c r="I7" s="10" t="s">
        <v>48</v>
      </c>
      <c r="J7" s="10" t="s">
        <v>47</v>
      </c>
      <c r="K7" s="10" t="s">
        <v>41</v>
      </c>
      <c r="L7" s="10" t="s">
        <v>46</v>
      </c>
      <c r="M7" s="10" t="s">
        <v>40</v>
      </c>
      <c r="N7" s="10" t="s">
        <v>44</v>
      </c>
      <c r="O7" s="10" t="s">
        <v>42</v>
      </c>
      <c r="P7" s="10" t="s">
        <v>45</v>
      </c>
    </row>
    <row r="8" spans="1:17" ht="43.5" customHeight="1" x14ac:dyDescent="0.25">
      <c r="A8" s="11" t="s">
        <v>3</v>
      </c>
      <c r="B8" s="115" t="s">
        <v>37</v>
      </c>
      <c r="C8" s="115"/>
      <c r="D8" s="115"/>
      <c r="E8" s="115"/>
      <c r="F8" s="115"/>
      <c r="G8" s="115"/>
      <c r="H8" s="115"/>
      <c r="I8" s="115"/>
      <c r="J8" s="115"/>
      <c r="K8" s="115"/>
      <c r="L8" s="115"/>
      <c r="M8" s="115"/>
      <c r="N8" s="115"/>
      <c r="O8" s="115"/>
      <c r="P8" s="115"/>
    </row>
    <row r="9" spans="1:17" ht="39.75" customHeight="1" x14ac:dyDescent="0.25">
      <c r="A9" s="12">
        <v>1</v>
      </c>
      <c r="B9" s="95" t="s">
        <v>4</v>
      </c>
      <c r="C9" s="95"/>
      <c r="D9" s="95"/>
      <c r="E9" s="95"/>
      <c r="F9" s="29"/>
      <c r="G9" s="30"/>
      <c r="H9" s="30"/>
      <c r="I9" s="30"/>
      <c r="J9" s="29">
        <f t="shared" ref="J9:P9" si="0">SUM(J10:J31)</f>
        <v>25.099999999999998</v>
      </c>
      <c r="K9" s="29">
        <f t="shared" si="0"/>
        <v>22</v>
      </c>
      <c r="L9" s="29">
        <f t="shared" si="0"/>
        <v>25.099999999999998</v>
      </c>
      <c r="M9" s="29">
        <f t="shared" si="0"/>
        <v>22</v>
      </c>
      <c r="N9" s="29">
        <f t="shared" si="0"/>
        <v>25.099999999999998</v>
      </c>
      <c r="O9" s="29">
        <f t="shared" si="0"/>
        <v>22</v>
      </c>
      <c r="P9" s="29">
        <f t="shared" si="0"/>
        <v>25.099999999999998</v>
      </c>
    </row>
    <row r="10" spans="1:17" ht="112.5" x14ac:dyDescent="0.25">
      <c r="A10" s="14">
        <v>1</v>
      </c>
      <c r="B10" s="37" t="s">
        <v>58</v>
      </c>
      <c r="C10" s="4" t="s">
        <v>50</v>
      </c>
      <c r="D10" s="15" t="s">
        <v>27</v>
      </c>
      <c r="E10" s="43" t="s">
        <v>56</v>
      </c>
      <c r="F10" s="5">
        <v>1</v>
      </c>
      <c r="G10" s="28" t="s">
        <v>36</v>
      </c>
      <c r="H10" s="16">
        <f t="shared" ref="H10:H30" si="1">IF(G10="Khó và phức tạp",200,IF(G10="Cao",150,IF(G10="Trungbình",120,100)))</f>
        <v>100</v>
      </c>
      <c r="I10" s="16">
        <f t="shared" ref="I10:I31" si="2">H10*0.01</f>
        <v>1</v>
      </c>
      <c r="J10" s="16">
        <f t="shared" ref="J10:J31" si="3">F10*I10</f>
        <v>1</v>
      </c>
      <c r="K10" s="4">
        <v>1</v>
      </c>
      <c r="L10" s="17">
        <f t="shared" ref="L10:L31" si="4">K10*I10</f>
        <v>1</v>
      </c>
      <c r="M10" s="4">
        <v>1</v>
      </c>
      <c r="N10" s="17">
        <f t="shared" ref="N10:N31" si="5">I10*M10</f>
        <v>1</v>
      </c>
      <c r="O10" s="4">
        <v>1</v>
      </c>
      <c r="P10" s="17">
        <f t="shared" ref="P10:P31" si="6">I10*O10</f>
        <v>1</v>
      </c>
    </row>
    <row r="11" spans="1:17" ht="75" x14ac:dyDescent="0.25">
      <c r="A11" s="45">
        <v>2</v>
      </c>
      <c r="B11" s="49" t="s">
        <v>59</v>
      </c>
      <c r="C11" s="46" t="s">
        <v>51</v>
      </c>
      <c r="D11" s="15" t="s">
        <v>27</v>
      </c>
      <c r="E11" s="44" t="s">
        <v>60</v>
      </c>
      <c r="F11" s="4">
        <v>1</v>
      </c>
      <c r="G11" s="28" t="s">
        <v>26</v>
      </c>
      <c r="H11" s="16">
        <f t="shared" si="1"/>
        <v>150</v>
      </c>
      <c r="I11" s="16">
        <f t="shared" si="2"/>
        <v>1.5</v>
      </c>
      <c r="J11" s="16">
        <f t="shared" si="3"/>
        <v>1.5</v>
      </c>
      <c r="K11" s="4">
        <v>1</v>
      </c>
      <c r="L11" s="17">
        <f t="shared" si="4"/>
        <v>1.5</v>
      </c>
      <c r="M11" s="4">
        <v>1</v>
      </c>
      <c r="N11" s="17">
        <f t="shared" si="5"/>
        <v>1.5</v>
      </c>
      <c r="O11" s="4">
        <v>1</v>
      </c>
      <c r="P11" s="17">
        <f t="shared" si="6"/>
        <v>1.5</v>
      </c>
    </row>
    <row r="12" spans="1:17" ht="75" x14ac:dyDescent="0.25">
      <c r="A12" s="45">
        <v>3</v>
      </c>
      <c r="B12" s="48" t="s">
        <v>61</v>
      </c>
      <c r="C12" s="46" t="s">
        <v>50</v>
      </c>
      <c r="D12" s="50" t="s">
        <v>27</v>
      </c>
      <c r="E12" s="51" t="s">
        <v>65</v>
      </c>
      <c r="F12" s="46">
        <v>1</v>
      </c>
      <c r="G12" s="28" t="s">
        <v>36</v>
      </c>
      <c r="H12" s="16">
        <f t="shared" si="1"/>
        <v>100</v>
      </c>
      <c r="I12" s="16">
        <f t="shared" si="2"/>
        <v>1</v>
      </c>
      <c r="J12" s="16">
        <f t="shared" si="3"/>
        <v>1</v>
      </c>
      <c r="K12" s="4">
        <v>1</v>
      </c>
      <c r="L12" s="17">
        <f t="shared" si="4"/>
        <v>1</v>
      </c>
      <c r="M12" s="4">
        <v>1</v>
      </c>
      <c r="N12" s="17">
        <f t="shared" si="5"/>
        <v>1</v>
      </c>
      <c r="O12" s="4">
        <v>1</v>
      </c>
      <c r="P12" s="17">
        <f t="shared" si="6"/>
        <v>1</v>
      </c>
    </row>
    <row r="13" spans="1:17" ht="57" customHeight="1" x14ac:dyDescent="0.25">
      <c r="A13" s="45">
        <v>4</v>
      </c>
      <c r="B13" s="48" t="s">
        <v>62</v>
      </c>
      <c r="C13" s="46" t="s">
        <v>50</v>
      </c>
      <c r="D13" s="50" t="s">
        <v>27</v>
      </c>
      <c r="E13" s="51" t="s">
        <v>66</v>
      </c>
      <c r="F13" s="46">
        <v>1</v>
      </c>
      <c r="G13" s="28" t="s">
        <v>25</v>
      </c>
      <c r="H13" s="16">
        <v>120</v>
      </c>
      <c r="I13" s="16">
        <f t="shared" si="2"/>
        <v>1.2</v>
      </c>
      <c r="J13" s="16">
        <f t="shared" si="3"/>
        <v>1.2</v>
      </c>
      <c r="K13" s="4">
        <v>1</v>
      </c>
      <c r="L13" s="17">
        <f t="shared" si="4"/>
        <v>1.2</v>
      </c>
      <c r="M13" s="4">
        <v>1</v>
      </c>
      <c r="N13" s="17">
        <f t="shared" si="5"/>
        <v>1.2</v>
      </c>
      <c r="O13" s="4">
        <v>1</v>
      </c>
      <c r="P13" s="17">
        <f t="shared" si="6"/>
        <v>1.2</v>
      </c>
    </row>
    <row r="14" spans="1:17" ht="82.5" customHeight="1" x14ac:dyDescent="0.25">
      <c r="A14" s="45">
        <v>5</v>
      </c>
      <c r="B14" s="48" t="s">
        <v>63</v>
      </c>
      <c r="C14" s="47" t="s">
        <v>51</v>
      </c>
      <c r="D14" s="50" t="s">
        <v>27</v>
      </c>
      <c r="E14" s="51" t="s">
        <v>67</v>
      </c>
      <c r="F14" s="47">
        <v>1</v>
      </c>
      <c r="G14" s="28" t="s">
        <v>36</v>
      </c>
      <c r="H14" s="16">
        <f t="shared" si="1"/>
        <v>100</v>
      </c>
      <c r="I14" s="16">
        <f t="shared" si="2"/>
        <v>1</v>
      </c>
      <c r="J14" s="16">
        <f t="shared" si="3"/>
        <v>1</v>
      </c>
      <c r="K14" s="5">
        <v>1</v>
      </c>
      <c r="L14" s="17">
        <f t="shared" si="4"/>
        <v>1</v>
      </c>
      <c r="M14" s="5">
        <v>1</v>
      </c>
      <c r="N14" s="17">
        <f t="shared" si="5"/>
        <v>1</v>
      </c>
      <c r="O14" s="5">
        <v>1</v>
      </c>
      <c r="P14" s="17">
        <f t="shared" si="6"/>
        <v>1</v>
      </c>
    </row>
    <row r="15" spans="1:17" ht="102.75" customHeight="1" x14ac:dyDescent="0.25">
      <c r="A15" s="45">
        <v>6</v>
      </c>
      <c r="B15" s="52" t="s">
        <v>64</v>
      </c>
      <c r="C15" s="47" t="s">
        <v>51</v>
      </c>
      <c r="D15" s="50" t="s">
        <v>27</v>
      </c>
      <c r="E15" s="54" t="s">
        <v>68</v>
      </c>
      <c r="F15" s="47">
        <v>1</v>
      </c>
      <c r="G15" s="28" t="s">
        <v>26</v>
      </c>
      <c r="H15" s="16">
        <f t="shared" si="1"/>
        <v>150</v>
      </c>
      <c r="I15" s="16">
        <f t="shared" si="2"/>
        <v>1.5</v>
      </c>
      <c r="J15" s="16">
        <f t="shared" si="3"/>
        <v>1.5</v>
      </c>
      <c r="K15" s="5">
        <v>1</v>
      </c>
      <c r="L15" s="17">
        <f t="shared" si="4"/>
        <v>1.5</v>
      </c>
      <c r="M15" s="5">
        <v>1</v>
      </c>
      <c r="N15" s="17">
        <f t="shared" si="5"/>
        <v>1.5</v>
      </c>
      <c r="O15" s="5">
        <v>1</v>
      </c>
      <c r="P15" s="17">
        <f t="shared" si="6"/>
        <v>1.5</v>
      </c>
    </row>
    <row r="16" spans="1:17" ht="93.75" x14ac:dyDescent="0.25">
      <c r="A16" s="45">
        <v>7</v>
      </c>
      <c r="B16" s="48" t="s">
        <v>69</v>
      </c>
      <c r="C16" s="46" t="s">
        <v>51</v>
      </c>
      <c r="D16" s="50" t="s">
        <v>27</v>
      </c>
      <c r="E16" s="51" t="s">
        <v>74</v>
      </c>
      <c r="F16" s="47">
        <v>1</v>
      </c>
      <c r="G16" s="28" t="s">
        <v>36</v>
      </c>
      <c r="H16" s="16">
        <f t="shared" si="1"/>
        <v>100</v>
      </c>
      <c r="I16" s="16">
        <f t="shared" si="2"/>
        <v>1</v>
      </c>
      <c r="J16" s="16">
        <f t="shared" si="3"/>
        <v>1</v>
      </c>
      <c r="K16" s="7">
        <v>1</v>
      </c>
      <c r="L16" s="17">
        <f t="shared" si="4"/>
        <v>1</v>
      </c>
      <c r="M16" s="4">
        <v>1</v>
      </c>
      <c r="N16" s="17">
        <f t="shared" si="5"/>
        <v>1</v>
      </c>
      <c r="O16" s="4">
        <v>1</v>
      </c>
      <c r="P16" s="17">
        <f t="shared" si="6"/>
        <v>1</v>
      </c>
    </row>
    <row r="17" spans="1:16" ht="93.75" x14ac:dyDescent="0.25">
      <c r="A17" s="45">
        <v>8</v>
      </c>
      <c r="B17" s="48" t="s">
        <v>70</v>
      </c>
      <c r="C17" s="46" t="s">
        <v>50</v>
      </c>
      <c r="D17" s="50" t="s">
        <v>27</v>
      </c>
      <c r="E17" s="51" t="s">
        <v>75</v>
      </c>
      <c r="F17" s="46">
        <v>1</v>
      </c>
      <c r="G17" s="28" t="s">
        <v>25</v>
      </c>
      <c r="H17" s="16">
        <v>120</v>
      </c>
      <c r="I17" s="16">
        <f t="shared" si="2"/>
        <v>1.2</v>
      </c>
      <c r="J17" s="16">
        <f t="shared" si="3"/>
        <v>1.2</v>
      </c>
      <c r="K17" s="4">
        <v>1</v>
      </c>
      <c r="L17" s="17">
        <f t="shared" si="4"/>
        <v>1.2</v>
      </c>
      <c r="M17" s="4">
        <v>1</v>
      </c>
      <c r="N17" s="17">
        <f t="shared" si="5"/>
        <v>1.2</v>
      </c>
      <c r="O17" s="4">
        <v>1</v>
      </c>
      <c r="P17" s="17">
        <f t="shared" si="6"/>
        <v>1.2</v>
      </c>
    </row>
    <row r="18" spans="1:16" ht="75" x14ac:dyDescent="0.25">
      <c r="A18" s="45">
        <v>9</v>
      </c>
      <c r="B18" s="48" t="s">
        <v>71</v>
      </c>
      <c r="C18" s="47" t="s">
        <v>51</v>
      </c>
      <c r="D18" s="50" t="s">
        <v>27</v>
      </c>
      <c r="E18" s="51" t="s">
        <v>76</v>
      </c>
      <c r="F18" s="53">
        <v>1</v>
      </c>
      <c r="G18" s="28" t="s">
        <v>26</v>
      </c>
      <c r="H18" s="16">
        <f t="shared" si="1"/>
        <v>150</v>
      </c>
      <c r="I18" s="16">
        <f t="shared" si="2"/>
        <v>1.5</v>
      </c>
      <c r="J18" s="16">
        <f t="shared" si="3"/>
        <v>1.5</v>
      </c>
      <c r="K18" s="4">
        <v>1</v>
      </c>
      <c r="L18" s="17">
        <f t="shared" si="4"/>
        <v>1.5</v>
      </c>
      <c r="M18" s="5">
        <v>1</v>
      </c>
      <c r="N18" s="17">
        <f t="shared" si="5"/>
        <v>1.5</v>
      </c>
      <c r="O18" s="5">
        <v>1</v>
      </c>
      <c r="P18" s="17">
        <f t="shared" si="6"/>
        <v>1.5</v>
      </c>
    </row>
    <row r="19" spans="1:16" ht="93.75" x14ac:dyDescent="0.25">
      <c r="A19" s="45">
        <v>10</v>
      </c>
      <c r="B19" s="48" t="s">
        <v>72</v>
      </c>
      <c r="C19" s="46" t="s">
        <v>51</v>
      </c>
      <c r="D19" s="50" t="s">
        <v>27</v>
      </c>
      <c r="E19" s="51" t="s">
        <v>77</v>
      </c>
      <c r="F19" s="46">
        <v>1</v>
      </c>
      <c r="G19" s="28" t="s">
        <v>36</v>
      </c>
      <c r="H19" s="16">
        <f t="shared" si="1"/>
        <v>100</v>
      </c>
      <c r="I19" s="16">
        <f t="shared" si="2"/>
        <v>1</v>
      </c>
      <c r="J19" s="16">
        <f t="shared" si="3"/>
        <v>1</v>
      </c>
      <c r="K19" s="4">
        <v>1</v>
      </c>
      <c r="L19" s="17">
        <f t="shared" si="4"/>
        <v>1</v>
      </c>
      <c r="M19" s="4">
        <v>1</v>
      </c>
      <c r="N19" s="17">
        <f t="shared" si="5"/>
        <v>1</v>
      </c>
      <c r="O19" s="4">
        <v>1</v>
      </c>
      <c r="P19" s="17">
        <f t="shared" si="6"/>
        <v>1</v>
      </c>
    </row>
    <row r="20" spans="1:16" ht="93.75" x14ac:dyDescent="0.25">
      <c r="A20" s="45">
        <v>11</v>
      </c>
      <c r="B20" s="52" t="s">
        <v>73</v>
      </c>
      <c r="C20" s="47" t="s">
        <v>50</v>
      </c>
      <c r="D20" s="50" t="s">
        <v>27</v>
      </c>
      <c r="E20" s="54" t="s">
        <v>78</v>
      </c>
      <c r="F20" s="53">
        <v>1</v>
      </c>
      <c r="G20" s="28" t="s">
        <v>36</v>
      </c>
      <c r="H20" s="16">
        <f t="shared" si="1"/>
        <v>100</v>
      </c>
      <c r="I20" s="16">
        <f t="shared" si="2"/>
        <v>1</v>
      </c>
      <c r="J20" s="16">
        <f t="shared" si="3"/>
        <v>1</v>
      </c>
      <c r="K20" s="4">
        <v>1</v>
      </c>
      <c r="L20" s="17">
        <f t="shared" si="4"/>
        <v>1</v>
      </c>
      <c r="M20" s="5">
        <v>1</v>
      </c>
      <c r="N20" s="17">
        <f t="shared" si="5"/>
        <v>1</v>
      </c>
      <c r="O20" s="5">
        <v>1</v>
      </c>
      <c r="P20" s="17">
        <f t="shared" si="6"/>
        <v>1</v>
      </c>
    </row>
    <row r="21" spans="1:16" ht="93.75" x14ac:dyDescent="0.25">
      <c r="A21" s="45">
        <v>12</v>
      </c>
      <c r="B21" s="48" t="s">
        <v>79</v>
      </c>
      <c r="C21" s="47" t="s">
        <v>50</v>
      </c>
      <c r="D21" s="50" t="s">
        <v>27</v>
      </c>
      <c r="E21" s="51" t="s">
        <v>85</v>
      </c>
      <c r="F21" s="47">
        <v>1</v>
      </c>
      <c r="G21" s="28" t="s">
        <v>36</v>
      </c>
      <c r="H21" s="16">
        <f t="shared" si="1"/>
        <v>100</v>
      </c>
      <c r="I21" s="16">
        <f t="shared" si="2"/>
        <v>1</v>
      </c>
      <c r="J21" s="16">
        <f t="shared" si="3"/>
        <v>1</v>
      </c>
      <c r="K21" s="5">
        <v>1</v>
      </c>
      <c r="L21" s="17">
        <f t="shared" si="4"/>
        <v>1</v>
      </c>
      <c r="M21" s="5">
        <v>1</v>
      </c>
      <c r="N21" s="17">
        <f t="shared" si="5"/>
        <v>1</v>
      </c>
      <c r="O21" s="5">
        <v>1</v>
      </c>
      <c r="P21" s="17">
        <f t="shared" si="6"/>
        <v>1</v>
      </c>
    </row>
    <row r="22" spans="1:16" ht="93.75" x14ac:dyDescent="0.25">
      <c r="A22" s="45">
        <v>13</v>
      </c>
      <c r="B22" s="48" t="s">
        <v>80</v>
      </c>
      <c r="C22" s="47" t="s">
        <v>51</v>
      </c>
      <c r="D22" s="50" t="s">
        <v>27</v>
      </c>
      <c r="E22" s="51" t="s">
        <v>86</v>
      </c>
      <c r="F22" s="47">
        <v>1</v>
      </c>
      <c r="G22" s="28" t="s">
        <v>36</v>
      </c>
      <c r="H22" s="16">
        <f t="shared" si="1"/>
        <v>100</v>
      </c>
      <c r="I22" s="16">
        <f t="shared" si="2"/>
        <v>1</v>
      </c>
      <c r="J22" s="16">
        <f t="shared" si="3"/>
        <v>1</v>
      </c>
      <c r="K22" s="5">
        <v>1</v>
      </c>
      <c r="L22" s="17">
        <f t="shared" si="4"/>
        <v>1</v>
      </c>
      <c r="M22" s="5">
        <v>1</v>
      </c>
      <c r="N22" s="17">
        <f t="shared" si="5"/>
        <v>1</v>
      </c>
      <c r="O22" s="5">
        <v>1</v>
      </c>
      <c r="P22" s="17">
        <f t="shared" si="6"/>
        <v>1</v>
      </c>
    </row>
    <row r="23" spans="1:16" ht="150" x14ac:dyDescent="0.25">
      <c r="A23" s="45">
        <v>14</v>
      </c>
      <c r="B23" s="48" t="s">
        <v>81</v>
      </c>
      <c r="C23" s="46" t="s">
        <v>51</v>
      </c>
      <c r="D23" s="50" t="s">
        <v>27</v>
      </c>
      <c r="E23" s="51" t="s">
        <v>87</v>
      </c>
      <c r="F23" s="46">
        <v>1</v>
      </c>
      <c r="G23" s="28" t="s">
        <v>36</v>
      </c>
      <c r="H23" s="16">
        <f t="shared" si="1"/>
        <v>100</v>
      </c>
      <c r="I23" s="16">
        <f t="shared" si="2"/>
        <v>1</v>
      </c>
      <c r="J23" s="16">
        <f t="shared" si="3"/>
        <v>1</v>
      </c>
      <c r="K23" s="4">
        <v>1</v>
      </c>
      <c r="L23" s="17">
        <f t="shared" si="4"/>
        <v>1</v>
      </c>
      <c r="M23" s="4">
        <v>1</v>
      </c>
      <c r="N23" s="17">
        <f t="shared" si="5"/>
        <v>1</v>
      </c>
      <c r="O23" s="4">
        <v>1</v>
      </c>
      <c r="P23" s="17">
        <f t="shared" si="6"/>
        <v>1</v>
      </c>
    </row>
    <row r="24" spans="1:16" ht="112.5" x14ac:dyDescent="0.25">
      <c r="A24" s="45">
        <v>15</v>
      </c>
      <c r="B24" s="48" t="s">
        <v>82</v>
      </c>
      <c r="C24" s="46" t="s">
        <v>50</v>
      </c>
      <c r="D24" s="50" t="s">
        <v>27</v>
      </c>
      <c r="E24" s="51" t="s">
        <v>88</v>
      </c>
      <c r="F24" s="46">
        <v>1</v>
      </c>
      <c r="G24" s="28" t="s">
        <v>36</v>
      </c>
      <c r="H24" s="16">
        <f t="shared" si="1"/>
        <v>100</v>
      </c>
      <c r="I24" s="16">
        <f t="shared" si="2"/>
        <v>1</v>
      </c>
      <c r="J24" s="16">
        <f t="shared" si="3"/>
        <v>1</v>
      </c>
      <c r="K24" s="4">
        <v>1</v>
      </c>
      <c r="L24" s="17">
        <f t="shared" si="4"/>
        <v>1</v>
      </c>
      <c r="M24" s="4">
        <v>1</v>
      </c>
      <c r="N24" s="17">
        <f t="shared" si="5"/>
        <v>1</v>
      </c>
      <c r="O24" s="4">
        <v>1</v>
      </c>
      <c r="P24" s="17">
        <f t="shared" si="6"/>
        <v>1</v>
      </c>
    </row>
    <row r="25" spans="1:16" ht="75" x14ac:dyDescent="0.25">
      <c r="A25" s="45">
        <v>16</v>
      </c>
      <c r="B25" s="48" t="s">
        <v>83</v>
      </c>
      <c r="C25" s="46" t="s">
        <v>51</v>
      </c>
      <c r="D25" s="50" t="s">
        <v>27</v>
      </c>
      <c r="E25" s="51" t="s">
        <v>89</v>
      </c>
      <c r="F25" s="46">
        <v>1</v>
      </c>
      <c r="G25" s="28" t="s">
        <v>36</v>
      </c>
      <c r="H25" s="16">
        <f t="shared" si="1"/>
        <v>100</v>
      </c>
      <c r="I25" s="16">
        <f t="shared" si="2"/>
        <v>1</v>
      </c>
      <c r="J25" s="16">
        <f t="shared" si="3"/>
        <v>1</v>
      </c>
      <c r="K25" s="4">
        <v>1</v>
      </c>
      <c r="L25" s="17">
        <f t="shared" si="4"/>
        <v>1</v>
      </c>
      <c r="M25" s="4">
        <v>1</v>
      </c>
      <c r="N25" s="17">
        <f t="shared" si="5"/>
        <v>1</v>
      </c>
      <c r="O25" s="4">
        <v>1</v>
      </c>
      <c r="P25" s="17">
        <f t="shared" si="6"/>
        <v>1</v>
      </c>
    </row>
    <row r="26" spans="1:16" ht="93.75" x14ac:dyDescent="0.25">
      <c r="A26" s="45">
        <v>17</v>
      </c>
      <c r="B26" s="52" t="s">
        <v>84</v>
      </c>
      <c r="C26" s="47" t="s">
        <v>51</v>
      </c>
      <c r="D26" s="50" t="s">
        <v>27</v>
      </c>
      <c r="E26" s="54" t="s">
        <v>90</v>
      </c>
      <c r="F26" s="53">
        <v>1</v>
      </c>
      <c r="G26" s="28" t="s">
        <v>36</v>
      </c>
      <c r="H26" s="16">
        <f t="shared" si="1"/>
        <v>100</v>
      </c>
      <c r="I26" s="16">
        <f t="shared" si="2"/>
        <v>1</v>
      </c>
      <c r="J26" s="16">
        <f t="shared" si="3"/>
        <v>1</v>
      </c>
      <c r="K26" s="4">
        <v>1</v>
      </c>
      <c r="L26" s="17">
        <f t="shared" si="4"/>
        <v>1</v>
      </c>
      <c r="M26" s="5">
        <v>1</v>
      </c>
      <c r="N26" s="17">
        <f t="shared" si="5"/>
        <v>1</v>
      </c>
      <c r="O26" s="5">
        <v>1</v>
      </c>
      <c r="P26" s="17">
        <f t="shared" si="6"/>
        <v>1</v>
      </c>
    </row>
    <row r="27" spans="1:16" ht="105.75" customHeight="1" x14ac:dyDescent="0.25">
      <c r="A27" s="45">
        <v>18</v>
      </c>
      <c r="B27" s="48" t="s">
        <v>91</v>
      </c>
      <c r="C27" s="47" t="s">
        <v>51</v>
      </c>
      <c r="D27" s="50" t="s">
        <v>27</v>
      </c>
      <c r="E27" s="51" t="s">
        <v>96</v>
      </c>
      <c r="F27" s="47">
        <v>1</v>
      </c>
      <c r="G27" s="28" t="s">
        <v>36</v>
      </c>
      <c r="H27" s="16">
        <f t="shared" si="1"/>
        <v>100</v>
      </c>
      <c r="I27" s="16">
        <f t="shared" si="2"/>
        <v>1</v>
      </c>
      <c r="J27" s="16">
        <f t="shared" si="3"/>
        <v>1</v>
      </c>
      <c r="K27" s="5">
        <v>1</v>
      </c>
      <c r="L27" s="17">
        <f t="shared" si="4"/>
        <v>1</v>
      </c>
      <c r="M27" s="5">
        <v>1</v>
      </c>
      <c r="N27" s="17">
        <f t="shared" si="5"/>
        <v>1</v>
      </c>
      <c r="O27" s="5">
        <v>1</v>
      </c>
      <c r="P27" s="17">
        <f t="shared" si="6"/>
        <v>1</v>
      </c>
    </row>
    <row r="28" spans="1:16" ht="75" x14ac:dyDescent="0.25">
      <c r="A28" s="45">
        <v>19</v>
      </c>
      <c r="B28" s="48" t="s">
        <v>92</v>
      </c>
      <c r="C28" s="46" t="s">
        <v>51</v>
      </c>
      <c r="D28" s="50" t="s">
        <v>27</v>
      </c>
      <c r="E28" s="51" t="s">
        <v>97</v>
      </c>
      <c r="F28" s="46">
        <v>1</v>
      </c>
      <c r="G28" s="28" t="s">
        <v>26</v>
      </c>
      <c r="H28" s="16">
        <f t="shared" si="1"/>
        <v>150</v>
      </c>
      <c r="I28" s="16">
        <f t="shared" si="2"/>
        <v>1.5</v>
      </c>
      <c r="J28" s="16">
        <f t="shared" si="3"/>
        <v>1.5</v>
      </c>
      <c r="K28" s="4">
        <v>1</v>
      </c>
      <c r="L28" s="17">
        <f t="shared" si="4"/>
        <v>1.5</v>
      </c>
      <c r="M28" s="4">
        <v>1</v>
      </c>
      <c r="N28" s="17">
        <f t="shared" si="5"/>
        <v>1.5</v>
      </c>
      <c r="O28" s="4">
        <v>1</v>
      </c>
      <c r="P28" s="17">
        <f t="shared" si="6"/>
        <v>1.5</v>
      </c>
    </row>
    <row r="29" spans="1:16" ht="93.75" x14ac:dyDescent="0.25">
      <c r="A29" s="45">
        <v>20</v>
      </c>
      <c r="B29" s="48" t="s">
        <v>93</v>
      </c>
      <c r="C29" s="46" t="s">
        <v>51</v>
      </c>
      <c r="D29" s="50" t="s">
        <v>27</v>
      </c>
      <c r="E29" s="51" t="s">
        <v>98</v>
      </c>
      <c r="F29" s="46">
        <v>1</v>
      </c>
      <c r="G29" s="28" t="s">
        <v>26</v>
      </c>
      <c r="H29" s="16">
        <f t="shared" si="1"/>
        <v>150</v>
      </c>
      <c r="I29" s="16">
        <f t="shared" si="2"/>
        <v>1.5</v>
      </c>
      <c r="J29" s="16">
        <f t="shared" si="3"/>
        <v>1.5</v>
      </c>
      <c r="K29" s="4">
        <v>1</v>
      </c>
      <c r="L29" s="17">
        <f t="shared" si="4"/>
        <v>1.5</v>
      </c>
      <c r="M29" s="4">
        <v>1</v>
      </c>
      <c r="N29" s="17">
        <f t="shared" si="5"/>
        <v>1.5</v>
      </c>
      <c r="O29" s="4">
        <v>1</v>
      </c>
      <c r="P29" s="17">
        <f t="shared" si="6"/>
        <v>1.5</v>
      </c>
    </row>
    <row r="30" spans="1:16" ht="93.75" x14ac:dyDescent="0.25">
      <c r="A30" s="45">
        <v>21</v>
      </c>
      <c r="B30" s="48" t="s">
        <v>94</v>
      </c>
      <c r="C30" s="47" t="s">
        <v>51</v>
      </c>
      <c r="D30" s="50" t="s">
        <v>27</v>
      </c>
      <c r="E30" s="51" t="s">
        <v>99</v>
      </c>
      <c r="F30" s="55">
        <v>1</v>
      </c>
      <c r="G30" s="28" t="s">
        <v>36</v>
      </c>
      <c r="H30" s="16">
        <f t="shared" si="1"/>
        <v>100</v>
      </c>
      <c r="I30" s="16">
        <f t="shared" si="2"/>
        <v>1</v>
      </c>
      <c r="J30" s="16">
        <f t="shared" si="3"/>
        <v>1</v>
      </c>
      <c r="K30" s="4">
        <v>1</v>
      </c>
      <c r="L30" s="17">
        <f t="shared" si="4"/>
        <v>1</v>
      </c>
      <c r="M30" s="5">
        <v>1</v>
      </c>
      <c r="N30" s="17">
        <f t="shared" si="5"/>
        <v>1</v>
      </c>
      <c r="O30" s="5">
        <v>1</v>
      </c>
      <c r="P30" s="17">
        <f t="shared" si="6"/>
        <v>1</v>
      </c>
    </row>
    <row r="31" spans="1:16" ht="75" x14ac:dyDescent="0.25">
      <c r="A31" s="45">
        <v>22</v>
      </c>
      <c r="B31" s="48" t="s">
        <v>95</v>
      </c>
      <c r="C31" s="47" t="s">
        <v>51</v>
      </c>
      <c r="D31" s="50" t="s">
        <v>27</v>
      </c>
      <c r="E31" s="51" t="s">
        <v>100</v>
      </c>
      <c r="F31" s="47">
        <v>1</v>
      </c>
      <c r="G31" s="28" t="s">
        <v>25</v>
      </c>
      <c r="H31" s="16">
        <v>120</v>
      </c>
      <c r="I31" s="16">
        <f t="shared" si="2"/>
        <v>1.2</v>
      </c>
      <c r="J31" s="16">
        <f t="shared" si="3"/>
        <v>1.2</v>
      </c>
      <c r="K31" s="5">
        <v>1</v>
      </c>
      <c r="L31" s="17">
        <f t="shared" si="4"/>
        <v>1.2</v>
      </c>
      <c r="M31" s="5">
        <v>1</v>
      </c>
      <c r="N31" s="17">
        <f t="shared" si="5"/>
        <v>1.2</v>
      </c>
      <c r="O31" s="5">
        <v>1</v>
      </c>
      <c r="P31" s="17">
        <f t="shared" si="6"/>
        <v>1.2</v>
      </c>
    </row>
    <row r="32" spans="1:16" ht="41.25" customHeight="1" x14ac:dyDescent="0.25">
      <c r="A32" s="12">
        <v>2</v>
      </c>
      <c r="B32" s="92" t="s">
        <v>5</v>
      </c>
      <c r="C32" s="93"/>
      <c r="D32" s="93"/>
      <c r="E32" s="92"/>
      <c r="F32" s="12">
        <f>SUM(F38:F44)</f>
        <v>6</v>
      </c>
      <c r="G32" s="13"/>
      <c r="H32" s="13"/>
      <c r="I32" s="13"/>
      <c r="J32" s="12">
        <f t="shared" ref="J32:P32" si="7">SUM(J33:J44)</f>
        <v>12</v>
      </c>
      <c r="K32" s="18">
        <f t="shared" si="7"/>
        <v>11</v>
      </c>
      <c r="L32" s="12">
        <f t="shared" si="7"/>
        <v>14.2</v>
      </c>
      <c r="M32" s="12">
        <f t="shared" si="7"/>
        <v>11</v>
      </c>
      <c r="N32" s="12">
        <f t="shared" si="7"/>
        <v>14.2</v>
      </c>
      <c r="O32" s="12">
        <f t="shared" si="7"/>
        <v>11</v>
      </c>
      <c r="P32" s="12">
        <f t="shared" si="7"/>
        <v>14.2</v>
      </c>
    </row>
    <row r="33" spans="1:16" ht="101.25" customHeight="1" x14ac:dyDescent="0.25">
      <c r="A33" s="45">
        <v>1</v>
      </c>
      <c r="B33" s="27" t="s">
        <v>101</v>
      </c>
      <c r="C33" s="46" t="s">
        <v>50</v>
      </c>
      <c r="D33" s="50" t="s">
        <v>27</v>
      </c>
      <c r="E33" s="59" t="s">
        <v>107</v>
      </c>
      <c r="F33" s="46">
        <v>1</v>
      </c>
      <c r="G33" s="4" t="s">
        <v>25</v>
      </c>
      <c r="H33" s="16">
        <v>120</v>
      </c>
      <c r="I33" s="16">
        <f t="shared" ref="I33:I41" si="8">H33*0.01</f>
        <v>1.2</v>
      </c>
      <c r="J33" s="16">
        <f t="shared" ref="J33:J38" si="9">F33*I33</f>
        <v>1.2</v>
      </c>
      <c r="K33" s="4">
        <v>1</v>
      </c>
      <c r="L33" s="17">
        <f t="shared" ref="L33:L38" si="10">K33*I33</f>
        <v>1.2</v>
      </c>
      <c r="M33" s="4">
        <v>1</v>
      </c>
      <c r="N33" s="17">
        <f t="shared" ref="N33:N41" si="11">I33*M33</f>
        <v>1.2</v>
      </c>
      <c r="O33" s="4">
        <v>1</v>
      </c>
      <c r="P33" s="17">
        <f t="shared" ref="P33:P41" si="12">I33*O33</f>
        <v>1.2</v>
      </c>
    </row>
    <row r="34" spans="1:16" ht="75" x14ac:dyDescent="0.25">
      <c r="A34" s="45">
        <v>2</v>
      </c>
      <c r="B34" s="27" t="s">
        <v>102</v>
      </c>
      <c r="C34" s="46" t="s">
        <v>50</v>
      </c>
      <c r="D34" s="50" t="s">
        <v>27</v>
      </c>
      <c r="E34" s="59" t="s">
        <v>108</v>
      </c>
      <c r="F34" s="47">
        <v>1</v>
      </c>
      <c r="G34" s="4" t="s">
        <v>25</v>
      </c>
      <c r="H34" s="16">
        <v>120</v>
      </c>
      <c r="I34" s="16">
        <f t="shared" si="8"/>
        <v>1.2</v>
      </c>
      <c r="J34" s="16">
        <f t="shared" si="9"/>
        <v>1.2</v>
      </c>
      <c r="K34" s="4">
        <v>1</v>
      </c>
      <c r="L34" s="17">
        <f t="shared" si="10"/>
        <v>1.2</v>
      </c>
      <c r="M34" s="4">
        <v>1</v>
      </c>
      <c r="N34" s="17">
        <f t="shared" si="11"/>
        <v>1.2</v>
      </c>
      <c r="O34" s="4">
        <v>1</v>
      </c>
      <c r="P34" s="17">
        <f t="shared" si="12"/>
        <v>1.2</v>
      </c>
    </row>
    <row r="35" spans="1:16" ht="126" customHeight="1" x14ac:dyDescent="0.25">
      <c r="A35" s="45">
        <v>3</v>
      </c>
      <c r="B35" s="60" t="s">
        <v>103</v>
      </c>
      <c r="C35" s="46" t="s">
        <v>51</v>
      </c>
      <c r="D35" s="50" t="s">
        <v>27</v>
      </c>
      <c r="E35" s="59" t="s">
        <v>109</v>
      </c>
      <c r="F35" s="46">
        <v>1</v>
      </c>
      <c r="G35" s="4" t="s">
        <v>25</v>
      </c>
      <c r="H35" s="16">
        <v>120</v>
      </c>
      <c r="I35" s="16">
        <f t="shared" si="8"/>
        <v>1.2</v>
      </c>
      <c r="J35" s="16">
        <v>1.2</v>
      </c>
      <c r="K35" s="73">
        <v>1</v>
      </c>
      <c r="L35" s="61">
        <v>1.2</v>
      </c>
      <c r="M35" s="4">
        <v>1</v>
      </c>
      <c r="N35" s="17">
        <f t="shared" si="11"/>
        <v>1.2</v>
      </c>
      <c r="O35" s="4">
        <v>1</v>
      </c>
      <c r="P35" s="17">
        <f t="shared" si="12"/>
        <v>1.2</v>
      </c>
    </row>
    <row r="36" spans="1:16" ht="124.5" customHeight="1" x14ac:dyDescent="0.25">
      <c r="A36" s="45">
        <v>4</v>
      </c>
      <c r="B36" s="60" t="s">
        <v>104</v>
      </c>
      <c r="C36" s="47" t="s">
        <v>51</v>
      </c>
      <c r="D36" s="50" t="s">
        <v>27</v>
      </c>
      <c r="E36" s="59" t="s">
        <v>110</v>
      </c>
      <c r="F36" s="47">
        <v>1</v>
      </c>
      <c r="G36" s="5" t="s">
        <v>25</v>
      </c>
      <c r="H36" s="16">
        <v>120</v>
      </c>
      <c r="I36" s="16">
        <f t="shared" si="8"/>
        <v>1.2</v>
      </c>
      <c r="J36" s="16">
        <f t="shared" si="9"/>
        <v>1.2</v>
      </c>
      <c r="K36" s="6">
        <v>1</v>
      </c>
      <c r="L36" s="17">
        <f t="shared" si="10"/>
        <v>1.2</v>
      </c>
      <c r="M36" s="5">
        <v>1</v>
      </c>
      <c r="N36" s="17">
        <f t="shared" si="11"/>
        <v>1.2</v>
      </c>
      <c r="O36" s="5">
        <v>1</v>
      </c>
      <c r="P36" s="17">
        <f t="shared" si="12"/>
        <v>1.2</v>
      </c>
    </row>
    <row r="37" spans="1:16" ht="108.75" customHeight="1" x14ac:dyDescent="0.25">
      <c r="A37" s="45">
        <v>5</v>
      </c>
      <c r="B37" s="60" t="s">
        <v>105</v>
      </c>
      <c r="C37" s="46" t="s">
        <v>51</v>
      </c>
      <c r="D37" s="50" t="s">
        <v>27</v>
      </c>
      <c r="E37" s="59" t="s">
        <v>111</v>
      </c>
      <c r="F37" s="46">
        <v>1</v>
      </c>
      <c r="G37" s="4" t="s">
        <v>26</v>
      </c>
      <c r="H37" s="16">
        <v>150</v>
      </c>
      <c r="I37" s="16">
        <v>1.5</v>
      </c>
      <c r="J37" s="16">
        <v>1</v>
      </c>
      <c r="K37" s="73">
        <v>1</v>
      </c>
      <c r="L37" s="17">
        <v>1.5</v>
      </c>
      <c r="M37" s="4">
        <v>1</v>
      </c>
      <c r="N37" s="17">
        <f t="shared" si="11"/>
        <v>1.5</v>
      </c>
      <c r="O37" s="4">
        <v>1</v>
      </c>
      <c r="P37" s="17">
        <f t="shared" si="12"/>
        <v>1.5</v>
      </c>
    </row>
    <row r="38" spans="1:16" ht="93.75" x14ac:dyDescent="0.25">
      <c r="A38" s="62">
        <v>6</v>
      </c>
      <c r="B38" s="63" t="s">
        <v>106</v>
      </c>
      <c r="C38" s="64" t="s">
        <v>113</v>
      </c>
      <c r="D38" s="65" t="s">
        <v>27</v>
      </c>
      <c r="E38" s="66" t="s">
        <v>112</v>
      </c>
      <c r="F38" s="67">
        <v>1</v>
      </c>
      <c r="G38" s="38" t="s">
        <v>25</v>
      </c>
      <c r="H38" s="33">
        <v>120</v>
      </c>
      <c r="I38" s="33">
        <f t="shared" si="8"/>
        <v>1.2</v>
      </c>
      <c r="J38" s="33">
        <f t="shared" si="9"/>
        <v>1.2</v>
      </c>
      <c r="K38" s="39">
        <v>1</v>
      </c>
      <c r="L38" s="36">
        <f t="shared" si="10"/>
        <v>1.2</v>
      </c>
      <c r="M38" s="38">
        <v>1</v>
      </c>
      <c r="N38" s="36">
        <f t="shared" si="11"/>
        <v>1.2</v>
      </c>
      <c r="O38" s="38">
        <v>1</v>
      </c>
      <c r="P38" s="36">
        <f t="shared" si="12"/>
        <v>1.2</v>
      </c>
    </row>
    <row r="39" spans="1:16" ht="75" x14ac:dyDescent="0.25">
      <c r="A39" s="45">
        <v>7</v>
      </c>
      <c r="B39" s="69" t="s">
        <v>114</v>
      </c>
      <c r="C39" s="59" t="s">
        <v>51</v>
      </c>
      <c r="D39" s="62" t="s">
        <v>27</v>
      </c>
      <c r="E39" s="59" t="s">
        <v>119</v>
      </c>
      <c r="F39" s="16">
        <v>1</v>
      </c>
      <c r="G39" s="40" t="s">
        <v>36</v>
      </c>
      <c r="H39" s="16">
        <v>100</v>
      </c>
      <c r="I39" s="16">
        <f t="shared" si="8"/>
        <v>1</v>
      </c>
      <c r="J39" s="16">
        <v>1</v>
      </c>
      <c r="K39" s="41">
        <v>1</v>
      </c>
      <c r="L39" s="17">
        <v>1</v>
      </c>
      <c r="M39" s="40">
        <v>1</v>
      </c>
      <c r="N39" s="17">
        <f t="shared" si="11"/>
        <v>1</v>
      </c>
      <c r="O39" s="40">
        <v>1</v>
      </c>
      <c r="P39" s="17">
        <f t="shared" si="12"/>
        <v>1</v>
      </c>
    </row>
    <row r="40" spans="1:16" ht="93.75" x14ac:dyDescent="0.25">
      <c r="A40" s="45">
        <v>8</v>
      </c>
      <c r="B40" s="70" t="s">
        <v>115</v>
      </c>
      <c r="C40" s="35" t="s">
        <v>50</v>
      </c>
      <c r="D40" s="62" t="s">
        <v>27</v>
      </c>
      <c r="E40" s="35" t="s">
        <v>120</v>
      </c>
      <c r="F40" s="16">
        <v>1</v>
      </c>
      <c r="G40" s="40" t="s">
        <v>25</v>
      </c>
      <c r="H40" s="16">
        <v>120</v>
      </c>
      <c r="I40" s="16">
        <f t="shared" si="8"/>
        <v>1.2</v>
      </c>
      <c r="J40" s="16">
        <v>1</v>
      </c>
      <c r="K40" s="41">
        <v>1</v>
      </c>
      <c r="L40" s="17">
        <v>1.2</v>
      </c>
      <c r="M40" s="40">
        <v>1</v>
      </c>
      <c r="N40" s="17">
        <f t="shared" si="11"/>
        <v>1.2</v>
      </c>
      <c r="O40" s="40">
        <v>1</v>
      </c>
      <c r="P40" s="17">
        <f t="shared" si="12"/>
        <v>1.2</v>
      </c>
    </row>
    <row r="41" spans="1:16" ht="75" x14ac:dyDescent="0.25">
      <c r="A41" s="45">
        <v>9</v>
      </c>
      <c r="B41" s="71" t="s">
        <v>116</v>
      </c>
      <c r="C41" s="51" t="s">
        <v>50</v>
      </c>
      <c r="D41" s="62" t="s">
        <v>27</v>
      </c>
      <c r="E41" s="51" t="s">
        <v>121</v>
      </c>
      <c r="F41" s="16">
        <v>1</v>
      </c>
      <c r="G41" s="40" t="s">
        <v>26</v>
      </c>
      <c r="H41" s="16">
        <v>150</v>
      </c>
      <c r="I41" s="16">
        <f t="shared" si="8"/>
        <v>1.5</v>
      </c>
      <c r="J41" s="16">
        <v>1</v>
      </c>
      <c r="K41" s="41">
        <v>1</v>
      </c>
      <c r="L41" s="17">
        <v>1.5</v>
      </c>
      <c r="M41" s="40">
        <v>1</v>
      </c>
      <c r="N41" s="17">
        <f t="shared" si="11"/>
        <v>1.5</v>
      </c>
      <c r="O41" s="40">
        <v>1</v>
      </c>
      <c r="P41" s="17">
        <f t="shared" si="12"/>
        <v>1.5</v>
      </c>
    </row>
    <row r="42" spans="1:16" ht="150" x14ac:dyDescent="0.25">
      <c r="A42" s="45">
        <v>10</v>
      </c>
      <c r="B42" s="70" t="s">
        <v>117</v>
      </c>
      <c r="C42" s="35" t="s">
        <v>51</v>
      </c>
      <c r="D42" s="62" t="s">
        <v>27</v>
      </c>
      <c r="E42" s="35" t="s">
        <v>122</v>
      </c>
      <c r="F42" s="16">
        <v>1</v>
      </c>
      <c r="G42" s="40" t="s">
        <v>26</v>
      </c>
      <c r="H42" s="16">
        <v>150</v>
      </c>
      <c r="I42" s="16">
        <f t="shared" ref="I42" si="13">H42*0.01</f>
        <v>1.5</v>
      </c>
      <c r="J42" s="16">
        <v>1</v>
      </c>
      <c r="K42" s="41">
        <v>1</v>
      </c>
      <c r="L42" s="17">
        <v>1.5</v>
      </c>
      <c r="M42" s="40">
        <v>1</v>
      </c>
      <c r="N42" s="17">
        <f t="shared" ref="N42" si="14">I42*M42</f>
        <v>1.5</v>
      </c>
      <c r="O42" s="40">
        <v>1</v>
      </c>
      <c r="P42" s="17">
        <f t="shared" ref="P42" si="15">I42*O42</f>
        <v>1.5</v>
      </c>
    </row>
    <row r="43" spans="1:16" ht="75" x14ac:dyDescent="0.25">
      <c r="A43" s="45">
        <v>11</v>
      </c>
      <c r="B43" s="71" t="s">
        <v>118</v>
      </c>
      <c r="C43" s="51" t="s">
        <v>51</v>
      </c>
      <c r="D43" s="62" t="s">
        <v>27</v>
      </c>
      <c r="E43" s="51" t="s">
        <v>123</v>
      </c>
      <c r="F43" s="16">
        <v>1</v>
      </c>
      <c r="G43" s="40" t="s">
        <v>26</v>
      </c>
      <c r="H43" s="16">
        <v>150</v>
      </c>
      <c r="I43" s="16">
        <f t="shared" ref="I43" si="16">H43*0.01</f>
        <v>1.5</v>
      </c>
      <c r="J43" s="16">
        <v>1</v>
      </c>
      <c r="K43" s="41">
        <v>1</v>
      </c>
      <c r="L43" s="17">
        <v>1.5</v>
      </c>
      <c r="M43" s="40">
        <v>1</v>
      </c>
      <c r="N43" s="17">
        <f t="shared" ref="N43" si="17">I43*M43</f>
        <v>1.5</v>
      </c>
      <c r="O43" s="40">
        <v>1</v>
      </c>
      <c r="P43" s="17">
        <f t="shared" ref="P43" si="18">I43*O43</f>
        <v>1.5</v>
      </c>
    </row>
    <row r="44" spans="1:16" ht="18.75" x14ac:dyDescent="0.25">
      <c r="A44" s="14"/>
      <c r="B44" s="68"/>
      <c r="C44" s="72"/>
      <c r="D44" s="15"/>
      <c r="E44" s="35"/>
      <c r="F44" s="16"/>
      <c r="G44" s="35"/>
      <c r="H44" s="16"/>
      <c r="I44" s="16"/>
      <c r="J44" s="16"/>
      <c r="K44" s="35"/>
      <c r="L44" s="17"/>
      <c r="M44" s="35"/>
      <c r="N44" s="17"/>
      <c r="O44" s="35"/>
      <c r="P44" s="17"/>
    </row>
    <row r="45" spans="1:16" ht="37.5" customHeight="1" x14ac:dyDescent="0.25">
      <c r="A45" s="12">
        <v>3</v>
      </c>
      <c r="B45" s="92" t="s">
        <v>6</v>
      </c>
      <c r="C45" s="93"/>
      <c r="D45" s="93"/>
      <c r="E45" s="92"/>
      <c r="F45" s="12"/>
      <c r="G45" s="13"/>
      <c r="H45" s="13"/>
      <c r="I45" s="13"/>
      <c r="J45" s="12">
        <f t="shared" ref="J45:P45" si="19">SUM(J46:J52)</f>
        <v>6.5</v>
      </c>
      <c r="K45" s="12">
        <f t="shared" si="19"/>
        <v>7</v>
      </c>
      <c r="L45" s="12">
        <f t="shared" si="19"/>
        <v>6.5</v>
      </c>
      <c r="M45" s="12">
        <f t="shared" si="19"/>
        <v>7</v>
      </c>
      <c r="N45" s="12">
        <f t="shared" si="19"/>
        <v>6.5</v>
      </c>
      <c r="O45" s="12">
        <f t="shared" si="19"/>
        <v>7</v>
      </c>
      <c r="P45" s="12">
        <f t="shared" si="19"/>
        <v>6.5</v>
      </c>
    </row>
    <row r="46" spans="1:16" ht="75" x14ac:dyDescent="0.25">
      <c r="A46" s="45">
        <v>1</v>
      </c>
      <c r="B46" s="57" t="s">
        <v>124</v>
      </c>
      <c r="C46" s="47" t="s">
        <v>51</v>
      </c>
      <c r="D46" s="50" t="s">
        <v>27</v>
      </c>
      <c r="E46" s="35" t="s">
        <v>131</v>
      </c>
      <c r="F46" s="74">
        <v>1</v>
      </c>
      <c r="G46" s="5" t="s">
        <v>36</v>
      </c>
      <c r="H46" s="16">
        <f t="shared" ref="H46:H51" si="20">IF(G46="Khó và phức tạp",200,IF(G46="Cao",150,IF(G46="Trungbình",120,100)))</f>
        <v>100</v>
      </c>
      <c r="I46" s="16">
        <f t="shared" ref="I46:I52" si="21">H46*0.01</f>
        <v>1</v>
      </c>
      <c r="J46" s="16">
        <v>1</v>
      </c>
      <c r="K46" s="89">
        <v>1</v>
      </c>
      <c r="L46" s="17">
        <f t="shared" ref="L46:L52" si="22">K46*I46</f>
        <v>1</v>
      </c>
      <c r="M46" s="5">
        <v>1</v>
      </c>
      <c r="N46" s="17">
        <f t="shared" ref="N46:N52" si="23">I46*M46</f>
        <v>1</v>
      </c>
      <c r="O46" s="5">
        <v>1</v>
      </c>
      <c r="P46" s="17">
        <f t="shared" ref="P46:P52" si="24">I46*O46</f>
        <v>1</v>
      </c>
    </row>
    <row r="47" spans="1:16" ht="173.25" customHeight="1" x14ac:dyDescent="0.25">
      <c r="A47" s="45">
        <v>2</v>
      </c>
      <c r="B47" s="57" t="s">
        <v>125</v>
      </c>
      <c r="C47" s="46" t="s">
        <v>51</v>
      </c>
      <c r="D47" s="50" t="s">
        <v>27</v>
      </c>
      <c r="E47" s="35" t="s">
        <v>132</v>
      </c>
      <c r="F47" s="46">
        <v>1</v>
      </c>
      <c r="G47" s="4" t="s">
        <v>52</v>
      </c>
      <c r="H47" s="16">
        <f t="shared" si="20"/>
        <v>100</v>
      </c>
      <c r="I47" s="16">
        <f t="shared" si="21"/>
        <v>1</v>
      </c>
      <c r="J47" s="16">
        <f t="shared" ref="J47:J52" si="25">F47*I47</f>
        <v>1</v>
      </c>
      <c r="K47" s="89">
        <f t="shared" ref="K47:K52" si="26">F47*100%</f>
        <v>1</v>
      </c>
      <c r="L47" s="17">
        <f t="shared" si="22"/>
        <v>1</v>
      </c>
      <c r="M47" s="4">
        <v>1</v>
      </c>
      <c r="N47" s="17">
        <f t="shared" si="23"/>
        <v>1</v>
      </c>
      <c r="O47" s="4">
        <v>1</v>
      </c>
      <c r="P47" s="17">
        <f t="shared" si="24"/>
        <v>1</v>
      </c>
    </row>
    <row r="48" spans="1:16" ht="75" x14ac:dyDescent="0.25">
      <c r="A48" s="45">
        <v>3</v>
      </c>
      <c r="B48" s="57" t="s">
        <v>126</v>
      </c>
      <c r="C48" s="46" t="s">
        <v>51</v>
      </c>
      <c r="D48" s="50" t="s">
        <v>27</v>
      </c>
      <c r="E48" s="35" t="s">
        <v>133</v>
      </c>
      <c r="F48" s="46">
        <v>1</v>
      </c>
      <c r="G48" s="4" t="s">
        <v>25</v>
      </c>
      <c r="H48" s="16">
        <v>120</v>
      </c>
      <c r="I48" s="16">
        <f t="shared" si="21"/>
        <v>1.2</v>
      </c>
      <c r="J48" s="16">
        <f t="shared" si="25"/>
        <v>1.2</v>
      </c>
      <c r="K48" s="89">
        <f t="shared" si="26"/>
        <v>1</v>
      </c>
      <c r="L48" s="17">
        <f t="shared" si="22"/>
        <v>1.2</v>
      </c>
      <c r="M48" s="4">
        <v>1</v>
      </c>
      <c r="N48" s="17">
        <f t="shared" si="23"/>
        <v>1.2</v>
      </c>
      <c r="O48" s="4">
        <v>1</v>
      </c>
      <c r="P48" s="17">
        <f t="shared" si="24"/>
        <v>1.2</v>
      </c>
    </row>
    <row r="49" spans="1:16" ht="63.75" customHeight="1" x14ac:dyDescent="0.25">
      <c r="A49" s="45">
        <v>4</v>
      </c>
      <c r="B49" s="57" t="s">
        <v>127</v>
      </c>
      <c r="C49" s="47" t="s">
        <v>51</v>
      </c>
      <c r="D49" s="50" t="s">
        <v>27</v>
      </c>
      <c r="E49" s="35" t="s">
        <v>134</v>
      </c>
      <c r="F49" s="47">
        <v>1</v>
      </c>
      <c r="G49" s="4" t="s">
        <v>36</v>
      </c>
      <c r="H49" s="16">
        <f t="shared" si="20"/>
        <v>100</v>
      </c>
      <c r="I49" s="16">
        <f t="shared" si="21"/>
        <v>1</v>
      </c>
      <c r="J49" s="16">
        <f t="shared" si="25"/>
        <v>1</v>
      </c>
      <c r="K49" s="89">
        <v>1</v>
      </c>
      <c r="L49" s="17">
        <f t="shared" si="22"/>
        <v>1</v>
      </c>
      <c r="M49" s="5">
        <v>1</v>
      </c>
      <c r="N49" s="17">
        <v>1</v>
      </c>
      <c r="O49" s="5">
        <v>1</v>
      </c>
      <c r="P49" s="17">
        <f t="shared" si="24"/>
        <v>1</v>
      </c>
    </row>
    <row r="50" spans="1:16" ht="131.25" x14ac:dyDescent="0.25">
      <c r="A50" s="45">
        <v>5</v>
      </c>
      <c r="B50" s="57" t="s">
        <v>128</v>
      </c>
      <c r="C50" s="47" t="s">
        <v>50</v>
      </c>
      <c r="D50" s="50" t="s">
        <v>27</v>
      </c>
      <c r="E50" s="35" t="s">
        <v>135</v>
      </c>
      <c r="F50" s="74">
        <v>1</v>
      </c>
      <c r="G50" s="5" t="s">
        <v>36</v>
      </c>
      <c r="H50" s="16">
        <f t="shared" si="20"/>
        <v>100</v>
      </c>
      <c r="I50" s="16">
        <f t="shared" si="21"/>
        <v>1</v>
      </c>
      <c r="J50" s="16">
        <f t="shared" si="25"/>
        <v>1</v>
      </c>
      <c r="K50" s="89">
        <v>1</v>
      </c>
      <c r="L50" s="17">
        <f t="shared" si="22"/>
        <v>1</v>
      </c>
      <c r="M50" s="5">
        <v>1</v>
      </c>
      <c r="N50" s="17">
        <f t="shared" si="23"/>
        <v>1</v>
      </c>
      <c r="O50" s="5">
        <v>1</v>
      </c>
      <c r="P50" s="17">
        <f t="shared" si="24"/>
        <v>1</v>
      </c>
    </row>
    <row r="51" spans="1:16" ht="72.75" customHeight="1" x14ac:dyDescent="0.25">
      <c r="A51" s="45">
        <v>6</v>
      </c>
      <c r="B51" s="57" t="s">
        <v>129</v>
      </c>
      <c r="C51" s="47" t="s">
        <v>51</v>
      </c>
      <c r="D51" s="50" t="s">
        <v>27</v>
      </c>
      <c r="E51" s="35" t="s">
        <v>99</v>
      </c>
      <c r="F51" s="74">
        <v>1</v>
      </c>
      <c r="G51" s="5" t="s">
        <v>36</v>
      </c>
      <c r="H51" s="16">
        <f t="shared" si="20"/>
        <v>100</v>
      </c>
      <c r="I51" s="16">
        <f t="shared" si="21"/>
        <v>1</v>
      </c>
      <c r="J51" s="16">
        <f t="shared" si="25"/>
        <v>1</v>
      </c>
      <c r="K51" s="89">
        <v>1</v>
      </c>
      <c r="L51" s="17">
        <v>1</v>
      </c>
      <c r="M51" s="5">
        <v>1</v>
      </c>
      <c r="N51" s="17">
        <f t="shared" si="23"/>
        <v>1</v>
      </c>
      <c r="O51" s="5">
        <v>1</v>
      </c>
      <c r="P51" s="17">
        <f t="shared" si="24"/>
        <v>1</v>
      </c>
    </row>
    <row r="52" spans="1:16" ht="102" customHeight="1" x14ac:dyDescent="0.25">
      <c r="A52" s="45">
        <v>7</v>
      </c>
      <c r="B52" s="57" t="s">
        <v>130</v>
      </c>
      <c r="C52" s="46"/>
      <c r="D52" s="15" t="s">
        <v>27</v>
      </c>
      <c r="E52" s="56"/>
      <c r="F52" s="4">
        <v>1</v>
      </c>
      <c r="G52" s="4" t="s">
        <v>36</v>
      </c>
      <c r="H52" s="16">
        <v>30</v>
      </c>
      <c r="I52" s="16">
        <f t="shared" si="21"/>
        <v>0.3</v>
      </c>
      <c r="J52" s="16">
        <f t="shared" si="25"/>
        <v>0.3</v>
      </c>
      <c r="K52" s="89">
        <f t="shared" si="26"/>
        <v>1</v>
      </c>
      <c r="L52" s="17">
        <f t="shared" si="22"/>
        <v>0.3</v>
      </c>
      <c r="M52" s="4">
        <v>1</v>
      </c>
      <c r="N52" s="17">
        <f t="shared" si="23"/>
        <v>0.3</v>
      </c>
      <c r="O52" s="4">
        <v>1</v>
      </c>
      <c r="P52" s="17">
        <f t="shared" si="24"/>
        <v>0.3</v>
      </c>
    </row>
    <row r="53" spans="1:16" ht="48" customHeight="1" x14ac:dyDescent="0.25">
      <c r="A53" s="12">
        <v>4</v>
      </c>
      <c r="B53" s="123" t="s">
        <v>7</v>
      </c>
      <c r="C53" s="124"/>
      <c r="D53" s="123"/>
      <c r="E53" s="123"/>
      <c r="F53" s="80">
        <f>SUM(F57:F59)</f>
        <v>3</v>
      </c>
      <c r="G53" s="13"/>
      <c r="H53" s="13"/>
      <c r="I53" s="13"/>
      <c r="J53" s="12">
        <f t="shared" ref="J53:P53" si="27">SUM(J54:J59)</f>
        <v>4.0999999999999996</v>
      </c>
      <c r="K53" s="12">
        <f t="shared" si="27"/>
        <v>6</v>
      </c>
      <c r="L53" s="12">
        <f t="shared" si="27"/>
        <v>4.0999999999999996</v>
      </c>
      <c r="M53" s="12">
        <f t="shared" si="27"/>
        <v>6</v>
      </c>
      <c r="N53" s="12">
        <f t="shared" si="27"/>
        <v>4.8</v>
      </c>
      <c r="O53" s="12">
        <f t="shared" si="27"/>
        <v>6</v>
      </c>
      <c r="P53" s="12">
        <f t="shared" si="27"/>
        <v>4.0999999999999996</v>
      </c>
    </row>
    <row r="54" spans="1:16" ht="93" customHeight="1" x14ac:dyDescent="0.25">
      <c r="A54" s="45">
        <v>1</v>
      </c>
      <c r="B54" s="57" t="s">
        <v>136</v>
      </c>
      <c r="C54" s="79" t="s">
        <v>144</v>
      </c>
      <c r="D54" s="26" t="s">
        <v>27</v>
      </c>
      <c r="E54" s="83" t="s">
        <v>145</v>
      </c>
      <c r="F54" s="35">
        <v>1</v>
      </c>
      <c r="G54" s="46" t="s">
        <v>25</v>
      </c>
      <c r="H54" s="16">
        <v>120</v>
      </c>
      <c r="I54" s="16">
        <f t="shared" ref="I54:I57" si="28">H54*0.01</f>
        <v>1.2</v>
      </c>
      <c r="J54" s="16">
        <f t="shared" ref="J54:J59" si="29">F54*I54</f>
        <v>1.2</v>
      </c>
      <c r="K54" s="88">
        <f t="shared" ref="K54:K59" si="30">F54*100%</f>
        <v>1</v>
      </c>
      <c r="L54" s="17">
        <f t="shared" ref="L54:L59" si="31">K54*I54</f>
        <v>1.2</v>
      </c>
      <c r="M54" s="4">
        <v>1</v>
      </c>
      <c r="N54" s="17">
        <f t="shared" ref="N54:N59" si="32">I54*M54</f>
        <v>1.2</v>
      </c>
      <c r="O54" s="4">
        <v>1</v>
      </c>
      <c r="P54" s="17">
        <f t="shared" ref="P54:P59" si="33">I54*O54</f>
        <v>1.2</v>
      </c>
    </row>
    <row r="55" spans="1:16" ht="93.75" customHeight="1" x14ac:dyDescent="0.25">
      <c r="A55" s="45">
        <v>2</v>
      </c>
      <c r="B55" s="57" t="s">
        <v>137</v>
      </c>
      <c r="C55" s="79" t="s">
        <v>53</v>
      </c>
      <c r="D55" s="77" t="s">
        <v>23</v>
      </c>
      <c r="E55" s="35" t="s">
        <v>142</v>
      </c>
      <c r="F55" s="42">
        <v>8</v>
      </c>
      <c r="G55" s="46" t="s">
        <v>52</v>
      </c>
      <c r="H55" s="16">
        <v>30</v>
      </c>
      <c r="I55" s="16">
        <f t="shared" si="28"/>
        <v>0.3</v>
      </c>
      <c r="J55" s="16">
        <v>0.3</v>
      </c>
      <c r="K55" s="88">
        <v>1</v>
      </c>
      <c r="L55" s="17">
        <f t="shared" si="31"/>
        <v>0.3</v>
      </c>
      <c r="M55" s="4">
        <v>1</v>
      </c>
      <c r="N55" s="17">
        <f t="shared" si="32"/>
        <v>0.3</v>
      </c>
      <c r="O55" s="4">
        <v>1</v>
      </c>
      <c r="P55" s="17">
        <f t="shared" si="33"/>
        <v>0.3</v>
      </c>
    </row>
    <row r="56" spans="1:16" ht="75" x14ac:dyDescent="0.25">
      <c r="A56" s="45">
        <v>3</v>
      </c>
      <c r="B56" s="57" t="s">
        <v>138</v>
      </c>
      <c r="C56" s="79" t="s">
        <v>53</v>
      </c>
      <c r="D56" s="76" t="s">
        <v>27</v>
      </c>
      <c r="E56" s="35" t="s">
        <v>143</v>
      </c>
      <c r="F56" s="42">
        <v>1</v>
      </c>
      <c r="G56" s="46" t="s">
        <v>36</v>
      </c>
      <c r="H56" s="16">
        <v>30</v>
      </c>
      <c r="I56" s="16">
        <f t="shared" si="28"/>
        <v>0.3</v>
      </c>
      <c r="J56" s="16">
        <f t="shared" si="29"/>
        <v>0.3</v>
      </c>
      <c r="K56" s="88">
        <f t="shared" si="30"/>
        <v>1</v>
      </c>
      <c r="L56" s="17">
        <f t="shared" si="31"/>
        <v>0.3</v>
      </c>
      <c r="M56" s="4">
        <v>1</v>
      </c>
      <c r="N56" s="17">
        <f t="shared" si="32"/>
        <v>0.3</v>
      </c>
      <c r="O56" s="4">
        <v>1</v>
      </c>
      <c r="P56" s="17">
        <f t="shared" si="33"/>
        <v>0.3</v>
      </c>
    </row>
    <row r="57" spans="1:16" ht="54" customHeight="1" x14ac:dyDescent="0.25">
      <c r="A57" s="75">
        <v>4</v>
      </c>
      <c r="B57" s="57" t="s">
        <v>139</v>
      </c>
      <c r="C57" s="79" t="s">
        <v>55</v>
      </c>
      <c r="D57" s="77" t="s">
        <v>27</v>
      </c>
      <c r="E57" s="78">
        <v>46120</v>
      </c>
      <c r="F57" s="42">
        <v>1</v>
      </c>
      <c r="G57" s="46" t="s">
        <v>36</v>
      </c>
      <c r="H57" s="16">
        <v>30</v>
      </c>
      <c r="I57" s="16">
        <f t="shared" si="28"/>
        <v>0.3</v>
      </c>
      <c r="J57" s="16">
        <v>0.3</v>
      </c>
      <c r="K57" s="88">
        <v>1</v>
      </c>
      <c r="L57" s="17">
        <f t="shared" si="31"/>
        <v>0.3</v>
      </c>
      <c r="M57" s="4">
        <v>1</v>
      </c>
      <c r="N57" s="17">
        <v>1</v>
      </c>
      <c r="O57" s="4">
        <v>1</v>
      </c>
      <c r="P57" s="17">
        <f t="shared" si="33"/>
        <v>0.3</v>
      </c>
    </row>
    <row r="58" spans="1:16" ht="56.25" x14ac:dyDescent="0.25">
      <c r="A58" s="75">
        <v>5</v>
      </c>
      <c r="B58" s="57" t="s">
        <v>140</v>
      </c>
      <c r="C58" s="46" t="s">
        <v>144</v>
      </c>
      <c r="D58" s="81" t="s">
        <v>27</v>
      </c>
      <c r="E58" s="72" t="s">
        <v>146</v>
      </c>
      <c r="F58" s="35">
        <v>1</v>
      </c>
      <c r="G58" s="46" t="s">
        <v>52</v>
      </c>
      <c r="H58" s="16">
        <f t="shared" ref="H58" si="34">IF(G58="Khó và phức tạp",200,IF(G58="Cao",150,IF(G58="Trungbình",120,100)))</f>
        <v>100</v>
      </c>
      <c r="I58" s="16">
        <f t="shared" ref="I58:I59" si="35">H58*0.01</f>
        <v>1</v>
      </c>
      <c r="J58" s="16">
        <f t="shared" si="29"/>
        <v>1</v>
      </c>
      <c r="K58" s="88">
        <f t="shared" si="30"/>
        <v>1</v>
      </c>
      <c r="L58" s="17">
        <f t="shared" si="31"/>
        <v>1</v>
      </c>
      <c r="M58" s="4">
        <v>1</v>
      </c>
      <c r="N58" s="17">
        <f t="shared" si="32"/>
        <v>1</v>
      </c>
      <c r="O58" s="4">
        <v>1</v>
      </c>
      <c r="P58" s="17">
        <f t="shared" si="33"/>
        <v>1</v>
      </c>
    </row>
    <row r="59" spans="1:16" ht="37.5" x14ac:dyDescent="0.25">
      <c r="A59" s="45">
        <v>6</v>
      </c>
      <c r="B59" s="57" t="s">
        <v>141</v>
      </c>
      <c r="C59" s="46" t="s">
        <v>53</v>
      </c>
      <c r="D59" s="77" t="s">
        <v>27</v>
      </c>
      <c r="E59" s="78">
        <v>46364</v>
      </c>
      <c r="F59" s="82">
        <v>1</v>
      </c>
      <c r="G59" s="4" t="s">
        <v>36</v>
      </c>
      <c r="H59" s="16">
        <v>100</v>
      </c>
      <c r="I59" s="16">
        <f t="shared" si="35"/>
        <v>1</v>
      </c>
      <c r="J59" s="16">
        <f t="shared" si="29"/>
        <v>1</v>
      </c>
      <c r="K59" s="88">
        <f t="shared" si="30"/>
        <v>1</v>
      </c>
      <c r="L59" s="17">
        <f t="shared" si="31"/>
        <v>1</v>
      </c>
      <c r="M59" s="4">
        <v>1</v>
      </c>
      <c r="N59" s="17">
        <f t="shared" si="32"/>
        <v>1</v>
      </c>
      <c r="O59" s="4">
        <v>1</v>
      </c>
      <c r="P59" s="17">
        <f t="shared" si="33"/>
        <v>1</v>
      </c>
    </row>
    <row r="60" spans="1:16" ht="48.75" customHeight="1" x14ac:dyDescent="0.25">
      <c r="A60" s="12">
        <v>5</v>
      </c>
      <c r="B60" s="94" t="s">
        <v>8</v>
      </c>
      <c r="C60" s="95"/>
      <c r="D60" s="95"/>
      <c r="E60" s="94"/>
      <c r="F60" s="12">
        <f>SUM(F61:F66)</f>
        <v>6</v>
      </c>
      <c r="G60" s="13"/>
      <c r="H60" s="13"/>
      <c r="I60" s="13"/>
      <c r="J60" s="12">
        <f t="shared" ref="J60:P60" si="36">SUM(J61:J66)</f>
        <v>5.3999999999999995</v>
      </c>
      <c r="K60" s="12">
        <f t="shared" si="36"/>
        <v>6</v>
      </c>
      <c r="L60" s="12">
        <f t="shared" si="36"/>
        <v>5.3999999999999995</v>
      </c>
      <c r="M60" s="12">
        <f t="shared" si="36"/>
        <v>6</v>
      </c>
      <c r="N60" s="12">
        <f t="shared" si="36"/>
        <v>5.3999999999999995</v>
      </c>
      <c r="O60" s="12">
        <f t="shared" si="36"/>
        <v>6</v>
      </c>
      <c r="P60" s="12">
        <f t="shared" si="36"/>
        <v>5.3999999999999995</v>
      </c>
    </row>
    <row r="61" spans="1:16" ht="112.5" x14ac:dyDescent="0.25">
      <c r="A61" s="77">
        <v>1</v>
      </c>
      <c r="B61" s="57" t="s">
        <v>147</v>
      </c>
      <c r="C61" s="58" t="s">
        <v>55</v>
      </c>
      <c r="D61" s="77" t="s">
        <v>27</v>
      </c>
      <c r="E61" s="35" t="s">
        <v>153</v>
      </c>
      <c r="F61" s="46">
        <v>1</v>
      </c>
      <c r="G61" s="4" t="s">
        <v>25</v>
      </c>
      <c r="H61" s="16">
        <v>120</v>
      </c>
      <c r="I61" s="16">
        <f t="shared" ref="I61:I66" si="37">H61*0.01</f>
        <v>1.2</v>
      </c>
      <c r="J61" s="16">
        <f t="shared" ref="J61:J65" si="38">F61*I61</f>
        <v>1.2</v>
      </c>
      <c r="K61" s="90">
        <f t="shared" ref="K61:K65" si="39">F61*100%</f>
        <v>1</v>
      </c>
      <c r="L61" s="17">
        <f t="shared" ref="L61:L66" si="40">K61*I61</f>
        <v>1.2</v>
      </c>
      <c r="M61" s="4">
        <v>1</v>
      </c>
      <c r="N61" s="17">
        <f t="shared" ref="N61:N66" si="41">I61*M61</f>
        <v>1.2</v>
      </c>
      <c r="O61" s="4">
        <v>1</v>
      </c>
      <c r="P61" s="17">
        <f t="shared" ref="P61:P66" si="42">I61*O61</f>
        <v>1.2</v>
      </c>
    </row>
    <row r="62" spans="1:16" ht="93.75" x14ac:dyDescent="0.25">
      <c r="A62" s="77">
        <v>2</v>
      </c>
      <c r="B62" s="57" t="s">
        <v>148</v>
      </c>
      <c r="C62" s="58" t="s">
        <v>55</v>
      </c>
      <c r="D62" s="77" t="s">
        <v>27</v>
      </c>
      <c r="E62" s="35" t="s">
        <v>154</v>
      </c>
      <c r="F62" s="46">
        <v>1</v>
      </c>
      <c r="G62" s="4" t="s">
        <v>25</v>
      </c>
      <c r="H62" s="16">
        <v>120</v>
      </c>
      <c r="I62" s="16">
        <f t="shared" si="37"/>
        <v>1.2</v>
      </c>
      <c r="J62" s="16">
        <f t="shared" si="38"/>
        <v>1.2</v>
      </c>
      <c r="K62" s="90">
        <f t="shared" si="39"/>
        <v>1</v>
      </c>
      <c r="L62" s="17">
        <f t="shared" si="40"/>
        <v>1.2</v>
      </c>
      <c r="M62" s="4">
        <v>1</v>
      </c>
      <c r="N62" s="17">
        <f t="shared" si="41"/>
        <v>1.2</v>
      </c>
      <c r="O62" s="4">
        <v>1</v>
      </c>
      <c r="P62" s="17">
        <f t="shared" si="42"/>
        <v>1.2</v>
      </c>
    </row>
    <row r="63" spans="1:16" ht="93.75" x14ac:dyDescent="0.25">
      <c r="A63" s="77">
        <v>3</v>
      </c>
      <c r="B63" s="57" t="s">
        <v>149</v>
      </c>
      <c r="C63" s="58" t="s">
        <v>55</v>
      </c>
      <c r="D63" s="77" t="s">
        <v>27</v>
      </c>
      <c r="E63" s="35" t="s">
        <v>155</v>
      </c>
      <c r="F63" s="46">
        <v>1</v>
      </c>
      <c r="G63" s="4" t="s">
        <v>25</v>
      </c>
      <c r="H63" s="16">
        <v>120</v>
      </c>
      <c r="I63" s="16">
        <f t="shared" si="37"/>
        <v>1.2</v>
      </c>
      <c r="J63" s="16">
        <f t="shared" si="38"/>
        <v>1.2</v>
      </c>
      <c r="K63" s="90">
        <f t="shared" si="39"/>
        <v>1</v>
      </c>
      <c r="L63" s="17">
        <f t="shared" si="40"/>
        <v>1.2</v>
      </c>
      <c r="M63" s="4">
        <v>1</v>
      </c>
      <c r="N63" s="17">
        <f t="shared" si="41"/>
        <v>1.2</v>
      </c>
      <c r="O63" s="4">
        <v>1</v>
      </c>
      <c r="P63" s="17">
        <f t="shared" si="42"/>
        <v>1.2</v>
      </c>
    </row>
    <row r="64" spans="1:16" ht="93.75" x14ac:dyDescent="0.25">
      <c r="A64" s="77">
        <v>4</v>
      </c>
      <c r="B64" s="57" t="s">
        <v>150</v>
      </c>
      <c r="C64" s="58" t="s">
        <v>55</v>
      </c>
      <c r="D64" s="77" t="s">
        <v>27</v>
      </c>
      <c r="E64" s="83" t="s">
        <v>156</v>
      </c>
      <c r="F64" s="46">
        <v>1</v>
      </c>
      <c r="G64" s="4" t="s">
        <v>25</v>
      </c>
      <c r="H64" s="16">
        <v>120</v>
      </c>
      <c r="I64" s="16">
        <f t="shared" si="37"/>
        <v>1.2</v>
      </c>
      <c r="J64" s="16">
        <f t="shared" si="38"/>
        <v>1.2</v>
      </c>
      <c r="K64" s="90">
        <f t="shared" si="39"/>
        <v>1</v>
      </c>
      <c r="L64" s="17">
        <f t="shared" si="40"/>
        <v>1.2</v>
      </c>
      <c r="M64" s="4">
        <v>1</v>
      </c>
      <c r="N64" s="17">
        <f t="shared" si="41"/>
        <v>1.2</v>
      </c>
      <c r="O64" s="4">
        <v>1</v>
      </c>
      <c r="P64" s="17">
        <f t="shared" si="42"/>
        <v>1.2</v>
      </c>
    </row>
    <row r="65" spans="1:16" ht="56.25" x14ac:dyDescent="0.25">
      <c r="A65" s="77">
        <v>5</v>
      </c>
      <c r="B65" s="57" t="s">
        <v>151</v>
      </c>
      <c r="C65" s="58" t="s">
        <v>53</v>
      </c>
      <c r="D65" s="77" t="s">
        <v>23</v>
      </c>
      <c r="E65" s="78">
        <v>46334</v>
      </c>
      <c r="F65" s="46">
        <v>1</v>
      </c>
      <c r="G65" s="4" t="s">
        <v>36</v>
      </c>
      <c r="H65" s="16">
        <v>30</v>
      </c>
      <c r="I65" s="16">
        <f t="shared" si="37"/>
        <v>0.3</v>
      </c>
      <c r="J65" s="16">
        <f t="shared" si="38"/>
        <v>0.3</v>
      </c>
      <c r="K65" s="90">
        <f t="shared" si="39"/>
        <v>1</v>
      </c>
      <c r="L65" s="17">
        <f t="shared" si="40"/>
        <v>0.3</v>
      </c>
      <c r="M65" s="4">
        <v>1</v>
      </c>
      <c r="N65" s="17">
        <f t="shared" si="41"/>
        <v>0.3</v>
      </c>
      <c r="O65" s="4">
        <v>1</v>
      </c>
      <c r="P65" s="17">
        <f t="shared" si="42"/>
        <v>0.3</v>
      </c>
    </row>
    <row r="66" spans="1:16" ht="82.5" customHeight="1" x14ac:dyDescent="0.25">
      <c r="A66" s="77">
        <v>6</v>
      </c>
      <c r="B66" s="57" t="s">
        <v>152</v>
      </c>
      <c r="C66" s="58"/>
      <c r="D66" s="77" t="s">
        <v>27</v>
      </c>
      <c r="E66" s="78">
        <v>46364</v>
      </c>
      <c r="F66" s="46">
        <v>1</v>
      </c>
      <c r="G66" s="4" t="s">
        <v>36</v>
      </c>
      <c r="H66" s="16">
        <v>30</v>
      </c>
      <c r="I66" s="16">
        <f t="shared" si="37"/>
        <v>0.3</v>
      </c>
      <c r="J66" s="16">
        <v>0.3</v>
      </c>
      <c r="K66" s="90">
        <v>1</v>
      </c>
      <c r="L66" s="17">
        <f t="shared" si="40"/>
        <v>0.3</v>
      </c>
      <c r="M66" s="4">
        <v>1</v>
      </c>
      <c r="N66" s="17">
        <f t="shared" si="41"/>
        <v>0.3</v>
      </c>
      <c r="O66" s="4">
        <v>1</v>
      </c>
      <c r="P66" s="17">
        <f t="shared" si="42"/>
        <v>0.3</v>
      </c>
    </row>
    <row r="67" spans="1:16" ht="58.5" customHeight="1" x14ac:dyDescent="0.25">
      <c r="A67" s="12">
        <v>6</v>
      </c>
      <c r="B67" s="117" t="s">
        <v>9</v>
      </c>
      <c r="C67" s="118"/>
      <c r="D67" s="118"/>
      <c r="E67" s="119"/>
      <c r="F67" s="12">
        <v>7</v>
      </c>
      <c r="G67" s="13"/>
      <c r="H67" s="13"/>
      <c r="I67" s="13"/>
      <c r="J67" s="12">
        <f>SUM(J68:J73)</f>
        <v>6.2</v>
      </c>
      <c r="K67" s="12">
        <f t="shared" ref="K67:P67" si="43">SUM(K68:K73)</f>
        <v>6</v>
      </c>
      <c r="L67" s="12">
        <f t="shared" si="43"/>
        <v>6.2</v>
      </c>
      <c r="M67" s="12">
        <f t="shared" si="43"/>
        <v>6</v>
      </c>
      <c r="N67" s="12">
        <f t="shared" si="43"/>
        <v>6.2</v>
      </c>
      <c r="O67" s="12">
        <f t="shared" si="43"/>
        <v>6</v>
      </c>
      <c r="P67" s="12">
        <f t="shared" si="43"/>
        <v>6.2</v>
      </c>
    </row>
    <row r="68" spans="1:16" ht="105" customHeight="1" x14ac:dyDescent="0.25">
      <c r="A68" s="84">
        <v>1</v>
      </c>
      <c r="B68" s="27" t="s">
        <v>157</v>
      </c>
      <c r="C68" s="86" t="s">
        <v>55</v>
      </c>
      <c r="D68" s="50" t="s">
        <v>27</v>
      </c>
      <c r="E68" s="35" t="s">
        <v>164</v>
      </c>
      <c r="F68" s="46">
        <v>1</v>
      </c>
      <c r="G68" s="4" t="s">
        <v>25</v>
      </c>
      <c r="H68" s="16">
        <v>120</v>
      </c>
      <c r="I68" s="16">
        <f t="shared" ref="I68:I72" si="44">H68*0.01</f>
        <v>1.2</v>
      </c>
      <c r="J68" s="16">
        <f t="shared" ref="J68:J73" si="45">F68*I68</f>
        <v>1.2</v>
      </c>
      <c r="K68" s="89">
        <f t="shared" ref="K68:K73" si="46">F68*100%</f>
        <v>1</v>
      </c>
      <c r="L68" s="17">
        <f t="shared" ref="L68:L73" si="47">K68*I68</f>
        <v>1.2</v>
      </c>
      <c r="M68" s="4">
        <v>1</v>
      </c>
      <c r="N68" s="17">
        <f t="shared" ref="N68:N73" si="48">I68*M68</f>
        <v>1.2</v>
      </c>
      <c r="O68" s="4">
        <v>1</v>
      </c>
      <c r="P68" s="17">
        <f t="shared" ref="P68:P73" si="49">I68*O68</f>
        <v>1.2</v>
      </c>
    </row>
    <row r="69" spans="1:16" ht="81" customHeight="1" x14ac:dyDescent="0.25">
      <c r="A69" s="84">
        <v>2</v>
      </c>
      <c r="B69" s="27" t="s">
        <v>158</v>
      </c>
      <c r="C69" s="85" t="s">
        <v>53</v>
      </c>
      <c r="D69" s="50" t="s">
        <v>27</v>
      </c>
      <c r="E69" s="35" t="s">
        <v>165</v>
      </c>
      <c r="F69" s="91">
        <v>1</v>
      </c>
      <c r="G69" s="4" t="s">
        <v>36</v>
      </c>
      <c r="H69" s="16">
        <f t="shared" ref="H69:H72" si="50">IF(G69="Khó và phức tạp",200,IF(G69="Cao",150,IF(G69="Trungbình",120,100)))</f>
        <v>100</v>
      </c>
      <c r="I69" s="16">
        <f t="shared" si="44"/>
        <v>1</v>
      </c>
      <c r="J69" s="16">
        <f t="shared" si="45"/>
        <v>1</v>
      </c>
      <c r="K69" s="89">
        <f t="shared" si="46"/>
        <v>1</v>
      </c>
      <c r="L69" s="17">
        <f t="shared" si="47"/>
        <v>1</v>
      </c>
      <c r="M69" s="5">
        <v>1</v>
      </c>
      <c r="N69" s="17">
        <f t="shared" si="48"/>
        <v>1</v>
      </c>
      <c r="O69" s="5">
        <v>1</v>
      </c>
      <c r="P69" s="17">
        <f t="shared" si="49"/>
        <v>1</v>
      </c>
    </row>
    <row r="70" spans="1:16" ht="81" customHeight="1" x14ac:dyDescent="0.25">
      <c r="A70" s="84"/>
      <c r="B70" s="27" t="s">
        <v>159</v>
      </c>
      <c r="C70" s="85" t="s">
        <v>53</v>
      </c>
      <c r="D70" s="50" t="s">
        <v>27</v>
      </c>
      <c r="E70" s="35" t="s">
        <v>166</v>
      </c>
      <c r="F70" s="91">
        <v>1</v>
      </c>
      <c r="G70" s="4" t="s">
        <v>36</v>
      </c>
      <c r="H70" s="16">
        <v>100</v>
      </c>
      <c r="I70" s="16">
        <v>1</v>
      </c>
      <c r="J70" s="16">
        <v>1</v>
      </c>
      <c r="K70" s="89">
        <f t="shared" ref="K70:K71" si="51">F70*100%</f>
        <v>1</v>
      </c>
      <c r="L70" s="17">
        <f t="shared" si="47"/>
        <v>1</v>
      </c>
      <c r="M70" s="5">
        <v>1</v>
      </c>
      <c r="N70" s="17">
        <f t="shared" ref="N70:N71" si="52">I70*M70</f>
        <v>1</v>
      </c>
      <c r="O70" s="5">
        <v>1</v>
      </c>
      <c r="P70" s="17">
        <f t="shared" ref="P70:P71" si="53">I70*O70</f>
        <v>1</v>
      </c>
    </row>
    <row r="71" spans="1:16" ht="81" customHeight="1" x14ac:dyDescent="0.25">
      <c r="A71" s="84"/>
      <c r="B71" s="27" t="s">
        <v>160</v>
      </c>
      <c r="C71" s="85" t="s">
        <v>53</v>
      </c>
      <c r="D71" s="50" t="s">
        <v>27</v>
      </c>
      <c r="E71" s="35" t="s">
        <v>167</v>
      </c>
      <c r="F71" s="91">
        <v>1</v>
      </c>
      <c r="G71" s="4" t="s">
        <v>36</v>
      </c>
      <c r="H71" s="16">
        <v>100</v>
      </c>
      <c r="I71" s="16">
        <v>1</v>
      </c>
      <c r="J71" s="16">
        <v>1</v>
      </c>
      <c r="K71" s="89">
        <f t="shared" si="51"/>
        <v>1</v>
      </c>
      <c r="L71" s="17">
        <v>1</v>
      </c>
      <c r="M71" s="5">
        <v>1</v>
      </c>
      <c r="N71" s="17">
        <f t="shared" si="52"/>
        <v>1</v>
      </c>
      <c r="O71" s="5">
        <v>1</v>
      </c>
      <c r="P71" s="17">
        <f t="shared" si="53"/>
        <v>1</v>
      </c>
    </row>
    <row r="72" spans="1:16" ht="138" customHeight="1" x14ac:dyDescent="0.25">
      <c r="A72" s="77">
        <v>3</v>
      </c>
      <c r="B72" s="27" t="s">
        <v>161</v>
      </c>
      <c r="C72" s="85" t="s">
        <v>55</v>
      </c>
      <c r="D72" s="50" t="s">
        <v>27</v>
      </c>
      <c r="E72" s="35" t="s">
        <v>168</v>
      </c>
      <c r="F72" s="46">
        <v>1</v>
      </c>
      <c r="G72" s="8" t="s">
        <v>36</v>
      </c>
      <c r="H72" s="16">
        <f t="shared" si="50"/>
        <v>100</v>
      </c>
      <c r="I72" s="16">
        <f t="shared" si="44"/>
        <v>1</v>
      </c>
      <c r="J72" s="16">
        <f t="shared" si="45"/>
        <v>1</v>
      </c>
      <c r="K72" s="89">
        <f t="shared" si="46"/>
        <v>1</v>
      </c>
      <c r="L72" s="17">
        <f t="shared" si="47"/>
        <v>1</v>
      </c>
      <c r="M72" s="8">
        <v>1</v>
      </c>
      <c r="N72" s="17">
        <f t="shared" si="48"/>
        <v>1</v>
      </c>
      <c r="O72" s="8">
        <v>1</v>
      </c>
      <c r="P72" s="17">
        <f t="shared" si="49"/>
        <v>1</v>
      </c>
    </row>
    <row r="73" spans="1:16" ht="93.75" x14ac:dyDescent="0.25">
      <c r="A73" s="77">
        <v>4</v>
      </c>
      <c r="B73" s="27" t="s">
        <v>162</v>
      </c>
      <c r="C73" s="86" t="s">
        <v>55</v>
      </c>
      <c r="D73" s="65" t="s">
        <v>27</v>
      </c>
      <c r="E73" s="35" t="s">
        <v>169</v>
      </c>
      <c r="F73" s="86">
        <v>1</v>
      </c>
      <c r="G73" s="32" t="s">
        <v>36</v>
      </c>
      <c r="H73" s="33">
        <f>IF(G73="Khó và phức tạp",200,IF(G73="Cao",150,IF(G73="Trungbình",120,100)))</f>
        <v>100</v>
      </c>
      <c r="I73" s="33">
        <f>H73*0.01</f>
        <v>1</v>
      </c>
      <c r="J73" s="33">
        <f t="shared" si="45"/>
        <v>1</v>
      </c>
      <c r="K73" s="89">
        <f t="shared" si="46"/>
        <v>1</v>
      </c>
      <c r="L73" s="17">
        <f t="shared" si="47"/>
        <v>1</v>
      </c>
      <c r="M73" s="8">
        <v>1</v>
      </c>
      <c r="N73" s="17">
        <f t="shared" si="48"/>
        <v>1</v>
      </c>
      <c r="O73" s="8">
        <v>1</v>
      </c>
      <c r="P73" s="17">
        <f t="shared" si="49"/>
        <v>1</v>
      </c>
    </row>
    <row r="74" spans="1:16" ht="82.5" customHeight="1" x14ac:dyDescent="0.25">
      <c r="A74" s="77">
        <v>5</v>
      </c>
      <c r="B74" s="27" t="s">
        <v>163</v>
      </c>
      <c r="C74" s="87" t="s">
        <v>53</v>
      </c>
      <c r="D74" s="50" t="s">
        <v>27</v>
      </c>
      <c r="E74" s="35" t="s">
        <v>76</v>
      </c>
      <c r="F74" s="87">
        <v>1</v>
      </c>
      <c r="G74" s="34" t="s">
        <v>26</v>
      </c>
      <c r="H74" s="16">
        <v>150</v>
      </c>
      <c r="I74" s="16">
        <v>1</v>
      </c>
      <c r="J74" s="16">
        <v>1</v>
      </c>
      <c r="K74" s="88">
        <v>1.5</v>
      </c>
      <c r="L74" s="17">
        <v>1</v>
      </c>
      <c r="M74" s="31">
        <v>1.5</v>
      </c>
      <c r="N74" s="17">
        <v>1</v>
      </c>
      <c r="O74" s="31">
        <v>1</v>
      </c>
      <c r="P74" s="17">
        <v>1.5</v>
      </c>
    </row>
    <row r="75" spans="1:16" ht="15.75" x14ac:dyDescent="0.25">
      <c r="A75" s="12" t="s">
        <v>10</v>
      </c>
      <c r="B75" s="120" t="s">
        <v>24</v>
      </c>
      <c r="C75" s="121"/>
      <c r="D75" s="121"/>
      <c r="E75" s="122"/>
      <c r="F75" s="12">
        <f>SUM(F76:F76)</f>
        <v>0</v>
      </c>
      <c r="G75" s="13"/>
      <c r="H75" s="13"/>
      <c r="I75" s="13"/>
      <c r="J75" s="12">
        <f t="shared" ref="J75:P75" si="54">SUM(J76:J76)</f>
        <v>0</v>
      </c>
      <c r="K75" s="12">
        <f t="shared" si="54"/>
        <v>0</v>
      </c>
      <c r="L75" s="12">
        <f t="shared" si="54"/>
        <v>0</v>
      </c>
      <c r="M75" s="12">
        <f t="shared" si="54"/>
        <v>0</v>
      </c>
      <c r="N75" s="12">
        <f t="shared" si="54"/>
        <v>0</v>
      </c>
      <c r="O75" s="12">
        <f t="shared" si="54"/>
        <v>0</v>
      </c>
      <c r="P75" s="12">
        <f t="shared" si="54"/>
        <v>0</v>
      </c>
    </row>
    <row r="76" spans="1:16" ht="15.75" x14ac:dyDescent="0.25">
      <c r="A76" s="16">
        <v>1</v>
      </c>
      <c r="B76" s="20"/>
      <c r="C76" s="16"/>
      <c r="D76" s="16"/>
      <c r="E76" s="16"/>
      <c r="F76" s="16"/>
      <c r="G76" s="16"/>
      <c r="H76" s="16">
        <f>IF(G76="Khó và phức tạp",200,IF(G76="Cao",150,IF(G76="Trungbình",120,100)))</f>
        <v>100</v>
      </c>
      <c r="I76" s="16">
        <f>H76*0.01</f>
        <v>1</v>
      </c>
      <c r="J76" s="16">
        <f t="shared" ref="J76" si="55">F76*I76</f>
        <v>0</v>
      </c>
      <c r="K76" s="19">
        <f t="shared" ref="K76" si="56">F76*100%</f>
        <v>0</v>
      </c>
      <c r="L76" s="17">
        <f t="shared" ref="L76" si="57">K76*I76</f>
        <v>0</v>
      </c>
      <c r="M76" s="19">
        <f t="shared" ref="M76" si="58">K76*75%</f>
        <v>0</v>
      </c>
      <c r="N76" s="17">
        <f t="shared" ref="N76" si="59">I76*M76</f>
        <v>0</v>
      </c>
      <c r="O76" s="19">
        <f t="shared" ref="O76" si="60">K76*100%</f>
        <v>0</v>
      </c>
      <c r="P76" s="17">
        <f t="shared" ref="P76" si="61">I76*O76</f>
        <v>0</v>
      </c>
    </row>
    <row r="77" spans="1:16" ht="15.75" x14ac:dyDescent="0.25">
      <c r="B77" s="116"/>
      <c r="C77" s="116"/>
      <c r="D77" s="116"/>
      <c r="E77" s="116"/>
      <c r="F77" s="116"/>
      <c r="G77" s="116"/>
      <c r="H77" s="116"/>
      <c r="I77" s="116"/>
      <c r="J77" s="116"/>
      <c r="K77" s="116"/>
      <c r="L77" s="116"/>
      <c r="M77" s="116"/>
      <c r="N77" s="116"/>
      <c r="O77" s="116"/>
      <c r="P77" s="116"/>
    </row>
    <row r="78" spans="1:16" s="1" customFormat="1" ht="130.5" customHeight="1" x14ac:dyDescent="0.25">
      <c r="A78" s="110" t="s">
        <v>54</v>
      </c>
      <c r="B78" s="110"/>
      <c r="C78" s="110"/>
      <c r="D78" s="21"/>
      <c r="G78" s="108" t="s">
        <v>170</v>
      </c>
      <c r="H78" s="108"/>
      <c r="I78" s="108"/>
      <c r="J78" s="108"/>
      <c r="K78" s="108"/>
      <c r="L78" s="109"/>
      <c r="M78" s="109"/>
      <c r="N78" s="109"/>
      <c r="O78" s="109"/>
      <c r="P78" s="109"/>
    </row>
    <row r="79" spans="1:16" ht="32.450000000000003" hidden="1" customHeight="1" x14ac:dyDescent="0.25"/>
    <row r="80" spans="1:16" ht="32.450000000000003" hidden="1" customHeight="1" x14ac:dyDescent="0.25"/>
  </sheetData>
  <mergeCells count="30">
    <mergeCell ref="G78:P78"/>
    <mergeCell ref="A78:C78"/>
    <mergeCell ref="F5:F6"/>
    <mergeCell ref="G5:G6"/>
    <mergeCell ref="A5:A6"/>
    <mergeCell ref="B5:B6"/>
    <mergeCell ref="C5:C6"/>
    <mergeCell ref="D5:D6"/>
    <mergeCell ref="E5:E6"/>
    <mergeCell ref="B8:P8"/>
    <mergeCell ref="B77:P77"/>
    <mergeCell ref="B67:E67"/>
    <mergeCell ref="B75:E75"/>
    <mergeCell ref="B9:E9"/>
    <mergeCell ref="B32:E32"/>
    <mergeCell ref="B53:E53"/>
    <mergeCell ref="B45:E45"/>
    <mergeCell ref="B60:E60"/>
    <mergeCell ref="A3:P3"/>
    <mergeCell ref="H5:H6"/>
    <mergeCell ref="G1:P1"/>
    <mergeCell ref="G2:P2"/>
    <mergeCell ref="K5:L5"/>
    <mergeCell ref="M5:N5"/>
    <mergeCell ref="O5:P5"/>
    <mergeCell ref="A4:P4"/>
    <mergeCell ref="I5:I6"/>
    <mergeCell ref="J5:J6"/>
    <mergeCell ref="A1:C1"/>
    <mergeCell ref="A2:C2"/>
  </mergeCells>
  <conditionalFormatting sqref="C44 C38">
    <cfRule type="dataBar" priority="10">
      <dataBar>
        <cfvo type="min"/>
        <cfvo type="max"/>
        <color rgb="FF638EC6"/>
      </dataBar>
      <extLst>
        <ext xmlns:x14="http://schemas.microsoft.com/office/spreadsheetml/2009/9/main" uri="{B025F937-C7B1-47D3-B67F-A62EFF666E3E}">
          <x14:id>{CBD7B373-A4C1-41FB-A25C-F14BF1ED705A}</x14:id>
        </ext>
      </extLst>
    </cfRule>
  </conditionalFormatting>
  <conditionalFormatting sqref="C54">
    <cfRule type="dataBar" priority="1">
      <dataBar>
        <cfvo type="min"/>
        <cfvo type="max"/>
        <color rgb="FF638EC6"/>
      </dataBar>
      <extLst>
        <ext xmlns:x14="http://schemas.microsoft.com/office/spreadsheetml/2009/9/main" uri="{B025F937-C7B1-47D3-B67F-A62EFF666E3E}">
          <x14:id>{67B4A376-BC2C-495B-BE0D-F6D4DB04EA06}</x14:id>
        </ext>
      </extLst>
    </cfRule>
  </conditionalFormatting>
  <conditionalFormatting sqref="C55:C59">
    <cfRule type="dataBar" priority="16">
      <dataBar>
        <cfvo type="min"/>
        <cfvo type="max"/>
        <color rgb="FF638EC6"/>
      </dataBar>
      <extLst>
        <ext xmlns:x14="http://schemas.microsoft.com/office/spreadsheetml/2009/9/main" uri="{B025F937-C7B1-47D3-B67F-A62EFF666E3E}">
          <x14:id>{43AE063F-6FBA-4145-8E96-3B15FC0C4DF2}</x14:id>
        </ext>
      </extLst>
    </cfRule>
  </conditionalFormatting>
  <conditionalFormatting sqref="C61">
    <cfRule type="dataBar" priority="2">
      <dataBar>
        <cfvo type="min"/>
        <cfvo type="max"/>
        <color rgb="FF638EC6"/>
      </dataBar>
      <extLst>
        <ext xmlns:x14="http://schemas.microsoft.com/office/spreadsheetml/2009/9/main" uri="{B025F937-C7B1-47D3-B67F-A62EFF666E3E}">
          <x14:id>{B2DABE0F-7BA8-442A-B48E-1ECE74F6B597}</x14:id>
        </ext>
      </extLst>
    </cfRule>
  </conditionalFormatting>
  <conditionalFormatting sqref="C62:C66">
    <cfRule type="dataBar" priority="14">
      <dataBar>
        <cfvo type="min"/>
        <cfvo type="max"/>
        <color rgb="FF638EC6"/>
      </dataBar>
      <extLst>
        <ext xmlns:x14="http://schemas.microsoft.com/office/spreadsheetml/2009/9/main" uri="{B025F937-C7B1-47D3-B67F-A62EFF666E3E}">
          <x14:id>{03A9939A-9B3D-4529-BE0E-4E6837550A17}</x14:id>
        </ext>
      </extLst>
    </cfRule>
  </conditionalFormatting>
  <conditionalFormatting sqref="C68:C74">
    <cfRule type="dataBar" priority="5">
      <dataBar>
        <cfvo type="min"/>
        <cfvo type="max"/>
        <color rgb="FF638EC6"/>
      </dataBar>
      <extLst>
        <ext xmlns:x14="http://schemas.microsoft.com/office/spreadsheetml/2009/9/main" uri="{B025F937-C7B1-47D3-B67F-A62EFF666E3E}">
          <x14:id>{7E1987A0-3211-4AC2-801D-3D223C64AEAA}</x14:id>
        </ext>
      </extLst>
    </cfRule>
  </conditionalFormatting>
  <conditionalFormatting sqref="C76">
    <cfRule type="dataBar" priority="15">
      <dataBar>
        <cfvo type="min"/>
        <cfvo type="max"/>
        <color rgb="FF638EC6"/>
      </dataBar>
      <extLst>
        <ext xmlns:x14="http://schemas.microsoft.com/office/spreadsheetml/2009/9/main" uri="{B025F937-C7B1-47D3-B67F-A62EFF666E3E}">
          <x14:id>{2EA7D65E-B8CA-499C-8421-2AC504B81EAC}</x14:id>
        </ext>
      </extLst>
    </cfRule>
  </conditionalFormatting>
  <dataValidations count="4">
    <dataValidation type="list" allowBlank="1" showInputMessage="1" sqref="D61:D66 D57:D59 D76 D55"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61:C66 C76 C38 C44 C54:C59 C68:C74"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61:G66 G57:G59 G76 G72:G74 G38:G44" xr:uid="{242DABCC-F988-4BD7-A39A-B18DD09F67B5}">
      <formula1>"Thấp,Trung bình,Cao,Khó và phức tạp"</formula1>
    </dataValidation>
    <dataValidation allowBlank="1" showInputMessage="1" sqref="H10:J31 H33:K44 H76:K76 E44 H46:K52 H61:K66 E76 H54:K59 H68:K74" xr:uid="{10642937-B860-4152-A8CB-DF82470CE8F3}"/>
  </dataValidations>
  <printOptions horizontalCentered="1"/>
  <pageMargins left="0.31496062992126" right="0.31496062992126" top="0.39370078740157499" bottom="0.39370078740157499" header="0.31496062992126" footer="0.31496062992126"/>
  <pageSetup paperSize="9" scale="53" orientation="landscape" r:id="rId1"/>
  <drawing r:id="rId2"/>
  <extLst>
    <ext xmlns:x14="http://schemas.microsoft.com/office/spreadsheetml/2009/9/main" uri="{78C0D931-6437-407d-A8EE-F0AAD7539E65}">
      <x14:conditionalFormattings>
        <x14:conditionalFormatting xmlns:xm="http://schemas.microsoft.com/office/excel/2006/main">
          <x14:cfRule type="dataBar" id="{CBD7B373-A4C1-41FB-A25C-F14BF1ED705A}">
            <x14:dataBar minLength="0" maxLength="100" gradient="0">
              <x14:cfvo type="autoMin"/>
              <x14:cfvo type="autoMax"/>
              <x14:negativeFillColor rgb="FFFF0000"/>
              <x14:axisColor rgb="FF000000"/>
            </x14:dataBar>
          </x14:cfRule>
          <xm:sqref>C44 C38</xm:sqref>
        </x14:conditionalFormatting>
        <x14:conditionalFormatting xmlns:xm="http://schemas.microsoft.com/office/excel/2006/main">
          <x14:cfRule type="dataBar" id="{67B4A376-BC2C-495B-BE0D-F6D4DB04EA06}">
            <x14:dataBar minLength="0" maxLength="100" gradient="0">
              <x14:cfvo type="autoMin"/>
              <x14:cfvo type="autoMax"/>
              <x14:negativeFillColor rgb="FFFF0000"/>
              <x14:axisColor rgb="FF000000"/>
            </x14:dataBar>
          </x14:cfRule>
          <xm:sqref>C54</xm:sqref>
        </x14:conditionalFormatting>
        <x14:conditionalFormatting xmlns:xm="http://schemas.microsoft.com/office/excel/2006/main">
          <x14:cfRule type="dataBar" id="{43AE063F-6FBA-4145-8E96-3B15FC0C4DF2}">
            <x14:dataBar minLength="0" maxLength="100" gradient="0">
              <x14:cfvo type="autoMin"/>
              <x14:cfvo type="autoMax"/>
              <x14:negativeFillColor rgb="FFFF0000"/>
              <x14:axisColor rgb="FF000000"/>
            </x14:dataBar>
          </x14:cfRule>
          <xm:sqref>C55:C59</xm:sqref>
        </x14:conditionalFormatting>
        <x14:conditionalFormatting xmlns:xm="http://schemas.microsoft.com/office/excel/2006/main">
          <x14:cfRule type="dataBar" id="{B2DABE0F-7BA8-442A-B48E-1ECE74F6B597}">
            <x14:dataBar minLength="0" maxLength="100" gradient="0">
              <x14:cfvo type="autoMin"/>
              <x14:cfvo type="autoMax"/>
              <x14:negativeFillColor rgb="FFFF0000"/>
              <x14:axisColor rgb="FF000000"/>
            </x14:dataBar>
          </x14:cfRule>
          <xm:sqref>C61</xm:sqref>
        </x14:conditionalFormatting>
        <x14:conditionalFormatting xmlns:xm="http://schemas.microsoft.com/office/excel/2006/main">
          <x14:cfRule type="dataBar" id="{03A9939A-9B3D-4529-BE0E-4E6837550A17}">
            <x14:dataBar minLength="0" maxLength="100" gradient="0">
              <x14:cfvo type="autoMin"/>
              <x14:cfvo type="autoMax"/>
              <x14:negativeFillColor rgb="FFFF0000"/>
              <x14:axisColor rgb="FF000000"/>
            </x14:dataBar>
          </x14:cfRule>
          <xm:sqref>C62:C66</xm:sqref>
        </x14:conditionalFormatting>
        <x14:conditionalFormatting xmlns:xm="http://schemas.microsoft.com/office/excel/2006/main">
          <x14:cfRule type="dataBar" id="{7E1987A0-3211-4AC2-801D-3D223C64AEAA}">
            <x14:dataBar minLength="0" maxLength="100" gradient="0">
              <x14:cfvo type="autoMin"/>
              <x14:cfvo type="autoMax"/>
              <x14:negativeFillColor rgb="FFFF0000"/>
              <x14:axisColor rgb="FF000000"/>
            </x14:dataBar>
          </x14:cfRule>
          <xm:sqref>C68:C74</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Mẫu BC tháng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CMS</cp:lastModifiedBy>
  <cp:lastPrinted>2026-07-15T02:21:03Z</cp:lastPrinted>
  <dcterms:created xsi:type="dcterms:W3CDTF">2026-05-27T07:08:41Z</dcterms:created>
  <dcterms:modified xsi:type="dcterms:W3CDTF">2026-08-14T09:22:30Z</dcterms:modified>
</cp:coreProperties>
</file>