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ÁO CÁO, LỊCH CÔNG TÁC TUẦN, THÁNG, QUÝ 2024, 2025, 2026\BÁO CÁO THÁNG, QUÝ, NĂM 2026\"/>
    </mc:Choice>
  </mc:AlternateContent>
  <xr:revisionPtr revIDLastSave="0" documentId="13_ncr:1_{FEE138C8-CBA7-4719-A55D-6DF471902B0C}" xr6:coauthVersionLast="47" xr6:coauthVersionMax="47" xr10:uidLastSave="{00000000-0000-0000-0000-000000000000}"/>
  <bookViews>
    <workbookView xWindow="-120" yWindow="-120" windowWidth="29040" windowHeight="15720" xr2:uid="{00000000-000D-0000-FFFF-FFFF00000000}"/>
  </bookViews>
  <sheets>
    <sheet name="KE HOACH CONG TAC THANG  8"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4ipmILtXHOSu0KHLX6ROsoCYEGc1TmcrPzJf+NBxLw="/>
    </ext>
  </extLst>
</workbook>
</file>

<file path=xl/calcChain.xml><?xml version="1.0" encoding="utf-8"?>
<calcChain xmlns="http://schemas.openxmlformats.org/spreadsheetml/2006/main">
  <c r="I31" i="2" l="1"/>
  <c r="J31" i="2" s="1"/>
  <c r="I28" i="2"/>
  <c r="J28" i="2" s="1"/>
  <c r="I25" i="2"/>
  <c r="J25" i="2" s="1"/>
  <c r="I24" i="2"/>
  <c r="J24" i="2" s="1"/>
</calcChain>
</file>

<file path=xl/sharedStrings.xml><?xml version="1.0" encoding="utf-8"?>
<sst xmlns="http://schemas.openxmlformats.org/spreadsheetml/2006/main" count="142" uniqueCount="83">
  <si>
    <t>Số lượng</t>
  </si>
  <si>
    <t>Điểm chấm công việc</t>
  </si>
  <si>
    <t>(1)</t>
  </si>
  <si>
    <t>(2)</t>
  </si>
  <si>
    <t>(3)</t>
  </si>
  <si>
    <t>(4)</t>
  </si>
  <si>
    <t>(5)</t>
  </si>
  <si>
    <t>(6)</t>
  </si>
  <si>
    <t>(7)</t>
  </si>
  <si>
    <t>(8)</t>
  </si>
  <si>
    <t>(9)</t>
  </si>
  <si>
    <t>(10)</t>
  </si>
  <si>
    <t>(11)</t>
  </si>
  <si>
    <t>I</t>
  </si>
  <si>
    <t xml:space="preserve">Trục (1) - Thực hiện mục tiêu phát triển Kinh tế - xã hội và nhiệm vụ chính trị được giao </t>
  </si>
  <si>
    <t>Trung bình</t>
  </si>
  <si>
    <t>Cao</t>
  </si>
  <si>
    <t>Thấp</t>
  </si>
  <si>
    <t>II</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</si>
  <si>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</si>
  <si>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</si>
  <si>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</si>
  <si>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</si>
  <si>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</si>
  <si>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TT</t>
  </si>
  <si>
    <t>NỘI DUNG CÔNG VIỆC</t>
  </si>
  <si>
    <t>Người trực tiếp chỉ đạo</t>
  </si>
  <si>
    <t>Sản phẩm/ 
công việc</t>
  </si>
  <si>
    <t>Độ khó, mới, phức tạp; phạm vi tác động</t>
  </si>
  <si>
    <t>Thời gian hoàn thành</t>
  </si>
  <si>
    <t>Hệ số quy đổi</t>
  </si>
  <si>
    <t>Ghi chú</t>
  </si>
  <si>
    <t> Các nhiệm vụ theo kế hoạch (chương trình) công tác đã đề ra từ đầu quý</t>
  </si>
  <si>
    <t>PHT Huỳnh Văn Chung</t>
  </si>
  <si>
    <t>Báo cáo</t>
  </si>
  <si>
    <t>Hiệu trưởng</t>
  </si>
  <si>
    <t>Kế hoạch</t>
  </si>
  <si>
    <t>Thường xuyên của đơn vị</t>
  </si>
  <si>
    <t>V/v tăng cường quản lý việc sử dụng phần mềm máy tính trong các cơ quan nhà nước trên địa bàn tỉnh</t>
  </si>
  <si>
    <t>Quyết định</t>
  </si>
  <si>
    <t>Phó Bí thư Đảng uỷ</t>
  </si>
  <si>
    <t>Thường xuyên của Đảng uỷ</t>
  </si>
  <si>
    <t>Bí thư Đảng uỷ</t>
  </si>
  <si>
    <t>Các nhiệm vụ đột xuất, phát sinh khác ngoài kế hoạch, từ tháng trước chuyển sang (nếu có)</t>
  </si>
  <si>
    <r>
      <rPr>
        <sz val="14"/>
        <color theme="1"/>
        <rFont val="Times New Roman"/>
        <family val="1"/>
      </rPr>
      <t>Ghi chú:</t>
    </r>
    <r>
      <rPr>
        <sz val="14"/>
        <color theme="1"/>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</si>
  <si>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TRƯỜNG CAO ĐẲNG KON TUM</t>
  </si>
  <si>
    <t>CỘNG HÒA XÃ HỘI CHỦ NGHĨA VIỆT NAM</t>
  </si>
  <si>
    <t>Độc lập - Tự do - Hạnh phúc</t>
  </si>
  <si>
    <t>PHÒNG QLKHCN&amp;HTPT</t>
  </si>
  <si>
    <t>Đơn vị chủ trì</t>
  </si>
  <si>
    <t>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t>
  </si>
  <si>
    <t>Chủ trương, chính sách</t>
  </si>
  <si>
    <t>Tham gia xây dựng môi trường văn hóa công sở lành mạnh, thân thiện; xây dựng trường học xanh – sạch – đẹp; quản lý chất thải; tiết kiệm điện, nước;  tham gia các hoạt động văn hóa, văn nghệ, thể dục thể thao, đền ơn đáp nghĩa, thiện nguyện và phong trào đoàn thể,...</t>
  </si>
  <si>
    <t>Môi trường văn hóa</t>
  </si>
  <si>
    <t>Phòng QLKHCN&amp;HTPT</t>
  </si>
  <si>
    <t>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</si>
  <si>
    <t>An ninh trật tự</t>
  </si>
  <si>
    <t>Tham mưu, thực hiện các nhiệm vụ phát sinh, đột xuất theo yêu cầu chỉ đạo của cấp trên, Lãnh đạo Trường…</t>
  </si>
  <si>
    <t>Văn bản, sản phẩm theo yêu cầu</t>
  </si>
  <si>
    <t>Theo phát sinh</t>
  </si>
  <si>
    <t>Theo mức độ nhiệm vụ</t>
  </si>
  <si>
    <t>Theo đánh giá</t>
  </si>
  <si>
    <t>Công văn</t>
  </si>
  <si>
    <r>
      <rPr>
        <i/>
        <sz val="14"/>
        <color theme="1"/>
        <rFont val="Times New Roman"/>
        <family val="1"/>
      </rPr>
      <t xml:space="preserve">
Nơi nhận:</t>
    </r>
    <r>
      <rPr>
        <sz val="14"/>
        <color theme="1"/>
        <rFont val="Times New Roman"/>
        <family val="1"/>
      </rPr>
      <t xml:space="preserve">
- Phòng TH-HC&amp;QT
- Lưu: QLKHCN</t>
    </r>
  </si>
  <si>
    <t>KẾ HOẠCH 
công tác tháng 9 năm 2026</t>
  </si>
  <si>
    <t>Chủ trì, phối hợp với các đơn vị thuộc Trường tham mưu kế hoạch phát triển các công cụ trí tuệ nhân tạo hỗ trợ thực hiện nhiệm vụ của các đơn vị thuộc Trường</t>
  </si>
  <si>
    <t>Tháng 9/2026</t>
  </si>
  <si>
    <t>Đưa vào KH Trường</t>
  </si>
  <si>
    <t>Tham mưu văn bản 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</si>
  <si>
    <t>Văn bản</t>
  </si>
  <si>
    <t>Tiếp tục tư vấn và hỗ trợ người học đăng ký để nhập hồ sơ đăng ký xét tuyển trình độ trung cấp, cao đẳng lên hệ thống phần mềm Unisoft để nhập học đợt 2 năm 2026</t>
  </si>
  <si>
    <t xml:space="preserve">Hồ sơ </t>
  </si>
  <si>
    <t>Tháng 9/2025</t>
  </si>
  <si>
    <t>Theo tình hình thực tế</t>
  </si>
  <si>
    <t>Xây dựng kế hoạch công tác cá nhân nhà giáo</t>
  </si>
  <si>
    <t>Cập nhật, sửa đổi  Quy định quản lý và tổ chức hoạt động khoa học, công nghệ, đổi mới sáng tạo của HSSV, trong đó chú trọng cơ chế hỗ trợ HSSV khởi nghiệp và cơ chế khuyến khích nhà giáo tham gia hướng dẫn, hỗ trợ HSSV khởi nghiệp</t>
  </si>
  <si>
    <t xml:space="preserve">Tổ chức bồi dưỡng kiến thức, kỹ năng khởi nghiệp sáng tạo cho học sinh, sinh viên. </t>
  </si>
  <si>
    <t>Tiếp nhận và biên tập các bài viết Hội thảo khoa học chuyên đề "Chuyển đổi số toàn diện, gắn quản trị với nâng cao chất lượng đào tạo”</t>
  </si>
  <si>
    <t>Bài viết</t>
  </si>
  <si>
    <t>Tùy tình hình thực tế</t>
  </si>
  <si>
    <t>Báo cáo tình hình thực hiện nhiệm vụ tháng 8 và nhiệm vụ công tác trọng tâm tháng 9 năm 2026</t>
  </si>
  <si>
    <t>Tiếp tục triển khai các bước để thực hiện cử 2 đoàn công tác tới thăm và làm việc tại Sở Giáo dục đào tạo và Thanh niên của 4 tỉnh Nam Lào</t>
  </si>
  <si>
    <r>
      <rPr>
        <i/>
        <sz val="14"/>
        <color theme="1"/>
        <rFont val="Times New Roman"/>
        <family val="1"/>
      </rPr>
      <t>Quảng Ngãi, ngày 14 tháng 8 năm 2026</t>
    </r>
    <r>
      <rPr>
        <sz val="14"/>
        <color theme="1"/>
        <rFont val="Times New Roman"/>
        <family val="1"/>
      </rPr>
      <t xml:space="preserve">
</t>
    </r>
    <r>
      <rPr>
        <b/>
        <sz val="14"/>
        <color theme="1"/>
        <rFont val="Times New Roman"/>
        <family val="1"/>
      </rPr>
      <t>KT. TRƯỞNG PHÒNG</t>
    </r>
    <r>
      <rPr>
        <sz val="14"/>
        <color theme="1"/>
        <rFont val="Times New Roman"/>
        <family val="1"/>
      </rPr>
      <t xml:space="preserve">
</t>
    </r>
    <r>
      <rPr>
        <b/>
        <sz val="14"/>
        <color theme="1"/>
        <rFont val="Times New Roman"/>
        <family val="1"/>
      </rPr>
      <t>PHÓ TRƯỞNG PHÒNG</t>
    </r>
    <r>
      <rPr>
        <sz val="14"/>
        <color theme="1"/>
        <rFont val="Times New Roman"/>
        <family val="1"/>
      </rPr>
      <t xml:space="preserve">
</t>
    </r>
    <r>
      <rPr>
        <b/>
        <sz val="14"/>
        <color theme="1"/>
        <rFont val="Times New Roman"/>
        <family val="1"/>
      </rPr>
      <t>Nguyễn Thành Hiền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</si>
</sst>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háng &quot;m/yyyy"/>
  </numFmts>
  <fonts count="15" x14ac:knownFonts="1">
    <font>
      <sz val="11"/>
      <color rgb="FF000000"/>
      <name val="Calibri"/>
      <scheme val="minor"/>
    </font>
    <font>
      <b/>
      <sz val="14"/>
      <color theme="1"/>
      <name val="Times New Roman"/>
      <family val="1"/>
    </font>
    <font>
      <sz val="14"/>
      <color theme="1"/>
      <name val="Times New Roman"/>
      <family val="1"/>
    </font>
    <font>
      <sz val="11"/>
      <name val="Calibri"/>
      <family val="2"/>
    </font>
    <font>
      <sz val="14"/>
      <color theme="1"/>
      <name val="Calibri"/>
      <family val="2"/>
      <scheme val="minor"/>
    </font>
    <font>
      <sz val="14"/>
      <color rgb="FFFF0000"/>
      <name val="Times New Roman"/>
      <family val="1"/>
    </font>
    <font>
      <sz val="14"/>
      <color rgb="FF000000"/>
      <name val="Times New Roman"/>
      <family val="1"/>
    </font>
    <font>
      <sz val="14"/>
      <color theme="1"/>
      <name val="Calibri"/>
      <family val="2"/>
    </font>
    <font>
      <i/>
      <sz val="14"/>
      <color theme="1"/>
      <name val="Times New Roman"/>
      <family val="1"/>
    </font>
    <font>
      <sz val="13"/>
      <color theme="1"/>
      <name val="Times New Roman"/>
      <family val="1"/>
    </font>
    <font>
      <sz val="13"/>
      <color theme="1"/>
      <name val="Calibri"/>
      <family val="2"/>
      <scheme val="minor"/>
    </font>
    <font>
      <b/>
      <sz val="13"/>
      <color theme="1"/>
      <name val="Times New Roman"/>
      <family val="1"/>
    </font>
    <font>
      <b/>
      <sz val="14"/>
      <color rgb="FF000000"/>
      <name val="Times New Roman"/>
      <family val="1"/>
    </font>
    <font>
      <b/>
      <sz val="11"/>
      <name val="Calibri"/>
      <family val="2"/>
    </font>
    <font>
      <sz val="14"/>
      <name val="Times New Roman"/>
      <family val="1"/>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vertical="center" wrapText="1"/>
    </xf>
    <xf numFmtId="164" fontId="6" fillId="0" borderId="1" xfId="0" applyNumberFormat="1" applyFont="1" applyBorder="1" applyAlignment="1">
      <alignment horizontal="center" vertical="center" wrapText="1"/>
    </xf>
    <xf numFmtId="0" fontId="2" fillId="0" borderId="1" xfId="0" applyFont="1" applyBorder="1" applyAlignment="1">
      <alignment vertical="center" wrapText="1"/>
    </xf>
    <xf numFmtId="164" fontId="2" fillId="0" borderId="1" xfId="0" applyNumberFormat="1" applyFont="1" applyBorder="1" applyAlignment="1">
      <alignment horizontal="center" vertical="center" wrapText="1"/>
    </xf>
    <xf numFmtId="0" fontId="7" fillId="0" borderId="0" xfId="0" applyFont="1" applyAlignment="1">
      <alignment vertical="center"/>
    </xf>
    <xf numFmtId="0" fontId="2" fillId="0" borderId="0" xfId="0" applyFont="1"/>
    <xf numFmtId="0" fontId="1" fillId="0" borderId="0" xfId="0" applyFont="1" applyAlignment="1">
      <alignment vertical="center"/>
    </xf>
    <xf numFmtId="0" fontId="12" fillId="0" borderId="1" xfId="0" quotePrefix="1"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4" fillId="0" borderId="1" xfId="0" applyFont="1" applyBorder="1" applyAlignment="1">
      <alignment horizontal="center" vertical="center" wrapText="1"/>
    </xf>
    <xf numFmtId="0" fontId="6" fillId="0" borderId="0" xfId="0" applyFont="1"/>
    <xf numFmtId="0" fontId="6" fillId="0" borderId="0" xfId="0" applyFont="1" applyAlignment="1">
      <alignment wrapText="1"/>
    </xf>
    <xf numFmtId="0" fontId="6" fillId="0" borderId="8" xfId="0" applyFont="1" applyBorder="1" applyAlignment="1">
      <alignment wrapText="1"/>
    </xf>
    <xf numFmtId="0" fontId="6"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6" xfId="0" applyFont="1" applyBorder="1" applyAlignment="1">
      <alignment vertical="center" wrapText="1"/>
    </xf>
    <xf numFmtId="0" fontId="6" fillId="0" borderId="9" xfId="0" applyFont="1" applyBorder="1" applyAlignment="1">
      <alignment horizontal="left" vertical="center"/>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wrapText="1"/>
    </xf>
    <xf numFmtId="0" fontId="1" fillId="0" borderId="0" xfId="0" applyFont="1" applyAlignment="1">
      <alignment horizontal="center" vertical="center" wrapText="1"/>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3" fillId="0" borderId="5" xfId="0" applyFont="1" applyBorder="1"/>
    <xf numFmtId="0" fontId="4" fillId="0" borderId="0" xfId="0" applyFont="1" applyAlignment="1">
      <alignment horizontal="center" vertical="center"/>
    </xf>
    <xf numFmtId="0" fontId="12" fillId="0" borderId="2" xfId="0" applyFont="1" applyBorder="1" applyAlignment="1">
      <alignment horizontal="left" vertical="center"/>
    </xf>
    <xf numFmtId="0" fontId="13" fillId="0" borderId="4" xfId="0" applyFont="1" applyBorder="1"/>
    <xf numFmtId="0" fontId="13" fillId="0" borderId="3" xfId="0" applyFont="1" applyBorder="1"/>
    <xf numFmtId="0" fontId="2" fillId="0" borderId="7" xfId="0" applyFont="1" applyBorder="1" applyAlignment="1">
      <alignment horizontal="left" vertical="center" wrapText="1"/>
    </xf>
    <xf numFmtId="0" fontId="3" fillId="0" borderId="7" xfId="0" applyFont="1" applyBorder="1"/>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center" vertical="center" wrapText="1"/>
    </xf>
    <xf numFmtId="0" fontId="0" fillId="0" borderId="0" xfId="0"/>
    <xf numFmtId="0" fontId="12" fillId="0" borderId="2" xfId="0" applyFont="1" applyBorder="1" applyAlignment="1">
      <alignment vertical="center" wrapText="1"/>
    </xf>
    <xf numFmtId="0" fontId="1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1711150</xdr:colOff>
      <xdr:row>3</xdr:row>
      <xdr:rowOff>35718</xdr:rowOff>
    </xdr:from>
    <xdr:to>
      <xdr:col>1</xdr:col>
      <xdr:colOff>2509009</xdr:colOff>
      <xdr:row>3</xdr:row>
      <xdr:rowOff>35718</xdr:rowOff>
    </xdr:to>
    <xdr:cxnSp macro="">
      <xdr:nvCxnSpPr>
        <xdr:cNvPr id="4" name="Straight Connector 3">
          <a:extLst>
            <a:ext uri="{FF2B5EF4-FFF2-40B4-BE49-F238E27FC236}">
              <a16:creationId xmlns:a16="http://schemas.microsoft.com/office/drawing/2014/main" id="{77935580-2359-42EA-90B2-BAB8A1BB004B}"/>
            </a:ext>
          </a:extLst>
        </xdr:cNvPr>
        <xdr:cNvCxnSpPr/>
      </xdr:nvCxnSpPr>
      <xdr:spPr>
        <a:xfrm>
          <a:off x="2393775" y="607218"/>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1516062</xdr:colOff>
      <xdr:row>3</xdr:row>
      <xdr:rowOff>11831</xdr:rowOff>
    </xdr:from>
    <xdr:to>
      <xdr:col>8</xdr:col>
      <xdr:colOff>595312</xdr:colOff>
      <xdr:row>3</xdr:row>
      <xdr:rowOff>11831</xdr:rowOff>
    </xdr:to>
    <xdr:cxnSp macro="">
      <xdr:nvCxnSpPr>
        <xdr:cNvPr id="5" name="Straight Connector 4">
          <a:extLst>
            <a:ext uri="{FF2B5EF4-FFF2-40B4-BE49-F238E27FC236}">
              <a16:creationId xmlns:a16="http://schemas.microsoft.com/office/drawing/2014/main" id="{59593733-409F-4E52-BAB3-31FD81EDA0C6}"/>
            </a:ext>
          </a:extLst>
        </xdr:cNvPr>
        <xdr:cNvCxnSpPr/>
      </xdr:nvCxnSpPr>
      <xdr:spPr>
        <a:xfrm>
          <a:off x="11938000" y="583331"/>
          <a:ext cx="2127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967339</xdr:colOff>
      <xdr:row>3</xdr:row>
      <xdr:rowOff>533376</xdr:rowOff>
    </xdr:from>
    <xdr:to>
      <xdr:col>5</xdr:col>
      <xdr:colOff>0</xdr:colOff>
      <xdr:row>3</xdr:row>
      <xdr:rowOff>533376</xdr:rowOff>
    </xdr:to>
    <xdr:cxnSp macro="">
      <xdr:nvCxnSpPr>
        <xdr:cNvPr id="6" name="Straight Connector 5">
          <a:extLst>
            <a:ext uri="{FF2B5EF4-FFF2-40B4-BE49-F238E27FC236}">
              <a16:creationId xmlns:a16="http://schemas.microsoft.com/office/drawing/2014/main" id="{521321A0-15F6-495E-9CC0-88914CC6D0DB}"/>
            </a:ext>
          </a:extLst>
        </xdr:cNvPr>
        <xdr:cNvCxnSpPr/>
      </xdr:nvCxnSpPr>
      <xdr:spPr>
        <a:xfrm>
          <a:off x="5072614" y="1676376"/>
          <a:ext cx="91387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8"/>
  <sheetViews>
    <sheetView tabSelected="1" topLeftCell="B34" zoomScale="130" zoomScaleNormal="130" workbookViewId="0">
      <selection activeCell="G38" sqref="G38:K38"/>
    </sheetView>
  </sheetViews>
  <sheetFormatPr defaultColWidth="14.42578125" defaultRowHeight="15" customHeight="1" x14ac:dyDescent="0.25"/>
  <cols>
    <col min="1" max="1" width="9.85546875" customWidth="1"/>
    <col min="2" max="2" width="69.7109375" customWidth="1"/>
    <col min="3" max="3" width="18.140625" customWidth="1"/>
    <col min="4" max="4" width="21.5703125" customWidth="1"/>
    <col min="5" max="5" width="18.42578125" customWidth="1"/>
    <col min="6" max="6" width="11.42578125" customWidth="1"/>
    <col min="7" max="7" width="24.28515625" customWidth="1"/>
    <col min="8" max="8" width="19.28515625" customWidth="1"/>
    <col min="9" max="9" width="18.42578125" customWidth="1"/>
    <col min="10" max="10" width="18.28515625" customWidth="1"/>
    <col min="11" max="11" width="23.7109375" customWidth="1"/>
  </cols>
  <sheetData>
    <row r="2" spans="1:11" ht="15" customHeight="1" x14ac:dyDescent="0.3">
      <c r="A2" s="23" t="s">
        <v>45</v>
      </c>
      <c r="B2" s="24"/>
      <c r="C2" s="10"/>
      <c r="D2" s="10"/>
      <c r="E2" s="25" t="s">
        <v>46</v>
      </c>
      <c r="F2" s="25"/>
      <c r="G2" s="25"/>
      <c r="H2" s="25"/>
      <c r="I2" s="25"/>
      <c r="J2" s="25"/>
      <c r="K2" s="25"/>
    </row>
    <row r="3" spans="1:11" ht="15" customHeight="1" x14ac:dyDescent="0.25">
      <c r="A3" s="26" t="s">
        <v>48</v>
      </c>
      <c r="B3" s="26"/>
      <c r="C3" s="11"/>
      <c r="D3" s="11"/>
      <c r="E3" s="27" t="s">
        <v>47</v>
      </c>
      <c r="F3" s="27"/>
      <c r="G3" s="27"/>
      <c r="H3" s="27"/>
      <c r="I3" s="27"/>
      <c r="J3" s="27"/>
      <c r="K3" s="27"/>
    </row>
    <row r="4" spans="1:11" ht="42" customHeight="1" x14ac:dyDescent="0.25">
      <c r="A4" s="27" t="s">
        <v>64</v>
      </c>
      <c r="B4" s="32"/>
      <c r="C4" s="32"/>
      <c r="D4" s="32"/>
      <c r="E4" s="32"/>
      <c r="F4" s="32"/>
      <c r="G4" s="32"/>
      <c r="H4" s="32"/>
      <c r="I4" s="32"/>
      <c r="J4" s="32"/>
      <c r="K4" s="32"/>
    </row>
    <row r="5" spans="1:11" x14ac:dyDescent="0.25">
      <c r="A5" s="28" t="s">
        <v>24</v>
      </c>
      <c r="B5" s="28" t="s">
        <v>25</v>
      </c>
      <c r="C5" s="28" t="s">
        <v>26</v>
      </c>
      <c r="D5" s="28" t="s">
        <v>49</v>
      </c>
      <c r="E5" s="28" t="s">
        <v>27</v>
      </c>
      <c r="F5" s="28" t="s">
        <v>0</v>
      </c>
      <c r="G5" s="28" t="s">
        <v>28</v>
      </c>
      <c r="H5" s="30" t="s">
        <v>29</v>
      </c>
      <c r="I5" s="30" t="s">
        <v>1</v>
      </c>
      <c r="J5" s="30" t="s">
        <v>30</v>
      </c>
      <c r="K5" s="30" t="s">
        <v>31</v>
      </c>
    </row>
    <row r="6" spans="1:11" ht="38.25" customHeight="1" x14ac:dyDescent="0.25">
      <c r="A6" s="31"/>
      <c r="B6" s="31"/>
      <c r="C6" s="31"/>
      <c r="D6" s="29"/>
      <c r="E6" s="31"/>
      <c r="F6" s="31"/>
      <c r="G6" s="31"/>
      <c r="H6" s="31"/>
      <c r="I6" s="31"/>
      <c r="J6" s="31"/>
      <c r="K6" s="31"/>
    </row>
    <row r="7" spans="1:11" ht="28.5" customHeight="1" x14ac:dyDescent="0.25">
      <c r="A7" s="12" t="s">
        <v>2</v>
      </c>
      <c r="B7" s="12" t="s">
        <v>3</v>
      </c>
      <c r="C7" s="12" t="s">
        <v>4</v>
      </c>
      <c r="D7" s="12" t="s">
        <v>5</v>
      </c>
      <c r="E7" s="12" t="s">
        <v>6</v>
      </c>
      <c r="F7" s="12" t="s">
        <v>7</v>
      </c>
      <c r="G7" s="12" t="s">
        <v>8</v>
      </c>
      <c r="H7" s="12" t="s">
        <v>9</v>
      </c>
      <c r="I7" s="12" t="s">
        <v>10</v>
      </c>
      <c r="J7" s="12" t="s">
        <v>11</v>
      </c>
      <c r="K7" s="12" t="s">
        <v>12</v>
      </c>
    </row>
    <row r="8" spans="1:11" ht="31.5" customHeight="1" x14ac:dyDescent="0.25">
      <c r="A8" s="13" t="s">
        <v>13</v>
      </c>
      <c r="B8" s="42" t="s">
        <v>32</v>
      </c>
      <c r="C8" s="34"/>
      <c r="D8" s="34"/>
      <c r="E8" s="34"/>
      <c r="F8" s="34"/>
      <c r="G8" s="34"/>
      <c r="H8" s="34"/>
      <c r="I8" s="34"/>
      <c r="J8" s="34"/>
      <c r="K8" s="35"/>
    </row>
    <row r="9" spans="1:11" ht="28.5" customHeight="1" x14ac:dyDescent="0.25">
      <c r="A9" s="14">
        <v>1</v>
      </c>
      <c r="B9" s="33" t="s">
        <v>14</v>
      </c>
      <c r="C9" s="34"/>
      <c r="D9" s="34"/>
      <c r="E9" s="34"/>
      <c r="F9" s="34"/>
      <c r="G9" s="34"/>
      <c r="H9" s="34"/>
      <c r="I9" s="34"/>
      <c r="J9" s="34"/>
      <c r="K9" s="35"/>
    </row>
    <row r="10" spans="1:11" ht="66.75" customHeight="1" x14ac:dyDescent="0.3">
      <c r="A10" s="3">
        <v>1.1000000000000001</v>
      </c>
      <c r="B10" s="17" t="s">
        <v>65</v>
      </c>
      <c r="C10" s="3" t="s">
        <v>35</v>
      </c>
      <c r="D10" s="3" t="s">
        <v>54</v>
      </c>
      <c r="E10" s="3" t="s">
        <v>36</v>
      </c>
      <c r="F10" s="3">
        <v>1</v>
      </c>
      <c r="G10" s="3" t="s">
        <v>16</v>
      </c>
      <c r="H10" s="6" t="s">
        <v>66</v>
      </c>
      <c r="I10" s="3">
        <v>150</v>
      </c>
      <c r="J10" s="3">
        <v>1.5</v>
      </c>
      <c r="K10" s="3" t="s">
        <v>67</v>
      </c>
    </row>
    <row r="11" spans="1:11" ht="120.75" customHeight="1" x14ac:dyDescent="0.3">
      <c r="A11" s="3">
        <v>1.2</v>
      </c>
      <c r="B11" s="18" t="s">
        <v>68</v>
      </c>
      <c r="C11" s="3" t="s">
        <v>35</v>
      </c>
      <c r="D11" s="3" t="s">
        <v>54</v>
      </c>
      <c r="E11" s="3" t="s">
        <v>69</v>
      </c>
      <c r="F11" s="3">
        <v>1</v>
      </c>
      <c r="G11" s="3" t="s">
        <v>16</v>
      </c>
      <c r="H11" s="6" t="s">
        <v>66</v>
      </c>
      <c r="I11" s="3">
        <v>150</v>
      </c>
      <c r="J11" s="3">
        <v>1.5</v>
      </c>
      <c r="K11" s="3" t="s">
        <v>67</v>
      </c>
    </row>
    <row r="12" spans="1:11" ht="59.25" customHeight="1" x14ac:dyDescent="0.3">
      <c r="A12" s="3">
        <v>1.3</v>
      </c>
      <c r="B12" s="17" t="s">
        <v>70</v>
      </c>
      <c r="C12" s="3" t="s">
        <v>35</v>
      </c>
      <c r="D12" s="3" t="s">
        <v>54</v>
      </c>
      <c r="E12" s="3" t="s">
        <v>71</v>
      </c>
      <c r="F12" s="3" t="s">
        <v>73</v>
      </c>
      <c r="G12" s="3" t="s">
        <v>15</v>
      </c>
      <c r="H12" s="6" t="s">
        <v>72</v>
      </c>
      <c r="I12" s="3">
        <v>120</v>
      </c>
      <c r="J12" s="3">
        <v>1.2</v>
      </c>
      <c r="K12" s="3" t="s">
        <v>37</v>
      </c>
    </row>
    <row r="13" spans="1:11" ht="43.5" customHeight="1" x14ac:dyDescent="0.25">
      <c r="A13" s="3">
        <v>1.4</v>
      </c>
      <c r="B13" s="21" t="s">
        <v>38</v>
      </c>
      <c r="C13" s="1" t="s">
        <v>33</v>
      </c>
      <c r="D13" s="3" t="s">
        <v>54</v>
      </c>
      <c r="E13" s="1" t="s">
        <v>34</v>
      </c>
      <c r="F13" s="1">
        <v>1</v>
      </c>
      <c r="G13" s="1" t="s">
        <v>17</v>
      </c>
      <c r="H13" s="6" t="s">
        <v>66</v>
      </c>
      <c r="I13" s="3">
        <v>100</v>
      </c>
      <c r="J13" s="3">
        <v>1</v>
      </c>
      <c r="K13" s="1" t="s">
        <v>37</v>
      </c>
    </row>
    <row r="14" spans="1:11" ht="43.5" customHeight="1" x14ac:dyDescent="0.25">
      <c r="A14" s="19">
        <v>1.5</v>
      </c>
      <c r="B14" s="22" t="s">
        <v>74</v>
      </c>
      <c r="C14" s="20" t="s">
        <v>35</v>
      </c>
      <c r="D14" s="3" t="s">
        <v>54</v>
      </c>
      <c r="E14" s="1" t="s">
        <v>36</v>
      </c>
      <c r="F14" s="1">
        <v>17</v>
      </c>
      <c r="G14" s="1" t="s">
        <v>17</v>
      </c>
      <c r="H14" s="6" t="s">
        <v>66</v>
      </c>
      <c r="I14" s="3">
        <v>100</v>
      </c>
      <c r="J14" s="3">
        <v>1</v>
      </c>
      <c r="K14" s="1" t="s">
        <v>37</v>
      </c>
    </row>
    <row r="15" spans="1:11" ht="43.5" customHeight="1" x14ac:dyDescent="0.3">
      <c r="A15" s="3"/>
      <c r="B15" s="16"/>
      <c r="C15" s="1"/>
      <c r="D15" s="3"/>
      <c r="E15" s="1"/>
      <c r="F15" s="1"/>
      <c r="G15" s="1"/>
      <c r="H15" s="6"/>
      <c r="I15" s="3"/>
      <c r="J15" s="3"/>
      <c r="K15" s="1"/>
    </row>
    <row r="16" spans="1:11" ht="42.75" customHeight="1" x14ac:dyDescent="0.25">
      <c r="A16" s="14">
        <v>2</v>
      </c>
      <c r="B16" s="33" t="s">
        <v>19</v>
      </c>
      <c r="C16" s="34"/>
      <c r="D16" s="34"/>
      <c r="E16" s="34"/>
      <c r="F16" s="34"/>
      <c r="G16" s="34"/>
      <c r="H16" s="34"/>
      <c r="I16" s="34"/>
      <c r="J16" s="34"/>
      <c r="K16" s="35"/>
    </row>
    <row r="17" spans="1:11" ht="79.5" customHeight="1" x14ac:dyDescent="0.3">
      <c r="A17" s="4">
        <v>2.1</v>
      </c>
      <c r="B17" s="17" t="s">
        <v>75</v>
      </c>
      <c r="C17" s="3" t="s">
        <v>35</v>
      </c>
      <c r="D17" s="3" t="s">
        <v>54</v>
      </c>
      <c r="E17" s="3" t="s">
        <v>39</v>
      </c>
      <c r="F17" s="3">
        <v>1</v>
      </c>
      <c r="G17" s="3" t="s">
        <v>16</v>
      </c>
      <c r="H17" s="6" t="s">
        <v>66</v>
      </c>
      <c r="I17" s="3">
        <v>150</v>
      </c>
      <c r="J17" s="3">
        <v>1.5</v>
      </c>
      <c r="K17" s="3" t="s">
        <v>37</v>
      </c>
    </row>
    <row r="18" spans="1:11" ht="43.5" customHeight="1" x14ac:dyDescent="0.25">
      <c r="A18" s="3"/>
      <c r="B18" s="5"/>
      <c r="C18" s="1"/>
      <c r="D18" s="3"/>
      <c r="E18" s="1"/>
      <c r="F18" s="1"/>
      <c r="G18" s="1"/>
      <c r="H18" s="8"/>
      <c r="I18" s="1"/>
      <c r="J18" s="1"/>
      <c r="K18" s="1"/>
    </row>
    <row r="19" spans="1:11" ht="30" customHeight="1" x14ac:dyDescent="0.25">
      <c r="A19" s="14">
        <v>3</v>
      </c>
      <c r="B19" s="33" t="s">
        <v>20</v>
      </c>
      <c r="C19" s="34"/>
      <c r="D19" s="34"/>
      <c r="E19" s="34"/>
      <c r="F19" s="34"/>
      <c r="G19" s="34"/>
      <c r="H19" s="34"/>
      <c r="I19" s="34"/>
      <c r="J19" s="34"/>
      <c r="K19" s="35"/>
    </row>
    <row r="20" spans="1:11" ht="51" customHeight="1" x14ac:dyDescent="0.3">
      <c r="A20" s="3">
        <v>3.1</v>
      </c>
      <c r="B20" s="17" t="s">
        <v>76</v>
      </c>
      <c r="C20" s="1" t="s">
        <v>33</v>
      </c>
      <c r="D20" s="3" t="s">
        <v>54</v>
      </c>
      <c r="E20" s="1" t="s">
        <v>62</v>
      </c>
      <c r="F20" s="1">
        <v>1</v>
      </c>
      <c r="G20" s="1" t="s">
        <v>15</v>
      </c>
      <c r="H20" s="8" t="s">
        <v>66</v>
      </c>
      <c r="I20" s="1">
        <v>120</v>
      </c>
      <c r="J20" s="1">
        <v>1.2</v>
      </c>
      <c r="K20" s="1" t="s">
        <v>37</v>
      </c>
    </row>
    <row r="21" spans="1:11" ht="77.25" customHeight="1" x14ac:dyDescent="0.25">
      <c r="A21" s="3">
        <v>3.2</v>
      </c>
      <c r="B21" s="7" t="s">
        <v>77</v>
      </c>
      <c r="C21" s="1" t="s">
        <v>35</v>
      </c>
      <c r="D21" s="3" t="s">
        <v>54</v>
      </c>
      <c r="E21" s="1" t="s">
        <v>78</v>
      </c>
      <c r="F21" s="1" t="s">
        <v>79</v>
      </c>
      <c r="G21" s="1" t="s">
        <v>15</v>
      </c>
      <c r="H21" s="8" t="s">
        <v>66</v>
      </c>
      <c r="I21" s="1">
        <v>120</v>
      </c>
      <c r="J21" s="1">
        <v>1.2</v>
      </c>
      <c r="K21" s="1" t="s">
        <v>37</v>
      </c>
    </row>
    <row r="22" spans="1:11" ht="78" customHeight="1" x14ac:dyDescent="0.25">
      <c r="A22" s="3">
        <v>3.3</v>
      </c>
      <c r="B22" s="5"/>
      <c r="C22" s="15"/>
      <c r="D22" s="3"/>
      <c r="E22" s="15"/>
      <c r="F22" s="15"/>
      <c r="G22" s="15"/>
      <c r="H22" s="15"/>
      <c r="I22" s="15"/>
      <c r="J22" s="15"/>
      <c r="K22" s="15"/>
    </row>
    <row r="23" spans="1:11" ht="27.75" customHeight="1" x14ac:dyDescent="0.25">
      <c r="A23" s="14">
        <v>4</v>
      </c>
      <c r="B23" s="43" t="s">
        <v>21</v>
      </c>
      <c r="C23" s="34"/>
      <c r="D23" s="34"/>
      <c r="E23" s="34"/>
      <c r="F23" s="34"/>
      <c r="G23" s="34"/>
      <c r="H23" s="34"/>
      <c r="I23" s="34"/>
      <c r="J23" s="34"/>
      <c r="K23" s="35"/>
    </row>
    <row r="24" spans="1:11" ht="50.25" customHeight="1" x14ac:dyDescent="0.25">
      <c r="A24" s="3">
        <v>4.0999999999999996</v>
      </c>
      <c r="B24" s="5" t="s">
        <v>80</v>
      </c>
      <c r="C24" s="3" t="s">
        <v>40</v>
      </c>
      <c r="D24" s="3" t="s">
        <v>54</v>
      </c>
      <c r="E24" s="3" t="s">
        <v>34</v>
      </c>
      <c r="F24" s="3">
        <v>1</v>
      </c>
      <c r="G24" s="3" t="s">
        <v>17</v>
      </c>
      <c r="H24" s="6" t="s">
        <v>66</v>
      </c>
      <c r="I24" s="3">
        <f t="shared" ref="I24:I25" si="0">IF(G24="Khó và phức tạp",200,IF(G24="Cao",150,IF(G24="Trungbình",120,100)))</f>
        <v>100</v>
      </c>
      <c r="J24" s="3">
        <f t="shared" ref="J24:J25" si="1">I24*0.01</f>
        <v>1</v>
      </c>
      <c r="K24" s="3" t="s">
        <v>41</v>
      </c>
    </row>
    <row r="25" spans="1:11" ht="132" customHeight="1" x14ac:dyDescent="0.25">
      <c r="A25" s="3">
        <v>4.2</v>
      </c>
      <c r="B25" s="5" t="s">
        <v>50</v>
      </c>
      <c r="C25" s="15" t="s">
        <v>35</v>
      </c>
      <c r="D25" s="3" t="s">
        <v>54</v>
      </c>
      <c r="E25" s="15" t="s">
        <v>51</v>
      </c>
      <c r="F25" s="15">
        <v>1</v>
      </c>
      <c r="G25" s="15" t="s">
        <v>17</v>
      </c>
      <c r="H25" s="15" t="s">
        <v>66</v>
      </c>
      <c r="I25" s="15">
        <f t="shared" si="0"/>
        <v>100</v>
      </c>
      <c r="J25" s="15">
        <f t="shared" si="1"/>
        <v>1</v>
      </c>
      <c r="K25" s="15" t="s">
        <v>37</v>
      </c>
    </row>
    <row r="26" spans="1:11" ht="38.25" customHeight="1" x14ac:dyDescent="0.25">
      <c r="A26" s="3">
        <v>4.3</v>
      </c>
      <c r="B26" s="5"/>
      <c r="C26" s="2"/>
      <c r="D26" s="2"/>
      <c r="E26" s="2"/>
      <c r="F26" s="2"/>
      <c r="G26" s="2"/>
      <c r="H26" s="2"/>
      <c r="I26" s="2"/>
      <c r="J26" s="2"/>
      <c r="K26" s="2"/>
    </row>
    <row r="27" spans="1:11" ht="36.75" customHeight="1" x14ac:dyDescent="0.25">
      <c r="A27" s="14">
        <v>5</v>
      </c>
      <c r="B27" s="33" t="s">
        <v>22</v>
      </c>
      <c r="C27" s="34"/>
      <c r="D27" s="34"/>
      <c r="E27" s="34"/>
      <c r="F27" s="34"/>
      <c r="G27" s="34"/>
      <c r="H27" s="34"/>
      <c r="I27" s="34"/>
      <c r="J27" s="34"/>
      <c r="K27" s="35"/>
    </row>
    <row r="28" spans="1:11" ht="97.5" customHeight="1" x14ac:dyDescent="0.25">
      <c r="A28" s="3">
        <v>5.0999999999999996</v>
      </c>
      <c r="B28" s="5" t="s">
        <v>52</v>
      </c>
      <c r="C28" s="15" t="s">
        <v>42</v>
      </c>
      <c r="D28" s="3" t="s">
        <v>54</v>
      </c>
      <c r="E28" s="15" t="s">
        <v>53</v>
      </c>
      <c r="F28" s="15">
        <v>1</v>
      </c>
      <c r="G28" s="15" t="s">
        <v>17</v>
      </c>
      <c r="H28" s="15" t="s">
        <v>66</v>
      </c>
      <c r="I28" s="15">
        <f t="shared" ref="I28" si="2">IF(G28="Khó và phức tạp",200,IF(G28="Cao",150,IF(G28="Trungbình",120,100)))</f>
        <v>100</v>
      </c>
      <c r="J28" s="15">
        <f t="shared" ref="J28" si="3">I28*0.01</f>
        <v>1</v>
      </c>
      <c r="K28" s="15" t="s">
        <v>37</v>
      </c>
    </row>
    <row r="29" spans="1:11" ht="39.75" customHeight="1" x14ac:dyDescent="0.25">
      <c r="A29" s="3">
        <v>5.2</v>
      </c>
      <c r="B29" s="5"/>
      <c r="C29" s="2"/>
      <c r="D29" s="2"/>
      <c r="E29" s="2"/>
      <c r="F29" s="2"/>
      <c r="G29" s="2"/>
      <c r="H29" s="2"/>
      <c r="I29" s="2"/>
      <c r="J29" s="2"/>
      <c r="K29" s="2"/>
    </row>
    <row r="30" spans="1:11" ht="26.25" customHeight="1" x14ac:dyDescent="0.25">
      <c r="A30" s="14">
        <v>6</v>
      </c>
      <c r="B30" s="33" t="s">
        <v>23</v>
      </c>
      <c r="C30" s="34"/>
      <c r="D30" s="34"/>
      <c r="E30" s="34"/>
      <c r="F30" s="34"/>
      <c r="G30" s="34"/>
      <c r="H30" s="34"/>
      <c r="I30" s="34"/>
      <c r="J30" s="34"/>
      <c r="K30" s="35"/>
    </row>
    <row r="31" spans="1:11" ht="112.5" customHeight="1" x14ac:dyDescent="0.25">
      <c r="A31" s="3">
        <v>6.1</v>
      </c>
      <c r="B31" s="5" t="s">
        <v>55</v>
      </c>
      <c r="C31" s="15" t="s">
        <v>42</v>
      </c>
      <c r="D31" s="15" t="s">
        <v>54</v>
      </c>
      <c r="E31" s="15" t="s">
        <v>56</v>
      </c>
      <c r="F31" s="15">
        <v>1</v>
      </c>
      <c r="G31" s="15" t="s">
        <v>17</v>
      </c>
      <c r="H31" s="15" t="s">
        <v>66</v>
      </c>
      <c r="I31" s="15">
        <f t="shared" ref="I31" si="4">IF(G31="Khó và phức tạp",200,IF(G31="Cao",150,IF(G31="Trungbình",120,100)))</f>
        <v>100</v>
      </c>
      <c r="J31" s="15">
        <f t="shared" ref="J31" si="5">I31*0.01</f>
        <v>1</v>
      </c>
      <c r="K31" s="15" t="s">
        <v>37</v>
      </c>
    </row>
    <row r="32" spans="1:11" ht="59.25" customHeight="1" x14ac:dyDescent="0.3">
      <c r="A32" s="3">
        <v>6.2</v>
      </c>
      <c r="B32" s="17" t="s">
        <v>81</v>
      </c>
      <c r="C32" s="15" t="s">
        <v>42</v>
      </c>
      <c r="D32" s="15" t="s">
        <v>54</v>
      </c>
      <c r="E32" s="15" t="s">
        <v>62</v>
      </c>
      <c r="F32" s="15">
        <v>1</v>
      </c>
      <c r="G32" s="15" t="s">
        <v>15</v>
      </c>
      <c r="H32" s="15" t="s">
        <v>66</v>
      </c>
      <c r="I32" s="15">
        <v>120</v>
      </c>
      <c r="J32" s="15">
        <v>1.2</v>
      </c>
      <c r="K32" s="15" t="s">
        <v>37</v>
      </c>
    </row>
    <row r="33" spans="1:11" ht="30.75" customHeight="1" x14ac:dyDescent="0.25">
      <c r="A33" s="3">
        <v>6.3</v>
      </c>
      <c r="B33" s="5"/>
      <c r="C33" s="2"/>
      <c r="D33" s="2"/>
      <c r="E33" s="2"/>
      <c r="F33" s="2"/>
      <c r="G33" s="2"/>
      <c r="H33" s="2"/>
      <c r="I33" s="2"/>
      <c r="J33" s="2"/>
      <c r="K33" s="2"/>
    </row>
    <row r="34" spans="1:11" ht="37.5" customHeight="1" x14ac:dyDescent="0.25">
      <c r="A34" s="14" t="s">
        <v>18</v>
      </c>
      <c r="B34" s="33" t="s">
        <v>43</v>
      </c>
      <c r="C34" s="34"/>
      <c r="D34" s="34"/>
      <c r="E34" s="34"/>
      <c r="F34" s="34"/>
      <c r="G34" s="34"/>
      <c r="H34" s="34"/>
      <c r="I34" s="34"/>
      <c r="J34" s="34"/>
      <c r="K34" s="35"/>
    </row>
    <row r="35" spans="1:11" ht="59.25" customHeight="1" x14ac:dyDescent="0.25">
      <c r="A35" s="3">
        <v>1</v>
      </c>
      <c r="B35" s="5" t="s">
        <v>57</v>
      </c>
      <c r="C35" s="15" t="s">
        <v>35</v>
      </c>
      <c r="D35" s="15" t="s">
        <v>54</v>
      </c>
      <c r="E35" s="15" t="s">
        <v>58</v>
      </c>
      <c r="F35" s="15" t="s">
        <v>59</v>
      </c>
      <c r="G35" s="15" t="s">
        <v>60</v>
      </c>
      <c r="H35" s="15" t="s">
        <v>66</v>
      </c>
      <c r="I35" s="15" t="s">
        <v>61</v>
      </c>
      <c r="J35" s="15"/>
      <c r="K35" s="15" t="s">
        <v>37</v>
      </c>
    </row>
    <row r="36" spans="1:11" ht="37.5" customHeight="1" x14ac:dyDescent="0.25">
      <c r="A36" s="3">
        <v>2</v>
      </c>
      <c r="B36" s="5"/>
      <c r="C36" s="2"/>
      <c r="D36" s="2"/>
      <c r="E36" s="2"/>
      <c r="F36" s="2"/>
      <c r="G36" s="2"/>
      <c r="H36" s="2"/>
      <c r="I36" s="2"/>
      <c r="J36" s="2"/>
      <c r="K36" s="2"/>
    </row>
    <row r="37" spans="1:11" ht="99.75" customHeight="1" x14ac:dyDescent="0.25">
      <c r="A37" s="9"/>
      <c r="B37" s="36" t="s">
        <v>44</v>
      </c>
      <c r="C37" s="37"/>
      <c r="D37" s="37"/>
      <c r="E37" s="37"/>
      <c r="F37" s="37"/>
      <c r="G37" s="37"/>
      <c r="H37" s="37"/>
      <c r="I37" s="37"/>
      <c r="J37" s="37"/>
      <c r="K37" s="37"/>
    </row>
    <row r="38" spans="1:11" ht="178.5" customHeight="1" x14ac:dyDescent="0.25">
      <c r="A38" s="38" t="s">
        <v>63</v>
      </c>
      <c r="B38" s="39"/>
      <c r="C38" s="39"/>
      <c r="E38" s="9"/>
      <c r="F38" s="9"/>
      <c r="G38" s="40" t="s">
        <v>82</v>
      </c>
      <c r="H38" s="41"/>
      <c r="I38" s="41"/>
      <c r="J38" s="41"/>
      <c r="K38" s="41"/>
    </row>
  </sheetData>
  <mergeCells count="27">
    <mergeCell ref="B34:K34"/>
    <mergeCell ref="B37:K37"/>
    <mergeCell ref="A38:C38"/>
    <mergeCell ref="G38:K38"/>
    <mergeCell ref="B8:K8"/>
    <mergeCell ref="B9:K9"/>
    <mergeCell ref="B16:K16"/>
    <mergeCell ref="B19:K19"/>
    <mergeCell ref="B23:K23"/>
    <mergeCell ref="B27:K27"/>
    <mergeCell ref="B30:K30"/>
    <mergeCell ref="A2:B2"/>
    <mergeCell ref="E2:K2"/>
    <mergeCell ref="A3:B3"/>
    <mergeCell ref="E3:K3"/>
    <mergeCell ref="D5:D6"/>
    <mergeCell ref="I5:I6"/>
    <mergeCell ref="J5:J6"/>
    <mergeCell ref="K5:K6"/>
    <mergeCell ref="A4:K4"/>
    <mergeCell ref="A5:A6"/>
    <mergeCell ref="B5:B6"/>
    <mergeCell ref="C5:C6"/>
    <mergeCell ref="E5:E6"/>
    <mergeCell ref="F5:F6"/>
    <mergeCell ref="G5:G6"/>
    <mergeCell ref="H5:H6"/>
  </mergeCells>
  <dataValidations count="3">
    <dataValidation type="list" allowBlank="1" sqref="C24:D26 C28:D29 C35:D36 C17:D18 C31:D33 C20:D22 C10:D15" xr:uid="{00000000-0002-0000-01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E28:E29 E31:E33 E35:E36 E24:E26 E17:E18 E20:E22 E10:E15" xr:uid="{00000000-0002-0000-01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qref="G28:G29 G31:G33 G35:G36 G24:G26 G17:G18 G20:G22 G10:G15" xr:uid="{00000000-0002-0000-0100-000002000000}">
      <formula1>"Thấp,Trung bình,Cao,Khó và phức tạp"</formula1>
    </dataValidation>
  </dataValidations>
  <pageMargins left="0.45" right="0.45" top="0.5" bottom="0.5" header="0" footer="0"/>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 HOACH CONG TAC THANG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CMS</cp:lastModifiedBy>
  <dcterms:created xsi:type="dcterms:W3CDTF">2026-06-25T07:40:24Z</dcterms:created>
  <dcterms:modified xsi:type="dcterms:W3CDTF">2026-08-14T09:23:14Z</dcterms:modified>
</cp:coreProperties>
</file>