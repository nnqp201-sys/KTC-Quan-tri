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CER\AppData\Roaming\VNPT Plugin\Files\FileTemp\"/>
    </mc:Choice>
  </mc:AlternateContent>
  <xr:revisionPtr revIDLastSave="0" documentId="13_ncr:1_{8F4251C4-F517-4ED3-8E7F-829B2C09428E}" xr6:coauthVersionLast="47" xr6:coauthVersionMax="47" xr10:uidLastSave="{00000000-0000-0000-0000-000000000000}"/>
  <bookViews>
    <workbookView xWindow="-110" yWindow="-110" windowWidth="19420" windowHeight="11500" xr2:uid="{00000000-000D-0000-FFFF-FFFF00000000}"/>
  </bookViews>
  <sheets>
    <sheet name="Mẫu BC tháng" sheetId="1" r:id="rId1"/>
    <sheet name="Mẫu BC QUÝ"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1" l="1"/>
  <c r="M19" i="1" s="1"/>
  <c r="H19" i="1"/>
  <c r="I19" i="1" s="1"/>
  <c r="J19" i="1" s="1"/>
  <c r="K17" i="1"/>
  <c r="O17" i="1" s="1"/>
  <c r="H17" i="1"/>
  <c r="I17" i="1" s="1"/>
  <c r="J17" i="1" s="1"/>
  <c r="K14" i="1"/>
  <c r="O14" i="1" s="1"/>
  <c r="H14" i="1"/>
  <c r="I14" i="1" s="1"/>
  <c r="J14" i="1" s="1"/>
  <c r="K13" i="1"/>
  <c r="O13" i="1" s="1"/>
  <c r="H13" i="1"/>
  <c r="I13" i="1" s="1"/>
  <c r="K41" i="3"/>
  <c r="O41" i="3" s="1"/>
  <c r="H41" i="3"/>
  <c r="I41" i="3" s="1"/>
  <c r="K40" i="3"/>
  <c r="O40" i="3" s="1"/>
  <c r="H40" i="3"/>
  <c r="I40" i="3" s="1"/>
  <c r="K39" i="3"/>
  <c r="M39" i="3" s="1"/>
  <c r="H39" i="3"/>
  <c r="I39" i="3" s="1"/>
  <c r="K38" i="3"/>
  <c r="F38" i="3"/>
  <c r="K37" i="3"/>
  <c r="O37" i="3" s="1"/>
  <c r="H37" i="3"/>
  <c r="I37" i="3" s="1"/>
  <c r="K36" i="3"/>
  <c r="O36" i="3" s="1"/>
  <c r="O35" i="3" s="1"/>
  <c r="H36" i="3"/>
  <c r="I36" i="3" s="1"/>
  <c r="F35" i="3"/>
  <c r="K34" i="3"/>
  <c r="O34" i="3" s="1"/>
  <c r="H34" i="3"/>
  <c r="I34" i="3" s="1"/>
  <c r="M33" i="3"/>
  <c r="K33" i="3"/>
  <c r="O33" i="3" s="1"/>
  <c r="I33" i="3"/>
  <c r="P33" i="3" s="1"/>
  <c r="H33" i="3"/>
  <c r="O32" i="3"/>
  <c r="M32" i="3"/>
  <c r="K32" i="3"/>
  <c r="H32" i="3"/>
  <c r="I32" i="3" s="1"/>
  <c r="O31" i="3"/>
  <c r="K31" i="3"/>
  <c r="M31" i="3" s="1"/>
  <c r="H31" i="3"/>
  <c r="I31" i="3" s="1"/>
  <c r="O30" i="3"/>
  <c r="M30" i="3"/>
  <c r="K30" i="3"/>
  <c r="H30" i="3"/>
  <c r="I30" i="3" s="1"/>
  <c r="O29" i="3"/>
  <c r="O28" i="3" s="1"/>
  <c r="M29" i="3"/>
  <c r="N29" i="3" s="1"/>
  <c r="K29" i="3"/>
  <c r="K28" i="3" s="1"/>
  <c r="J29" i="3"/>
  <c r="I29" i="3"/>
  <c r="P29" i="3" s="1"/>
  <c r="H29" i="3"/>
  <c r="F28" i="3"/>
  <c r="K27" i="3"/>
  <c r="O27" i="3" s="1"/>
  <c r="H27" i="3"/>
  <c r="I27" i="3" s="1"/>
  <c r="K26" i="3"/>
  <c r="O26" i="3" s="1"/>
  <c r="O21" i="3" s="1"/>
  <c r="I26" i="3"/>
  <c r="H26" i="3"/>
  <c r="O25" i="3"/>
  <c r="K25" i="3"/>
  <c r="M25" i="3" s="1"/>
  <c r="H25" i="3"/>
  <c r="I25" i="3" s="1"/>
  <c r="O24" i="3"/>
  <c r="M24" i="3"/>
  <c r="K24" i="3"/>
  <c r="L24" i="3" s="1"/>
  <c r="I24" i="3"/>
  <c r="P24" i="3" s="1"/>
  <c r="H24" i="3"/>
  <c r="O23" i="3"/>
  <c r="M23" i="3"/>
  <c r="K23" i="3"/>
  <c r="H23" i="3"/>
  <c r="I23" i="3" s="1"/>
  <c r="O22" i="3"/>
  <c r="M22" i="3"/>
  <c r="K22" i="3"/>
  <c r="K21" i="3" s="1"/>
  <c r="H22" i="3"/>
  <c r="I22" i="3" s="1"/>
  <c r="F21" i="3"/>
  <c r="M20" i="3"/>
  <c r="L20" i="3"/>
  <c r="K20" i="3"/>
  <c r="O20" i="3" s="1"/>
  <c r="I20" i="3"/>
  <c r="P20" i="3" s="1"/>
  <c r="H20" i="3"/>
  <c r="K19" i="3"/>
  <c r="K18" i="3" s="1"/>
  <c r="H19" i="3"/>
  <c r="I19" i="3" s="1"/>
  <c r="F18" i="3"/>
  <c r="K17" i="3"/>
  <c r="O17" i="3" s="1"/>
  <c r="H17" i="3"/>
  <c r="I17" i="3" s="1"/>
  <c r="K16" i="3"/>
  <c r="O16" i="3" s="1"/>
  <c r="O15" i="3" s="1"/>
  <c r="H16" i="3"/>
  <c r="I16" i="3" s="1"/>
  <c r="F15" i="3"/>
  <c r="O14" i="3"/>
  <c r="M14" i="3"/>
  <c r="K14" i="3"/>
  <c r="L14" i="3" s="1"/>
  <c r="H14" i="3"/>
  <c r="I14" i="3" s="1"/>
  <c r="O13" i="3"/>
  <c r="P13" i="3" s="1"/>
  <c r="N13" i="3"/>
  <c r="M13" i="3"/>
  <c r="K13" i="3"/>
  <c r="L13" i="3" s="1"/>
  <c r="J13" i="3"/>
  <c r="I13" i="3"/>
  <c r="H13" i="3"/>
  <c r="O12" i="3"/>
  <c r="M12" i="3"/>
  <c r="K12" i="3"/>
  <c r="H12" i="3"/>
  <c r="I12" i="3" s="1"/>
  <c r="O11" i="3"/>
  <c r="O10" i="3" s="1"/>
  <c r="K11" i="3"/>
  <c r="M11" i="3" s="1"/>
  <c r="M10" i="3" s="1"/>
  <c r="H11" i="3"/>
  <c r="I11" i="3" s="1"/>
  <c r="F10" i="3"/>
  <c r="K65" i="1"/>
  <c r="O65" i="1" s="1"/>
  <c r="P65" i="1" s="1"/>
  <c r="J65" i="1"/>
  <c r="K64" i="1"/>
  <c r="O64" i="1" s="1"/>
  <c r="P64" i="1" s="1"/>
  <c r="J64" i="1"/>
  <c r="K63" i="1"/>
  <c r="O63" i="1" s="1"/>
  <c r="J63" i="1"/>
  <c r="K62" i="1"/>
  <c r="F62" i="1"/>
  <c r="K61" i="1"/>
  <c r="M61" i="1" s="1"/>
  <c r="N61" i="1" s="1"/>
  <c r="J61" i="1"/>
  <c r="K60" i="1"/>
  <c r="M60" i="1" s="1"/>
  <c r="H60" i="1"/>
  <c r="I60" i="1" s="1"/>
  <c r="J60" i="1" s="1"/>
  <c r="J59" i="1" s="1"/>
  <c r="F59" i="1"/>
  <c r="K58" i="1"/>
  <c r="O58" i="1" s="1"/>
  <c r="P58" i="1" s="1"/>
  <c r="J58" i="1"/>
  <c r="H58" i="1"/>
  <c r="I58" i="1" s="1"/>
  <c r="K57" i="1"/>
  <c r="O57" i="1" s="1"/>
  <c r="P57" i="1" s="1"/>
  <c r="J57" i="1"/>
  <c r="H57" i="1"/>
  <c r="I57" i="1" s="1"/>
  <c r="K56" i="1"/>
  <c r="M56" i="1" s="1"/>
  <c r="N56" i="1" s="1"/>
  <c r="J56" i="1"/>
  <c r="H56" i="1"/>
  <c r="I56" i="1" s="1"/>
  <c r="K55" i="1"/>
  <c r="O55" i="1" s="1"/>
  <c r="P55" i="1" s="1"/>
  <c r="J55" i="1"/>
  <c r="H55" i="1"/>
  <c r="I55" i="1" s="1"/>
  <c r="K54" i="1"/>
  <c r="L54" i="1" s="1"/>
  <c r="J54" i="1"/>
  <c r="H54" i="1"/>
  <c r="I54" i="1" s="1"/>
  <c r="K53" i="1"/>
  <c r="O53" i="1" s="1"/>
  <c r="H53" i="1"/>
  <c r="I53" i="1" s="1"/>
  <c r="J53" i="1" s="1"/>
  <c r="F52" i="1"/>
  <c r="K51" i="1"/>
  <c r="M51" i="1" s="1"/>
  <c r="H51" i="1"/>
  <c r="I51" i="1" s="1"/>
  <c r="K50" i="1"/>
  <c r="M50" i="1" s="1"/>
  <c r="H50" i="1"/>
  <c r="I50" i="1" s="1"/>
  <c r="L49" i="1"/>
  <c r="H49" i="1"/>
  <c r="I49" i="1" s="1"/>
  <c r="K48" i="1"/>
  <c r="O48" i="1" s="1"/>
  <c r="H48" i="1"/>
  <c r="I48" i="1" s="1"/>
  <c r="F47" i="1"/>
  <c r="K46" i="1"/>
  <c r="O46" i="1" s="1"/>
  <c r="H46" i="1"/>
  <c r="I46" i="1" s="1"/>
  <c r="J46" i="1" s="1"/>
  <c r="K45" i="1"/>
  <c r="H45" i="1"/>
  <c r="I45" i="1" s="1"/>
  <c r="F44" i="1"/>
  <c r="L43" i="1"/>
  <c r="K42" i="1"/>
  <c r="K41" i="1" s="1"/>
  <c r="H42" i="1"/>
  <c r="I42" i="1" s="1"/>
  <c r="J42" i="1" s="1"/>
  <c r="J41" i="1" s="1"/>
  <c r="F41" i="1"/>
  <c r="K40" i="1"/>
  <c r="O40" i="1" s="1"/>
  <c r="H40" i="1"/>
  <c r="I40" i="1" s="1"/>
  <c r="K39" i="1"/>
  <c r="O39" i="1" s="1"/>
  <c r="H39" i="1"/>
  <c r="I39" i="1" s="1"/>
  <c r="K38" i="1"/>
  <c r="O38" i="1" s="1"/>
  <c r="H38" i="1"/>
  <c r="I38" i="1" s="1"/>
  <c r="K37" i="1"/>
  <c r="M37" i="1" s="1"/>
  <c r="H37" i="1"/>
  <c r="I37" i="1" s="1"/>
  <c r="K36" i="1"/>
  <c r="O36" i="1" s="1"/>
  <c r="H36" i="1"/>
  <c r="I36" i="1" s="1"/>
  <c r="J36" i="1" s="1"/>
  <c r="K35" i="1"/>
  <c r="O35" i="1" s="1"/>
  <c r="H35" i="1"/>
  <c r="I35" i="1" s="1"/>
  <c r="K34" i="1"/>
  <c r="M34" i="1" s="1"/>
  <c r="H34" i="1"/>
  <c r="I34" i="1" s="1"/>
  <c r="J34" i="1" s="1"/>
  <c r="K33" i="1"/>
  <c r="M33" i="1" s="1"/>
  <c r="H33" i="1"/>
  <c r="I33" i="1" s="1"/>
  <c r="J33" i="1" s="1"/>
  <c r="K32" i="1"/>
  <c r="H32" i="1"/>
  <c r="I32" i="1" s="1"/>
  <c r="J32" i="1" s="1"/>
  <c r="K31" i="1"/>
  <c r="O31" i="1" s="1"/>
  <c r="H31" i="1"/>
  <c r="I31" i="1" s="1"/>
  <c r="K30" i="1"/>
  <c r="O30" i="1" s="1"/>
  <c r="H30" i="1"/>
  <c r="I30" i="1" s="1"/>
  <c r="J30" i="1" s="1"/>
  <c r="K29" i="1"/>
  <c r="O29" i="1" s="1"/>
  <c r="H29" i="1"/>
  <c r="I29" i="1" s="1"/>
  <c r="J29" i="1" s="1"/>
  <c r="K28" i="1"/>
  <c r="M28" i="1" s="1"/>
  <c r="H28" i="1"/>
  <c r="I28" i="1" s="1"/>
  <c r="J28" i="1" s="1"/>
  <c r="K27" i="1"/>
  <c r="O27" i="1" s="1"/>
  <c r="H27" i="1"/>
  <c r="I27" i="1" s="1"/>
  <c r="J27" i="1" s="1"/>
  <c r="K26" i="1"/>
  <c r="O26" i="1" s="1"/>
  <c r="H26" i="1"/>
  <c r="I26" i="1" s="1"/>
  <c r="J26" i="1" s="1"/>
  <c r="K25" i="1"/>
  <c r="O25" i="1" s="1"/>
  <c r="H25" i="1"/>
  <c r="I25" i="1" s="1"/>
  <c r="J25" i="1" s="1"/>
  <c r="K24" i="1"/>
  <c r="O24" i="1" s="1"/>
  <c r="H24" i="1"/>
  <c r="I24" i="1" s="1"/>
  <c r="J24" i="1" s="1"/>
  <c r="K23" i="1"/>
  <c r="M23" i="1" s="1"/>
  <c r="H23" i="1"/>
  <c r="I23" i="1" s="1"/>
  <c r="J23" i="1" s="1"/>
  <c r="K22" i="1"/>
  <c r="M22" i="1" s="1"/>
  <c r="H22" i="1"/>
  <c r="I22" i="1" s="1"/>
  <c r="K21" i="1"/>
  <c r="O21" i="1" s="1"/>
  <c r="H21" i="1"/>
  <c r="I21" i="1" s="1"/>
  <c r="K20" i="1"/>
  <c r="O20" i="1" s="1"/>
  <c r="H20" i="1"/>
  <c r="I20" i="1" s="1"/>
  <c r="J20" i="1" s="1"/>
  <c r="K18" i="1"/>
  <c r="O18" i="1" s="1"/>
  <c r="H18" i="1"/>
  <c r="I18" i="1" s="1"/>
  <c r="K16" i="1"/>
  <c r="M16" i="1" s="1"/>
  <c r="H16" i="1"/>
  <c r="I16" i="1" s="1"/>
  <c r="K15" i="1"/>
  <c r="M15" i="1" s="1"/>
  <c r="H15" i="1"/>
  <c r="I15" i="1" s="1"/>
  <c r="K12" i="1"/>
  <c r="M12" i="1" s="1"/>
  <c r="H12" i="1"/>
  <c r="I12" i="1" s="1"/>
  <c r="J12" i="1" s="1"/>
  <c r="K11" i="1"/>
  <c r="O11" i="1" s="1"/>
  <c r="H11" i="1"/>
  <c r="I11" i="1" s="1"/>
  <c r="F10" i="1"/>
  <c r="N19" i="1" l="1"/>
  <c r="L19" i="1"/>
  <c r="O19" i="1"/>
  <c r="P19" i="1" s="1"/>
  <c r="L38" i="1"/>
  <c r="M53" i="1"/>
  <c r="O61" i="1"/>
  <c r="P61" i="1" s="1"/>
  <c r="P17" i="1"/>
  <c r="L17" i="1"/>
  <c r="M17" i="1"/>
  <c r="N17" i="1" s="1"/>
  <c r="L13" i="1"/>
  <c r="J13" i="1"/>
  <c r="P13" i="1"/>
  <c r="O22" i="1"/>
  <c r="P22" i="1" s="1"/>
  <c r="M13" i="1"/>
  <c r="N13" i="1" s="1"/>
  <c r="N37" i="1"/>
  <c r="O56" i="1"/>
  <c r="P56" i="1" s="1"/>
  <c r="P18" i="1"/>
  <c r="P14" i="1"/>
  <c r="L14" i="1"/>
  <c r="M14" i="1"/>
  <c r="N14" i="1" s="1"/>
  <c r="N28" i="1"/>
  <c r="N22" i="1"/>
  <c r="P30" i="1"/>
  <c r="O62" i="1"/>
  <c r="L56" i="1"/>
  <c r="M31" i="1"/>
  <c r="N31" i="1" s="1"/>
  <c r="L64" i="1"/>
  <c r="M11" i="1"/>
  <c r="N11" i="1" s="1"/>
  <c r="M64" i="1"/>
  <c r="N64" i="1" s="1"/>
  <c r="O12" i="1"/>
  <c r="O51" i="1"/>
  <c r="P51" i="1" s="1"/>
  <c r="L57" i="1"/>
  <c r="L32" i="1"/>
  <c r="L65" i="1"/>
  <c r="O15" i="1"/>
  <c r="P15" i="1" s="1"/>
  <c r="K44" i="1"/>
  <c r="J52" i="1"/>
  <c r="P46" i="1"/>
  <c r="J16" i="1"/>
  <c r="L16" i="1"/>
  <c r="O37" i="1"/>
  <c r="P37" i="1" s="1"/>
  <c r="O34" i="1"/>
  <c r="P34" i="1" s="1"/>
  <c r="P25" i="1"/>
  <c r="L20" i="1"/>
  <c r="J38" i="1"/>
  <c r="M48" i="1"/>
  <c r="N48" i="1" s="1"/>
  <c r="P38" i="1"/>
  <c r="P26" i="1"/>
  <c r="O28" i="1"/>
  <c r="P28" i="1" s="1"/>
  <c r="P20" i="1"/>
  <c r="N53" i="1"/>
  <c r="M21" i="1"/>
  <c r="N21" i="1" s="1"/>
  <c r="M26" i="1"/>
  <c r="N26" i="1" s="1"/>
  <c r="M32" i="1"/>
  <c r="N32" i="1" s="1"/>
  <c r="M54" i="1"/>
  <c r="N54" i="1" s="1"/>
  <c r="J62" i="1"/>
  <c r="P39" i="1"/>
  <c r="O54" i="1"/>
  <c r="P54" i="1" s="1"/>
  <c r="P27" i="1"/>
  <c r="O33" i="1"/>
  <c r="P33" i="1" s="1"/>
  <c r="P40" i="1"/>
  <c r="L22" i="1"/>
  <c r="O42" i="1"/>
  <c r="O41" i="1" s="1"/>
  <c r="O50" i="1"/>
  <c r="N16" i="1"/>
  <c r="M35" i="1"/>
  <c r="N35" i="1" s="1"/>
  <c r="N23" i="1"/>
  <c r="O16" i="1"/>
  <c r="P16" i="1" s="1"/>
  <c r="M29" i="1"/>
  <c r="N29" i="1" s="1"/>
  <c r="L63" i="1"/>
  <c r="M63" i="1"/>
  <c r="N63" i="1" s="1"/>
  <c r="L28" i="1"/>
  <c r="P24" i="1"/>
  <c r="L15" i="1"/>
  <c r="J15" i="1"/>
  <c r="P17" i="3"/>
  <c r="J17" i="3"/>
  <c r="P53" i="1"/>
  <c r="L11" i="1"/>
  <c r="J11" i="1"/>
  <c r="P48" i="1"/>
  <c r="P22" i="3"/>
  <c r="N22" i="3"/>
  <c r="L22" i="3"/>
  <c r="J22" i="3"/>
  <c r="L31" i="1"/>
  <c r="J31" i="1"/>
  <c r="P27" i="3"/>
  <c r="J27" i="3"/>
  <c r="P11" i="1"/>
  <c r="P31" i="1"/>
  <c r="N15" i="1"/>
  <c r="J21" i="1"/>
  <c r="P21" i="1"/>
  <c r="L21" i="1"/>
  <c r="J14" i="3"/>
  <c r="P14" i="3"/>
  <c r="N14" i="3"/>
  <c r="J30" i="3"/>
  <c r="P30" i="3"/>
  <c r="P28" i="3" s="1"/>
  <c r="N30" i="3"/>
  <c r="N28" i="3" s="1"/>
  <c r="P11" i="3"/>
  <c r="N11" i="3"/>
  <c r="L11" i="3"/>
  <c r="J11" i="3"/>
  <c r="P34" i="3"/>
  <c r="N34" i="3"/>
  <c r="J34" i="3"/>
  <c r="L12" i="1"/>
  <c r="L39" i="1"/>
  <c r="J39" i="1"/>
  <c r="N23" i="3"/>
  <c r="L23" i="3"/>
  <c r="J23" i="3"/>
  <c r="P23" i="3"/>
  <c r="L30" i="3"/>
  <c r="L48" i="1"/>
  <c r="J48" i="1"/>
  <c r="N50" i="1"/>
  <c r="L50" i="1"/>
  <c r="J50" i="1"/>
  <c r="P12" i="1"/>
  <c r="N33" i="1"/>
  <c r="L40" i="1"/>
  <c r="J40" i="1"/>
  <c r="M59" i="1"/>
  <c r="N60" i="1"/>
  <c r="N59" i="1" s="1"/>
  <c r="P36" i="3"/>
  <c r="L36" i="3"/>
  <c r="L35" i="3" s="1"/>
  <c r="J36" i="3"/>
  <c r="P16" i="3"/>
  <c r="P15" i="3" s="1"/>
  <c r="J16" i="3"/>
  <c r="J15" i="3" s="1"/>
  <c r="L35" i="1"/>
  <c r="J35" i="1"/>
  <c r="J12" i="3"/>
  <c r="P12" i="3"/>
  <c r="N12" i="3"/>
  <c r="L12" i="3"/>
  <c r="L51" i="1"/>
  <c r="J51" i="1"/>
  <c r="N51" i="1"/>
  <c r="P31" i="3"/>
  <c r="N31" i="3"/>
  <c r="L31" i="3"/>
  <c r="J31" i="3"/>
  <c r="P25" i="3"/>
  <c r="N25" i="3"/>
  <c r="J25" i="3"/>
  <c r="P29" i="1"/>
  <c r="P36" i="1"/>
  <c r="N32" i="3"/>
  <c r="L32" i="3"/>
  <c r="J32" i="3"/>
  <c r="J28" i="3" s="1"/>
  <c r="P32" i="3"/>
  <c r="P35" i="1"/>
  <c r="J19" i="3"/>
  <c r="J18" i="3" s="1"/>
  <c r="P19" i="3"/>
  <c r="P18" i="3" s="1"/>
  <c r="N19" i="3"/>
  <c r="N39" i="3"/>
  <c r="J39" i="3"/>
  <c r="L45" i="1"/>
  <c r="J45" i="1"/>
  <c r="J44" i="1" s="1"/>
  <c r="P40" i="3"/>
  <c r="J40" i="3"/>
  <c r="L18" i="1"/>
  <c r="J18" i="1"/>
  <c r="L37" i="1"/>
  <c r="J37" i="1"/>
  <c r="P41" i="3"/>
  <c r="J41" i="3"/>
  <c r="J37" i="3"/>
  <c r="P37" i="3"/>
  <c r="N37" i="3"/>
  <c r="N34" i="1"/>
  <c r="P26" i="3"/>
  <c r="L37" i="3"/>
  <c r="O39" i="3"/>
  <c r="O38" i="3" s="1"/>
  <c r="O23" i="1"/>
  <c r="P23" i="1" s="1"/>
  <c r="L30" i="1"/>
  <c r="L58" i="1"/>
  <c r="O60" i="1"/>
  <c r="K10" i="3"/>
  <c r="L19" i="3"/>
  <c r="L18" i="3" s="1"/>
  <c r="J26" i="3"/>
  <c r="K35" i="3"/>
  <c r="M37" i="3"/>
  <c r="K10" i="1"/>
  <c r="M30" i="1"/>
  <c r="N30" i="1" s="1"/>
  <c r="O32" i="1"/>
  <c r="P32" i="1" s="1"/>
  <c r="K47" i="1"/>
  <c r="M58" i="1"/>
  <c r="N58" i="1" s="1"/>
  <c r="M19" i="3"/>
  <c r="M18" i="3" s="1"/>
  <c r="M18" i="1"/>
  <c r="N18" i="1" s="1"/>
  <c r="M39" i="1"/>
  <c r="N39" i="1" s="1"/>
  <c r="J24" i="3"/>
  <c r="L26" i="3"/>
  <c r="J33" i="3"/>
  <c r="P63" i="1"/>
  <c r="P62" i="1" s="1"/>
  <c r="L17" i="3"/>
  <c r="O19" i="3"/>
  <c r="O18" i="3" s="1"/>
  <c r="M26" i="3"/>
  <c r="L26" i="1"/>
  <c r="L61" i="1"/>
  <c r="K15" i="3"/>
  <c r="M17" i="3"/>
  <c r="N17" i="3" s="1"/>
  <c r="N26" i="3"/>
  <c r="L33" i="3"/>
  <c r="K52" i="1"/>
  <c r="L40" i="3"/>
  <c r="J22" i="1"/>
  <c r="L24" i="1"/>
  <c r="M45" i="1"/>
  <c r="N24" i="3"/>
  <c r="N33" i="3"/>
  <c r="M40" i="3"/>
  <c r="M38" i="3" s="1"/>
  <c r="M24" i="1"/>
  <c r="N24" i="1" s="1"/>
  <c r="L33" i="1"/>
  <c r="L42" i="1"/>
  <c r="L41" i="1" s="1"/>
  <c r="K59" i="1"/>
  <c r="J20" i="3"/>
  <c r="M42" i="1"/>
  <c r="O45" i="1"/>
  <c r="L29" i="3"/>
  <c r="M20" i="1"/>
  <c r="N20" i="1" s="1"/>
  <c r="L29" i="1"/>
  <c r="M40" i="1"/>
  <c r="N40" i="1" s="1"/>
  <c r="N20" i="3"/>
  <c r="L27" i="3"/>
  <c r="M36" i="3"/>
  <c r="M35" i="3" s="1"/>
  <c r="M57" i="1"/>
  <c r="N57" i="1" s="1"/>
  <c r="M27" i="3"/>
  <c r="N27" i="3" s="1"/>
  <c r="L27" i="1"/>
  <c r="M38" i="1"/>
  <c r="N38" i="1" s="1"/>
  <c r="L55" i="1"/>
  <c r="L25" i="3"/>
  <c r="L34" i="3"/>
  <c r="M27" i="1"/>
  <c r="N27" i="1" s="1"/>
  <c r="L36" i="1"/>
  <c r="L46" i="1"/>
  <c r="M55" i="1"/>
  <c r="N55" i="1" s="1"/>
  <c r="M65" i="1"/>
  <c r="L16" i="3"/>
  <c r="M34" i="3"/>
  <c r="M28" i="3" s="1"/>
  <c r="L41" i="3"/>
  <c r="L25" i="1"/>
  <c r="M36" i="1"/>
  <c r="N36" i="1" s="1"/>
  <c r="M46" i="1"/>
  <c r="N46" i="1" s="1"/>
  <c r="L53" i="1"/>
  <c r="M16" i="3"/>
  <c r="M15" i="3" s="1"/>
  <c r="M41" i="3"/>
  <c r="N41" i="3" s="1"/>
  <c r="N12" i="1"/>
  <c r="M25" i="1"/>
  <c r="N25" i="1" s="1"/>
  <c r="L34" i="1"/>
  <c r="L39" i="3"/>
  <c r="L23" i="1"/>
  <c r="L60" i="1"/>
  <c r="O47" i="1" l="1"/>
  <c r="P42" i="1"/>
  <c r="P41" i="1" s="1"/>
  <c r="P50" i="1"/>
  <c r="M47" i="1"/>
  <c r="L62" i="1"/>
  <c r="L59" i="1"/>
  <c r="L52" i="1"/>
  <c r="P52" i="1"/>
  <c r="N52" i="1"/>
  <c r="O52" i="1"/>
  <c r="L28" i="3"/>
  <c r="J47" i="1"/>
  <c r="J21" i="3"/>
  <c r="M52" i="1"/>
  <c r="L47" i="1"/>
  <c r="O59" i="1"/>
  <c r="P60" i="1"/>
  <c r="P59" i="1" s="1"/>
  <c r="N40" i="3"/>
  <c r="N38" i="3" s="1"/>
  <c r="N16" i="3"/>
  <c r="N15" i="3" s="1"/>
  <c r="L21" i="3"/>
  <c r="N18" i="3"/>
  <c r="M21" i="3"/>
  <c r="N21" i="3"/>
  <c r="J35" i="3"/>
  <c r="P21" i="3"/>
  <c r="L44" i="1"/>
  <c r="L38" i="3"/>
  <c r="N36" i="3"/>
  <c r="N35" i="3" s="1"/>
  <c r="P39" i="3"/>
  <c r="P38" i="3" s="1"/>
  <c r="P35" i="3"/>
  <c r="P47" i="1"/>
  <c r="M44" i="1"/>
  <c r="N45" i="1"/>
  <c r="N44" i="1" s="1"/>
  <c r="J38" i="3"/>
  <c r="J10" i="1"/>
  <c r="L10" i="1"/>
  <c r="N10" i="1"/>
  <c r="N47" i="1"/>
  <c r="O10" i="1"/>
  <c r="P10" i="1"/>
  <c r="L10" i="3"/>
  <c r="N10" i="3"/>
  <c r="J10" i="3"/>
  <c r="L15" i="3"/>
  <c r="P45" i="1"/>
  <c r="P44" i="1" s="1"/>
  <c r="O44" i="1"/>
  <c r="N65" i="1"/>
  <c r="N62" i="1" s="1"/>
  <c r="M62" i="1"/>
  <c r="N42" i="1"/>
  <c r="N41" i="1" s="1"/>
  <c r="M41" i="1"/>
  <c r="M10" i="1"/>
  <c r="P10" i="3"/>
</calcChain>
</file>

<file path=xl/sharedStrings.xml><?xml version="1.0" encoding="utf-8"?>
<sst xmlns="http://schemas.openxmlformats.org/spreadsheetml/2006/main" count="443" uniqueCount="164">
  <si>
    <t>Phụ lục IIb
MẪU BÁO CÁO KẾT QUẢ THỰC  HIỆN CÔNG TÁC THÁNG CỦA TRƯỜNG CAO ĐẲNG KON TUM</t>
  </si>
  <si>
    <t>TRƯỜNG CAO ĐẲNG KON TUM</t>
  </si>
  <si>
    <t>CỘNG HÒA XÃ HỘI CHỦ NGHĨA VIỆT NAM</t>
  </si>
  <si>
    <t>KHOA ĐT&amp;SHLX</t>
  </si>
  <si>
    <t>Độc lập - Tự do - Hạnh phúc</t>
  </si>
  <si>
    <t>BÁO CÁO
kết quả thực hiện công tác tháng 8 năm 2026</t>
  </si>
  <si>
    <t>TT</t>
  </si>
  <si>
    <t>NỘI DUNG CÔNG VIỆC</t>
  </si>
  <si>
    <t>Người trực tiếp chỉ đạo</t>
  </si>
  <si>
    <t>Đơn vị chủ trì</t>
  </si>
  <si>
    <t>Sản phẩm/ Công việc</t>
  </si>
  <si>
    <t>Số lượng</t>
  </si>
  <si>
    <t>Độ khó, mới, phức tạp; phạm vi tác
động</t>
  </si>
  <si>
    <t>Điểm chấm công việc</t>
  </si>
  <si>
    <t>Hệ số quy đổi</t>
  </si>
  <si>
    <t>Số lượng quy đổi</t>
  </si>
  <si>
    <t>KPI (số lượng)</t>
  </si>
  <si>
    <t>KPI (chất lượng)</t>
  </si>
  <si>
    <t>KPI (tiến độ)</t>
  </si>
  <si>
    <t>Thực tế hoàn thành</t>
  </si>
  <si>
    <t>Quy đổi</t>
  </si>
  <si>
    <t>(1)</t>
  </si>
  <si>
    <t>(2)</t>
  </si>
  <si>
    <t>(3)</t>
  </si>
  <si>
    <t>(4)</t>
  </si>
  <si>
    <t>(5)</t>
  </si>
  <si>
    <t>(6)</t>
  </si>
  <si>
    <t>(7)</t>
  </si>
  <si>
    <t>(8)</t>
  </si>
  <si>
    <t>(9)= (8)* 1%</t>
  </si>
  <si>
    <t>(10)= (6)* (9)</t>
  </si>
  <si>
    <t>(11)=(6)* [Tỷ lệ hoàn thành khối lượng]
Thiếu 1 = 75% (trừ 0,25)</t>
  </si>
  <si>
    <t>(12)= (9)* (11)</t>
  </si>
  <si>
    <t>(13)=(11)*[Tỷ lệ hoàn thành chất lượng]
Sửa đổi 1-2 lần 75% (trừ 0,25)</t>
  </si>
  <si>
    <t>(14)= (9)* (13)</t>
  </si>
  <si>
    <t>(15)=(11)*[Tỷ lệ hoàn thành tiến độ]
Chậm tiến độ 75% (trừ 0,25)</t>
  </si>
  <si>
    <t>(16)= (9)* (15)</t>
  </si>
  <si>
    <t>I</t>
  </si>
  <si>
    <t> Các nhiệm vụ theo kế hoạch (chương trình) công tác đã đề ra từ đầu tháng</t>
  </si>
  <si>
    <t>Phụ lục IIc
MẪU BÁO CÁO KẾT QUẢ THỰC HIỆN CÔNG TÁC QUÝ CỦA TRƯỜNG CAO ĐẲNG KON TUM</t>
  </si>
  <si>
    <t>ĐƠN VỊ:….......</t>
  </si>
  <si>
    <t>BÁO CÁO
kết quả thực hiện công tác Quý … năm 20…</t>
  </si>
  <si>
    <t>(9)=(8)*1%</t>
  </si>
  <si>
    <t> Các nhiệm vụ theo kế hoạch (chương trình) công tác đã đề ra từ đầu quý</t>
  </si>
  <si>
    <t xml:space="preserve">Trục (1) - Thực hiện mục tiêu phát triển Kinh tế - xã hội và nhiệm vụ chính trị được giao </t>
  </si>
  <si>
    <t>1.1</t>
  </si>
  <si>
    <t>Quyết định Chính sách chất lượng giai đoạn 2026-2030</t>
  </si>
  <si>
    <t>Hiệu trưởng</t>
  </si>
  <si>
    <t>Phòng  TCCB&amp;CTHSSV</t>
  </si>
  <si>
    <t>Quyết định</t>
  </si>
  <si>
    <t>Khó và phức tạp</t>
  </si>
  <si>
    <t>1.2</t>
  </si>
  <si>
    <t>…</t>
  </si>
  <si>
    <t>PHT Nguyễn Trung Hiếu</t>
  </si>
  <si>
    <t>Phòng TH-HC&amp;QT</t>
  </si>
  <si>
    <t>Trung bình</t>
  </si>
  <si>
    <t>1.3</t>
  </si>
  <si>
    <t>PHT Huỳnh Văn Chung</t>
  </si>
  <si>
    <t>Phòng QLKHCN&amp;HTPT</t>
  </si>
  <si>
    <t>Cao</t>
  </si>
  <si>
    <t>1.4</t>
  </si>
  <si>
    <t>PHT Dương Văn Anh Dũng</t>
  </si>
  <si>
    <t>Phòng QLĐT&amp;BĐCL</t>
  </si>
  <si>
    <t>Thấp</t>
  </si>
  <si>
    <t>Trục (2) - Hoàn thiện thể chế, đẩy mạnh phân cấp, phân quyền gắn với kiểm tra, giám sát</t>
  </si>
  <si>
    <t>Khoa Y – Dược</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</si>
  <si>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</si>
  <si>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</si>
  <si>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Bí thư Đảng uỷ</t>
  </si>
  <si>
    <t>Phó Bí thư Đảng uỷ</t>
  </si>
  <si>
    <t>Uỷ viên BTV</t>
  </si>
  <si>
    <t>Chủ tịch Công đoàn</t>
  </si>
  <si>
    <t>Bí thư ĐTN</t>
  </si>
  <si>
    <t>Chủ tịch HSV</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</si>
  <si>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</si>
  <si>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</si>
  <si>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</si>
  <si>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khác ngoài kế hoạch (nếu có)</t>
  </si>
  <si>
    <r>
      <rPr>
        <b/>
        <i/>
        <sz val="12"/>
        <rFont val="Times New Roman"/>
        <family val="1"/>
      </rPr>
      <t xml:space="preserve">
Nơi nhận:</t>
    </r>
    <r>
      <rPr>
        <sz val="12"/>
        <rFont val="Times New Roman"/>
        <family val="1"/>
      </rPr>
      <t xml:space="preserve">
</t>
    </r>
    <r>
      <rPr>
        <sz val="11"/>
        <rFont val="Times New Roman"/>
        <family val="1"/>
      </rPr>
      <t>- …..............;
- …..............;
- …..............;
- …..............;
- Lưu: …......</t>
    </r>
  </si>
  <si>
    <r>
      <rPr>
        <i/>
        <sz val="14"/>
        <rFont val="Times New Roman"/>
        <family val="1"/>
      </rPr>
      <t>Quảng Ngãi, ngày…..tháng……năm………..</t>
    </r>
    <r>
      <rPr>
        <sz val="14"/>
        <rFont val="Times New Roman"/>
        <family val="1"/>
      </rPr>
      <t xml:space="preserve">
</t>
    </r>
    <r>
      <rPr>
        <b/>
        <sz val="14"/>
        <rFont val="Times New Roman"/>
        <family val="1"/>
      </rPr>
      <t xml:space="preserve">LÃNH ĐẠO KHOA/PHÒNG
</t>
    </r>
  </si>
  <si>
    <t>Trục (1) - Thực hiện mục tiêu phát triển Kinh tế - xã hội và nhiệm vụ chính trị được giao</t>
  </si>
  <si>
    <t>Đề xuất nghiệm thu khối lượng giảng dạy các lớp K9N Lái xe ô tô hạng B học xe chuyển số tự động (bao gồm cả xe ô tô điện), khóa 15; hạng B học xe chuyển số cơ khí khóa 52, 53 và hạng C1 khóa 3, năm 2026;</t>
  </si>
  <si>
    <t>Khoa ĐT&amp;SHLX</t>
  </si>
  <si>
    <t>Đề xuất</t>
  </si>
  <si>
    <t>Hồ sơ mở lớp và đào tạo lớp K9N Lái xe ô tô hạng B học xe chuyển số tự động (bao gồm cả xe ô tô điện), khóa 18, năm 2026;</t>
  </si>
  <si>
    <t>1.5</t>
  </si>
  <si>
    <t>1.6</t>
  </si>
  <si>
    <t>Công văn số 517/CĐKT-ĐTSHLX ngày 17/7/2026 điều chỉnh lịch sát hạch tháng 8 năm 2026;</t>
  </si>
  <si>
    <t>Công văn</t>
  </si>
  <si>
    <t>1.7</t>
  </si>
  <si>
    <t>Hồ sơ xét điều kiện dự kiểm tra</t>
  </si>
  <si>
    <t>1.8</t>
  </si>
  <si>
    <t>Bổ sung kế hoạch học thực hành: Thông báo số 840/TB-CĐKT ngày 20/7/2026 đối với lớp B số sàn khóa 55; Thông báo số 849/TB-CĐKT ngày 21/7/2026 đối với người học Bùi Huy Duy, khóa 54; Báo cáo số 872/BC-CĐKT ngày 27/7/2026 đối với người học Đặng Thanh Quyền, lớp C1 khóa 4;</t>
  </si>
  <si>
    <t>Thông báo, báo cáo</t>
  </si>
  <si>
    <t>1.9</t>
  </si>
  <si>
    <t>Báo cáo số 336/BC-CĐKT ngày 20/7/2026 đề nghị sát hạch các lớp lái xe ngày 29/7/2026;</t>
  </si>
  <si>
    <t>Báo cáo</t>
  </si>
  <si>
    <t>1.10</t>
  </si>
  <si>
    <t>Bản khai thông tin chung và bản khai thông số kỹ thuật, khai thác của Trường Cao đẳng Kon Tum để thực hiện đăng ký, cấp phép sử dụng tần số và thiết bị vô tuyến điện đối với mạng thông tin vô tuyến điện nội bộ;</t>
  </si>
  <si>
    <t>Bản khai</t>
  </si>
  <si>
    <t>1.11</t>
  </si>
  <si>
    <t>Báo cáo kết quả thực hành trên đường giao thông: Báo cáo số 342/BC-CĐKT ngày 22/7/2026 đối với lớp B số sàn khóa 55 và Báo cáo số 359/BC-CĐKT ngày 03/8/2026 đối với lớp C1 khóa 4, năm 2026;</t>
  </si>
  <si>
    <t>1.12</t>
  </si>
  <si>
    <t>Kế hoạch đào tạo lớp K9N lái xe mô tô hạng A1 khóa 129, 130 năm 2026;</t>
  </si>
  <si>
    <t>Kế hoạch</t>
  </si>
  <si>
    <t>1.13</t>
  </si>
  <si>
    <t>Báo cáo đăng ký khóa đào tạo lái xe mô tô hạng A1 khóa 129, 130;</t>
  </si>
  <si>
    <t>1.14</t>
  </si>
  <si>
    <t>Thông báo số 855/TB-CĐKT ngày 23/7/2026 điều chỉnh lịch học ca bin lái xe lớp K9N Lái xe ô tô hạng B học xe chuyển số cơ khí (số sàn), khóa 55, năm 2026;</t>
  </si>
  <si>
    <t>Thông báo</t>
  </si>
  <si>
    <t>1.15</t>
  </si>
  <si>
    <t>Thông báo số 856/TB-CĐKT ngày 22/7/2026 kết quả rà soát, cập nhật giáo trình đào tạo lái xe mô tô hạng A1, lần thứ II năm 2026 và Quyết định số 1654/QĐ-CĐKT ngày 23/7/2026 ban hành giáo trình đào tạo lái xe mô tô hạng A1 rà soát, cập nhật lần thứ II, năm 2026;</t>
  </si>
  <si>
    <t>Thông báo, quyết định</t>
  </si>
  <si>
    <t>1.16</t>
  </si>
  <si>
    <t>Xây dựng mục tiêu chất lượng và kế hoạch thực hiện mục tiêu chất lượng của Khoa Đào tạo và Sát hạch lái xe năm học 2026-2027;</t>
  </si>
  <si>
    <t>Mục tiêu chất lượng, kế hoạch</t>
  </si>
  <si>
    <t>1.17</t>
  </si>
  <si>
    <t>Báo cáo số 348/BC-CĐKT ngày 24/7/2026 kế hoạch kiểm tra hoàn thành khóa đào tạo lái xe tháng 8, 9 của Trường Cao đẳng Kon Tum;</t>
  </si>
  <si>
    <t>1.18</t>
  </si>
  <si>
    <t>Báo cáo số 350/BC-CĐKT ngày 24/7/2026 và Báo cáo số 354/BC-CĐKT ngày 29/7/2026 đề nghị cấp giấy phép đào tạo lái xe ô tô;</t>
  </si>
  <si>
    <t>1.19</t>
  </si>
  <si>
    <t>Kế hoạch số 722/KH-CĐKT ngày 27/7/2026 chuẩn bị nội dung, điều kiện làm việc với Đoàn kiểm tra của Sở Xây dựng tỉnh Quảng Ngãi để cấp lại giấy phép đào tạo lái xe và Kế hoạch số 733/KH-CĐKT ngày 30/7/2026 làm việc với Sở Xây dựng tỉnh Quảng Ngãi cấp lại giấy phép đào tạo lái xe ô tô cho Trường Cao đẳng Kon Tum;</t>
  </si>
  <si>
    <t>1.20</t>
  </si>
  <si>
    <t>Đề xuất ý kiến xin chủ trương sửa chữa, bảo dưỡng sân tập lái xe ô tô các hạng B, C1;</t>
  </si>
  <si>
    <t>1.21</t>
  </si>
  <si>
    <t>Báo cáo số 352/BC-CĐKT ngày 28/7/2026 đăng ký sát hạch lái xe mô tô hạng A1 khóa 129, 130 và các khóa thi lại;</t>
  </si>
  <si>
    <t>1.22</t>
  </si>
  <si>
    <t>Thông báo số 879/TB-CĐKT ngày 28/7/2026 điều chỉnh biển số xe tập lái 82A-128.40 lớp K9N Lái xe ô tô hạng B học xe chuyển số cơ khí (số sàn), khóa 56, năm 2026;</t>
  </si>
  <si>
    <t>1.23</t>
  </si>
  <si>
    <t>Công văn số 547/CĐKT-ĐTSHLX ngày 31/7/2026 thu hồi giấy phép xe tập lái và công văn đề nghị cấp lại giấy phép xe tập lái;</t>
  </si>
  <si>
    <t>1.24</t>
  </si>
  <si>
    <t>Công văn số 556/CĐKT-ĐTSHLX ngày 04/8/2026 tham gia góp ý Hồ sơ dự thảo Nghị định sửa đổi, bổ sung một số điều của các Nghị định trong lĩnh vực đường bộ;</t>
  </si>
  <si>
    <t>1.25</t>
  </si>
  <si>
    <t>Đề xuất điều chỉnh thời gian kiểm tra kết thúc môn học lớp K9N Lái xe ô tô hạng B học xe chuyển số cơ khí (số sàn), khóa 56, năm 2026;</t>
  </si>
  <si>
    <t>1.26</t>
  </si>
  <si>
    <t>Công văn số 590/CĐKT-ĐTSHLX ngày 12/8/2026 bổ sung nhà giáo giảng dạy thực hành lái xe ô tô của Trường Cao đẳng Kon Tum tháng 8 năm 2026;</t>
  </si>
  <si>
    <t>Xây dựng kế hoạch dự giờ nhà giáo để hợp đồng giảng dạy thực hành lái xe ô tô;</t>
  </si>
  <si>
    <t>Tổ chức đánh giá và phê duyệt cấp trường, báo cáo kết quả cho Sở Xây dựng phần mềm kiểm tra mô phỏng các tình huống giao thông theo Thông tư 17/2026/TT-BXD của Bộ Xây dựng;</t>
  </si>
  <si>
    <t>Phần mềm, báo cáo</t>
  </si>
  <si>
    <t>Tham gia chương trình bồi dưỡng, tập huấn cập nhật, nâng cao trình độ về Chuyển đổi số, kỹ năng số cho cán bộ, công chức, viên chức và người lao động trong khu vực công trên địa bàn tỉnh Quảng Ngãi năm 2026;</t>
  </si>
  <si>
    <t>Hoàn thành chương trình bồi dưỡng</t>
  </si>
  <si>
    <t>Báo cáo kết quả thực hiện tháng 7 và nhiệm vụ tháng 8 của chi bộ Khoa ĐT&amp;SHLX;</t>
  </si>
  <si>
    <t>Bí thư Chi bộ</t>
  </si>
  <si>
    <t>Tăng cường giáo dục chính trị tư tưởng cho viên chức và người học.</t>
  </si>
  <si>
    <t>Công tác tuyên truyền, giáo dục</t>
  </si>
  <si>
    <t>Thực hiện nghĩa vụ tham gia Dân quân tự vệ và biên chế vào các Trung đội tự vệ thuộc Ban Chỉ huy Quân sự Trường Cao đẳng Kon Tum.</t>
  </si>
  <si>
    <t>Thực hiện nhiệm vụ</t>
  </si>
  <si>
    <t>Nơi nhận:
- Lãnh đạo Trường;
- Phòng Tổng hợp - Hành chính và Quản trị;
- Lưu: ĐTSHLX</t>
  </si>
  <si>
    <t>Hồ sơ mở lớp đào tạo K9N Lái xe ô tô hạng B học xe chuyển số cơ khí (số sàn), khóa 58, năm 2026;</t>
  </si>
  <si>
    <t>Quyết định, biên bản</t>
  </si>
  <si>
    <t>Hồ sơ đào tạo lớp K9N Lái xe ô tô hạng B học xe chuyển số cơ khí (số sàn), khóa 59, năm 2026;</t>
  </si>
  <si>
    <t>Hồ sơ đào tạo lớp K9N Lái xe ô tô hạng B học xe chuyển số cơ khí (số sàn), khóa 58, năm 2026;</t>
  </si>
  <si>
    <t>Báo cáo, Kế hoạch</t>
  </si>
  <si>
    <t>Hồ sơ mở lớp đào tạo K9N Lái xe ô tô hạng B học xe chuyển số cơ khí (số sàn), khóa 59, năm 2026;</t>
  </si>
  <si>
    <t>Hồ sơ đào tạo lớp K9N Lái xe ô tô hạng B học xe chuyển số tự động (bao gồm cả xe ô tô điện), khóa 18, năm 2026;</t>
  </si>
  <si>
    <t>Sở khoa học và CN</t>
  </si>
  <si>
    <t>Hồ sơ mở lớp đào tạo K9N Lái xe ô tô hạng C1 khóa 5, năm 2026;</t>
  </si>
  <si>
    <t>Hồ sơ đào tạo K9N Lái xe ô tô hạng C1 khóa 5, năm 2026;</t>
  </si>
  <si>
    <t>Phối hợp Phòng Quản lý đào tạo và Bảo đảm chất lượng xét điều kiện dự kiểm tra hoàn thành khóa đào tạo lớp K9N Lái xe ô tô hạng B học xe chuyển số tự động khóa 16 và hạng B học xe chuyển số cơ khí khóa 54, 55, hạng C1 khóa 4 năm 2026;</t>
  </si>
  <si>
    <t>1.27</t>
  </si>
  <si>
    <t>1.28</t>
  </si>
  <si>
    <t>1.29</t>
  </si>
  <si>
    <t>1.30</t>
  </si>
  <si>
    <r>
      <rPr>
        <i/>
        <sz val="14"/>
        <rFont val="Times New Roman"/>
        <family val="1"/>
      </rPr>
      <t xml:space="preserve">Quảng Ngãi, ngày 14 tháng 8 năm 2026
</t>
    </r>
    <r>
      <rPr>
        <b/>
        <sz val="14"/>
        <rFont val="Times New Roman"/>
        <family val="1"/>
      </rPr>
      <t>TRƯỞNG KHOA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</si>
</sst>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32" x14ac:knownFonts="1">
    <font>
      <sz val="11"/>
      <color theme="1"/>
      <name val="Calibri"/>
    </font>
    <font>
      <b/>
      <sz val="14"/>
      <color theme="1"/>
      <name val="Times New Roman"/>
    </font>
    <font>
      <sz val="14"/>
      <color theme="1"/>
      <name val="Calibri"/>
    </font>
    <font>
      <sz val="12"/>
      <color theme="1"/>
      <name val="Times New Roman"/>
    </font>
    <font>
      <sz val="12"/>
      <color theme="1"/>
      <name val="Calibri"/>
    </font>
    <font>
      <b/>
      <sz val="13"/>
      <color theme="1"/>
      <name val="Times New Roman"/>
    </font>
    <font>
      <sz val="11"/>
      <name val="Calibri"/>
    </font>
    <font>
      <b/>
      <sz val="12"/>
      <name val="Times New Roman"/>
    </font>
    <font>
      <sz val="12"/>
      <name val="Times New Roman"/>
    </font>
    <font>
      <sz val="14"/>
      <name val="Times New Roman"/>
    </font>
    <font>
      <b/>
      <sz val="14"/>
      <name val="Times New Roman"/>
    </font>
    <font>
      <sz val="12"/>
      <name val="Times New Roman"/>
    </font>
    <font>
      <sz val="11"/>
      <name val="Times New Roman"/>
    </font>
    <font>
      <sz val="12"/>
      <name val="Calibri"/>
    </font>
    <font>
      <sz val="13"/>
      <color theme="1"/>
      <name val="Times New Roman"/>
    </font>
    <font>
      <b/>
      <sz val="14"/>
      <name val="Times New Roman"/>
    </font>
    <font>
      <sz val="11"/>
      <color theme="1"/>
      <name val="Calibri"/>
    </font>
    <font>
      <b/>
      <sz val="12"/>
      <name val="Times New Roman"/>
    </font>
    <font>
      <sz val="12"/>
      <name val="Calibri"/>
    </font>
    <font>
      <sz val="13"/>
      <name val="Times New Roman"/>
    </font>
    <font>
      <sz val="13"/>
      <name val="Calibri"/>
    </font>
    <font>
      <b/>
      <sz val="13"/>
      <name val="Times New Roman"/>
    </font>
    <font>
      <sz val="14"/>
      <name val="Calibri"/>
    </font>
    <font>
      <b/>
      <i/>
      <sz val="12"/>
      <name val="Times New Roman"/>
      <family val="1"/>
    </font>
    <font>
      <sz val="12"/>
      <name val="Times New Roman"/>
      <family val="1"/>
    </font>
    <font>
      <sz val="11"/>
      <name val="Times New Roman"/>
      <family val="1"/>
    </font>
    <font>
      <i/>
      <sz val="14"/>
      <name val="Times New Roman"/>
      <family val="1"/>
    </font>
    <font>
      <sz val="14"/>
      <name val="Times New Roman"/>
      <family val="1"/>
    </font>
    <font>
      <b/>
      <sz val="14"/>
      <name val="Times New Roman"/>
      <family val="1"/>
    </font>
    <font>
      <sz val="12"/>
      <color theme="1"/>
      <name val="Times New Roman"/>
      <family val="1"/>
    </font>
    <font>
      <sz val="8"/>
      <name val="Calibri"/>
      <family val="2"/>
    </font>
    <font>
      <b/>
      <sz val="14"/>
      <color theme="1"/>
      <name val="Times New Roman"/>
      <family val="1"/>
    </font>
  </fonts>
  <fills count="2">
    <fill>
      <patternFill patternType="none"/>
    </fill>
    <fill>
      <patternFill patternType="gray125"/>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6" fillId="0" borderId="0" applyFont="0" applyFill="0" applyBorder="0" applyAlignment="0" applyProtection="0"/>
  </cellStyleXfs>
  <cellXfs count="79">
    <xf numFmtId="0" fontId="0" fillId="0" borderId="0" xfId="0"/>
    <xf numFmtId="0" fontId="4" fillId="0" borderId="0" xfId="0" applyFont="1"/>
    <xf numFmtId="0" fontId="6" fillId="0" borderId="0" xfId="0" applyFont="1"/>
    <xf numFmtId="0" fontId="13" fillId="0" borderId="0" xfId="0" applyFont="1"/>
    <xf numFmtId="0" fontId="5" fillId="0" borderId="0" xfId="0" applyFont="1" applyAlignment="1">
      <alignment wrapText="1"/>
    </xf>
    <xf numFmtId="0" fontId="1" fillId="0" borderId="0" xfId="0" applyFont="1" applyAlignment="1">
      <alignment vertical="center" wrapText="1"/>
    </xf>
    <xf numFmtId="0" fontId="11" fillId="0" borderId="2" xfId="0" applyFont="1" applyBorder="1" applyAlignment="1">
      <alignment horizontal="center" vertical="center" wrapText="1"/>
    </xf>
    <xf numFmtId="43" fontId="11" fillId="0" borderId="2" xfId="1" applyFont="1" applyFill="1" applyBorder="1" applyAlignment="1">
      <alignment horizontal="center" vertical="center" wrapText="1"/>
    </xf>
    <xf numFmtId="0" fontId="11" fillId="0" borderId="0" xfId="0" applyFont="1" applyAlignment="1">
      <alignment horizontal="left" vertical="top" wrapText="1"/>
    </xf>
    <xf numFmtId="2" fontId="7" fillId="0" borderId="8"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vertical="center"/>
    </xf>
    <xf numFmtId="164" fontId="11" fillId="0" borderId="2" xfId="1" applyNumberFormat="1" applyFont="1" applyFill="1" applyBorder="1" applyAlignment="1">
      <alignment horizontal="center" vertical="center" wrapText="1"/>
    </xf>
    <xf numFmtId="0" fontId="21" fillId="0" borderId="0" xfId="0" applyFont="1" applyAlignment="1">
      <alignment wrapText="1"/>
    </xf>
    <xf numFmtId="0" fontId="7" fillId="0" borderId="0" xfId="0" applyFont="1" applyAlignment="1">
      <alignment vertical="center"/>
    </xf>
    <xf numFmtId="0" fontId="10" fillId="0" borderId="0" xfId="0" applyFont="1" applyAlignment="1">
      <alignment vertical="center" wrapText="1"/>
    </xf>
    <xf numFmtId="0" fontId="9" fillId="0" borderId="2" xfId="0" applyFont="1" applyBorder="1" applyAlignment="1">
      <alignment vertical="center" wrapText="1"/>
    </xf>
    <xf numFmtId="0" fontId="8" fillId="0" borderId="2" xfId="0" applyFont="1" applyBorder="1" applyAlignment="1">
      <alignment horizontal="center" vertical="center" wrapText="1"/>
    </xf>
    <xf numFmtId="43" fontId="8" fillId="0" borderId="2" xfId="1" applyFont="1" applyFill="1" applyBorder="1" applyAlignment="1">
      <alignment horizontal="center" vertical="center" wrapText="1"/>
    </xf>
    <xf numFmtId="0" fontId="8" fillId="0" borderId="2" xfId="0" applyFont="1" applyBorder="1" applyAlignment="1">
      <alignment vertical="center" wrapText="1"/>
    </xf>
    <xf numFmtId="0" fontId="12" fillId="0" borderId="2" xfId="0" applyFont="1" applyBorder="1" applyAlignment="1">
      <alignment horizontal="center" vertical="center" wrapText="1"/>
    </xf>
    <xf numFmtId="0" fontId="3" fillId="0" borderId="0" xfId="0" applyFont="1" applyAlignment="1">
      <alignment horizontal="center" vertical="center" wrapText="1"/>
    </xf>
    <xf numFmtId="0" fontId="7" fillId="0" borderId="2" xfId="0" applyFont="1" applyBorder="1" applyAlignment="1">
      <alignment vertical="center" wrapText="1"/>
    </xf>
    <xf numFmtId="0" fontId="8" fillId="0" borderId="14" xfId="0" applyFont="1" applyBorder="1" applyAlignment="1">
      <alignment horizontal="center" vertical="center" wrapText="1"/>
    </xf>
    <xf numFmtId="2" fontId="7" fillId="0" borderId="2" xfId="0" applyNumberFormat="1" applyFont="1" applyBorder="1" applyAlignment="1">
      <alignment vertical="center" wrapText="1"/>
    </xf>
    <xf numFmtId="2" fontId="7" fillId="0" borderId="2" xfId="0" applyNumberFormat="1" applyFont="1" applyBorder="1" applyAlignment="1">
      <alignment horizontal="center" vertical="center" wrapText="1"/>
    </xf>
    <xf numFmtId="2" fontId="8" fillId="0" borderId="2" xfId="0" applyNumberFormat="1" applyFont="1" applyBorder="1" applyAlignment="1">
      <alignment horizontal="center" vertical="center" wrapText="1"/>
    </xf>
    <xf numFmtId="1" fontId="7" fillId="0" borderId="2" xfId="0" applyNumberFormat="1" applyFont="1" applyBorder="1" applyAlignment="1">
      <alignment horizontal="center" vertical="center" wrapText="1"/>
    </xf>
    <xf numFmtId="1" fontId="8" fillId="0" borderId="2" xfId="0" applyNumberFormat="1" applyFont="1" applyBorder="1" applyAlignment="1">
      <alignment horizontal="center" vertical="center" wrapText="1"/>
    </xf>
    <xf numFmtId="1" fontId="8" fillId="0" borderId="14" xfId="0" applyNumberFormat="1" applyFont="1" applyBorder="1" applyAlignment="1">
      <alignment horizontal="center" vertical="center" wrapText="1"/>
    </xf>
    <xf numFmtId="1" fontId="7" fillId="0" borderId="2" xfId="0" applyNumberFormat="1" applyFont="1" applyBorder="1" applyAlignment="1">
      <alignment vertical="center" wrapText="1"/>
    </xf>
    <xf numFmtId="0" fontId="24" fillId="0" borderId="2" xfId="0" applyFont="1" applyBorder="1" applyAlignment="1">
      <alignment vertical="center" wrapText="1"/>
    </xf>
    <xf numFmtId="0" fontId="29" fillId="0" borderId="0" xfId="0" applyFont="1" applyAlignment="1">
      <alignment vertical="center" wrapText="1"/>
    </xf>
    <xf numFmtId="0" fontId="29" fillId="0" borderId="2" xfId="0" applyFont="1" applyBorder="1" applyAlignment="1">
      <alignment vertical="center" wrapText="1"/>
    </xf>
    <xf numFmtId="0" fontId="29" fillId="0" borderId="13" xfId="0" applyFont="1" applyBorder="1" applyAlignment="1">
      <alignment vertical="center" wrapText="1"/>
    </xf>
    <xf numFmtId="0" fontId="24" fillId="0" borderId="2" xfId="0" applyFont="1" applyBorder="1" applyAlignment="1">
      <alignment horizontal="center" vertical="center" wrapText="1"/>
    </xf>
    <xf numFmtId="0" fontId="24" fillId="0" borderId="14" xfId="0" applyFont="1" applyBorder="1" applyAlignment="1">
      <alignment horizontal="center" vertical="center" wrapText="1"/>
    </xf>
    <xf numFmtId="0" fontId="29" fillId="0" borderId="14" xfId="0" applyFont="1" applyBorder="1" applyAlignment="1">
      <alignment vertical="center" wrapText="1"/>
    </xf>
    <xf numFmtId="0" fontId="7" fillId="0" borderId="4" xfId="0" applyFont="1" applyBorder="1" applyAlignment="1">
      <alignment horizontal="left" vertical="center"/>
    </xf>
    <xf numFmtId="0" fontId="7" fillId="0" borderId="5" xfId="0" applyFont="1" applyBorder="1" applyAlignment="1">
      <alignment horizontal="left" vertical="center"/>
    </xf>
    <xf numFmtId="0" fontId="8" fillId="0" borderId="3" xfId="0" applyFont="1" applyBorder="1" applyAlignment="1">
      <alignment horizontal="left" vertical="center" wrapText="1"/>
    </xf>
    <xf numFmtId="0" fontId="11" fillId="0" borderId="0" xfId="0" applyFont="1" applyAlignment="1">
      <alignment horizontal="left" vertical="top" wrapText="1"/>
    </xf>
    <xf numFmtId="0" fontId="15" fillId="0" borderId="0" xfId="0" applyFont="1" applyAlignment="1">
      <alignment horizontal="center" vertical="top" wrapText="1"/>
    </xf>
    <xf numFmtId="0" fontId="10" fillId="0" borderId="0" xfId="0" applyFont="1" applyAlignment="1">
      <alignment horizontal="center" vertical="top" wrapText="1"/>
    </xf>
    <xf numFmtId="0" fontId="7" fillId="0" borderId="2" xfId="0" applyFont="1" applyBorder="1" applyAlignment="1">
      <alignment horizontal="left" vertical="center"/>
    </xf>
    <xf numFmtId="0" fontId="7" fillId="0" borderId="2"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2" xfId="0" applyFont="1" applyBorder="1" applyAlignment="1">
      <alignment vertical="center" wrapText="1"/>
    </xf>
    <xf numFmtId="0" fontId="8" fillId="0" borderId="1" xfId="0" applyFont="1" applyBorder="1" applyAlignment="1">
      <alignment horizontal="left" vertic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18" fillId="0" borderId="10" xfId="0" applyFont="1" applyBorder="1"/>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2" fontId="7" fillId="0" borderId="8" xfId="0" applyNumberFormat="1" applyFont="1" applyBorder="1" applyAlignment="1">
      <alignment horizontal="center" vertical="center" wrapText="1"/>
    </xf>
    <xf numFmtId="2" fontId="18" fillId="0" borderId="9" xfId="0" applyNumberFormat="1" applyFont="1" applyBorder="1" applyAlignment="1">
      <alignment wrapText="1"/>
    </xf>
    <xf numFmtId="0" fontId="10" fillId="0" borderId="0" xfId="0" applyFont="1" applyAlignment="1">
      <alignment horizontal="center" vertical="center" wrapText="1"/>
    </xf>
    <xf numFmtId="0" fontId="22" fillId="0" borderId="0" xfId="0" applyFont="1" applyAlignment="1">
      <alignment horizontal="center" vertical="center"/>
    </xf>
    <xf numFmtId="0" fontId="10" fillId="0" borderId="0" xfId="0" applyFont="1" applyAlignment="1">
      <alignment horizontal="center" vertical="center"/>
    </xf>
    <xf numFmtId="0" fontId="19" fillId="0" borderId="0" xfId="0" applyFont="1" applyAlignment="1">
      <alignment horizontal="center"/>
    </xf>
    <xf numFmtId="0" fontId="20" fillId="0" borderId="0" xfId="0" applyFont="1" applyAlignment="1">
      <alignment horizontal="center"/>
    </xf>
    <xf numFmtId="0" fontId="21" fillId="0" borderId="0" xfId="0" applyFont="1" applyAlignment="1">
      <alignment horizontal="center" wrapText="1"/>
    </xf>
    <xf numFmtId="0" fontId="21" fillId="0" borderId="0" xfId="0" applyFont="1" applyAlignment="1">
      <alignment horizontal="center" vertical="center" wrapText="1"/>
    </xf>
    <xf numFmtId="0" fontId="31" fillId="0" borderId="0" xfId="0" applyFont="1" applyAlignment="1">
      <alignment horizontal="center"/>
    </xf>
    <xf numFmtId="0" fontId="28" fillId="0" borderId="0" xfId="0" applyFont="1" applyAlignment="1">
      <alignment horizontal="center" vertical="top" wrapText="1"/>
    </xf>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3" fillId="0" borderId="10" xfId="0" applyFont="1" applyBorder="1" applyAlignment="1">
      <alignment vertical="center" wrapText="1"/>
    </xf>
    <xf numFmtId="0" fontId="5" fillId="0" borderId="0" xfId="0" applyFont="1" applyAlignment="1">
      <alignment horizontal="center" wrapText="1"/>
    </xf>
    <xf numFmtId="2" fontId="13" fillId="0" borderId="9" xfId="0" applyNumberFormat="1" applyFont="1" applyBorder="1" applyAlignment="1">
      <alignment vertical="center" wrapText="1"/>
    </xf>
    <xf numFmtId="0" fontId="3" fillId="0" borderId="1" xfId="0" applyFont="1" applyBorder="1" applyAlignment="1">
      <alignment horizontal="left" vertical="center"/>
    </xf>
    <xf numFmtId="0" fontId="14" fillId="0" borderId="0" xfId="0" applyFont="1" applyAlignment="1">
      <alignment horizontal="center"/>
    </xf>
    <xf numFmtId="0" fontId="5" fillId="0" borderId="0" xfId="0" applyFont="1" applyAlignment="1">
      <alignment horizontal="center" vertical="center" wrapText="1"/>
    </xf>
  </cellXfs>
  <cellStyles count="2">
    <cellStyle name="Comma"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970001</xdr:colOff>
      <xdr:row>3</xdr:row>
      <xdr:rowOff>21868</xdr:rowOff>
    </xdr:from>
    <xdr:to>
      <xdr:col>1</xdr:col>
      <xdr:colOff>1933597</xdr:colOff>
      <xdr:row>3</xdr:row>
      <xdr:rowOff>21868</xdr:rowOff>
    </xdr:to>
    <xdr:sp macro="" textlink="">
      <xdr:nvSpPr>
        <xdr:cNvPr id="2" name="Straight Connector 1">
          <a:extLst>
            <a:ext uri="{FF2B5EF4-FFF2-40B4-BE49-F238E27FC236}">
              <a16:creationId xmlns:a16="http://schemas.microsoft.com/office/drawing/2014/main" id="{00000000-0008-0000-0000-000002000000}"/>
            </a:ext>
          </a:extLst>
        </xdr:cNvPr>
        <xdr:cNvSpPr>
          <a:spLocks noGrp="1"/>
        </xdr:cNvSpPr>
      </xdr:nvSpPr>
      <xdr:spPr>
        <a:xfrm>
          <a:off x="1305281" y="936268"/>
          <a:ext cx="965410"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9</xdr:col>
      <xdr:colOff>279735</xdr:colOff>
      <xdr:row>3</xdr:row>
      <xdr:rowOff>49249</xdr:rowOff>
    </xdr:from>
    <xdr:to>
      <xdr:col>12</xdr:col>
      <xdr:colOff>368301</xdr:colOff>
      <xdr:row>3</xdr:row>
      <xdr:rowOff>49249</xdr:rowOff>
    </xdr:to>
    <xdr:sp macro="" textlink="">
      <xdr:nvSpPr>
        <xdr:cNvPr id="3" name="Straight Connector 2">
          <a:extLst>
            <a:ext uri="{FF2B5EF4-FFF2-40B4-BE49-F238E27FC236}">
              <a16:creationId xmlns:a16="http://schemas.microsoft.com/office/drawing/2014/main" id="{00000000-0008-0000-0000-000003000000}"/>
            </a:ext>
          </a:extLst>
        </xdr:cNvPr>
        <xdr:cNvSpPr>
          <a:spLocks noGrp="1"/>
        </xdr:cNvSpPr>
      </xdr:nv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4</xdr:col>
      <xdr:colOff>1006927</xdr:colOff>
      <xdr:row>3</xdr:row>
      <xdr:rowOff>533400</xdr:rowOff>
    </xdr:from>
    <xdr:to>
      <xdr:col>6</xdr:col>
      <xdr:colOff>176892</xdr:colOff>
      <xdr:row>4</xdr:row>
      <xdr:rowOff>0</xdr:rowOff>
    </xdr:to>
    <xdr:sp macro="" textlink="">
      <xdr:nvSpPr>
        <xdr:cNvPr id="4" name="Straight Connector 3">
          <a:extLst>
            <a:ext uri="{FF2B5EF4-FFF2-40B4-BE49-F238E27FC236}">
              <a16:creationId xmlns:a16="http://schemas.microsoft.com/office/drawing/2014/main" id="{00000000-0008-0000-0000-000004000000}"/>
            </a:ext>
          </a:extLst>
        </xdr:cNvPr>
        <xdr:cNvSpPr>
          <a:spLocks noGrp="1"/>
        </xdr:cNvSpPr>
      </xdr:nv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4</xdr:col>
      <xdr:colOff>816428</xdr:colOff>
      <xdr:row>0</xdr:row>
      <xdr:rowOff>504815</xdr:rowOff>
    </xdr:from>
    <xdr:to>
      <xdr:col>6</xdr:col>
      <xdr:colOff>403598</xdr:colOff>
      <xdr:row>1</xdr:row>
      <xdr:rowOff>4435</xdr:rowOff>
    </xdr:to>
    <xdr:sp macro="" textlink="">
      <xdr:nvSpPr>
        <xdr:cNvPr id="5" name="Straight Connector 5">
          <a:extLst>
            <a:ext uri="{FF2B5EF4-FFF2-40B4-BE49-F238E27FC236}">
              <a16:creationId xmlns:a16="http://schemas.microsoft.com/office/drawing/2014/main" id="{00000000-0008-0000-0000-000005000000}"/>
            </a:ext>
          </a:extLst>
        </xdr:cNvPr>
        <xdr:cNvSpPr>
          <a:spLocks noGrp="1"/>
        </xdr:cNvSpPr>
      </xdr:nvSpPr>
      <xdr:spPr>
        <a:xfrm>
          <a:off x="6109607" y="504815"/>
          <a:ext cx="1220027"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736683</xdr:colOff>
      <xdr:row>2</xdr:row>
      <xdr:rowOff>235644</xdr:rowOff>
    </xdr:from>
    <xdr:to>
      <xdr:col>1</xdr:col>
      <xdr:colOff>1534542</xdr:colOff>
      <xdr:row>2</xdr:row>
      <xdr:rowOff>235644</xdr:rowOff>
    </xdr:to>
    <xdr:sp macro="" textlink="">
      <xdr:nvSpPr>
        <xdr:cNvPr id="2" name="Straight Connector 1">
          <a:extLst>
            <a:ext uri="{FF2B5EF4-FFF2-40B4-BE49-F238E27FC236}">
              <a16:creationId xmlns:a16="http://schemas.microsoft.com/office/drawing/2014/main" id="{00000000-0008-0000-0100-000002000000}"/>
            </a:ext>
          </a:extLst>
        </xdr:cNvPr>
        <xdr:cNvSpPr>
          <a:spLocks noGrp="1"/>
        </xdr:cNvSpPr>
      </xdr:nvSpPr>
      <xdr:spPr>
        <a:xfrm>
          <a:off x="1199326" y="1147323"/>
          <a:ext cx="797859"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9</xdr:col>
      <xdr:colOff>131416</xdr:colOff>
      <xdr:row>3</xdr:row>
      <xdr:rowOff>22035</xdr:rowOff>
    </xdr:from>
    <xdr:to>
      <xdr:col>12</xdr:col>
      <xdr:colOff>408214</xdr:colOff>
      <xdr:row>3</xdr:row>
      <xdr:rowOff>22035</xdr:rowOff>
    </xdr:to>
    <xdr:sp macro="" textlink="">
      <xdr:nvSpPr>
        <xdr:cNvPr id="3" name="Straight Connector 2">
          <a:extLst>
            <a:ext uri="{FF2B5EF4-FFF2-40B4-BE49-F238E27FC236}">
              <a16:creationId xmlns:a16="http://schemas.microsoft.com/office/drawing/2014/main" id="{00000000-0008-0000-0100-000003000000}"/>
            </a:ext>
          </a:extLst>
        </xdr:cNvPr>
        <xdr:cNvSpPr>
          <a:spLocks noGrp="1"/>
        </xdr:cNvSpPr>
      </xdr:nvSpPr>
      <xdr:spPr>
        <a:xfrm>
          <a:off x="9248202" y="1178642"/>
          <a:ext cx="2072941"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4</xdr:col>
      <xdr:colOff>503464</xdr:colOff>
      <xdr:row>3</xdr:row>
      <xdr:rowOff>519793</xdr:rowOff>
    </xdr:from>
    <xdr:to>
      <xdr:col>6</xdr:col>
      <xdr:colOff>367393</xdr:colOff>
      <xdr:row>3</xdr:row>
      <xdr:rowOff>519793</xdr:rowOff>
    </xdr:to>
    <xdr:sp macro="" textlink="">
      <xdr:nvSpPr>
        <xdr:cNvPr id="4" name="Straight Connector 3">
          <a:extLst>
            <a:ext uri="{FF2B5EF4-FFF2-40B4-BE49-F238E27FC236}">
              <a16:creationId xmlns:a16="http://schemas.microsoft.com/office/drawing/2014/main" id="{00000000-0008-0000-0100-000004000000}"/>
            </a:ext>
          </a:extLst>
        </xdr:cNvPr>
        <xdr:cNvSpPr>
          <a:spLocks noGrp="1"/>
        </xdr:cNvSpPr>
      </xdr:nvSpPr>
      <xdr:spPr>
        <a:xfrm>
          <a:off x="6082393" y="1676400"/>
          <a:ext cx="1374321"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4</xdr:col>
      <xdr:colOff>557892</xdr:colOff>
      <xdr:row>0</xdr:row>
      <xdr:rowOff>532030</xdr:rowOff>
    </xdr:from>
    <xdr:to>
      <xdr:col>6</xdr:col>
      <xdr:colOff>308348</xdr:colOff>
      <xdr:row>0</xdr:row>
      <xdr:rowOff>532030</xdr:rowOff>
    </xdr:to>
    <xdr:sp macro="" textlink="">
      <xdr:nvSpPr>
        <xdr:cNvPr id="5" name="Straight Connector 4">
          <a:extLst>
            <a:ext uri="{FF2B5EF4-FFF2-40B4-BE49-F238E27FC236}">
              <a16:creationId xmlns:a16="http://schemas.microsoft.com/office/drawing/2014/main" id="{00000000-0008-0000-0100-000005000000}"/>
            </a:ext>
          </a:extLst>
        </xdr:cNvPr>
        <xdr:cNvSpPr>
          <a:spLocks noGrp="1"/>
        </xdr:cNvSpPr>
      </xdr:nvSpPr>
      <xdr:spPr>
        <a:xfrm>
          <a:off x="6136821" y="532030"/>
          <a:ext cx="1260848"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8"/>
  <sheetViews>
    <sheetView tabSelected="1" topLeftCell="A56" zoomScale="70" zoomScaleNormal="70" workbookViewId="0">
      <selection activeCell="T70" sqref="T70"/>
    </sheetView>
  </sheetViews>
  <sheetFormatPr defaultRowHeight="14.5" x14ac:dyDescent="0.35"/>
  <cols>
    <col min="1" max="1" width="4.90625" customWidth="1"/>
    <col min="2" max="2" width="36.453125" customWidth="1"/>
    <col min="3" max="3" width="15.08984375" customWidth="1"/>
    <col min="4" max="4" width="17.08984375" customWidth="1"/>
    <col min="5" max="5" width="14.36328125" customWidth="1"/>
    <col min="6" max="6" width="7" customWidth="1"/>
    <col min="7" max="7" width="11.81640625" customWidth="1"/>
    <col min="8" max="8" width="8.36328125" customWidth="1"/>
    <col min="9" max="9" width="6.90625" customWidth="1"/>
    <col min="10" max="10" width="7.36328125" customWidth="1"/>
    <col min="11" max="11" width="11.453125" customWidth="1"/>
    <col min="12" max="12" width="6.6328125" customWidth="1"/>
    <col min="13" max="13" width="10.453125" customWidth="1"/>
    <col min="14" max="14" width="6.36328125" customWidth="1"/>
    <col min="15" max="15" width="10.453125" customWidth="1"/>
    <col min="16" max="16" width="6.6328125" customWidth="1"/>
  </cols>
  <sheetData>
    <row r="1" spans="1:17" ht="34.25" customHeight="1" x14ac:dyDescent="0.35">
      <c r="A1" s="70" t="s">
        <v>0</v>
      </c>
      <c r="B1" s="71"/>
      <c r="C1" s="71"/>
      <c r="D1" s="71"/>
      <c r="E1" s="71"/>
      <c r="F1" s="71"/>
      <c r="G1" s="71"/>
      <c r="H1" s="71"/>
      <c r="I1" s="71"/>
      <c r="J1" s="71"/>
      <c r="K1" s="71"/>
      <c r="L1" s="71"/>
      <c r="M1" s="71"/>
      <c r="N1" s="71"/>
      <c r="O1" s="71"/>
      <c r="P1" s="71"/>
    </row>
    <row r="2" spans="1:17" s="1" customFormat="1" ht="22.75" customHeight="1" x14ac:dyDescent="0.35">
      <c r="A2" s="77" t="s">
        <v>1</v>
      </c>
      <c r="B2" s="77"/>
      <c r="C2" s="77"/>
      <c r="E2" s="4"/>
      <c r="F2" s="4"/>
      <c r="G2" s="74" t="s">
        <v>2</v>
      </c>
      <c r="H2" s="74"/>
      <c r="I2" s="74"/>
      <c r="J2" s="74"/>
      <c r="K2" s="74"/>
      <c r="L2" s="74"/>
      <c r="M2" s="74"/>
      <c r="N2" s="74"/>
      <c r="O2" s="74"/>
      <c r="P2" s="74"/>
    </row>
    <row r="3" spans="1:17" s="1" customFormat="1" ht="15" customHeight="1" x14ac:dyDescent="0.35">
      <c r="A3" s="78" t="s">
        <v>3</v>
      </c>
      <c r="B3" s="78"/>
      <c r="C3" s="78"/>
      <c r="E3" s="5"/>
      <c r="F3" s="5"/>
      <c r="G3" s="70" t="s">
        <v>4</v>
      </c>
      <c r="H3" s="70"/>
      <c r="I3" s="70"/>
      <c r="J3" s="70"/>
      <c r="K3" s="70"/>
      <c r="L3" s="70"/>
      <c r="M3" s="70"/>
      <c r="N3" s="70"/>
      <c r="O3" s="70"/>
      <c r="P3" s="70"/>
    </row>
    <row r="4" spans="1:17" ht="35.4" customHeight="1" x14ac:dyDescent="0.35">
      <c r="A4" s="70" t="s">
        <v>5</v>
      </c>
      <c r="B4" s="72"/>
      <c r="C4" s="72"/>
      <c r="D4" s="72"/>
      <c r="E4" s="72"/>
      <c r="F4" s="72"/>
      <c r="G4" s="72"/>
      <c r="H4" s="72"/>
      <c r="I4" s="72"/>
      <c r="J4" s="72"/>
      <c r="K4" s="72"/>
      <c r="L4" s="72"/>
      <c r="M4" s="72"/>
      <c r="N4" s="72"/>
      <c r="O4" s="72"/>
      <c r="P4" s="72"/>
    </row>
    <row r="5" spans="1:17" ht="7.25" customHeight="1" x14ac:dyDescent="0.35">
      <c r="A5" s="76"/>
      <c r="B5" s="76"/>
      <c r="C5" s="76"/>
      <c r="D5" s="76"/>
      <c r="E5" s="76"/>
      <c r="F5" s="76"/>
      <c r="G5" s="76"/>
      <c r="H5" s="76"/>
      <c r="I5" s="76"/>
      <c r="J5" s="76"/>
      <c r="K5" s="76"/>
      <c r="L5" s="76"/>
      <c r="M5" s="76"/>
      <c r="N5" s="76"/>
      <c r="O5" s="76"/>
      <c r="P5" s="76"/>
    </row>
    <row r="6" spans="1:17" ht="16.25" customHeight="1" x14ac:dyDescent="0.35">
      <c r="A6" s="51" t="s">
        <v>6</v>
      </c>
      <c r="B6" s="51" t="s">
        <v>7</v>
      </c>
      <c r="C6" s="51" t="s">
        <v>8</v>
      </c>
      <c r="D6" s="51" t="s">
        <v>9</v>
      </c>
      <c r="E6" s="51" t="s">
        <v>10</v>
      </c>
      <c r="F6" s="51" t="s">
        <v>11</v>
      </c>
      <c r="G6" s="51" t="s">
        <v>12</v>
      </c>
      <c r="H6" s="55" t="s">
        <v>13</v>
      </c>
      <c r="I6" s="55" t="s">
        <v>14</v>
      </c>
      <c r="J6" s="57" t="s">
        <v>15</v>
      </c>
      <c r="K6" s="59" t="s">
        <v>16</v>
      </c>
      <c r="L6" s="75"/>
      <c r="M6" s="59" t="s">
        <v>17</v>
      </c>
      <c r="N6" s="75"/>
      <c r="O6" s="59" t="s">
        <v>18</v>
      </c>
      <c r="P6" s="75"/>
      <c r="Q6" s="1"/>
    </row>
    <row r="7" spans="1:17" ht="52.25" customHeight="1" x14ac:dyDescent="0.35">
      <c r="A7" s="52"/>
      <c r="B7" s="52"/>
      <c r="C7" s="52"/>
      <c r="D7" s="52"/>
      <c r="E7" s="52"/>
      <c r="F7" s="52"/>
      <c r="G7" s="52"/>
      <c r="H7" s="73"/>
      <c r="I7" s="73"/>
      <c r="J7" s="58"/>
      <c r="K7" s="9" t="s">
        <v>19</v>
      </c>
      <c r="L7" s="9" t="s">
        <v>20</v>
      </c>
      <c r="M7" s="9" t="s">
        <v>19</v>
      </c>
      <c r="N7" s="9" t="s">
        <v>20</v>
      </c>
      <c r="O7" s="9" t="s">
        <v>19</v>
      </c>
      <c r="P7" s="9" t="s">
        <v>20</v>
      </c>
      <c r="Q7" s="1"/>
    </row>
    <row r="8" spans="1:17" ht="81.650000000000006" customHeight="1" x14ac:dyDescent="0.35">
      <c r="A8" s="21" t="s">
        <v>21</v>
      </c>
      <c r="B8" s="21" t="s">
        <v>22</v>
      </c>
      <c r="C8" s="21" t="s">
        <v>23</v>
      </c>
      <c r="D8" s="21" t="s">
        <v>24</v>
      </c>
      <c r="E8" s="21" t="s">
        <v>25</v>
      </c>
      <c r="F8" s="21" t="s">
        <v>26</v>
      </c>
      <c r="G8" s="21" t="s">
        <v>27</v>
      </c>
      <c r="H8" s="21" t="s">
        <v>28</v>
      </c>
      <c r="I8" s="21" t="s">
        <v>29</v>
      </c>
      <c r="J8" s="21" t="s">
        <v>30</v>
      </c>
      <c r="K8" s="21" t="s">
        <v>31</v>
      </c>
      <c r="L8" s="21" t="s">
        <v>32</v>
      </c>
      <c r="M8" s="21" t="s">
        <v>33</v>
      </c>
      <c r="N8" s="21" t="s">
        <v>34</v>
      </c>
      <c r="O8" s="21" t="s">
        <v>35</v>
      </c>
      <c r="P8" s="21" t="s">
        <v>36</v>
      </c>
    </row>
    <row r="9" spans="1:17" ht="25.25" customHeight="1" x14ac:dyDescent="0.35">
      <c r="A9" s="10" t="s">
        <v>37</v>
      </c>
      <c r="B9" s="49" t="s">
        <v>38</v>
      </c>
      <c r="C9" s="49"/>
      <c r="D9" s="49"/>
      <c r="E9" s="49"/>
      <c r="F9" s="49"/>
      <c r="G9" s="49"/>
      <c r="H9" s="49"/>
      <c r="I9" s="49"/>
      <c r="J9" s="49"/>
      <c r="K9" s="49"/>
      <c r="L9" s="49"/>
      <c r="M9" s="49"/>
      <c r="N9" s="49"/>
      <c r="O9" s="49"/>
      <c r="P9" s="49"/>
    </row>
    <row r="10" spans="1:17" ht="35.4" customHeight="1" x14ac:dyDescent="0.35">
      <c r="A10" s="10">
        <v>1</v>
      </c>
      <c r="B10" s="46" t="s">
        <v>80</v>
      </c>
      <c r="C10" s="46"/>
      <c r="D10" s="46"/>
      <c r="E10" s="46"/>
      <c r="F10" s="28">
        <f>SUM(F11:F40)</f>
        <v>69</v>
      </c>
      <c r="G10" s="23"/>
      <c r="H10" s="25"/>
      <c r="I10" s="25"/>
      <c r="J10" s="26">
        <f t="shared" ref="J10:P10" si="0">SUM(J11:J40)</f>
        <v>92.7</v>
      </c>
      <c r="K10" s="26">
        <f t="shared" si="0"/>
        <v>69</v>
      </c>
      <c r="L10" s="26">
        <f t="shared" si="0"/>
        <v>92.7</v>
      </c>
      <c r="M10" s="26">
        <f t="shared" si="0"/>
        <v>69</v>
      </c>
      <c r="N10" s="26">
        <f t="shared" si="0"/>
        <v>92.7</v>
      </c>
      <c r="O10" s="26">
        <f t="shared" si="0"/>
        <v>69</v>
      </c>
      <c r="P10" s="26">
        <f t="shared" si="0"/>
        <v>92.7</v>
      </c>
    </row>
    <row r="11" spans="1:17" ht="93" x14ac:dyDescent="0.35">
      <c r="A11" s="18" t="s">
        <v>45</v>
      </c>
      <c r="B11" s="32" t="s">
        <v>81</v>
      </c>
      <c r="C11" s="18" t="s">
        <v>47</v>
      </c>
      <c r="D11" s="18" t="s">
        <v>82</v>
      </c>
      <c r="E11" s="18" t="s">
        <v>83</v>
      </c>
      <c r="F11" s="29">
        <v>1</v>
      </c>
      <c r="G11" s="18" t="s">
        <v>63</v>
      </c>
      <c r="H11" s="29">
        <f>IF(G11="","",IF(G11="Khó và phức tạp",200,IF(G11="Cao",150,IF(G11="Trung bình",120,100))))</f>
        <v>100</v>
      </c>
      <c r="I11" s="27">
        <f>IF(H11="","",H11*0.01)</f>
        <v>1</v>
      </c>
      <c r="J11" s="27">
        <f>IF(F11="","",F11*I11)</f>
        <v>1</v>
      </c>
      <c r="K11" s="27">
        <f>IF(F11="","",F11*100%)</f>
        <v>1</v>
      </c>
      <c r="L11" s="27">
        <f>IF(K11="","",K11*I11)</f>
        <v>1</v>
      </c>
      <c r="M11" s="27">
        <f>IF(K11="","",K11*100%)</f>
        <v>1</v>
      </c>
      <c r="N11" s="27">
        <f>IF(M11="","",I11*M11)</f>
        <v>1</v>
      </c>
      <c r="O11" s="27">
        <f>IF(K11="","",K11*100%)</f>
        <v>1</v>
      </c>
      <c r="P11" s="27">
        <f>IF(O11="","",I11*O11)</f>
        <v>1</v>
      </c>
    </row>
    <row r="12" spans="1:17" ht="46.5" x14ac:dyDescent="0.35">
      <c r="A12" s="18" t="s">
        <v>51</v>
      </c>
      <c r="B12" s="32" t="s">
        <v>148</v>
      </c>
      <c r="C12" s="18" t="s">
        <v>47</v>
      </c>
      <c r="D12" s="18" t="s">
        <v>82</v>
      </c>
      <c r="E12" s="36" t="s">
        <v>149</v>
      </c>
      <c r="F12" s="29">
        <v>4</v>
      </c>
      <c r="G12" s="18" t="s">
        <v>55</v>
      </c>
      <c r="H12" s="29">
        <f t="shared" ref="H12:H40" si="1">IF(G12="","",IF(G12="Khó và phức tạp",200,IF(G12="Cao",150,IF(G12="Trung bình",120,100))))</f>
        <v>120</v>
      </c>
      <c r="I12" s="27">
        <f t="shared" ref="I12:I40" si="2">IF(H12="","",H12*0.01)</f>
        <v>1.2</v>
      </c>
      <c r="J12" s="27">
        <f t="shared" ref="J12:J40" si="3">IF(F12="","",F12*I12)</f>
        <v>4.8</v>
      </c>
      <c r="K12" s="27">
        <f>IF(F12="","",F12*100%)</f>
        <v>4</v>
      </c>
      <c r="L12" s="27">
        <f t="shared" ref="L12:L40" si="4">IF(K12="","",K12*I12)</f>
        <v>4.8</v>
      </c>
      <c r="M12" s="27">
        <f>IF(K12="","",K12*100%)</f>
        <v>4</v>
      </c>
      <c r="N12" s="27">
        <f t="shared" ref="N12:N40" si="5">IF(M12="","",I12*M12)</f>
        <v>4.8</v>
      </c>
      <c r="O12" s="27">
        <f>IF(K12="","",K12*100%)</f>
        <v>4</v>
      </c>
      <c r="P12" s="27">
        <f t="shared" ref="P12:P40" si="6">IF(O12="","",I12*O12)</f>
        <v>4.8</v>
      </c>
    </row>
    <row r="13" spans="1:17" ht="46.5" x14ac:dyDescent="0.35">
      <c r="A13" s="18" t="s">
        <v>56</v>
      </c>
      <c r="B13" s="33" t="s">
        <v>151</v>
      </c>
      <c r="C13" s="24" t="s">
        <v>61</v>
      </c>
      <c r="D13" s="18" t="s">
        <v>82</v>
      </c>
      <c r="E13" s="37" t="s">
        <v>152</v>
      </c>
      <c r="F13" s="30">
        <v>3</v>
      </c>
      <c r="G13" s="18" t="s">
        <v>55</v>
      </c>
      <c r="H13" s="29">
        <f t="shared" si="1"/>
        <v>120</v>
      </c>
      <c r="I13" s="27">
        <f t="shared" si="2"/>
        <v>1.2</v>
      </c>
      <c r="J13" s="27">
        <f t="shared" si="3"/>
        <v>3.5999999999999996</v>
      </c>
      <c r="K13" s="27">
        <f>IF(F13="","",F13*100%)</f>
        <v>3</v>
      </c>
      <c r="L13" s="27">
        <f t="shared" si="4"/>
        <v>3.5999999999999996</v>
      </c>
      <c r="M13" s="27">
        <f>IF(K13="","",K13*100%)</f>
        <v>3</v>
      </c>
      <c r="N13" s="27">
        <f t="shared" si="5"/>
        <v>3.5999999999999996</v>
      </c>
      <c r="O13" s="27">
        <f>IF(K13="","",K13*100%)</f>
        <v>3</v>
      </c>
      <c r="P13" s="27">
        <f t="shared" si="6"/>
        <v>3.5999999999999996</v>
      </c>
    </row>
    <row r="14" spans="1:17" ht="46.5" x14ac:dyDescent="0.35">
      <c r="A14" s="18" t="s">
        <v>60</v>
      </c>
      <c r="B14" s="32" t="s">
        <v>153</v>
      </c>
      <c r="C14" s="18" t="s">
        <v>47</v>
      </c>
      <c r="D14" s="18" t="s">
        <v>82</v>
      </c>
      <c r="E14" s="36" t="s">
        <v>149</v>
      </c>
      <c r="F14" s="29">
        <v>4</v>
      </c>
      <c r="G14" s="18" t="s">
        <v>55</v>
      </c>
      <c r="H14" s="29">
        <f t="shared" ref="H14" si="7">IF(G14="","",IF(G14="Khó và phức tạp",200,IF(G14="Cao",150,IF(G14="Trung bình",120,100))))</f>
        <v>120</v>
      </c>
      <c r="I14" s="27">
        <f t="shared" ref="I14" si="8">IF(H14="","",H14*0.01)</f>
        <v>1.2</v>
      </c>
      <c r="J14" s="27">
        <f t="shared" ref="J14" si="9">IF(F14="","",F14*I14)</f>
        <v>4.8</v>
      </c>
      <c r="K14" s="27">
        <f>IF(F14="","",F14*100%)</f>
        <v>4</v>
      </c>
      <c r="L14" s="27">
        <f t="shared" ref="L14" si="10">IF(K14="","",K14*I14)</f>
        <v>4.8</v>
      </c>
      <c r="M14" s="27">
        <f>IF(K14="","",K14*100%)</f>
        <v>4</v>
      </c>
      <c r="N14" s="27">
        <f t="shared" ref="N14" si="11">IF(M14="","",I14*M14)</f>
        <v>4.8</v>
      </c>
      <c r="O14" s="27">
        <f>IF(K14="","",K14*100%)</f>
        <v>4</v>
      </c>
      <c r="P14" s="27">
        <f t="shared" ref="P14" si="12">IF(O14="","",I14*O14)</f>
        <v>4.8</v>
      </c>
    </row>
    <row r="15" spans="1:17" ht="55.25" customHeight="1" x14ac:dyDescent="0.35">
      <c r="A15" s="18" t="s">
        <v>85</v>
      </c>
      <c r="B15" s="33" t="s">
        <v>150</v>
      </c>
      <c r="C15" s="24" t="s">
        <v>61</v>
      </c>
      <c r="D15" s="18" t="s">
        <v>82</v>
      </c>
      <c r="E15" s="37" t="s">
        <v>152</v>
      </c>
      <c r="F15" s="30">
        <v>3</v>
      </c>
      <c r="G15" s="18" t="s">
        <v>55</v>
      </c>
      <c r="H15" s="29">
        <f t="shared" si="1"/>
        <v>120</v>
      </c>
      <c r="I15" s="27">
        <f t="shared" si="2"/>
        <v>1.2</v>
      </c>
      <c r="J15" s="27">
        <f t="shared" si="3"/>
        <v>3.5999999999999996</v>
      </c>
      <c r="K15" s="27">
        <f>IF(F15="","",F15*100%)</f>
        <v>3</v>
      </c>
      <c r="L15" s="27">
        <f t="shared" si="4"/>
        <v>3.5999999999999996</v>
      </c>
      <c r="M15" s="27">
        <f t="shared" ref="M15:M39" si="13">IF(K15="","",K15*100%)</f>
        <v>3</v>
      </c>
      <c r="N15" s="27">
        <f t="shared" si="5"/>
        <v>3.5999999999999996</v>
      </c>
      <c r="O15" s="27">
        <f>IF(K15="","",K15*100%)</f>
        <v>3</v>
      </c>
      <c r="P15" s="27">
        <f t="shared" si="6"/>
        <v>3.5999999999999996</v>
      </c>
    </row>
    <row r="16" spans="1:17" ht="70.25" customHeight="1" x14ac:dyDescent="0.35">
      <c r="A16" s="18" t="s">
        <v>86</v>
      </c>
      <c r="B16" s="32" t="s">
        <v>84</v>
      </c>
      <c r="C16" s="36" t="s">
        <v>47</v>
      </c>
      <c r="D16" s="18" t="s">
        <v>82</v>
      </c>
      <c r="E16" s="36" t="s">
        <v>149</v>
      </c>
      <c r="F16" s="29">
        <v>4</v>
      </c>
      <c r="G16" s="18" t="s">
        <v>55</v>
      </c>
      <c r="H16" s="29">
        <f t="shared" si="1"/>
        <v>120</v>
      </c>
      <c r="I16" s="27">
        <f t="shared" si="2"/>
        <v>1.2</v>
      </c>
      <c r="J16" s="27">
        <f t="shared" si="3"/>
        <v>4.8</v>
      </c>
      <c r="K16" s="27">
        <f t="shared" ref="K16:K39" si="14">IF(F16="","",F16*100%)</f>
        <v>4</v>
      </c>
      <c r="L16" s="27">
        <f t="shared" si="4"/>
        <v>4.8</v>
      </c>
      <c r="M16" s="27">
        <f t="shared" si="13"/>
        <v>4</v>
      </c>
      <c r="N16" s="27">
        <f t="shared" si="5"/>
        <v>4.8</v>
      </c>
      <c r="O16" s="27">
        <f t="shared" ref="O16:O39" si="15">IF(K16="","",K16*100%)</f>
        <v>4</v>
      </c>
      <c r="P16" s="27">
        <f t="shared" si="6"/>
        <v>4.8</v>
      </c>
    </row>
    <row r="17" spans="1:16" ht="73.25" customHeight="1" x14ac:dyDescent="0.35">
      <c r="A17" s="18" t="s">
        <v>89</v>
      </c>
      <c r="B17" s="32" t="s">
        <v>154</v>
      </c>
      <c r="C17" s="24" t="s">
        <v>61</v>
      </c>
      <c r="D17" s="18" t="s">
        <v>82</v>
      </c>
      <c r="E17" s="37" t="s">
        <v>152</v>
      </c>
      <c r="F17" s="30">
        <v>2</v>
      </c>
      <c r="G17" s="18" t="s">
        <v>55</v>
      </c>
      <c r="H17" s="29">
        <f t="shared" ref="H17" si="16">IF(G17="","",IF(G17="Khó và phức tạp",200,IF(G17="Cao",150,IF(G17="Trung bình",120,100))))</f>
        <v>120</v>
      </c>
      <c r="I17" s="27">
        <f t="shared" ref="I17" si="17">IF(H17="","",H17*0.01)</f>
        <v>1.2</v>
      </c>
      <c r="J17" s="27">
        <f t="shared" ref="J17" si="18">IF(F17="","",F17*I17)</f>
        <v>2.4</v>
      </c>
      <c r="K17" s="27">
        <f>IF(F17="","",F17*100%)</f>
        <v>2</v>
      </c>
      <c r="L17" s="27">
        <f t="shared" ref="L17" si="19">IF(K17="","",K17*I17)</f>
        <v>2.4</v>
      </c>
      <c r="M17" s="27">
        <f t="shared" ref="M17" si="20">IF(K17="","",K17*100%)</f>
        <v>2</v>
      </c>
      <c r="N17" s="27">
        <f t="shared" ref="N17" si="21">IF(M17="","",I17*M17)</f>
        <v>2.4</v>
      </c>
      <c r="O17" s="27">
        <f>IF(K17="","",K17*100%)</f>
        <v>2</v>
      </c>
      <c r="P17" s="27">
        <f t="shared" ref="P17" si="22">IF(O17="","",I17*O17)</f>
        <v>2.4</v>
      </c>
    </row>
    <row r="18" spans="1:16" ht="57" customHeight="1" x14ac:dyDescent="0.35">
      <c r="A18" s="18" t="s">
        <v>91</v>
      </c>
      <c r="B18" s="38" t="s">
        <v>156</v>
      </c>
      <c r="C18" s="36" t="s">
        <v>47</v>
      </c>
      <c r="D18" s="18" t="s">
        <v>82</v>
      </c>
      <c r="E18" s="36" t="s">
        <v>149</v>
      </c>
      <c r="F18" s="29">
        <v>4</v>
      </c>
      <c r="G18" s="18" t="s">
        <v>55</v>
      </c>
      <c r="H18" s="29">
        <f t="shared" si="1"/>
        <v>120</v>
      </c>
      <c r="I18" s="27">
        <f t="shared" si="2"/>
        <v>1.2</v>
      </c>
      <c r="J18" s="27">
        <f t="shared" si="3"/>
        <v>4.8</v>
      </c>
      <c r="K18" s="27">
        <f t="shared" si="14"/>
        <v>4</v>
      </c>
      <c r="L18" s="27">
        <f t="shared" si="4"/>
        <v>4.8</v>
      </c>
      <c r="M18" s="27">
        <f t="shared" si="13"/>
        <v>4</v>
      </c>
      <c r="N18" s="27">
        <f t="shared" si="5"/>
        <v>4.8</v>
      </c>
      <c r="O18" s="27">
        <f t="shared" si="15"/>
        <v>4</v>
      </c>
      <c r="P18" s="27">
        <f t="shared" si="6"/>
        <v>4.8</v>
      </c>
    </row>
    <row r="19" spans="1:16" ht="57" customHeight="1" x14ac:dyDescent="0.35">
      <c r="A19" s="18" t="s">
        <v>94</v>
      </c>
      <c r="B19" s="38" t="s">
        <v>157</v>
      </c>
      <c r="C19" s="24" t="s">
        <v>61</v>
      </c>
      <c r="D19" s="18" t="s">
        <v>82</v>
      </c>
      <c r="E19" s="37" t="s">
        <v>152</v>
      </c>
      <c r="F19" s="30">
        <v>2</v>
      </c>
      <c r="G19" s="18" t="s">
        <v>55</v>
      </c>
      <c r="H19" s="29">
        <f t="shared" si="1"/>
        <v>120</v>
      </c>
      <c r="I19" s="27">
        <f t="shared" si="2"/>
        <v>1.2</v>
      </c>
      <c r="J19" s="27">
        <f t="shared" si="3"/>
        <v>2.4</v>
      </c>
      <c r="K19" s="27">
        <f>IF(F19="","",F19*100%)</f>
        <v>2</v>
      </c>
      <c r="L19" s="27">
        <f t="shared" si="4"/>
        <v>2.4</v>
      </c>
      <c r="M19" s="27">
        <f t="shared" si="13"/>
        <v>2</v>
      </c>
      <c r="N19" s="27">
        <f t="shared" si="5"/>
        <v>2.4</v>
      </c>
      <c r="O19" s="27">
        <f>IF(K19="","",K19*100%)</f>
        <v>2</v>
      </c>
      <c r="P19" s="27">
        <f t="shared" si="6"/>
        <v>2.4</v>
      </c>
    </row>
    <row r="20" spans="1:16" ht="70.75" customHeight="1" x14ac:dyDescent="0.35">
      <c r="A20" s="18" t="s">
        <v>97</v>
      </c>
      <c r="B20" s="32" t="s">
        <v>87</v>
      </c>
      <c r="C20" s="18" t="s">
        <v>61</v>
      </c>
      <c r="D20" s="18" t="s">
        <v>82</v>
      </c>
      <c r="E20" s="18" t="s">
        <v>88</v>
      </c>
      <c r="F20" s="29">
        <v>1</v>
      </c>
      <c r="G20" s="18" t="s">
        <v>63</v>
      </c>
      <c r="H20" s="29">
        <f t="shared" ref="H20:H39" si="23">IF(G20="","",IF(G20="Khó và phức tạp",200,IF(G20="Cao",150,IF(G20="Trung bình",120,100))))</f>
        <v>100</v>
      </c>
      <c r="I20" s="27">
        <f t="shared" si="2"/>
        <v>1</v>
      </c>
      <c r="J20" s="27">
        <f t="shared" si="3"/>
        <v>1</v>
      </c>
      <c r="K20" s="27">
        <f t="shared" si="14"/>
        <v>1</v>
      </c>
      <c r="L20" s="27">
        <f t="shared" si="4"/>
        <v>1</v>
      </c>
      <c r="M20" s="27">
        <f t="shared" si="13"/>
        <v>1</v>
      </c>
      <c r="N20" s="27">
        <f t="shared" si="5"/>
        <v>1</v>
      </c>
      <c r="O20" s="27">
        <f t="shared" si="15"/>
        <v>1</v>
      </c>
      <c r="P20" s="27">
        <f t="shared" si="6"/>
        <v>1</v>
      </c>
    </row>
    <row r="21" spans="1:16" ht="125.4" customHeight="1" x14ac:dyDescent="0.35">
      <c r="A21" s="18" t="s">
        <v>100</v>
      </c>
      <c r="B21" s="34" t="s">
        <v>158</v>
      </c>
      <c r="C21" s="18" t="s">
        <v>61</v>
      </c>
      <c r="D21" s="18" t="s">
        <v>82</v>
      </c>
      <c r="E21" s="18" t="s">
        <v>90</v>
      </c>
      <c r="F21" s="29">
        <v>4</v>
      </c>
      <c r="G21" s="18" t="s">
        <v>55</v>
      </c>
      <c r="H21" s="29">
        <f t="shared" si="23"/>
        <v>120</v>
      </c>
      <c r="I21" s="27">
        <f t="shared" si="2"/>
        <v>1.2</v>
      </c>
      <c r="J21" s="27">
        <f t="shared" si="3"/>
        <v>4.8</v>
      </c>
      <c r="K21" s="27">
        <f t="shared" si="14"/>
        <v>4</v>
      </c>
      <c r="L21" s="27">
        <f t="shared" si="4"/>
        <v>4.8</v>
      </c>
      <c r="M21" s="27">
        <f t="shared" si="13"/>
        <v>4</v>
      </c>
      <c r="N21" s="27">
        <f t="shared" si="5"/>
        <v>4.8</v>
      </c>
      <c r="O21" s="27">
        <f t="shared" si="15"/>
        <v>4</v>
      </c>
      <c r="P21" s="27">
        <f t="shared" si="6"/>
        <v>4.8</v>
      </c>
    </row>
    <row r="22" spans="1:16" ht="173.4" customHeight="1" x14ac:dyDescent="0.35">
      <c r="A22" s="18" t="s">
        <v>102</v>
      </c>
      <c r="B22" s="34" t="s">
        <v>92</v>
      </c>
      <c r="C22" s="18" t="s">
        <v>61</v>
      </c>
      <c r="D22" s="18" t="s">
        <v>82</v>
      </c>
      <c r="E22" s="18" t="s">
        <v>93</v>
      </c>
      <c r="F22" s="29">
        <v>3</v>
      </c>
      <c r="G22" s="18" t="s">
        <v>55</v>
      </c>
      <c r="H22" s="29">
        <f t="shared" si="23"/>
        <v>120</v>
      </c>
      <c r="I22" s="27">
        <f t="shared" si="2"/>
        <v>1.2</v>
      </c>
      <c r="J22" s="27">
        <f t="shared" si="3"/>
        <v>3.5999999999999996</v>
      </c>
      <c r="K22" s="27">
        <f t="shared" si="14"/>
        <v>3</v>
      </c>
      <c r="L22" s="27">
        <f t="shared" si="4"/>
        <v>3.5999999999999996</v>
      </c>
      <c r="M22" s="27">
        <f t="shared" si="13"/>
        <v>3</v>
      </c>
      <c r="N22" s="27">
        <f t="shared" si="5"/>
        <v>3.5999999999999996</v>
      </c>
      <c r="O22" s="27">
        <f t="shared" si="15"/>
        <v>3</v>
      </c>
      <c r="P22" s="27">
        <f t="shared" si="6"/>
        <v>3.5999999999999996</v>
      </c>
    </row>
    <row r="23" spans="1:16" ht="64.75" customHeight="1" x14ac:dyDescent="0.35">
      <c r="A23" s="18" t="s">
        <v>105</v>
      </c>
      <c r="B23" s="34" t="s">
        <v>95</v>
      </c>
      <c r="C23" s="18" t="s">
        <v>61</v>
      </c>
      <c r="D23" s="18" t="s">
        <v>82</v>
      </c>
      <c r="E23" s="18" t="s">
        <v>96</v>
      </c>
      <c r="F23" s="29">
        <v>1</v>
      </c>
      <c r="G23" s="18" t="s">
        <v>59</v>
      </c>
      <c r="H23" s="29">
        <f t="shared" si="23"/>
        <v>150</v>
      </c>
      <c r="I23" s="27">
        <f t="shared" si="2"/>
        <v>1.5</v>
      </c>
      <c r="J23" s="27">
        <f t="shared" si="3"/>
        <v>1.5</v>
      </c>
      <c r="K23" s="27">
        <f t="shared" si="14"/>
        <v>1</v>
      </c>
      <c r="L23" s="27">
        <f t="shared" si="4"/>
        <v>1.5</v>
      </c>
      <c r="M23" s="27">
        <f t="shared" si="13"/>
        <v>1</v>
      </c>
      <c r="N23" s="27">
        <f t="shared" si="5"/>
        <v>1.5</v>
      </c>
      <c r="O23" s="27">
        <f t="shared" si="15"/>
        <v>1</v>
      </c>
      <c r="P23" s="27">
        <f t="shared" si="6"/>
        <v>1.5</v>
      </c>
    </row>
    <row r="24" spans="1:16" ht="122.4" customHeight="1" x14ac:dyDescent="0.35">
      <c r="A24" s="18" t="s">
        <v>107</v>
      </c>
      <c r="B24" s="34" t="s">
        <v>98</v>
      </c>
      <c r="C24" s="18" t="s">
        <v>47</v>
      </c>
      <c r="D24" s="18" t="s">
        <v>82</v>
      </c>
      <c r="E24" s="18" t="s">
        <v>99</v>
      </c>
      <c r="F24" s="29">
        <v>2</v>
      </c>
      <c r="G24" s="18" t="s">
        <v>55</v>
      </c>
      <c r="H24" s="29">
        <f t="shared" si="23"/>
        <v>120</v>
      </c>
      <c r="I24" s="27">
        <f t="shared" si="2"/>
        <v>1.2</v>
      </c>
      <c r="J24" s="27">
        <f t="shared" si="3"/>
        <v>2.4</v>
      </c>
      <c r="K24" s="27">
        <f t="shared" si="14"/>
        <v>2</v>
      </c>
      <c r="L24" s="27">
        <f t="shared" si="4"/>
        <v>2.4</v>
      </c>
      <c r="M24" s="27">
        <f t="shared" si="13"/>
        <v>2</v>
      </c>
      <c r="N24" s="27">
        <f t="shared" si="5"/>
        <v>2.4</v>
      </c>
      <c r="O24" s="27">
        <f t="shared" si="15"/>
        <v>2</v>
      </c>
      <c r="P24" s="27">
        <f t="shared" si="6"/>
        <v>2.4</v>
      </c>
    </row>
    <row r="25" spans="1:16" ht="114.65" customHeight="1" x14ac:dyDescent="0.35">
      <c r="A25" s="18" t="s">
        <v>110</v>
      </c>
      <c r="B25" s="34" t="s">
        <v>101</v>
      </c>
      <c r="C25" s="18" t="s">
        <v>61</v>
      </c>
      <c r="D25" s="18" t="s">
        <v>82</v>
      </c>
      <c r="E25" s="18" t="s">
        <v>96</v>
      </c>
      <c r="F25" s="29">
        <v>2</v>
      </c>
      <c r="G25" s="18" t="s">
        <v>55</v>
      </c>
      <c r="H25" s="29">
        <f t="shared" si="23"/>
        <v>120</v>
      </c>
      <c r="I25" s="27">
        <f t="shared" si="2"/>
        <v>1.2</v>
      </c>
      <c r="J25" s="27">
        <f t="shared" si="3"/>
        <v>2.4</v>
      </c>
      <c r="K25" s="27">
        <f t="shared" si="14"/>
        <v>2</v>
      </c>
      <c r="L25" s="27">
        <f t="shared" si="4"/>
        <v>2.4</v>
      </c>
      <c r="M25" s="27">
        <f t="shared" si="13"/>
        <v>2</v>
      </c>
      <c r="N25" s="27">
        <f t="shared" si="5"/>
        <v>2.4</v>
      </c>
      <c r="O25" s="27">
        <f t="shared" si="15"/>
        <v>2</v>
      </c>
      <c r="P25" s="27">
        <f t="shared" si="6"/>
        <v>2.4</v>
      </c>
    </row>
    <row r="26" spans="1:16" ht="57.65" customHeight="1" x14ac:dyDescent="0.35">
      <c r="A26" s="18" t="s">
        <v>113</v>
      </c>
      <c r="B26" s="34" t="s">
        <v>103</v>
      </c>
      <c r="C26" s="18" t="s">
        <v>61</v>
      </c>
      <c r="D26" s="18" t="s">
        <v>82</v>
      </c>
      <c r="E26" s="18" t="s">
        <v>104</v>
      </c>
      <c r="F26" s="29">
        <v>2</v>
      </c>
      <c r="G26" s="18" t="s">
        <v>55</v>
      </c>
      <c r="H26" s="29">
        <f t="shared" si="23"/>
        <v>120</v>
      </c>
      <c r="I26" s="27">
        <f t="shared" si="2"/>
        <v>1.2</v>
      </c>
      <c r="J26" s="27">
        <f t="shared" si="3"/>
        <v>2.4</v>
      </c>
      <c r="K26" s="27">
        <f t="shared" si="14"/>
        <v>2</v>
      </c>
      <c r="L26" s="27">
        <f t="shared" si="4"/>
        <v>2.4</v>
      </c>
      <c r="M26" s="27">
        <f t="shared" si="13"/>
        <v>2</v>
      </c>
      <c r="N26" s="27">
        <f t="shared" si="5"/>
        <v>2.4</v>
      </c>
      <c r="O26" s="27">
        <f t="shared" si="15"/>
        <v>2</v>
      </c>
      <c r="P26" s="27">
        <f t="shared" si="6"/>
        <v>2.4</v>
      </c>
    </row>
    <row r="27" spans="1:16" ht="39" customHeight="1" x14ac:dyDescent="0.35">
      <c r="A27" s="18" t="s">
        <v>116</v>
      </c>
      <c r="B27" s="34" t="s">
        <v>106</v>
      </c>
      <c r="C27" s="18" t="s">
        <v>61</v>
      </c>
      <c r="D27" s="18" t="s">
        <v>82</v>
      </c>
      <c r="E27" s="18" t="s">
        <v>96</v>
      </c>
      <c r="F27" s="29">
        <v>2</v>
      </c>
      <c r="G27" s="18" t="s">
        <v>55</v>
      </c>
      <c r="H27" s="29">
        <f t="shared" si="23"/>
        <v>120</v>
      </c>
      <c r="I27" s="27">
        <f t="shared" si="2"/>
        <v>1.2</v>
      </c>
      <c r="J27" s="27">
        <f t="shared" si="3"/>
        <v>2.4</v>
      </c>
      <c r="K27" s="27">
        <f t="shared" si="14"/>
        <v>2</v>
      </c>
      <c r="L27" s="27">
        <f t="shared" si="4"/>
        <v>2.4</v>
      </c>
      <c r="M27" s="27">
        <f t="shared" si="13"/>
        <v>2</v>
      </c>
      <c r="N27" s="27">
        <f t="shared" si="5"/>
        <v>2.4</v>
      </c>
      <c r="O27" s="27">
        <f t="shared" si="15"/>
        <v>2</v>
      </c>
      <c r="P27" s="27">
        <f t="shared" si="6"/>
        <v>2.4</v>
      </c>
    </row>
    <row r="28" spans="1:16" ht="87" customHeight="1" x14ac:dyDescent="0.35">
      <c r="A28" s="18" t="s">
        <v>118</v>
      </c>
      <c r="B28" s="34" t="s">
        <v>108</v>
      </c>
      <c r="C28" s="18" t="s">
        <v>61</v>
      </c>
      <c r="D28" s="18" t="s">
        <v>82</v>
      </c>
      <c r="E28" s="18" t="s">
        <v>109</v>
      </c>
      <c r="F28" s="29">
        <v>1</v>
      </c>
      <c r="G28" s="18" t="s">
        <v>63</v>
      </c>
      <c r="H28" s="29">
        <f t="shared" si="23"/>
        <v>100</v>
      </c>
      <c r="I28" s="27">
        <f t="shared" si="2"/>
        <v>1</v>
      </c>
      <c r="J28" s="27">
        <f t="shared" si="3"/>
        <v>1</v>
      </c>
      <c r="K28" s="27">
        <f t="shared" si="14"/>
        <v>1</v>
      </c>
      <c r="L28" s="27">
        <f t="shared" si="4"/>
        <v>1</v>
      </c>
      <c r="M28" s="27">
        <f t="shared" si="13"/>
        <v>1</v>
      </c>
      <c r="N28" s="27">
        <f t="shared" si="5"/>
        <v>1</v>
      </c>
      <c r="O28" s="27">
        <f t="shared" si="15"/>
        <v>1</v>
      </c>
      <c r="P28" s="27">
        <f t="shared" si="6"/>
        <v>1</v>
      </c>
    </row>
    <row r="29" spans="1:16" ht="156.65" customHeight="1" x14ac:dyDescent="0.35">
      <c r="A29" s="18" t="s">
        <v>120</v>
      </c>
      <c r="B29" s="34" t="s">
        <v>111</v>
      </c>
      <c r="C29" s="18" t="s">
        <v>47</v>
      </c>
      <c r="D29" s="18" t="s">
        <v>82</v>
      </c>
      <c r="E29" s="18" t="s">
        <v>112</v>
      </c>
      <c r="F29" s="29">
        <v>2</v>
      </c>
      <c r="G29" s="18" t="s">
        <v>50</v>
      </c>
      <c r="H29" s="29">
        <f t="shared" si="23"/>
        <v>200</v>
      </c>
      <c r="I29" s="27">
        <f t="shared" si="2"/>
        <v>2</v>
      </c>
      <c r="J29" s="27">
        <f t="shared" si="3"/>
        <v>4</v>
      </c>
      <c r="K29" s="27">
        <f t="shared" si="14"/>
        <v>2</v>
      </c>
      <c r="L29" s="27">
        <f t="shared" si="4"/>
        <v>4</v>
      </c>
      <c r="M29" s="27">
        <f t="shared" si="13"/>
        <v>2</v>
      </c>
      <c r="N29" s="27">
        <f t="shared" si="5"/>
        <v>4</v>
      </c>
      <c r="O29" s="27">
        <f t="shared" si="15"/>
        <v>2</v>
      </c>
      <c r="P29" s="27">
        <f t="shared" si="6"/>
        <v>4</v>
      </c>
    </row>
    <row r="30" spans="1:16" ht="73.75" customHeight="1" x14ac:dyDescent="0.35">
      <c r="A30" s="18" t="s">
        <v>122</v>
      </c>
      <c r="B30" s="34" t="s">
        <v>114</v>
      </c>
      <c r="C30" s="18" t="s">
        <v>61</v>
      </c>
      <c r="D30" s="18" t="s">
        <v>82</v>
      </c>
      <c r="E30" s="18" t="s">
        <v>115</v>
      </c>
      <c r="F30" s="29">
        <v>9</v>
      </c>
      <c r="G30" s="18" t="s">
        <v>50</v>
      </c>
      <c r="H30" s="29">
        <f t="shared" si="23"/>
        <v>200</v>
      </c>
      <c r="I30" s="27">
        <f t="shared" si="2"/>
        <v>2</v>
      </c>
      <c r="J30" s="27">
        <f t="shared" si="3"/>
        <v>18</v>
      </c>
      <c r="K30" s="27">
        <f t="shared" si="14"/>
        <v>9</v>
      </c>
      <c r="L30" s="27">
        <f t="shared" si="4"/>
        <v>18</v>
      </c>
      <c r="M30" s="27">
        <f t="shared" si="13"/>
        <v>9</v>
      </c>
      <c r="N30" s="27">
        <f t="shared" si="5"/>
        <v>18</v>
      </c>
      <c r="O30" s="27">
        <f t="shared" si="15"/>
        <v>9</v>
      </c>
      <c r="P30" s="27">
        <f t="shared" si="6"/>
        <v>18</v>
      </c>
    </row>
    <row r="31" spans="1:16" ht="62" x14ac:dyDescent="0.35">
      <c r="A31" s="18" t="s">
        <v>124</v>
      </c>
      <c r="B31" s="33" t="s">
        <v>117</v>
      </c>
      <c r="C31" s="18" t="s">
        <v>61</v>
      </c>
      <c r="D31" s="18" t="s">
        <v>82</v>
      </c>
      <c r="E31" s="18" t="s">
        <v>96</v>
      </c>
      <c r="F31" s="29">
        <v>1</v>
      </c>
      <c r="G31" s="18" t="s">
        <v>55</v>
      </c>
      <c r="H31" s="29">
        <f t="shared" si="23"/>
        <v>120</v>
      </c>
      <c r="I31" s="27">
        <f t="shared" si="2"/>
        <v>1.2</v>
      </c>
      <c r="J31" s="27">
        <f t="shared" si="3"/>
        <v>1.2</v>
      </c>
      <c r="K31" s="27">
        <f t="shared" si="14"/>
        <v>1</v>
      </c>
      <c r="L31" s="27">
        <f t="shared" si="4"/>
        <v>1.2</v>
      </c>
      <c r="M31" s="27">
        <f t="shared" si="13"/>
        <v>1</v>
      </c>
      <c r="N31" s="27">
        <f t="shared" si="5"/>
        <v>1.2</v>
      </c>
      <c r="O31" s="27">
        <f t="shared" si="15"/>
        <v>1</v>
      </c>
      <c r="P31" s="27">
        <f t="shared" si="6"/>
        <v>1.2</v>
      </c>
    </row>
    <row r="32" spans="1:16" ht="76.25" customHeight="1" x14ac:dyDescent="0.35">
      <c r="A32" s="18" t="s">
        <v>126</v>
      </c>
      <c r="B32" s="34" t="s">
        <v>119</v>
      </c>
      <c r="C32" s="18" t="s">
        <v>47</v>
      </c>
      <c r="D32" s="18" t="s">
        <v>82</v>
      </c>
      <c r="E32" s="18" t="s">
        <v>96</v>
      </c>
      <c r="F32" s="29">
        <v>2</v>
      </c>
      <c r="G32" s="18" t="s">
        <v>50</v>
      </c>
      <c r="H32" s="29">
        <f t="shared" si="23"/>
        <v>200</v>
      </c>
      <c r="I32" s="27">
        <f t="shared" si="2"/>
        <v>2</v>
      </c>
      <c r="J32" s="27">
        <f t="shared" si="3"/>
        <v>4</v>
      </c>
      <c r="K32" s="27">
        <f t="shared" si="14"/>
        <v>2</v>
      </c>
      <c r="L32" s="27">
        <f t="shared" si="4"/>
        <v>4</v>
      </c>
      <c r="M32" s="27">
        <f t="shared" si="13"/>
        <v>2</v>
      </c>
      <c r="N32" s="27">
        <f t="shared" si="5"/>
        <v>4</v>
      </c>
      <c r="O32" s="27">
        <f t="shared" si="15"/>
        <v>2</v>
      </c>
      <c r="P32" s="27">
        <f t="shared" si="6"/>
        <v>4</v>
      </c>
    </row>
    <row r="33" spans="1:16" ht="139.5" x14ac:dyDescent="0.35">
      <c r="A33" s="18" t="s">
        <v>128</v>
      </c>
      <c r="B33" s="34" t="s">
        <v>121</v>
      </c>
      <c r="C33" s="18" t="s">
        <v>47</v>
      </c>
      <c r="D33" s="18" t="s">
        <v>82</v>
      </c>
      <c r="E33" s="18" t="s">
        <v>104</v>
      </c>
      <c r="F33" s="29">
        <v>2</v>
      </c>
      <c r="G33" s="18" t="s">
        <v>59</v>
      </c>
      <c r="H33" s="29">
        <f t="shared" si="23"/>
        <v>150</v>
      </c>
      <c r="I33" s="27">
        <f t="shared" si="2"/>
        <v>1.5</v>
      </c>
      <c r="J33" s="27">
        <f t="shared" si="3"/>
        <v>3</v>
      </c>
      <c r="K33" s="27">
        <f t="shared" si="14"/>
        <v>2</v>
      </c>
      <c r="L33" s="27">
        <f t="shared" si="4"/>
        <v>3</v>
      </c>
      <c r="M33" s="27">
        <f t="shared" si="13"/>
        <v>2</v>
      </c>
      <c r="N33" s="27">
        <f t="shared" si="5"/>
        <v>3</v>
      </c>
      <c r="O33" s="27">
        <f t="shared" si="15"/>
        <v>2</v>
      </c>
      <c r="P33" s="27">
        <f t="shared" si="6"/>
        <v>3</v>
      </c>
    </row>
    <row r="34" spans="1:16" ht="54.65" customHeight="1" x14ac:dyDescent="0.35">
      <c r="A34" s="18" t="s">
        <v>130</v>
      </c>
      <c r="B34" s="34" t="s">
        <v>123</v>
      </c>
      <c r="C34" s="18" t="s">
        <v>47</v>
      </c>
      <c r="D34" s="18" t="s">
        <v>82</v>
      </c>
      <c r="E34" s="18" t="s">
        <v>83</v>
      </c>
      <c r="F34" s="29">
        <v>1</v>
      </c>
      <c r="G34" s="18" t="s">
        <v>55</v>
      </c>
      <c r="H34" s="29">
        <f t="shared" si="23"/>
        <v>120</v>
      </c>
      <c r="I34" s="27">
        <f>IF(H34="","",H34*0.01)</f>
        <v>1.2</v>
      </c>
      <c r="J34" s="27">
        <f>IF(F34="","",F34*I34)</f>
        <v>1.2</v>
      </c>
      <c r="K34" s="27">
        <f t="shared" si="14"/>
        <v>1</v>
      </c>
      <c r="L34" s="27">
        <f>IF(K34="","",K34*I34)</f>
        <v>1.2</v>
      </c>
      <c r="M34" s="27">
        <f t="shared" si="13"/>
        <v>1</v>
      </c>
      <c r="N34" s="27">
        <f>IF(M34="","",I34*M34)</f>
        <v>1.2</v>
      </c>
      <c r="O34" s="27">
        <f t="shared" si="15"/>
        <v>1</v>
      </c>
      <c r="P34" s="27">
        <f>IF(O34="","",I34*O34)</f>
        <v>1.2</v>
      </c>
    </row>
    <row r="35" spans="1:16" ht="77.400000000000006" customHeight="1" x14ac:dyDescent="0.35">
      <c r="A35" s="18" t="s">
        <v>132</v>
      </c>
      <c r="B35" s="34" t="s">
        <v>125</v>
      </c>
      <c r="C35" s="18" t="s">
        <v>61</v>
      </c>
      <c r="D35" s="18" t="s">
        <v>82</v>
      </c>
      <c r="E35" s="18" t="s">
        <v>96</v>
      </c>
      <c r="F35" s="29">
        <v>1</v>
      </c>
      <c r="G35" s="18" t="s">
        <v>55</v>
      </c>
      <c r="H35" s="29">
        <f t="shared" si="23"/>
        <v>120</v>
      </c>
      <c r="I35" s="27">
        <f>IF(H35="","",H35*0.01)</f>
        <v>1.2</v>
      </c>
      <c r="J35" s="27">
        <f>IF(F35="","",F35*I35)</f>
        <v>1.2</v>
      </c>
      <c r="K35" s="27">
        <f t="shared" si="14"/>
        <v>1</v>
      </c>
      <c r="L35" s="27">
        <f>IF(K35="","",K35*I35)</f>
        <v>1.2</v>
      </c>
      <c r="M35" s="27">
        <f t="shared" si="13"/>
        <v>1</v>
      </c>
      <c r="N35" s="27">
        <f>IF(M35="","",I35*M35)</f>
        <v>1.2</v>
      </c>
      <c r="O35" s="27">
        <f t="shared" si="15"/>
        <v>1</v>
      </c>
      <c r="P35" s="27">
        <f>IF(O35="","",I35*O35)</f>
        <v>1.2</v>
      </c>
    </row>
    <row r="36" spans="1:16" ht="100.75" customHeight="1" x14ac:dyDescent="0.35">
      <c r="A36" s="18" t="s">
        <v>134</v>
      </c>
      <c r="B36" s="34" t="s">
        <v>127</v>
      </c>
      <c r="C36" s="18" t="s">
        <v>61</v>
      </c>
      <c r="D36" s="18" t="s">
        <v>82</v>
      </c>
      <c r="E36" s="18" t="s">
        <v>109</v>
      </c>
      <c r="F36" s="29">
        <v>1</v>
      </c>
      <c r="G36" s="18" t="s">
        <v>63</v>
      </c>
      <c r="H36" s="29">
        <f t="shared" si="23"/>
        <v>100</v>
      </c>
      <c r="I36" s="27">
        <f t="shared" ref="I36:I39" si="24">IF(H36="","",H36*0.01)</f>
        <v>1</v>
      </c>
      <c r="J36" s="27">
        <f t="shared" ref="J36:J39" si="25">IF(F36="","",F36*I36)</f>
        <v>1</v>
      </c>
      <c r="K36" s="27">
        <f t="shared" si="14"/>
        <v>1</v>
      </c>
      <c r="L36" s="27">
        <f t="shared" ref="L36:L39" si="26">IF(K36="","",K36*I36)</f>
        <v>1</v>
      </c>
      <c r="M36" s="27">
        <f t="shared" si="13"/>
        <v>1</v>
      </c>
      <c r="N36" s="27">
        <f t="shared" ref="N36:N39" si="27">IF(M36="","",I36*M36)</f>
        <v>1</v>
      </c>
      <c r="O36" s="27">
        <f t="shared" si="15"/>
        <v>1</v>
      </c>
      <c r="P36" s="27">
        <f t="shared" ref="P36:P39" si="28">IF(O36="","",I36*O36)</f>
        <v>1</v>
      </c>
    </row>
    <row r="37" spans="1:16" ht="88.75" customHeight="1" x14ac:dyDescent="0.35">
      <c r="A37" s="18" t="s">
        <v>159</v>
      </c>
      <c r="B37" s="34" t="s">
        <v>129</v>
      </c>
      <c r="C37" s="18" t="s">
        <v>47</v>
      </c>
      <c r="D37" s="18" t="s">
        <v>82</v>
      </c>
      <c r="E37" s="18" t="s">
        <v>88</v>
      </c>
      <c r="F37" s="29">
        <v>2</v>
      </c>
      <c r="G37" s="18" t="s">
        <v>55</v>
      </c>
      <c r="H37" s="29">
        <f t="shared" si="23"/>
        <v>120</v>
      </c>
      <c r="I37" s="27">
        <f t="shared" si="24"/>
        <v>1.2</v>
      </c>
      <c r="J37" s="27">
        <f t="shared" si="25"/>
        <v>2.4</v>
      </c>
      <c r="K37" s="27">
        <f t="shared" si="14"/>
        <v>2</v>
      </c>
      <c r="L37" s="27">
        <f t="shared" si="26"/>
        <v>2.4</v>
      </c>
      <c r="M37" s="27">
        <f t="shared" si="13"/>
        <v>2</v>
      </c>
      <c r="N37" s="27">
        <f t="shared" si="27"/>
        <v>2.4</v>
      </c>
      <c r="O37" s="27">
        <f t="shared" si="15"/>
        <v>2</v>
      </c>
      <c r="P37" s="27">
        <f t="shared" si="28"/>
        <v>2.4</v>
      </c>
    </row>
    <row r="38" spans="1:16" ht="77.5" x14ac:dyDescent="0.35">
      <c r="A38" s="18" t="s">
        <v>160</v>
      </c>
      <c r="B38" s="34" t="s">
        <v>131</v>
      </c>
      <c r="C38" s="18" t="s">
        <v>47</v>
      </c>
      <c r="D38" s="18" t="s">
        <v>82</v>
      </c>
      <c r="E38" s="18" t="s">
        <v>88</v>
      </c>
      <c r="F38" s="29">
        <v>1</v>
      </c>
      <c r="G38" s="18" t="s">
        <v>63</v>
      </c>
      <c r="H38" s="29">
        <f t="shared" si="23"/>
        <v>100</v>
      </c>
      <c r="I38" s="27">
        <f t="shared" si="24"/>
        <v>1</v>
      </c>
      <c r="J38" s="27">
        <f t="shared" si="25"/>
        <v>1</v>
      </c>
      <c r="K38" s="27">
        <f t="shared" si="14"/>
        <v>1</v>
      </c>
      <c r="L38" s="27">
        <f t="shared" si="26"/>
        <v>1</v>
      </c>
      <c r="M38" s="27">
        <f t="shared" si="13"/>
        <v>1</v>
      </c>
      <c r="N38" s="27">
        <f t="shared" si="27"/>
        <v>1</v>
      </c>
      <c r="O38" s="27">
        <f t="shared" si="15"/>
        <v>1</v>
      </c>
      <c r="P38" s="27">
        <f t="shared" si="28"/>
        <v>1</v>
      </c>
    </row>
    <row r="39" spans="1:16" ht="88.25" customHeight="1" x14ac:dyDescent="0.35">
      <c r="A39" s="18" t="s">
        <v>161</v>
      </c>
      <c r="B39" s="35" t="s">
        <v>133</v>
      </c>
      <c r="C39" s="18" t="s">
        <v>61</v>
      </c>
      <c r="D39" s="18" t="s">
        <v>82</v>
      </c>
      <c r="E39" s="18" t="s">
        <v>83</v>
      </c>
      <c r="F39" s="29">
        <v>1</v>
      </c>
      <c r="G39" s="18" t="s">
        <v>63</v>
      </c>
      <c r="H39" s="29">
        <f t="shared" si="23"/>
        <v>100</v>
      </c>
      <c r="I39" s="27">
        <f t="shared" si="24"/>
        <v>1</v>
      </c>
      <c r="J39" s="27">
        <f t="shared" si="25"/>
        <v>1</v>
      </c>
      <c r="K39" s="27">
        <f t="shared" si="14"/>
        <v>1</v>
      </c>
      <c r="L39" s="27">
        <f t="shared" si="26"/>
        <v>1</v>
      </c>
      <c r="M39" s="27">
        <f t="shared" si="13"/>
        <v>1</v>
      </c>
      <c r="N39" s="27">
        <f t="shared" si="27"/>
        <v>1</v>
      </c>
      <c r="O39" s="27">
        <f t="shared" si="15"/>
        <v>1</v>
      </c>
      <c r="P39" s="27">
        <f t="shared" si="28"/>
        <v>1</v>
      </c>
    </row>
    <row r="40" spans="1:16" ht="81.650000000000006" customHeight="1" x14ac:dyDescent="0.35">
      <c r="A40" s="18" t="s">
        <v>162</v>
      </c>
      <c r="B40" s="32" t="s">
        <v>135</v>
      </c>
      <c r="C40" s="18" t="s">
        <v>47</v>
      </c>
      <c r="D40" s="18" t="s">
        <v>82</v>
      </c>
      <c r="E40" s="18" t="s">
        <v>88</v>
      </c>
      <c r="F40" s="29">
        <v>1</v>
      </c>
      <c r="G40" s="18" t="s">
        <v>63</v>
      </c>
      <c r="H40" s="29">
        <f t="shared" si="1"/>
        <v>100</v>
      </c>
      <c r="I40" s="27">
        <f t="shared" si="2"/>
        <v>1</v>
      </c>
      <c r="J40" s="27">
        <f t="shared" si="3"/>
        <v>1</v>
      </c>
      <c r="K40" s="27">
        <f>IF(F40="","",F40*100%)</f>
        <v>1</v>
      </c>
      <c r="L40" s="27">
        <f t="shared" si="4"/>
        <v>1</v>
      </c>
      <c r="M40" s="27">
        <f>IF(K40="","",K40*100%)</f>
        <v>1</v>
      </c>
      <c r="N40" s="27">
        <f t="shared" si="5"/>
        <v>1</v>
      </c>
      <c r="O40" s="27">
        <f>IF(K40="","",K40*100%)</f>
        <v>1</v>
      </c>
      <c r="P40" s="27">
        <f t="shared" si="6"/>
        <v>1</v>
      </c>
    </row>
    <row r="41" spans="1:16" ht="37.25" customHeight="1" x14ac:dyDescent="0.35">
      <c r="A41" s="10">
        <v>2</v>
      </c>
      <c r="B41" s="46" t="s">
        <v>64</v>
      </c>
      <c r="C41" s="46"/>
      <c r="D41" s="46"/>
      <c r="E41" s="46"/>
      <c r="F41" s="28">
        <f>SUM(F42:F43)</f>
        <v>1</v>
      </c>
      <c r="G41" s="23"/>
      <c r="H41" s="31"/>
      <c r="I41" s="25"/>
      <c r="J41" s="26">
        <f t="shared" ref="J41:P41" si="29">SUM(J42:J43)</f>
        <v>1.2</v>
      </c>
      <c r="K41" s="26">
        <f t="shared" si="29"/>
        <v>1</v>
      </c>
      <c r="L41" s="26">
        <f t="shared" si="29"/>
        <v>1.2</v>
      </c>
      <c r="M41" s="26">
        <f t="shared" si="29"/>
        <v>1</v>
      </c>
      <c r="N41" s="26">
        <f t="shared" si="29"/>
        <v>1.2</v>
      </c>
      <c r="O41" s="26">
        <f t="shared" si="29"/>
        <v>1</v>
      </c>
      <c r="P41" s="26">
        <f t="shared" si="29"/>
        <v>1.2</v>
      </c>
    </row>
    <row r="42" spans="1:16" ht="46.5" x14ac:dyDescent="0.35">
      <c r="A42" s="18">
        <v>2.1</v>
      </c>
      <c r="B42" s="22" t="s">
        <v>136</v>
      </c>
      <c r="C42" s="18" t="s">
        <v>61</v>
      </c>
      <c r="D42" s="18" t="s">
        <v>82</v>
      </c>
      <c r="E42" s="18" t="s">
        <v>104</v>
      </c>
      <c r="F42" s="29">
        <v>1</v>
      </c>
      <c r="G42" s="18" t="s">
        <v>55</v>
      </c>
      <c r="H42" s="29">
        <f>IF(G42="","",IF(G42="Khó và phức tạp",200,IF(G42="Cao",150,IF(G42="Trung bình",120,100))))</f>
        <v>120</v>
      </c>
      <c r="I42" s="27">
        <f>IF(H42="","",H42*0.01)</f>
        <v>1.2</v>
      </c>
      <c r="J42" s="27">
        <f>IF(F42="","",F42*I42)</f>
        <v>1.2</v>
      </c>
      <c r="K42" s="27">
        <f>IF(F42="","",F42*100%)</f>
        <v>1</v>
      </c>
      <c r="L42" s="27">
        <f t="shared" ref="L42:L43" si="30">IF(K42="","",K42*I42)</f>
        <v>1.2</v>
      </c>
      <c r="M42" s="27">
        <f>IF(K42="","",K42*100%)</f>
        <v>1</v>
      </c>
      <c r="N42" s="27">
        <f>IF(M42="","",I42*M42)</f>
        <v>1.2</v>
      </c>
      <c r="O42" s="27">
        <f>IF(K42="","",K42*100%)</f>
        <v>1</v>
      </c>
      <c r="P42" s="27">
        <f>IF(O42="","",I42*O42)</f>
        <v>1.2</v>
      </c>
    </row>
    <row r="43" spans="1:16" ht="15.5" x14ac:dyDescent="0.35">
      <c r="A43" s="18"/>
      <c r="B43" s="20"/>
      <c r="C43" s="18"/>
      <c r="D43" s="18"/>
      <c r="E43" s="18"/>
      <c r="F43" s="29"/>
      <c r="G43" s="18"/>
      <c r="H43" s="29"/>
      <c r="I43" s="27"/>
      <c r="J43" s="27"/>
      <c r="K43" s="27"/>
      <c r="L43" s="27" t="str">
        <f t="shared" si="30"/>
        <v/>
      </c>
      <c r="M43" s="27"/>
      <c r="N43" s="27"/>
      <c r="O43" s="27"/>
      <c r="P43" s="27"/>
    </row>
    <row r="44" spans="1:16" ht="28.25" customHeight="1" x14ac:dyDescent="0.35">
      <c r="A44" s="10">
        <v>3</v>
      </c>
      <c r="B44" s="46" t="s">
        <v>66</v>
      </c>
      <c r="C44" s="46"/>
      <c r="D44" s="46"/>
      <c r="E44" s="46"/>
      <c r="F44" s="28">
        <f>SUM(F45:F46)</f>
        <v>14</v>
      </c>
      <c r="G44" s="23"/>
      <c r="H44" s="31"/>
      <c r="I44" s="25"/>
      <c r="J44" s="26">
        <f t="shared" ref="J44:P44" si="31">SUM(J45:J46)</f>
        <v>18.399999999999999</v>
      </c>
      <c r="K44" s="26">
        <f t="shared" si="31"/>
        <v>14</v>
      </c>
      <c r="L44" s="26">
        <f t="shared" si="31"/>
        <v>18.399999999999999</v>
      </c>
      <c r="M44" s="26">
        <f t="shared" si="31"/>
        <v>14</v>
      </c>
      <c r="N44" s="26">
        <f t="shared" si="31"/>
        <v>18.399999999999999</v>
      </c>
      <c r="O44" s="26">
        <f t="shared" si="31"/>
        <v>14</v>
      </c>
      <c r="P44" s="26">
        <f t="shared" si="31"/>
        <v>18.399999999999999</v>
      </c>
    </row>
    <row r="45" spans="1:16" ht="77.5" x14ac:dyDescent="0.35">
      <c r="A45" s="18">
        <v>3.1</v>
      </c>
      <c r="B45" s="20" t="s">
        <v>137</v>
      </c>
      <c r="C45" s="18" t="s">
        <v>47</v>
      </c>
      <c r="D45" s="18" t="s">
        <v>82</v>
      </c>
      <c r="E45" s="18" t="s">
        <v>138</v>
      </c>
      <c r="F45" s="29">
        <v>2</v>
      </c>
      <c r="G45" s="18" t="s">
        <v>50</v>
      </c>
      <c r="H45" s="29">
        <f>IF(G45="","",IF(G45="Khó và phức tạp",200,IF(G45="Cao",150,IF(G45="Trung bình",120,100))))</f>
        <v>200</v>
      </c>
      <c r="I45" s="27">
        <f>IF(H45="","",H45*0.01)</f>
        <v>2</v>
      </c>
      <c r="J45" s="27">
        <f>IF(F45="","",F45*I45)</f>
        <v>4</v>
      </c>
      <c r="K45" s="27">
        <f>IF(F45="","",F45*100%)</f>
        <v>2</v>
      </c>
      <c r="L45" s="27">
        <f t="shared" ref="L45:L46" si="32">IF(K45="","",K45*I45)</f>
        <v>4</v>
      </c>
      <c r="M45" s="27">
        <f>IF(K45="","",K45*100%)</f>
        <v>2</v>
      </c>
      <c r="N45" s="27">
        <f>IF(M45="","",I45*M45)</f>
        <v>4</v>
      </c>
      <c r="O45" s="27">
        <f>IF(K45="","",K45*100%)</f>
        <v>2</v>
      </c>
      <c r="P45" s="27">
        <f>IF(O45="","",I45*O45)</f>
        <v>4</v>
      </c>
    </row>
    <row r="46" spans="1:16" ht="115.75" customHeight="1" x14ac:dyDescent="0.35">
      <c r="A46" s="18">
        <v>3.2</v>
      </c>
      <c r="B46" s="20" t="s">
        <v>139</v>
      </c>
      <c r="C46" s="36" t="s">
        <v>155</v>
      </c>
      <c r="D46" s="18" t="s">
        <v>82</v>
      </c>
      <c r="E46" s="18" t="s">
        <v>140</v>
      </c>
      <c r="F46" s="29">
        <v>12</v>
      </c>
      <c r="G46" s="18" t="s">
        <v>55</v>
      </c>
      <c r="H46" s="29">
        <f>IF(G46="","",IF(G46="Khó và phức tạp",200,IF(G46="Cao",150,IF(G46="Trung bình",120,100))))</f>
        <v>120</v>
      </c>
      <c r="I46" s="27">
        <f>IF(H46="","",H46*0.01)</f>
        <v>1.2</v>
      </c>
      <c r="J46" s="27">
        <f>IF(F46="","",F46*I46)</f>
        <v>14.399999999999999</v>
      </c>
      <c r="K46" s="27">
        <f>IF(F46="","",F46*100%)</f>
        <v>12</v>
      </c>
      <c r="L46" s="27">
        <f t="shared" si="32"/>
        <v>14.399999999999999</v>
      </c>
      <c r="M46" s="27">
        <f>IF(K46="","",K46*100%)</f>
        <v>12</v>
      </c>
      <c r="N46" s="27">
        <f>IF(M46="","",I46*M46)</f>
        <v>14.399999999999999</v>
      </c>
      <c r="O46" s="27">
        <f>IF(K46="","",K46*100%)</f>
        <v>12</v>
      </c>
      <c r="P46" s="27">
        <f>IF(O46="","",I46*O46)</f>
        <v>14.399999999999999</v>
      </c>
    </row>
    <row r="47" spans="1:16" ht="34.25" customHeight="1" x14ac:dyDescent="0.35">
      <c r="A47" s="10">
        <v>4</v>
      </c>
      <c r="B47" s="46" t="s">
        <v>67</v>
      </c>
      <c r="C47" s="46"/>
      <c r="D47" s="46"/>
      <c r="E47" s="46"/>
      <c r="F47" s="28">
        <f>SUM(F48:F51)</f>
        <v>1</v>
      </c>
      <c r="G47" s="23"/>
      <c r="H47" s="31"/>
      <c r="I47" s="25"/>
      <c r="J47" s="26" t="e">
        <f t="shared" ref="J47:P47" si="33">SUM(J48:J51)</f>
        <v>#VALUE!</v>
      </c>
      <c r="K47" s="26">
        <f t="shared" si="33"/>
        <v>1</v>
      </c>
      <c r="L47" s="26" t="e">
        <f t="shared" si="33"/>
        <v>#VALUE!</v>
      </c>
      <c r="M47" s="26">
        <f t="shared" si="33"/>
        <v>1</v>
      </c>
      <c r="N47" s="26" t="e">
        <f t="shared" si="33"/>
        <v>#VALUE!</v>
      </c>
      <c r="O47" s="26">
        <f t="shared" si="33"/>
        <v>1</v>
      </c>
      <c r="P47" s="26" t="e">
        <f t="shared" si="33"/>
        <v>#VALUE!</v>
      </c>
    </row>
    <row r="48" spans="1:16" ht="55.75" customHeight="1" x14ac:dyDescent="0.35">
      <c r="A48" s="18">
        <v>4.0999999999999996</v>
      </c>
      <c r="B48" s="20" t="s">
        <v>141</v>
      </c>
      <c r="C48" s="18" t="s">
        <v>142</v>
      </c>
      <c r="D48" s="18" t="s">
        <v>82</v>
      </c>
      <c r="E48" s="18" t="s">
        <v>96</v>
      </c>
      <c r="F48" s="29">
        <v>1</v>
      </c>
      <c r="G48" s="18" t="s">
        <v>55</v>
      </c>
      <c r="H48" s="29">
        <f t="shared" ref="H48:H51" si="34">IF(G48="","",IF(G48="Khó và phức tạp",200,IF(G48="Cao",150,IF(G48="Trung bình",120,100))))</f>
        <v>120</v>
      </c>
      <c r="I48" s="27">
        <f t="shared" ref="I48:I51" si="35">IF(H48="","",H48*0.01)</f>
        <v>1.2</v>
      </c>
      <c r="J48" s="27">
        <f>IF(F48="","",F48*I48)</f>
        <v>1.2</v>
      </c>
      <c r="K48" s="27">
        <f>IF(F48="","",F48*100%)</f>
        <v>1</v>
      </c>
      <c r="L48" s="27">
        <f t="shared" ref="L48:L51" si="36">IF(K48="","",K48*I48)</f>
        <v>1.2</v>
      </c>
      <c r="M48" s="27">
        <f>IF(K48="","",K48*100%)</f>
        <v>1</v>
      </c>
      <c r="N48" s="27">
        <f>IF(M48="","",I48*M48)</f>
        <v>1.2</v>
      </c>
      <c r="O48" s="27">
        <f>IF(K48="","",K48*100%)</f>
        <v>1</v>
      </c>
      <c r="P48" s="27">
        <f>IF(O48="","",I48*O48)</f>
        <v>1.2</v>
      </c>
    </row>
    <row r="49" spans="1:16" ht="16" customHeight="1" x14ac:dyDescent="0.35">
      <c r="A49" s="18"/>
      <c r="B49" s="20"/>
      <c r="C49" s="18"/>
      <c r="D49" s="18"/>
      <c r="E49" s="18"/>
      <c r="F49" s="29"/>
      <c r="G49" s="18"/>
      <c r="H49" s="29" t="str">
        <f t="shared" si="34"/>
        <v/>
      </c>
      <c r="I49" s="27" t="str">
        <f t="shared" si="35"/>
        <v/>
      </c>
      <c r="J49" s="27"/>
      <c r="K49" s="27"/>
      <c r="L49" s="27" t="str">
        <f t="shared" si="36"/>
        <v/>
      </c>
      <c r="M49" s="27"/>
      <c r="N49" s="27"/>
      <c r="O49" s="27"/>
      <c r="P49" s="27"/>
    </row>
    <row r="50" spans="1:16" ht="16" customHeight="1" x14ac:dyDescent="0.35">
      <c r="A50" s="18"/>
      <c r="B50" s="20"/>
      <c r="C50" s="18"/>
      <c r="D50" s="18"/>
      <c r="E50" s="18"/>
      <c r="F50" s="29"/>
      <c r="G50" s="18"/>
      <c r="H50" s="29" t="str">
        <f t="shared" si="34"/>
        <v/>
      </c>
      <c r="I50" s="27" t="str">
        <f t="shared" si="35"/>
        <v/>
      </c>
      <c r="J50" s="27" t="e">
        <f t="shared" ref="J50:J51" si="37">F50*I50</f>
        <v>#VALUE!</v>
      </c>
      <c r="K50" s="27">
        <f t="shared" ref="K50:K51" si="38">F50*100%</f>
        <v>0</v>
      </c>
      <c r="L50" s="27" t="e">
        <f t="shared" si="36"/>
        <v>#VALUE!</v>
      </c>
      <c r="M50" s="27">
        <f t="shared" ref="M50:M51" si="39">K50*75%</f>
        <v>0</v>
      </c>
      <c r="N50" s="27" t="e">
        <f t="shared" ref="N50:N51" si="40">I50*M50</f>
        <v>#VALUE!</v>
      </c>
      <c r="O50" s="27">
        <f t="shared" ref="O50:O51" si="41">K50*100%</f>
        <v>0</v>
      </c>
      <c r="P50" s="27" t="e">
        <f t="shared" ref="P50:P51" si="42">I50*O50</f>
        <v>#VALUE!</v>
      </c>
    </row>
    <row r="51" spans="1:16" ht="16" customHeight="1" x14ac:dyDescent="0.35">
      <c r="A51" s="18"/>
      <c r="B51" s="20"/>
      <c r="C51" s="18"/>
      <c r="D51" s="18"/>
      <c r="E51" s="18"/>
      <c r="F51" s="29"/>
      <c r="G51" s="18"/>
      <c r="H51" s="29" t="str">
        <f t="shared" si="34"/>
        <v/>
      </c>
      <c r="I51" s="27" t="str">
        <f t="shared" si="35"/>
        <v/>
      </c>
      <c r="J51" s="27" t="e">
        <f t="shared" si="37"/>
        <v>#VALUE!</v>
      </c>
      <c r="K51" s="27">
        <f t="shared" si="38"/>
        <v>0</v>
      </c>
      <c r="L51" s="27" t="e">
        <f t="shared" si="36"/>
        <v>#VALUE!</v>
      </c>
      <c r="M51" s="27">
        <f t="shared" si="39"/>
        <v>0</v>
      </c>
      <c r="N51" s="27" t="e">
        <f t="shared" si="40"/>
        <v>#VALUE!</v>
      </c>
      <c r="O51" s="27">
        <f t="shared" si="41"/>
        <v>0</v>
      </c>
      <c r="P51" s="27" t="e">
        <f t="shared" si="42"/>
        <v>#VALUE!</v>
      </c>
    </row>
    <row r="52" spans="1:16" ht="39.65" customHeight="1" x14ac:dyDescent="0.35">
      <c r="A52" s="10">
        <v>5</v>
      </c>
      <c r="B52" s="46" t="s">
        <v>74</v>
      </c>
      <c r="C52" s="46"/>
      <c r="D52" s="46"/>
      <c r="E52" s="46"/>
      <c r="F52" s="28">
        <f>SUM(F53:F58)</f>
        <v>1</v>
      </c>
      <c r="G52" s="23"/>
      <c r="H52" s="31"/>
      <c r="I52" s="25"/>
      <c r="J52" s="26">
        <f t="shared" ref="J52:P52" si="43">SUM(J53:J58)</f>
        <v>1</v>
      </c>
      <c r="K52" s="26">
        <f t="shared" si="43"/>
        <v>1</v>
      </c>
      <c r="L52" s="26">
        <f t="shared" si="43"/>
        <v>1</v>
      </c>
      <c r="M52" s="26">
        <f t="shared" si="43"/>
        <v>1</v>
      </c>
      <c r="N52" s="26">
        <f t="shared" si="43"/>
        <v>1</v>
      </c>
      <c r="O52" s="26">
        <f t="shared" si="43"/>
        <v>1</v>
      </c>
      <c r="P52" s="26">
        <f t="shared" si="43"/>
        <v>1</v>
      </c>
    </row>
    <row r="53" spans="1:16" ht="45" customHeight="1" x14ac:dyDescent="0.35">
      <c r="A53" s="18">
        <v>5.0999999999999996</v>
      </c>
      <c r="B53" s="20" t="s">
        <v>143</v>
      </c>
      <c r="C53" s="18" t="s">
        <v>47</v>
      </c>
      <c r="D53" s="18" t="s">
        <v>82</v>
      </c>
      <c r="E53" s="18" t="s">
        <v>144</v>
      </c>
      <c r="F53" s="29">
        <v>1</v>
      </c>
      <c r="G53" s="18" t="s">
        <v>63</v>
      </c>
      <c r="H53" s="29">
        <f t="shared" ref="H53:H58" si="44">IF(G53="","",IF(G53="Khó và phức tạp",200,IF(G53="Cao",150,IF(G53="Trung bình",120,100))))</f>
        <v>100</v>
      </c>
      <c r="I53" s="27">
        <f t="shared" ref="I53:I58" si="45">IF(H53="","",H53*0.01)</f>
        <v>1</v>
      </c>
      <c r="J53" s="27">
        <f t="shared" ref="J53:J58" si="46">IF(F53="","",F53*I53)</f>
        <v>1</v>
      </c>
      <c r="K53" s="27">
        <f t="shared" ref="K53:K58" si="47">IF(F53="","",F53*100%)</f>
        <v>1</v>
      </c>
      <c r="L53" s="27">
        <f t="shared" ref="L53:L58" si="48">IF(K53="","",K53*I53)</f>
        <v>1</v>
      </c>
      <c r="M53" s="27">
        <f t="shared" ref="M53:M58" si="49">IF(K53="","",K53*100%)</f>
        <v>1</v>
      </c>
      <c r="N53" s="27">
        <f t="shared" ref="N53:N58" si="50">IF(M53="","",I53*M53)</f>
        <v>1</v>
      </c>
      <c r="O53" s="27">
        <f t="shared" ref="O53:O58" si="51">IF(K53="","",K53*100%)</f>
        <v>1</v>
      </c>
      <c r="P53" s="27">
        <f t="shared" ref="P53:P58" si="52">IF(O53="","",I53*O53)</f>
        <v>1</v>
      </c>
    </row>
    <row r="54" spans="1:16" ht="16" customHeight="1" x14ac:dyDescent="0.35">
      <c r="A54" s="18"/>
      <c r="B54" s="20"/>
      <c r="C54" s="18"/>
      <c r="D54" s="18"/>
      <c r="E54" s="18"/>
      <c r="F54" s="29"/>
      <c r="G54" s="18"/>
      <c r="H54" s="29" t="str">
        <f t="shared" si="44"/>
        <v/>
      </c>
      <c r="I54" s="27" t="str">
        <f t="shared" si="45"/>
        <v/>
      </c>
      <c r="J54" s="27" t="str">
        <f t="shared" si="46"/>
        <v/>
      </c>
      <c r="K54" s="27" t="str">
        <f t="shared" si="47"/>
        <v/>
      </c>
      <c r="L54" s="27" t="str">
        <f t="shared" si="48"/>
        <v/>
      </c>
      <c r="M54" s="27" t="str">
        <f t="shared" si="49"/>
        <v/>
      </c>
      <c r="N54" s="27" t="str">
        <f t="shared" si="50"/>
        <v/>
      </c>
      <c r="O54" s="27" t="str">
        <f t="shared" si="51"/>
        <v/>
      </c>
      <c r="P54" s="27" t="str">
        <f t="shared" si="52"/>
        <v/>
      </c>
    </row>
    <row r="55" spans="1:16" ht="16" customHeight="1" x14ac:dyDescent="0.35">
      <c r="A55" s="18"/>
      <c r="B55" s="20"/>
      <c r="C55" s="18"/>
      <c r="D55" s="18"/>
      <c r="E55" s="18"/>
      <c r="F55" s="29"/>
      <c r="G55" s="18"/>
      <c r="H55" s="29" t="str">
        <f t="shared" si="44"/>
        <v/>
      </c>
      <c r="I55" s="27" t="str">
        <f t="shared" si="45"/>
        <v/>
      </c>
      <c r="J55" s="27" t="str">
        <f t="shared" si="46"/>
        <v/>
      </c>
      <c r="K55" s="27" t="str">
        <f t="shared" si="47"/>
        <v/>
      </c>
      <c r="L55" s="27" t="str">
        <f t="shared" si="48"/>
        <v/>
      </c>
      <c r="M55" s="27" t="str">
        <f t="shared" si="49"/>
        <v/>
      </c>
      <c r="N55" s="27" t="str">
        <f t="shared" si="50"/>
        <v/>
      </c>
      <c r="O55" s="27" t="str">
        <f t="shared" si="51"/>
        <v/>
      </c>
      <c r="P55" s="27" t="str">
        <f t="shared" si="52"/>
        <v/>
      </c>
    </row>
    <row r="56" spans="1:16" ht="16" customHeight="1" x14ac:dyDescent="0.35">
      <c r="A56" s="18"/>
      <c r="B56" s="20"/>
      <c r="C56" s="18"/>
      <c r="D56" s="18"/>
      <c r="E56" s="18"/>
      <c r="F56" s="29"/>
      <c r="G56" s="18"/>
      <c r="H56" s="29" t="str">
        <f t="shared" si="44"/>
        <v/>
      </c>
      <c r="I56" s="27" t="str">
        <f t="shared" si="45"/>
        <v/>
      </c>
      <c r="J56" s="27" t="str">
        <f t="shared" si="46"/>
        <v/>
      </c>
      <c r="K56" s="27" t="str">
        <f t="shared" si="47"/>
        <v/>
      </c>
      <c r="L56" s="27" t="str">
        <f t="shared" si="48"/>
        <v/>
      </c>
      <c r="M56" s="27" t="str">
        <f t="shared" si="49"/>
        <v/>
      </c>
      <c r="N56" s="27" t="str">
        <f t="shared" si="50"/>
        <v/>
      </c>
      <c r="O56" s="27" t="str">
        <f t="shared" si="51"/>
        <v/>
      </c>
      <c r="P56" s="27" t="str">
        <f t="shared" si="52"/>
        <v/>
      </c>
    </row>
    <row r="57" spans="1:16" ht="16" customHeight="1" x14ac:dyDescent="0.35">
      <c r="A57" s="18"/>
      <c r="B57" s="20"/>
      <c r="C57" s="18"/>
      <c r="D57" s="18"/>
      <c r="E57" s="18"/>
      <c r="F57" s="29"/>
      <c r="G57" s="18"/>
      <c r="H57" s="29" t="str">
        <f t="shared" si="44"/>
        <v/>
      </c>
      <c r="I57" s="27" t="str">
        <f t="shared" si="45"/>
        <v/>
      </c>
      <c r="J57" s="27" t="str">
        <f t="shared" si="46"/>
        <v/>
      </c>
      <c r="K57" s="27" t="str">
        <f t="shared" si="47"/>
        <v/>
      </c>
      <c r="L57" s="27" t="str">
        <f t="shared" si="48"/>
        <v/>
      </c>
      <c r="M57" s="27" t="str">
        <f t="shared" si="49"/>
        <v/>
      </c>
      <c r="N57" s="27" t="str">
        <f t="shared" si="50"/>
        <v/>
      </c>
      <c r="O57" s="27" t="str">
        <f t="shared" si="51"/>
        <v/>
      </c>
      <c r="P57" s="27" t="str">
        <f t="shared" si="52"/>
        <v/>
      </c>
    </row>
    <row r="58" spans="1:16" ht="16" customHeight="1" x14ac:dyDescent="0.35">
      <c r="A58" s="18"/>
      <c r="B58" s="20"/>
      <c r="C58" s="18"/>
      <c r="D58" s="18"/>
      <c r="E58" s="18"/>
      <c r="F58" s="29"/>
      <c r="G58" s="18"/>
      <c r="H58" s="29" t="str">
        <f t="shared" si="44"/>
        <v/>
      </c>
      <c r="I58" s="27" t="str">
        <f t="shared" si="45"/>
        <v/>
      </c>
      <c r="J58" s="27" t="str">
        <f t="shared" si="46"/>
        <v/>
      </c>
      <c r="K58" s="27" t="str">
        <f t="shared" si="47"/>
        <v/>
      </c>
      <c r="L58" s="27" t="str">
        <f t="shared" si="48"/>
        <v/>
      </c>
      <c r="M58" s="27" t="str">
        <f t="shared" si="49"/>
        <v/>
      </c>
      <c r="N58" s="27" t="str">
        <f t="shared" si="50"/>
        <v/>
      </c>
      <c r="O58" s="27" t="str">
        <f t="shared" si="51"/>
        <v/>
      </c>
      <c r="P58" s="27" t="str">
        <f t="shared" si="52"/>
        <v/>
      </c>
    </row>
    <row r="59" spans="1:16" ht="34.75" customHeight="1" x14ac:dyDescent="0.35">
      <c r="A59" s="10">
        <v>6</v>
      </c>
      <c r="B59" s="47" t="s">
        <v>75</v>
      </c>
      <c r="C59" s="48"/>
      <c r="D59" s="48"/>
      <c r="E59" s="48"/>
      <c r="F59" s="28">
        <f>SUM(F60:F61)</f>
        <v>1</v>
      </c>
      <c r="G59" s="23"/>
      <c r="H59" s="31"/>
      <c r="I59" s="25"/>
      <c r="J59" s="26">
        <f t="shared" ref="J59:P59" si="53">SUM(J60:J61)</f>
        <v>2</v>
      </c>
      <c r="K59" s="26">
        <f t="shared" si="53"/>
        <v>1</v>
      </c>
      <c r="L59" s="26">
        <f t="shared" si="53"/>
        <v>2</v>
      </c>
      <c r="M59" s="26">
        <f t="shared" si="53"/>
        <v>1</v>
      </c>
      <c r="N59" s="26">
        <f t="shared" si="53"/>
        <v>2</v>
      </c>
      <c r="O59" s="26">
        <f t="shared" si="53"/>
        <v>1</v>
      </c>
      <c r="P59" s="26">
        <f t="shared" si="53"/>
        <v>2</v>
      </c>
    </row>
    <row r="60" spans="1:16" ht="62" x14ac:dyDescent="0.35">
      <c r="A60" s="18">
        <v>6.1</v>
      </c>
      <c r="B60" s="20" t="s">
        <v>145</v>
      </c>
      <c r="C60" s="18" t="s">
        <v>47</v>
      </c>
      <c r="D60" s="18" t="s">
        <v>82</v>
      </c>
      <c r="E60" s="18" t="s">
        <v>146</v>
      </c>
      <c r="F60" s="29">
        <v>1</v>
      </c>
      <c r="G60" s="18" t="s">
        <v>50</v>
      </c>
      <c r="H60" s="29">
        <f>IF(G60="","",IF(G60="Khó và phức tạp",200,IF(G60="Cao",150,IF(G60="Trung bình",120,100))))</f>
        <v>200</v>
      </c>
      <c r="I60" s="27">
        <f>IF(H60="","",H60*0.01)</f>
        <v>2</v>
      </c>
      <c r="J60" s="27">
        <f t="shared" ref="J60:J61" si="54">IF(F60="","",F60*I60)</f>
        <v>2</v>
      </c>
      <c r="K60" s="27">
        <f t="shared" ref="K60:K61" si="55">IF(F60="","",F60*100%)</f>
        <v>1</v>
      </c>
      <c r="L60" s="27">
        <f t="shared" ref="L60:L61" si="56">IF(K60="","",K60*I60)</f>
        <v>2</v>
      </c>
      <c r="M60" s="27">
        <f t="shared" ref="M60:M61" si="57">IF(K60="","",K60*100%)</f>
        <v>1</v>
      </c>
      <c r="N60" s="27">
        <f t="shared" ref="N60:N61" si="58">IF(M60="","",I60*M60)</f>
        <v>2</v>
      </c>
      <c r="O60" s="27">
        <f t="shared" ref="O60:O61" si="59">IF(K60="","",K60*100%)</f>
        <v>1</v>
      </c>
      <c r="P60" s="27">
        <f t="shared" ref="P60:P61" si="60">IF(O60="","",I60*O60)</f>
        <v>2</v>
      </c>
    </row>
    <row r="61" spans="1:16" ht="16" customHeight="1" x14ac:dyDescent="0.35">
      <c r="A61" s="18"/>
      <c r="B61" s="20"/>
      <c r="C61" s="18"/>
      <c r="D61" s="18"/>
      <c r="E61" s="18"/>
      <c r="F61" s="29"/>
      <c r="G61" s="18"/>
      <c r="H61" s="29"/>
      <c r="I61" s="27"/>
      <c r="J61" s="27" t="str">
        <f t="shared" si="54"/>
        <v/>
      </c>
      <c r="K61" s="27" t="str">
        <f t="shared" si="55"/>
        <v/>
      </c>
      <c r="L61" s="27" t="str">
        <f t="shared" si="56"/>
        <v/>
      </c>
      <c r="M61" s="27" t="str">
        <f t="shared" si="57"/>
        <v/>
      </c>
      <c r="N61" s="27" t="str">
        <f t="shared" si="58"/>
        <v/>
      </c>
      <c r="O61" s="27" t="str">
        <f t="shared" si="59"/>
        <v/>
      </c>
      <c r="P61" s="27" t="str">
        <f t="shared" si="60"/>
        <v/>
      </c>
    </row>
    <row r="62" spans="1:16" ht="20.9" customHeight="1" x14ac:dyDescent="0.35">
      <c r="A62" s="10" t="s">
        <v>76</v>
      </c>
      <c r="B62" s="47" t="s">
        <v>77</v>
      </c>
      <c r="C62" s="48"/>
      <c r="D62" s="48"/>
      <c r="E62" s="48"/>
      <c r="F62" s="28">
        <f>SUM(F63:F65)</f>
        <v>0</v>
      </c>
      <c r="G62" s="23"/>
      <c r="H62" s="25"/>
      <c r="I62" s="25"/>
      <c r="J62" s="26">
        <f t="shared" ref="J62:P62" si="61">SUM(J63:J65)</f>
        <v>0</v>
      </c>
      <c r="K62" s="26">
        <f t="shared" si="61"/>
        <v>0</v>
      </c>
      <c r="L62" s="26">
        <f t="shared" si="61"/>
        <v>0</v>
      </c>
      <c r="M62" s="26">
        <f t="shared" si="61"/>
        <v>0</v>
      </c>
      <c r="N62" s="26">
        <f t="shared" si="61"/>
        <v>0</v>
      </c>
      <c r="O62" s="26">
        <f t="shared" si="61"/>
        <v>0</v>
      </c>
      <c r="P62" s="26">
        <f t="shared" si="61"/>
        <v>0</v>
      </c>
    </row>
    <row r="63" spans="1:16" ht="16" customHeight="1" x14ac:dyDescent="0.35">
      <c r="A63" s="18"/>
      <c r="B63" s="20"/>
      <c r="C63" s="18"/>
      <c r="D63" s="18"/>
      <c r="E63" s="18"/>
      <c r="F63" s="29"/>
      <c r="G63" s="18"/>
      <c r="H63" s="27"/>
      <c r="I63" s="27"/>
      <c r="J63" s="27">
        <f t="shared" ref="J63:J65" si="62">F63*I63</f>
        <v>0</v>
      </c>
      <c r="K63" s="27">
        <f t="shared" ref="K63:K65" si="63">F63*100%</f>
        <v>0</v>
      </c>
      <c r="L63" s="27">
        <f t="shared" ref="L63:L65" si="64">K63*I63</f>
        <v>0</v>
      </c>
      <c r="M63" s="27">
        <f t="shared" ref="M63:M65" si="65">K63*75%</f>
        <v>0</v>
      </c>
      <c r="N63" s="27">
        <f t="shared" ref="N63:N65" si="66">I63*M63</f>
        <v>0</v>
      </c>
      <c r="O63" s="27">
        <f t="shared" ref="O63:O65" si="67">K63*100%</f>
        <v>0</v>
      </c>
      <c r="P63" s="27">
        <f t="shared" ref="P63:P65" si="68">I63*O63</f>
        <v>0</v>
      </c>
    </row>
    <row r="64" spans="1:16" ht="16" customHeight="1" x14ac:dyDescent="0.35">
      <c r="A64" s="18"/>
      <c r="B64" s="20"/>
      <c r="C64" s="18"/>
      <c r="D64" s="18"/>
      <c r="E64" s="18"/>
      <c r="F64" s="29"/>
      <c r="G64" s="18"/>
      <c r="H64" s="27"/>
      <c r="I64" s="27"/>
      <c r="J64" s="27">
        <f t="shared" si="62"/>
        <v>0</v>
      </c>
      <c r="K64" s="27">
        <f t="shared" si="63"/>
        <v>0</v>
      </c>
      <c r="L64" s="27">
        <f t="shared" si="64"/>
        <v>0</v>
      </c>
      <c r="M64" s="27">
        <f t="shared" si="65"/>
        <v>0</v>
      </c>
      <c r="N64" s="27">
        <f t="shared" si="66"/>
        <v>0</v>
      </c>
      <c r="O64" s="27">
        <f t="shared" si="67"/>
        <v>0</v>
      </c>
      <c r="P64" s="27">
        <f t="shared" si="68"/>
        <v>0</v>
      </c>
    </row>
    <row r="65" spans="1:16" ht="16" customHeight="1" x14ac:dyDescent="0.35">
      <c r="A65" s="18"/>
      <c r="B65" s="20"/>
      <c r="C65" s="18"/>
      <c r="D65" s="18"/>
      <c r="E65" s="18"/>
      <c r="F65" s="29"/>
      <c r="G65" s="18"/>
      <c r="H65" s="27"/>
      <c r="I65" s="27"/>
      <c r="J65" s="27">
        <f t="shared" si="62"/>
        <v>0</v>
      </c>
      <c r="K65" s="27">
        <f t="shared" si="63"/>
        <v>0</v>
      </c>
      <c r="L65" s="27">
        <f t="shared" si="64"/>
        <v>0</v>
      </c>
      <c r="M65" s="27">
        <f t="shared" si="65"/>
        <v>0</v>
      </c>
      <c r="N65" s="27">
        <f t="shared" si="66"/>
        <v>0</v>
      </c>
      <c r="O65" s="27">
        <f t="shared" si="67"/>
        <v>0</v>
      </c>
      <c r="P65" s="27">
        <f t="shared" si="68"/>
        <v>0</v>
      </c>
    </row>
    <row r="66" spans="1:16" s="2" customFormat="1" ht="15.5" x14ac:dyDescent="0.35">
      <c r="B66" s="41"/>
      <c r="C66" s="41"/>
      <c r="D66" s="41"/>
      <c r="E66" s="41"/>
      <c r="F66" s="41"/>
      <c r="G66" s="41"/>
      <c r="H66" s="41"/>
      <c r="I66" s="41"/>
      <c r="J66" s="41"/>
      <c r="K66" s="41"/>
      <c r="L66" s="41"/>
      <c r="M66" s="41"/>
      <c r="N66" s="41"/>
      <c r="O66" s="41"/>
      <c r="P66" s="41"/>
    </row>
    <row r="67" spans="1:16" s="3" customFormat="1" ht="105" customHeight="1" x14ac:dyDescent="0.35">
      <c r="A67" s="42" t="s">
        <v>147</v>
      </c>
      <c r="B67" s="42"/>
      <c r="C67" s="42"/>
      <c r="D67" s="8"/>
      <c r="G67" s="69" t="s">
        <v>163</v>
      </c>
      <c r="H67" s="43"/>
      <c r="I67" s="43"/>
      <c r="J67" s="43"/>
      <c r="K67" s="43"/>
      <c r="L67" s="44"/>
      <c r="M67" s="44"/>
      <c r="N67" s="44"/>
      <c r="O67" s="44"/>
      <c r="P67" s="44"/>
    </row>
    <row r="68" spans="1:16" ht="17.5" x14ac:dyDescent="0.35">
      <c r="G68" s="68"/>
      <c r="H68" s="68"/>
      <c r="I68" s="68"/>
      <c r="J68" s="68"/>
      <c r="K68" s="68"/>
      <c r="L68" s="68"/>
      <c r="M68" s="68"/>
      <c r="N68" s="68"/>
      <c r="O68" s="68"/>
    </row>
  </sheetData>
  <mergeCells count="32">
    <mergeCell ref="A2:C2"/>
    <mergeCell ref="A3:C3"/>
    <mergeCell ref="B59:E59"/>
    <mergeCell ref="B62:E62"/>
    <mergeCell ref="B10:E10"/>
    <mergeCell ref="B41:E41"/>
    <mergeCell ref="B47:E47"/>
    <mergeCell ref="B44:E44"/>
    <mergeCell ref="B52:E52"/>
    <mergeCell ref="G3:P3"/>
    <mergeCell ref="K6:L6"/>
    <mergeCell ref="M6:N6"/>
    <mergeCell ref="O6:P6"/>
    <mergeCell ref="A5:P5"/>
    <mergeCell ref="I6:I7"/>
    <mergeCell ref="J6:J7"/>
    <mergeCell ref="G68:O68"/>
    <mergeCell ref="G67:P67"/>
    <mergeCell ref="A67:C67"/>
    <mergeCell ref="A1:P1"/>
    <mergeCell ref="F6:F7"/>
    <mergeCell ref="G6:G7"/>
    <mergeCell ref="A6:A7"/>
    <mergeCell ref="B6:B7"/>
    <mergeCell ref="C6:C7"/>
    <mergeCell ref="D6:D7"/>
    <mergeCell ref="E6:E7"/>
    <mergeCell ref="B9:P9"/>
    <mergeCell ref="B66:P66"/>
    <mergeCell ref="A4:P4"/>
    <mergeCell ref="H6:H7"/>
    <mergeCell ref="G2:P2"/>
  </mergeCells>
  <phoneticPr fontId="30" type="noConversion"/>
  <conditionalFormatting sqref="C11:C40">
    <cfRule type="dataBar" priority="11">
      <dataBar>
        <cfvo type="min"/>
        <cfvo type="max"/>
        <color rgb="FF638EC6"/>
      </dataBar>
      <extLst>
        <ext xmlns:x14="http://schemas.microsoft.com/office/spreadsheetml/2009/9/main" uri="{B025F937-C7B1-47D3-B67F-A62EFF666E3E}">
          <x14:id>{AD5DDE69-E26F-41BE-8870-09BB121B74F1}</x14:id>
        </ext>
      </extLst>
    </cfRule>
    <cfRule type="dataBar" priority="12">
      <dataBar>
        <cfvo type="min"/>
        <cfvo type="max"/>
        <color rgb="FF638EC6"/>
      </dataBar>
      <extLst>
        <ext xmlns:x14="http://schemas.microsoft.com/office/spreadsheetml/2009/9/main" uri="{B025F937-C7B1-47D3-B67F-A62EFF666E3E}">
          <x14:id>{503E23DC-A883-4E4A-9CEB-0585580125FE}</x14:id>
        </ext>
      </extLst>
    </cfRule>
  </conditionalFormatting>
  <conditionalFormatting sqref="C42:C43">
    <cfRule type="dataBar" priority="9">
      <dataBar>
        <cfvo type="min"/>
        <cfvo type="max"/>
        <color rgb="FF638EC6"/>
      </dataBar>
      <extLst>
        <ext xmlns:x14="http://schemas.microsoft.com/office/spreadsheetml/2009/9/main" uri="{B025F937-C7B1-47D3-B67F-A62EFF666E3E}">
          <x14:id>{B6A8FE37-83C2-4345-9C43-6760EC4B1C36}</x14:id>
        </ext>
      </extLst>
    </cfRule>
    <cfRule type="dataBar" priority="13">
      <dataBar>
        <cfvo type="min"/>
        <cfvo type="max"/>
        <color rgb="FF638EC6"/>
      </dataBar>
      <extLst>
        <ext xmlns:x14="http://schemas.microsoft.com/office/spreadsheetml/2009/9/main" uri="{B025F937-C7B1-47D3-B67F-A62EFF666E3E}">
          <x14:id>{CBD7B373-A4C1-41FB-A25C-F14BF1ED705A}</x14:id>
        </ext>
      </extLst>
    </cfRule>
  </conditionalFormatting>
  <conditionalFormatting sqref="C45">
    <cfRule type="dataBar" priority="8">
      <dataBar>
        <cfvo type="min"/>
        <cfvo type="max"/>
        <color rgb="FF638EC6"/>
      </dataBar>
      <extLst>
        <ext xmlns:x14="http://schemas.microsoft.com/office/spreadsheetml/2009/9/main" uri="{B025F937-C7B1-47D3-B67F-A62EFF666E3E}">
          <x14:id>{71A07E31-32A5-4716-86EE-579B79BEF4D3}</x14:id>
        </ext>
      </extLst>
    </cfRule>
    <cfRule type="dataBar" priority="14">
      <dataBar>
        <cfvo type="min"/>
        <cfvo type="max"/>
        <color rgb="FF638EC6"/>
      </dataBar>
      <extLst>
        <ext xmlns:x14="http://schemas.microsoft.com/office/spreadsheetml/2009/9/main" uri="{B025F937-C7B1-47D3-B67F-A62EFF666E3E}">
          <x14:id>{053ED826-4A3B-4E29-9CF6-C5C888A31A9A}</x14:id>
        </ext>
      </extLst>
    </cfRule>
  </conditionalFormatting>
  <conditionalFormatting sqref="C46">
    <cfRule type="dataBar" priority="7">
      <dataBar>
        <cfvo type="min"/>
        <cfvo type="max"/>
        <color rgb="FF638EC6"/>
      </dataBar>
      <extLst>
        <ext xmlns:x14="http://schemas.microsoft.com/office/spreadsheetml/2009/9/main" uri="{B025F937-C7B1-47D3-B67F-A62EFF666E3E}">
          <x14:id>{B06185E8-F595-43E8-9873-3FB24E1EF488}</x14:id>
        </ext>
      </extLst>
    </cfRule>
    <cfRule type="dataBar" priority="15">
      <dataBar>
        <cfvo type="min"/>
        <cfvo type="max"/>
        <color rgb="FF638EC6"/>
      </dataBar>
      <extLst>
        <ext xmlns:x14="http://schemas.microsoft.com/office/spreadsheetml/2009/9/main" uri="{B025F937-C7B1-47D3-B67F-A62EFF666E3E}">
          <x14:id>{C43A89B3-42DD-4279-AA99-7BDD08DBEF47}</x14:id>
        </ext>
      </extLst>
    </cfRule>
  </conditionalFormatting>
  <conditionalFormatting sqref="C48:C51">
    <cfRule type="dataBar" priority="21">
      <dataBar>
        <cfvo type="min"/>
        <cfvo type="max"/>
        <color rgb="FF638EC6"/>
      </dataBar>
      <extLst>
        <ext xmlns:x14="http://schemas.microsoft.com/office/spreadsheetml/2009/9/main" uri="{B025F937-C7B1-47D3-B67F-A62EFF666E3E}">
          <x14:id>{2B83E0A8-77DA-487D-8518-4B7CEAA9871D}</x14:id>
        </ext>
      </extLst>
    </cfRule>
    <cfRule type="dataBar" priority="22">
      <dataBar>
        <cfvo type="min"/>
        <cfvo type="max"/>
        <color rgb="FF638EC6"/>
      </dataBar>
      <extLst>
        <ext xmlns:x14="http://schemas.microsoft.com/office/spreadsheetml/2009/9/main" uri="{B025F937-C7B1-47D3-B67F-A62EFF666E3E}">
          <x14:id>{43AE063F-6FBA-4145-8E96-3B15FC0C4DF2}</x14:id>
        </ext>
      </extLst>
    </cfRule>
  </conditionalFormatting>
  <conditionalFormatting sqref="C53">
    <cfRule type="dataBar" priority="1">
      <dataBar>
        <cfvo type="min"/>
        <cfvo type="max"/>
        <color rgb="FF638EC6"/>
      </dataBar>
      <extLst>
        <ext xmlns:x14="http://schemas.microsoft.com/office/spreadsheetml/2009/9/main" uri="{B025F937-C7B1-47D3-B67F-A62EFF666E3E}">
          <x14:id>{9CCAE4E3-3658-42DB-A94B-587DEEE27DF0}</x14:id>
        </ext>
      </extLst>
    </cfRule>
    <cfRule type="dataBar" priority="17">
      <dataBar>
        <cfvo type="min"/>
        <cfvo type="max"/>
        <color rgb="FF638EC6"/>
      </dataBar>
      <extLst>
        <ext xmlns:x14="http://schemas.microsoft.com/office/spreadsheetml/2009/9/main" uri="{B025F937-C7B1-47D3-B67F-A62EFF666E3E}">
          <x14:id>{B2DABE0F-7BA8-442A-B48E-1ECE74F6B597}</x14:id>
        </ext>
      </extLst>
    </cfRule>
  </conditionalFormatting>
  <conditionalFormatting sqref="C54:C58">
    <cfRule type="dataBar" priority="5">
      <dataBar>
        <cfvo type="min"/>
        <cfvo type="max"/>
        <color rgb="FF638EC6"/>
      </dataBar>
      <extLst>
        <ext xmlns:x14="http://schemas.microsoft.com/office/spreadsheetml/2009/9/main" uri="{B025F937-C7B1-47D3-B67F-A62EFF666E3E}">
          <x14:id>{99192E55-FB06-435C-B408-7D30282A1F16}</x14:id>
        </ext>
      </extLst>
    </cfRule>
    <cfRule type="dataBar" priority="18">
      <dataBar>
        <cfvo type="min"/>
        <cfvo type="max"/>
        <color rgb="FF638EC6"/>
      </dataBar>
      <extLst>
        <ext xmlns:x14="http://schemas.microsoft.com/office/spreadsheetml/2009/9/main" uri="{B025F937-C7B1-47D3-B67F-A62EFF666E3E}">
          <x14:id>{03A9939A-9B3D-4529-BE0E-4E6837550A17}</x14:id>
        </ext>
      </extLst>
    </cfRule>
  </conditionalFormatting>
  <conditionalFormatting sqref="C60:C61">
    <cfRule type="dataBar" priority="4">
      <dataBar>
        <cfvo type="min"/>
        <cfvo type="max"/>
        <color rgb="FF638EC6"/>
      </dataBar>
      <extLst>
        <ext xmlns:x14="http://schemas.microsoft.com/office/spreadsheetml/2009/9/main" uri="{B025F937-C7B1-47D3-B67F-A62EFF666E3E}">
          <x14:id>{B8831BF6-9681-4498-A1F3-1954F48C6856}</x14:id>
        </ext>
      </extLst>
    </cfRule>
    <cfRule type="dataBar" priority="19">
      <dataBar>
        <cfvo type="min"/>
        <cfvo type="max"/>
        <color rgb="FF638EC6"/>
      </dataBar>
      <extLst>
        <ext xmlns:x14="http://schemas.microsoft.com/office/spreadsheetml/2009/9/main" uri="{B025F937-C7B1-47D3-B67F-A62EFF666E3E}">
          <x14:id>{7E1987A0-3211-4AC2-801D-3D223C64AEAA}</x14:id>
        </ext>
      </extLst>
    </cfRule>
  </conditionalFormatting>
  <conditionalFormatting sqref="C63:C65">
    <cfRule type="dataBar" priority="3">
      <dataBar>
        <cfvo type="min"/>
        <cfvo type="max"/>
        <color rgb="FF638EC6"/>
      </dataBar>
      <extLst>
        <ext xmlns:x14="http://schemas.microsoft.com/office/spreadsheetml/2009/9/main" uri="{B025F937-C7B1-47D3-B67F-A62EFF666E3E}">
          <x14:id>{329FB385-5BEA-4E80-BB5D-3A73CE41BBDA}</x14:id>
        </ext>
      </extLst>
    </cfRule>
    <cfRule type="dataBar" priority="20">
      <dataBar>
        <cfvo type="min"/>
        <cfvo type="max"/>
        <color rgb="FF638EC6"/>
      </dataBar>
      <extLst>
        <ext xmlns:x14="http://schemas.microsoft.com/office/spreadsheetml/2009/9/main" uri="{B025F937-C7B1-47D3-B67F-A62EFF666E3E}">
          <x14:id>{2EA7D65E-B8CA-499C-8421-2AC504B81EAC}</x14:id>
        </ext>
      </extLst>
    </cfRule>
  </conditionalFormatting>
  <dataValidations count="4">
    <dataValidation type="list" allowBlank="1" showInputMessage="1" sqref="D53:D58 D42:D43 D45:D46 D60:D61 D63:D65 D11:D40 D48:D51" xr:uid="{00000000-0002-0000-0000-000000000000}">
      <formula1>"Phòng QLĐT&amp;BĐCL, Phòng TH-HC&amp;QT, Phòng QLKHCN&amp;HTPT, Phòng TC-KT, Phòng  TCCB&amp;CTHSSV, Khoa Sư phạm, Khoa CKHCB, Khoa KT&amp;NL, Khoa Y – Dược, Khoa ĐT&amp;SHLX, Khoa KT&amp;CN"</formula1>
    </dataValidation>
    <dataValidation type="list" allowBlank="1" showInputMessage="1" sqref="C53:C58 C42:C43 C45:C46 C63:C65 C60:C61 C11:C40 C48:C51" xr:uid="{00000000-0002-0000-0000-000001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45:G46 G53:G58 G42:G43 G63:G65 G60:G61 G11:G40 G48:G51" xr:uid="{00000000-0002-0000-0000-000002000000}">
      <formula1>"Thấp,Trung bình,Cao,Khó và phức tạp"</formula1>
    </dataValidation>
    <dataValidation allowBlank="1" showInputMessage="1" sqref="H60:K61 E45:E46 E42:E43 H63:K65 H53:K58 H45:K46 E53:E58 E60:E61 E63:E65 H42:K43 E11:E40 H11:K40 E48:E51 H48:K51" xr:uid="{00000000-0002-0000-0000-000003000000}"/>
  </dataValidations>
  <pageMargins left="0.54" right="0.2" top="0.75" bottom="0.75" header="0.3" footer="0.3"/>
  <pageSetup paperSize="9" orientation="portrait" verticalDpi="0" r:id="rId1"/>
  <drawing r:id="rId2"/>
  <extLst>
    <ext xmlns:x14="http://schemas.microsoft.com/office/spreadsheetml/2009/9/main" uri="{78C0D931-6437-407d-A8EE-F0AAD7539E65}">
      <x14:conditionalFormattings>
        <x14:conditionalFormatting xmlns:xm="http://schemas.microsoft.com/office/excel/2006/main">
          <x14:cfRule type="dataBar" id="{AD5DDE69-E26F-41BE-8870-09BB121B74F1}">
            <x14:dataBar minLength="0" maxLength="100" gradient="0">
              <x14:cfvo type="autoMin"/>
              <x14:cfvo type="autoMax"/>
              <x14:negativeFillColor rgb="FFFF0000"/>
              <x14:axisColor rgb="FF000000"/>
            </x14:dataBar>
          </x14:cfRule>
          <x14:cfRule type="dataBar" id="{503E23DC-A883-4E4A-9CEB-0585580125FE}">
            <x14:dataBar minLength="0" maxLength="100" gradient="0">
              <x14:cfvo type="autoMin"/>
              <x14:cfvo type="autoMax"/>
              <x14:negativeFillColor rgb="FFFF0000"/>
              <x14:axisColor rgb="FF000000"/>
            </x14:dataBar>
          </x14:cfRule>
          <xm:sqref>C11:C40</xm:sqref>
        </x14:conditionalFormatting>
        <x14:conditionalFormatting xmlns:xm="http://schemas.microsoft.com/office/excel/2006/main">
          <x14:cfRule type="dataBar" id="{B6A8FE37-83C2-4345-9C43-6760EC4B1C36}">
            <x14:dataBar minLength="0" maxLength="100" gradient="0">
              <x14:cfvo type="autoMin"/>
              <x14:cfvo type="autoMax"/>
              <x14:negativeFillColor rgb="FFFF0000"/>
              <x14:axisColor rgb="FF000000"/>
            </x14:dataBar>
          </x14:cfRule>
          <x14:cfRule type="dataBar" id="{CBD7B373-A4C1-41FB-A25C-F14BF1ED705A}">
            <x14:dataBar minLength="0" maxLength="100" gradient="0">
              <x14:cfvo type="autoMin"/>
              <x14:cfvo type="autoMax"/>
              <x14:negativeFillColor rgb="FFFF0000"/>
              <x14:axisColor rgb="FF000000"/>
            </x14:dataBar>
          </x14:cfRule>
          <xm:sqref>C42:C43</xm:sqref>
        </x14:conditionalFormatting>
        <x14:conditionalFormatting xmlns:xm="http://schemas.microsoft.com/office/excel/2006/main">
          <x14:cfRule type="dataBar" id="{71A07E31-32A5-4716-86EE-579B79BEF4D3}">
            <x14:dataBar minLength="0" maxLength="100" gradient="0">
              <x14:cfvo type="autoMin"/>
              <x14:cfvo type="autoMax"/>
              <x14:negativeFillColor rgb="FFFF0000"/>
              <x14:axisColor rgb="FF000000"/>
            </x14:dataBar>
          </x14:cfRule>
          <x14:cfRule type="dataBar" id="{053ED826-4A3B-4E29-9CF6-C5C888A31A9A}">
            <x14:dataBar minLength="0" maxLength="100" gradient="0">
              <x14:cfvo type="autoMin"/>
              <x14:cfvo type="autoMax"/>
              <x14:negativeFillColor rgb="FFFF0000"/>
              <x14:axisColor rgb="FF000000"/>
            </x14:dataBar>
          </x14:cfRule>
          <xm:sqref>C45</xm:sqref>
        </x14:conditionalFormatting>
        <x14:conditionalFormatting xmlns:xm="http://schemas.microsoft.com/office/excel/2006/main">
          <x14:cfRule type="dataBar" id="{B06185E8-F595-43E8-9873-3FB24E1EF488}">
            <x14:dataBar minLength="0" maxLength="100" gradient="0">
              <x14:cfvo type="autoMin"/>
              <x14:cfvo type="autoMax"/>
              <x14:negativeFillColor rgb="FFFF0000"/>
              <x14:axisColor rgb="FF000000"/>
            </x14:dataBar>
          </x14:cfRule>
          <x14:cfRule type="dataBar" id="{C43A89B3-42DD-4279-AA99-7BDD08DBEF47}">
            <x14:dataBar minLength="0" maxLength="100" gradient="0">
              <x14:cfvo type="autoMin"/>
              <x14:cfvo type="autoMax"/>
              <x14:negativeFillColor rgb="FFFF0000"/>
              <x14:axisColor rgb="FF000000"/>
            </x14:dataBar>
          </x14:cfRule>
          <xm:sqref>C46</xm:sqref>
        </x14:conditionalFormatting>
        <x14:conditionalFormatting xmlns:xm="http://schemas.microsoft.com/office/excel/2006/main">
          <x14:cfRule type="dataBar" id="{2B83E0A8-77DA-487D-8518-4B7CEAA9871D}">
            <x14:dataBar minLength="0" maxLength="100" gradient="0">
              <x14:cfvo type="autoMin"/>
              <x14:cfvo type="autoMax"/>
              <x14:negativeFillColor rgb="FFFF0000"/>
              <x14:axisColor rgb="FF000000"/>
            </x14:dataBar>
          </x14:cfRule>
          <x14:cfRule type="dataBar" id="{43AE063F-6FBA-4145-8E96-3B15FC0C4DF2}">
            <x14:dataBar minLength="0" maxLength="100" gradient="0">
              <x14:cfvo type="autoMin"/>
              <x14:cfvo type="autoMax"/>
              <x14:negativeFillColor rgb="FFFF0000"/>
              <x14:axisColor rgb="FF000000"/>
            </x14:dataBar>
          </x14:cfRule>
          <xm:sqref>C48:C51</xm:sqref>
        </x14:conditionalFormatting>
        <x14:conditionalFormatting xmlns:xm="http://schemas.microsoft.com/office/excel/2006/main">
          <x14:cfRule type="dataBar" id="{9CCAE4E3-3658-42DB-A94B-587DEEE27DF0}">
            <x14:dataBar minLength="0" maxLength="100" gradient="0">
              <x14:cfvo type="autoMin"/>
              <x14:cfvo type="autoMax"/>
              <x14:negativeFillColor rgb="FFFF0000"/>
              <x14:axisColor rgb="FF000000"/>
            </x14:dataBar>
          </x14:cfRule>
          <x14:cfRule type="dataBar" id="{B2DABE0F-7BA8-442A-B48E-1ECE74F6B597}">
            <x14:dataBar minLength="0" maxLength="100" gradient="0">
              <x14:cfvo type="autoMin"/>
              <x14:cfvo type="autoMax"/>
              <x14:negativeFillColor rgb="FFFF0000"/>
              <x14:axisColor rgb="FF000000"/>
            </x14:dataBar>
          </x14:cfRule>
          <xm:sqref>C53</xm:sqref>
        </x14:conditionalFormatting>
        <x14:conditionalFormatting xmlns:xm="http://schemas.microsoft.com/office/excel/2006/main">
          <x14:cfRule type="dataBar" id="{99192E55-FB06-435C-B408-7D30282A1F16}">
            <x14:dataBar minLength="0" maxLength="100" gradient="0">
              <x14:cfvo type="autoMin"/>
              <x14:cfvo type="autoMax"/>
              <x14:negativeFillColor rgb="FFFF0000"/>
              <x14:axisColor rgb="FF000000"/>
            </x14:dataBar>
          </x14:cfRule>
          <x14:cfRule type="dataBar" id="{03A9939A-9B3D-4529-BE0E-4E6837550A17}">
            <x14:dataBar minLength="0" maxLength="100" gradient="0">
              <x14:cfvo type="autoMin"/>
              <x14:cfvo type="autoMax"/>
              <x14:negativeFillColor rgb="FFFF0000"/>
              <x14:axisColor rgb="FF000000"/>
            </x14:dataBar>
          </x14:cfRule>
          <xm:sqref>C54:C58</xm:sqref>
        </x14:conditionalFormatting>
        <x14:conditionalFormatting xmlns:xm="http://schemas.microsoft.com/office/excel/2006/main">
          <x14:cfRule type="dataBar" id="{B8831BF6-9681-4498-A1F3-1954F48C6856}">
            <x14:dataBar minLength="0" maxLength="100" gradient="0">
              <x14:cfvo type="autoMin"/>
              <x14:cfvo type="autoMax"/>
              <x14:negativeFillColor rgb="FFFF0000"/>
              <x14:axisColor rgb="FF000000"/>
            </x14:dataBar>
          </x14:cfRule>
          <x14:cfRule type="dataBar" id="{7E1987A0-3211-4AC2-801D-3D223C64AEAA}">
            <x14:dataBar minLength="0" maxLength="100" gradient="0">
              <x14:cfvo type="autoMin"/>
              <x14:cfvo type="autoMax"/>
              <x14:negativeFillColor rgb="FFFF0000"/>
              <x14:axisColor rgb="FF000000"/>
            </x14:dataBar>
          </x14:cfRule>
          <xm:sqref>C60:C61</xm:sqref>
        </x14:conditionalFormatting>
        <x14:conditionalFormatting xmlns:xm="http://schemas.microsoft.com/office/excel/2006/main">
          <x14:cfRule type="dataBar" id="{329FB385-5BEA-4E80-BB5D-3A73CE41BBDA}">
            <x14:dataBar minLength="0" maxLength="100" gradient="0">
              <x14:cfvo type="autoMin"/>
              <x14:cfvo type="autoMax"/>
              <x14:negativeFillColor rgb="FFFF0000"/>
              <x14:axisColor rgb="FF000000"/>
            </x14:dataBar>
          </x14:cfRule>
          <x14:cfRule type="dataBar" id="{2EA7D65E-B8CA-499C-8421-2AC504B81EAC}">
            <x14:dataBar minLength="0" maxLength="100" gradient="0">
              <x14:cfvo type="autoMin"/>
              <x14:cfvo type="autoMax"/>
              <x14:negativeFillColor rgb="FFFF0000"/>
              <x14:axisColor rgb="FF000000"/>
            </x14:dataBar>
          </x14:cfRule>
          <xm:sqref>C63:C65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3"/>
  <sheetViews>
    <sheetView workbookViewId="0">
      <selection activeCell="F6" sqref="F6:F7"/>
    </sheetView>
  </sheetViews>
  <sheetFormatPr defaultColWidth="9" defaultRowHeight="14.5" x14ac:dyDescent="0.35"/>
  <cols>
    <col min="1" max="1" width="6" style="2" customWidth="1"/>
    <col min="2" max="2" width="34.453125" style="2" customWidth="1"/>
    <col min="3" max="3" width="16.453125" style="2" customWidth="1"/>
    <col min="4" max="4" width="16.1796875" style="2" customWidth="1"/>
    <col min="5" max="5" width="12.90625" style="2" customWidth="1"/>
    <col min="6" max="6" width="6.90625" style="2" customWidth="1"/>
    <col min="7" max="7" width="10.6328125" style="2" customWidth="1"/>
    <col min="8" max="8" width="8.36328125" style="2" customWidth="1"/>
    <col min="9" max="9" width="7.453125" style="2" customWidth="1"/>
    <col min="10" max="10" width="6.1796875" style="2" customWidth="1"/>
    <col min="11" max="11" width="9.81640625" style="2" customWidth="1"/>
    <col min="12" max="12" width="7.453125" style="2" customWidth="1"/>
    <col min="13" max="13" width="10.453125" style="2" customWidth="1"/>
    <col min="14" max="14" width="6.36328125" style="2" customWidth="1"/>
    <col min="15" max="15" width="10.453125" style="2" customWidth="1"/>
    <col min="16" max="16" width="6.36328125" style="2" customWidth="1"/>
    <col min="17" max="16384" width="9" style="2"/>
  </cols>
  <sheetData>
    <row r="1" spans="1:17" ht="34.25" customHeight="1" x14ac:dyDescent="0.35">
      <c r="A1" s="61" t="s">
        <v>39</v>
      </c>
      <c r="B1" s="63"/>
      <c r="C1" s="63"/>
      <c r="D1" s="63"/>
      <c r="E1" s="63"/>
      <c r="F1" s="63"/>
      <c r="G1" s="63"/>
      <c r="H1" s="63"/>
      <c r="I1" s="63"/>
      <c r="J1" s="63"/>
      <c r="K1" s="63"/>
      <c r="L1" s="63"/>
      <c r="M1" s="63"/>
      <c r="N1" s="63"/>
      <c r="O1" s="63"/>
      <c r="P1" s="63"/>
    </row>
    <row r="2" spans="1:17" s="3" customFormat="1" ht="22.75" customHeight="1" x14ac:dyDescent="0.4">
      <c r="A2" s="64" t="s">
        <v>1</v>
      </c>
      <c r="B2" s="65"/>
      <c r="E2" s="14"/>
      <c r="F2" s="14"/>
      <c r="G2" s="66" t="s">
        <v>2</v>
      </c>
      <c r="H2" s="66"/>
      <c r="I2" s="66"/>
      <c r="J2" s="66"/>
      <c r="K2" s="66"/>
      <c r="L2" s="66"/>
      <c r="M2" s="66"/>
      <c r="N2" s="66"/>
      <c r="O2" s="66"/>
      <c r="P2" s="66"/>
    </row>
    <row r="3" spans="1:17" s="3" customFormat="1" ht="15" customHeight="1" x14ac:dyDescent="0.35">
      <c r="A3" s="67" t="s">
        <v>40</v>
      </c>
      <c r="B3" s="67"/>
      <c r="C3" s="15"/>
      <c r="E3" s="16"/>
      <c r="F3" s="16"/>
      <c r="G3" s="61" t="s">
        <v>4</v>
      </c>
      <c r="H3" s="61"/>
      <c r="I3" s="61"/>
      <c r="J3" s="61"/>
      <c r="K3" s="61"/>
      <c r="L3" s="61"/>
      <c r="M3" s="61"/>
      <c r="N3" s="61"/>
      <c r="O3" s="61"/>
      <c r="P3" s="61"/>
    </row>
    <row r="4" spans="1:17" ht="35.4" customHeight="1" x14ac:dyDescent="0.35">
      <c r="A4" s="61" t="s">
        <v>41</v>
      </c>
      <c r="B4" s="62"/>
      <c r="C4" s="62"/>
      <c r="D4" s="62"/>
      <c r="E4" s="62"/>
      <c r="F4" s="62"/>
      <c r="G4" s="62"/>
      <c r="H4" s="62"/>
      <c r="I4" s="62"/>
      <c r="J4" s="62"/>
      <c r="K4" s="62"/>
      <c r="L4" s="62"/>
      <c r="M4" s="62"/>
      <c r="N4" s="62"/>
      <c r="O4" s="62"/>
      <c r="P4" s="62"/>
    </row>
    <row r="5" spans="1:17" ht="7.25" customHeight="1" x14ac:dyDescent="0.35">
      <c r="A5" s="50"/>
      <c r="B5" s="50"/>
      <c r="C5" s="50"/>
      <c r="D5" s="50"/>
      <c r="E5" s="50"/>
      <c r="F5" s="50"/>
      <c r="G5" s="50"/>
      <c r="H5" s="50"/>
      <c r="I5" s="50"/>
      <c r="J5" s="50"/>
      <c r="K5" s="50"/>
      <c r="L5" s="50"/>
      <c r="M5" s="50"/>
      <c r="N5" s="50"/>
      <c r="O5" s="50"/>
      <c r="P5" s="50"/>
    </row>
    <row r="6" spans="1:17" ht="22.75" customHeight="1" x14ac:dyDescent="0.35">
      <c r="A6" s="51" t="s">
        <v>6</v>
      </c>
      <c r="B6" s="51" t="s">
        <v>7</v>
      </c>
      <c r="C6" s="51" t="s">
        <v>8</v>
      </c>
      <c r="D6" s="51" t="s">
        <v>9</v>
      </c>
      <c r="E6" s="51" t="s">
        <v>10</v>
      </c>
      <c r="F6" s="51" t="s">
        <v>11</v>
      </c>
      <c r="G6" s="53" t="s">
        <v>12</v>
      </c>
      <c r="H6" s="55" t="s">
        <v>13</v>
      </c>
      <c r="I6" s="55" t="s">
        <v>14</v>
      </c>
      <c r="J6" s="57" t="s">
        <v>15</v>
      </c>
      <c r="K6" s="59" t="s">
        <v>16</v>
      </c>
      <c r="L6" s="60"/>
      <c r="M6" s="59" t="s">
        <v>17</v>
      </c>
      <c r="N6" s="60"/>
      <c r="O6" s="59" t="s">
        <v>18</v>
      </c>
      <c r="P6" s="60"/>
      <c r="Q6" s="3"/>
    </row>
    <row r="7" spans="1:17" ht="46.25" customHeight="1" x14ac:dyDescent="0.35">
      <c r="A7" s="52"/>
      <c r="B7" s="52"/>
      <c r="C7" s="52"/>
      <c r="D7" s="52"/>
      <c r="E7" s="52"/>
      <c r="F7" s="52"/>
      <c r="G7" s="54"/>
      <c r="H7" s="56"/>
      <c r="I7" s="56"/>
      <c r="J7" s="58"/>
      <c r="K7" s="9" t="s">
        <v>19</v>
      </c>
      <c r="L7" s="9" t="s">
        <v>20</v>
      </c>
      <c r="M7" s="9" t="s">
        <v>19</v>
      </c>
      <c r="N7" s="9" t="s">
        <v>20</v>
      </c>
      <c r="O7" s="9" t="s">
        <v>19</v>
      </c>
      <c r="P7" s="9" t="s">
        <v>20</v>
      </c>
      <c r="Q7" s="3"/>
    </row>
    <row r="8" spans="1:17" ht="112" x14ac:dyDescent="0.35">
      <c r="A8" s="21" t="s">
        <v>21</v>
      </c>
      <c r="B8" s="21" t="s">
        <v>22</v>
      </c>
      <c r="C8" s="21" t="s">
        <v>23</v>
      </c>
      <c r="D8" s="21" t="s">
        <v>24</v>
      </c>
      <c r="E8" s="21" t="s">
        <v>25</v>
      </c>
      <c r="F8" s="21" t="s">
        <v>26</v>
      </c>
      <c r="G8" s="21" t="s">
        <v>27</v>
      </c>
      <c r="H8" s="21" t="s">
        <v>28</v>
      </c>
      <c r="I8" s="21" t="s">
        <v>42</v>
      </c>
      <c r="J8" s="21" t="s">
        <v>30</v>
      </c>
      <c r="K8" s="21" t="s">
        <v>31</v>
      </c>
      <c r="L8" s="21" t="s">
        <v>32</v>
      </c>
      <c r="M8" s="21" t="s">
        <v>33</v>
      </c>
      <c r="N8" s="21" t="s">
        <v>34</v>
      </c>
      <c r="O8" s="21" t="s">
        <v>35</v>
      </c>
      <c r="P8" s="21" t="s">
        <v>36</v>
      </c>
    </row>
    <row r="9" spans="1:17" ht="15" x14ac:dyDescent="0.35">
      <c r="A9" s="10" t="s">
        <v>37</v>
      </c>
      <c r="B9" s="49" t="s">
        <v>43</v>
      </c>
      <c r="C9" s="49"/>
      <c r="D9" s="49"/>
      <c r="E9" s="49"/>
      <c r="F9" s="49"/>
      <c r="G9" s="49"/>
      <c r="H9" s="49"/>
      <c r="I9" s="49"/>
      <c r="J9" s="49"/>
      <c r="K9" s="49"/>
      <c r="L9" s="49"/>
      <c r="M9" s="49"/>
      <c r="N9" s="49"/>
      <c r="O9" s="49"/>
      <c r="P9" s="49"/>
    </row>
    <row r="10" spans="1:17" ht="15" x14ac:dyDescent="0.35">
      <c r="A10" s="11">
        <v>1</v>
      </c>
      <c r="B10" s="45" t="s">
        <v>44</v>
      </c>
      <c r="C10" s="45"/>
      <c r="D10" s="45"/>
      <c r="E10" s="45"/>
      <c r="F10" s="11">
        <f>SUM(F11:F14)</f>
        <v>23</v>
      </c>
      <c r="G10" s="12"/>
      <c r="H10" s="12"/>
      <c r="I10" s="12"/>
      <c r="J10" s="11">
        <f t="shared" ref="J10:P10" si="0">SUM(J11:J14)</f>
        <v>26</v>
      </c>
      <c r="K10" s="11">
        <f t="shared" si="0"/>
        <v>23</v>
      </c>
      <c r="L10" s="11">
        <f t="shared" si="0"/>
        <v>26</v>
      </c>
      <c r="M10" s="11">
        <f t="shared" si="0"/>
        <v>23</v>
      </c>
      <c r="N10" s="11">
        <f t="shared" si="0"/>
        <v>26</v>
      </c>
      <c r="O10" s="11">
        <f t="shared" si="0"/>
        <v>17.25</v>
      </c>
      <c r="P10" s="11">
        <f t="shared" si="0"/>
        <v>19.5</v>
      </c>
    </row>
    <row r="11" spans="1:17" ht="36" x14ac:dyDescent="0.35">
      <c r="A11" s="10" t="s">
        <v>45</v>
      </c>
      <c r="B11" s="17" t="s">
        <v>46</v>
      </c>
      <c r="C11" s="18" t="s">
        <v>47</v>
      </c>
      <c r="D11" s="18" t="s">
        <v>48</v>
      </c>
      <c r="E11" s="6" t="s">
        <v>49</v>
      </c>
      <c r="F11" s="10">
        <v>1</v>
      </c>
      <c r="G11" s="18" t="s">
        <v>50</v>
      </c>
      <c r="H11" s="10">
        <f>IF(G11="Khó và phức tạp",200,IF(G11="Cao",150,IF(G11="Trungbình",120,100)))</f>
        <v>200</v>
      </c>
      <c r="I11" s="10">
        <f>H11*0.01</f>
        <v>2</v>
      </c>
      <c r="J11" s="10">
        <f>F11*I11</f>
        <v>2</v>
      </c>
      <c r="K11" s="19">
        <f>F11*100%</f>
        <v>1</v>
      </c>
      <c r="L11" s="13">
        <f>K11*I11</f>
        <v>2</v>
      </c>
      <c r="M11" s="19">
        <f t="shared" ref="M11:M13" si="1">K11*100%</f>
        <v>1</v>
      </c>
      <c r="N11" s="13">
        <f>I11*M11</f>
        <v>2</v>
      </c>
      <c r="O11" s="19">
        <f>K11*75%</f>
        <v>0.75</v>
      </c>
      <c r="P11" s="13">
        <f>I11*O11</f>
        <v>1.5</v>
      </c>
    </row>
    <row r="12" spans="1:17" ht="31" x14ac:dyDescent="0.35">
      <c r="A12" s="10" t="s">
        <v>51</v>
      </c>
      <c r="B12" s="20" t="s">
        <v>52</v>
      </c>
      <c r="C12" s="18" t="s">
        <v>53</v>
      </c>
      <c r="D12" s="18" t="s">
        <v>54</v>
      </c>
      <c r="E12" s="6" t="s">
        <v>49</v>
      </c>
      <c r="F12" s="10">
        <v>2</v>
      </c>
      <c r="G12" s="18" t="s">
        <v>55</v>
      </c>
      <c r="H12" s="10">
        <f t="shared" ref="H12:H14" si="2">IF(G12="Khó và phức tạp",200,IF(G12="Cao",150,IF(G12="Trungbình",120,100)))</f>
        <v>100</v>
      </c>
      <c r="I12" s="10">
        <f t="shared" ref="I12:I14" si="3">H12*0.01</f>
        <v>1</v>
      </c>
      <c r="J12" s="10">
        <f t="shared" ref="J12:J14" si="4">F12*I12</f>
        <v>2</v>
      </c>
      <c r="K12" s="19">
        <f t="shared" ref="K12:K14" si="5">F12*100%</f>
        <v>2</v>
      </c>
      <c r="L12" s="13">
        <f t="shared" ref="L12:L14" si="6">K12*I12</f>
        <v>2</v>
      </c>
      <c r="M12" s="19">
        <f t="shared" si="1"/>
        <v>2</v>
      </c>
      <c r="N12" s="13">
        <f t="shared" ref="N12:N14" si="7">I12*M12</f>
        <v>2</v>
      </c>
      <c r="O12" s="19">
        <f t="shared" ref="O12:O13" si="8">K12*75%</f>
        <v>1.5</v>
      </c>
      <c r="P12" s="13">
        <f t="shared" ref="P12:P14" si="9">I12*O12</f>
        <v>1.5</v>
      </c>
    </row>
    <row r="13" spans="1:17" ht="46.5" x14ac:dyDescent="0.35">
      <c r="A13" s="10" t="s">
        <v>56</v>
      </c>
      <c r="B13" s="20" t="s">
        <v>52</v>
      </c>
      <c r="C13" s="18" t="s">
        <v>57</v>
      </c>
      <c r="D13" s="18" t="s">
        <v>58</v>
      </c>
      <c r="E13" s="6" t="s">
        <v>49</v>
      </c>
      <c r="F13" s="10">
        <v>4</v>
      </c>
      <c r="G13" s="18" t="s">
        <v>59</v>
      </c>
      <c r="H13" s="10">
        <f t="shared" si="2"/>
        <v>150</v>
      </c>
      <c r="I13" s="10">
        <f t="shared" si="3"/>
        <v>1.5</v>
      </c>
      <c r="J13" s="10">
        <f t="shared" si="4"/>
        <v>6</v>
      </c>
      <c r="K13" s="19">
        <f t="shared" si="5"/>
        <v>4</v>
      </c>
      <c r="L13" s="13">
        <f t="shared" si="6"/>
        <v>6</v>
      </c>
      <c r="M13" s="19">
        <f t="shared" si="1"/>
        <v>4</v>
      </c>
      <c r="N13" s="13">
        <f t="shared" si="7"/>
        <v>6</v>
      </c>
      <c r="O13" s="19">
        <f t="shared" si="8"/>
        <v>3</v>
      </c>
      <c r="P13" s="13">
        <f t="shared" si="9"/>
        <v>4.5</v>
      </c>
    </row>
    <row r="14" spans="1:17" ht="31" x14ac:dyDescent="0.35">
      <c r="A14" s="10" t="s">
        <v>60</v>
      </c>
      <c r="B14" s="20" t="s">
        <v>52</v>
      </c>
      <c r="C14" s="18" t="s">
        <v>61</v>
      </c>
      <c r="D14" s="18" t="s">
        <v>62</v>
      </c>
      <c r="E14" s="6" t="s">
        <v>49</v>
      </c>
      <c r="F14" s="10">
        <v>16</v>
      </c>
      <c r="G14" s="18" t="s">
        <v>63</v>
      </c>
      <c r="H14" s="10">
        <f t="shared" si="2"/>
        <v>100</v>
      </c>
      <c r="I14" s="10">
        <f t="shared" si="3"/>
        <v>1</v>
      </c>
      <c r="J14" s="10">
        <f t="shared" si="4"/>
        <v>16</v>
      </c>
      <c r="K14" s="19">
        <f t="shared" si="5"/>
        <v>16</v>
      </c>
      <c r="L14" s="13">
        <f t="shared" si="6"/>
        <v>16</v>
      </c>
      <c r="M14" s="19">
        <f>K14*100%</f>
        <v>16</v>
      </c>
      <c r="N14" s="13">
        <f t="shared" si="7"/>
        <v>16</v>
      </c>
      <c r="O14" s="19">
        <f>K14*75%</f>
        <v>12</v>
      </c>
      <c r="P14" s="13">
        <f t="shared" si="9"/>
        <v>12</v>
      </c>
    </row>
    <row r="15" spans="1:17" ht="15" x14ac:dyDescent="0.35">
      <c r="A15" s="11">
        <v>2</v>
      </c>
      <c r="B15" s="45" t="s">
        <v>64</v>
      </c>
      <c r="C15" s="45"/>
      <c r="D15" s="45"/>
      <c r="E15" s="45"/>
      <c r="F15" s="11">
        <f>SUM(F16:F17)</f>
        <v>0</v>
      </c>
      <c r="G15" s="12"/>
      <c r="H15" s="12"/>
      <c r="I15" s="12"/>
      <c r="J15" s="11">
        <f t="shared" ref="J15:P15" si="10">SUM(J16:J17)</f>
        <v>0</v>
      </c>
      <c r="K15" s="11">
        <f t="shared" si="10"/>
        <v>0</v>
      </c>
      <c r="L15" s="11">
        <f t="shared" si="10"/>
        <v>0</v>
      </c>
      <c r="M15" s="11">
        <f t="shared" si="10"/>
        <v>0</v>
      </c>
      <c r="N15" s="11">
        <f t="shared" si="10"/>
        <v>0</v>
      </c>
      <c r="O15" s="11">
        <f t="shared" si="10"/>
        <v>0</v>
      </c>
      <c r="P15" s="11">
        <f t="shared" si="10"/>
        <v>0</v>
      </c>
    </row>
    <row r="16" spans="1:17" ht="31" x14ac:dyDescent="0.35">
      <c r="A16" s="10"/>
      <c r="B16" s="20" t="s">
        <v>52</v>
      </c>
      <c r="C16" s="18" t="s">
        <v>47</v>
      </c>
      <c r="D16" s="18" t="s">
        <v>48</v>
      </c>
      <c r="E16" s="6" t="s">
        <v>49</v>
      </c>
      <c r="F16" s="10"/>
      <c r="G16" s="18" t="s">
        <v>50</v>
      </c>
      <c r="H16" s="10">
        <f>IF(G16="Khó và phức tạp",200,IF(G16="Cao",150,IF(G16="Trungbình",120,100)))</f>
        <v>200</v>
      </c>
      <c r="I16" s="10">
        <f>H16*0.01</f>
        <v>2</v>
      </c>
      <c r="J16" s="10">
        <f>F16*I16</f>
        <v>0</v>
      </c>
      <c r="K16" s="19">
        <f>F16*100%</f>
        <v>0</v>
      </c>
      <c r="L16" s="13">
        <f t="shared" ref="L16:L17" si="11">K16*I16</f>
        <v>0</v>
      </c>
      <c r="M16" s="7">
        <f>K16*75%</f>
        <v>0</v>
      </c>
      <c r="N16" s="13">
        <f>I16*M16</f>
        <v>0</v>
      </c>
      <c r="O16" s="19">
        <f>K16*100%</f>
        <v>0</v>
      </c>
      <c r="P16" s="13">
        <f>I16*O16</f>
        <v>0</v>
      </c>
    </row>
    <row r="17" spans="1:16" ht="31" x14ac:dyDescent="0.35">
      <c r="A17" s="10"/>
      <c r="B17" s="20" t="s">
        <v>52</v>
      </c>
      <c r="C17" s="18" t="s">
        <v>53</v>
      </c>
      <c r="D17" s="18" t="s">
        <v>65</v>
      </c>
      <c r="E17" s="6" t="s">
        <v>49</v>
      </c>
      <c r="F17" s="10"/>
      <c r="G17" s="18" t="s">
        <v>59</v>
      </c>
      <c r="H17" s="10">
        <f>IF(G17="Khó và phức tạp",200,IF(G17="Cao",150,IF(G17="Trungbình",120,100)))</f>
        <v>150</v>
      </c>
      <c r="I17" s="10">
        <f>H17*0.01</f>
        <v>1.5</v>
      </c>
      <c r="J17" s="10">
        <f>F17*I17</f>
        <v>0</v>
      </c>
      <c r="K17" s="19">
        <f>F17*100%</f>
        <v>0</v>
      </c>
      <c r="L17" s="13">
        <f t="shared" si="11"/>
        <v>0</v>
      </c>
      <c r="M17" s="7">
        <f>K17*75%</f>
        <v>0</v>
      </c>
      <c r="N17" s="13">
        <f>I17*M17</f>
        <v>0</v>
      </c>
      <c r="O17" s="19">
        <f>K17*100%</f>
        <v>0</v>
      </c>
      <c r="P17" s="13">
        <f>I17*O17</f>
        <v>0</v>
      </c>
    </row>
    <row r="18" spans="1:16" ht="15" x14ac:dyDescent="0.35">
      <c r="A18" s="11">
        <v>3</v>
      </c>
      <c r="B18" s="45" t="s">
        <v>66</v>
      </c>
      <c r="C18" s="45"/>
      <c r="D18" s="45"/>
      <c r="E18" s="45"/>
      <c r="F18" s="11">
        <f>SUM(F19:F20)</f>
        <v>0</v>
      </c>
      <c r="G18" s="12"/>
      <c r="H18" s="12"/>
      <c r="I18" s="12"/>
      <c r="J18" s="11">
        <f t="shared" ref="J18:P18" si="12">SUM(J19:J20)</f>
        <v>0</v>
      </c>
      <c r="K18" s="11">
        <f t="shared" si="12"/>
        <v>0</v>
      </c>
      <c r="L18" s="11">
        <f t="shared" si="12"/>
        <v>0</v>
      </c>
      <c r="M18" s="11">
        <f t="shared" si="12"/>
        <v>0</v>
      </c>
      <c r="N18" s="11">
        <f t="shared" si="12"/>
        <v>0</v>
      </c>
      <c r="O18" s="11">
        <f t="shared" si="12"/>
        <v>0</v>
      </c>
      <c r="P18" s="11">
        <f t="shared" si="12"/>
        <v>0</v>
      </c>
    </row>
    <row r="19" spans="1:16" ht="46.5" x14ac:dyDescent="0.35">
      <c r="A19" s="10"/>
      <c r="B19" s="20" t="s">
        <v>52</v>
      </c>
      <c r="C19" s="18" t="s">
        <v>57</v>
      </c>
      <c r="D19" s="18" t="s">
        <v>58</v>
      </c>
      <c r="E19" s="6" t="s">
        <v>49</v>
      </c>
      <c r="F19" s="10"/>
      <c r="G19" s="18" t="s">
        <v>59</v>
      </c>
      <c r="H19" s="10">
        <f>IF(G19="Khó và phức tạp",200,IF(G19="Cao",150,IF(G19="Trungbình",120,100)))</f>
        <v>150</v>
      </c>
      <c r="I19" s="10">
        <f>H19*0.01</f>
        <v>1.5</v>
      </c>
      <c r="J19" s="10">
        <f>F19*I19</f>
        <v>0</v>
      </c>
      <c r="K19" s="19">
        <f>F19*100%</f>
        <v>0</v>
      </c>
      <c r="L19" s="13">
        <f t="shared" ref="L19:L20" si="13">K19*I19</f>
        <v>0</v>
      </c>
      <c r="M19" s="7">
        <f>K19*75%</f>
        <v>0</v>
      </c>
      <c r="N19" s="13">
        <f>I19*M19</f>
        <v>0</v>
      </c>
      <c r="O19" s="19">
        <f>K19*100%</f>
        <v>0</v>
      </c>
      <c r="P19" s="13">
        <f>I19*O19</f>
        <v>0</v>
      </c>
    </row>
    <row r="20" spans="1:16" ht="46.5" x14ac:dyDescent="0.35">
      <c r="A20" s="10"/>
      <c r="B20" s="20" t="s">
        <v>52</v>
      </c>
      <c r="C20" s="18" t="s">
        <v>61</v>
      </c>
      <c r="D20" s="18" t="s">
        <v>58</v>
      </c>
      <c r="E20" s="6" t="s">
        <v>49</v>
      </c>
      <c r="F20" s="10"/>
      <c r="G20" s="18" t="s">
        <v>59</v>
      </c>
      <c r="H20" s="10">
        <f>IF(G20="Khó và phức tạp",200,IF(G20="Cao",150,IF(G20="Trungbình",120,100)))</f>
        <v>150</v>
      </c>
      <c r="I20" s="10">
        <f>H20*0.01</f>
        <v>1.5</v>
      </c>
      <c r="J20" s="10">
        <f>F20*I20</f>
        <v>0</v>
      </c>
      <c r="K20" s="19">
        <f>F20*100%</f>
        <v>0</v>
      </c>
      <c r="L20" s="13">
        <f t="shared" si="13"/>
        <v>0</v>
      </c>
      <c r="M20" s="7">
        <f>K20*75%</f>
        <v>0</v>
      </c>
      <c r="N20" s="13">
        <f>I20*M20</f>
        <v>0</v>
      </c>
      <c r="O20" s="19">
        <f>K20*100%</f>
        <v>0</v>
      </c>
      <c r="P20" s="13">
        <f>I20*O20</f>
        <v>0</v>
      </c>
    </row>
    <row r="21" spans="1:16" ht="15" x14ac:dyDescent="0.35">
      <c r="A21" s="11">
        <v>4</v>
      </c>
      <c r="B21" s="46" t="s">
        <v>67</v>
      </c>
      <c r="C21" s="46"/>
      <c r="D21" s="46"/>
      <c r="E21" s="46"/>
      <c r="F21" s="11">
        <f>SUM(F22:F27)</f>
        <v>0</v>
      </c>
      <c r="G21" s="12"/>
      <c r="H21" s="12"/>
      <c r="I21" s="12"/>
      <c r="J21" s="11">
        <f t="shared" ref="J21:P21" si="14">SUM(J22:J27)</f>
        <v>0</v>
      </c>
      <c r="K21" s="11">
        <f t="shared" si="14"/>
        <v>0</v>
      </c>
      <c r="L21" s="11">
        <f t="shared" si="14"/>
        <v>0</v>
      </c>
      <c r="M21" s="11">
        <f t="shared" si="14"/>
        <v>0</v>
      </c>
      <c r="N21" s="11">
        <f t="shared" si="14"/>
        <v>0</v>
      </c>
      <c r="O21" s="11">
        <f t="shared" si="14"/>
        <v>0</v>
      </c>
      <c r="P21" s="11">
        <f t="shared" si="14"/>
        <v>0</v>
      </c>
    </row>
    <row r="22" spans="1:16" ht="31" x14ac:dyDescent="0.35">
      <c r="A22" s="10"/>
      <c r="B22" s="20" t="s">
        <v>52</v>
      </c>
      <c r="C22" s="18" t="s">
        <v>68</v>
      </c>
      <c r="D22" s="18" t="s">
        <v>48</v>
      </c>
      <c r="E22" s="6" t="s">
        <v>49</v>
      </c>
      <c r="F22" s="10"/>
      <c r="G22" s="18" t="s">
        <v>50</v>
      </c>
      <c r="H22" s="10">
        <f t="shared" ref="H22:H27" si="15">IF(G22="Khó và phức tạp",200,IF(G22="Cao",150,IF(G22="Trungbình",120,100)))</f>
        <v>200</v>
      </c>
      <c r="I22" s="10">
        <f t="shared" ref="I22:I27" si="16">H22*0.01</f>
        <v>2</v>
      </c>
      <c r="J22" s="10">
        <f>F22*I22</f>
        <v>0</v>
      </c>
      <c r="K22" s="19">
        <f>F22*100%</f>
        <v>0</v>
      </c>
      <c r="L22" s="13">
        <f t="shared" ref="L22:L27" si="17">K22*I22</f>
        <v>0</v>
      </c>
      <c r="M22" s="7">
        <f>K22*75%</f>
        <v>0</v>
      </c>
      <c r="N22" s="13">
        <f>I22*M22</f>
        <v>0</v>
      </c>
      <c r="O22" s="19">
        <f>K22*100%</f>
        <v>0</v>
      </c>
      <c r="P22" s="13">
        <f>I22*O22</f>
        <v>0</v>
      </c>
    </row>
    <row r="23" spans="1:16" ht="31" x14ac:dyDescent="0.35">
      <c r="A23" s="18"/>
      <c r="B23" s="20" t="s">
        <v>52</v>
      </c>
      <c r="C23" s="18" t="s">
        <v>69</v>
      </c>
      <c r="D23" s="18" t="s">
        <v>48</v>
      </c>
      <c r="E23" s="6" t="s">
        <v>49</v>
      </c>
      <c r="F23" s="10"/>
      <c r="G23" s="18" t="s">
        <v>50</v>
      </c>
      <c r="H23" s="10">
        <f t="shared" si="15"/>
        <v>200</v>
      </c>
      <c r="I23" s="10">
        <f t="shared" si="16"/>
        <v>2</v>
      </c>
      <c r="J23" s="10">
        <f>F23*I23</f>
        <v>0</v>
      </c>
      <c r="K23" s="19">
        <f>F23*100%</f>
        <v>0</v>
      </c>
      <c r="L23" s="13">
        <f t="shared" si="17"/>
        <v>0</v>
      </c>
      <c r="M23" s="7">
        <f>K23*75%</f>
        <v>0</v>
      </c>
      <c r="N23" s="13">
        <f>I23*M23</f>
        <v>0</v>
      </c>
      <c r="O23" s="19">
        <f>K23*100%</f>
        <v>0</v>
      </c>
      <c r="P23" s="13">
        <f>I23*O23</f>
        <v>0</v>
      </c>
    </row>
    <row r="24" spans="1:16" ht="31" x14ac:dyDescent="0.35">
      <c r="A24" s="18"/>
      <c r="B24" s="20" t="s">
        <v>52</v>
      </c>
      <c r="C24" s="18" t="s">
        <v>70</v>
      </c>
      <c r="D24" s="18" t="s">
        <v>48</v>
      </c>
      <c r="E24" s="6" t="s">
        <v>49</v>
      </c>
      <c r="F24" s="10"/>
      <c r="G24" s="18" t="s">
        <v>50</v>
      </c>
      <c r="H24" s="10">
        <f t="shared" si="15"/>
        <v>200</v>
      </c>
      <c r="I24" s="10">
        <f t="shared" si="16"/>
        <v>2</v>
      </c>
      <c r="J24" s="10">
        <f>F24*I24</f>
        <v>0</v>
      </c>
      <c r="K24" s="19">
        <f>F24*100%</f>
        <v>0</v>
      </c>
      <c r="L24" s="13">
        <f t="shared" si="17"/>
        <v>0</v>
      </c>
      <c r="M24" s="7">
        <f>K24*75%</f>
        <v>0</v>
      </c>
      <c r="N24" s="13">
        <f>I24*M24</f>
        <v>0</v>
      </c>
      <c r="O24" s="19">
        <f>K24*100%</f>
        <v>0</v>
      </c>
      <c r="P24" s="13">
        <f>I24*O24</f>
        <v>0</v>
      </c>
    </row>
    <row r="25" spans="1:16" ht="31" x14ac:dyDescent="0.35">
      <c r="A25" s="18"/>
      <c r="B25" s="20" t="s">
        <v>52</v>
      </c>
      <c r="C25" s="18" t="s">
        <v>71</v>
      </c>
      <c r="D25" s="18" t="s">
        <v>48</v>
      </c>
      <c r="E25" s="6" t="s">
        <v>49</v>
      </c>
      <c r="F25" s="10"/>
      <c r="G25" s="18" t="s">
        <v>50</v>
      </c>
      <c r="H25" s="10">
        <f t="shared" si="15"/>
        <v>200</v>
      </c>
      <c r="I25" s="10">
        <f t="shared" si="16"/>
        <v>2</v>
      </c>
      <c r="J25" s="10">
        <f>F25*I25</f>
        <v>0</v>
      </c>
      <c r="K25" s="19">
        <f>F25*100%</f>
        <v>0</v>
      </c>
      <c r="L25" s="13">
        <f t="shared" si="17"/>
        <v>0</v>
      </c>
      <c r="M25" s="7">
        <f>K25*75%</f>
        <v>0</v>
      </c>
      <c r="N25" s="13">
        <f>I25*M25</f>
        <v>0</v>
      </c>
      <c r="O25" s="19">
        <f>K25*100%</f>
        <v>0</v>
      </c>
      <c r="P25" s="13">
        <f>I25*O25</f>
        <v>0</v>
      </c>
    </row>
    <row r="26" spans="1:16" ht="31" x14ac:dyDescent="0.35">
      <c r="A26" s="18"/>
      <c r="B26" s="20" t="s">
        <v>52</v>
      </c>
      <c r="C26" s="18" t="s">
        <v>72</v>
      </c>
      <c r="D26" s="18" t="s">
        <v>48</v>
      </c>
      <c r="E26" s="6" t="s">
        <v>49</v>
      </c>
      <c r="F26" s="10"/>
      <c r="G26" s="18" t="s">
        <v>50</v>
      </c>
      <c r="H26" s="10">
        <f t="shared" si="15"/>
        <v>200</v>
      </c>
      <c r="I26" s="10">
        <f t="shared" si="16"/>
        <v>2</v>
      </c>
      <c r="J26" s="10">
        <f t="shared" ref="J26:J27" si="18">F26*I26</f>
        <v>0</v>
      </c>
      <c r="K26" s="19">
        <f t="shared" ref="K26:K27" si="19">F26*100%</f>
        <v>0</v>
      </c>
      <c r="L26" s="13">
        <f t="shared" si="17"/>
        <v>0</v>
      </c>
      <c r="M26" s="7">
        <f t="shared" ref="M26:M27" si="20">K26*75%</f>
        <v>0</v>
      </c>
      <c r="N26" s="13">
        <f t="shared" ref="N26:N27" si="21">I26*M26</f>
        <v>0</v>
      </c>
      <c r="O26" s="19">
        <f t="shared" ref="O26:O27" si="22">K26*100%</f>
        <v>0</v>
      </c>
      <c r="P26" s="13">
        <f t="shared" ref="P26:P27" si="23">I26*O26</f>
        <v>0</v>
      </c>
    </row>
    <row r="27" spans="1:16" ht="31" x14ac:dyDescent="0.35">
      <c r="A27" s="18"/>
      <c r="B27" s="20" t="s">
        <v>52</v>
      </c>
      <c r="C27" s="18" t="s">
        <v>73</v>
      </c>
      <c r="D27" s="18" t="s">
        <v>48</v>
      </c>
      <c r="E27" s="6" t="s">
        <v>49</v>
      </c>
      <c r="F27" s="10"/>
      <c r="G27" s="18" t="s">
        <v>50</v>
      </c>
      <c r="H27" s="10">
        <f t="shared" si="15"/>
        <v>200</v>
      </c>
      <c r="I27" s="10">
        <f t="shared" si="16"/>
        <v>2</v>
      </c>
      <c r="J27" s="10">
        <f t="shared" si="18"/>
        <v>0</v>
      </c>
      <c r="K27" s="19">
        <f t="shared" si="19"/>
        <v>0</v>
      </c>
      <c r="L27" s="13">
        <f t="shared" si="17"/>
        <v>0</v>
      </c>
      <c r="M27" s="7">
        <f t="shared" si="20"/>
        <v>0</v>
      </c>
      <c r="N27" s="13">
        <f t="shared" si="21"/>
        <v>0</v>
      </c>
      <c r="O27" s="19">
        <f t="shared" si="22"/>
        <v>0</v>
      </c>
      <c r="P27" s="13">
        <f t="shared" si="23"/>
        <v>0</v>
      </c>
    </row>
    <row r="28" spans="1:16" ht="15" x14ac:dyDescent="0.35">
      <c r="A28" s="11">
        <v>5</v>
      </c>
      <c r="B28" s="45" t="s">
        <v>74</v>
      </c>
      <c r="C28" s="45"/>
      <c r="D28" s="45"/>
      <c r="E28" s="45"/>
      <c r="F28" s="11">
        <f>SUM(F29:F34)</f>
        <v>0</v>
      </c>
      <c r="G28" s="12"/>
      <c r="H28" s="12"/>
      <c r="I28" s="12"/>
      <c r="J28" s="11">
        <f t="shared" ref="J28:P28" si="24">SUM(J29:J34)</f>
        <v>0</v>
      </c>
      <c r="K28" s="11">
        <f t="shared" si="24"/>
        <v>0</v>
      </c>
      <c r="L28" s="11">
        <f t="shared" si="24"/>
        <v>0</v>
      </c>
      <c r="M28" s="11">
        <f t="shared" si="24"/>
        <v>0</v>
      </c>
      <c r="N28" s="11">
        <f t="shared" si="24"/>
        <v>0</v>
      </c>
      <c r="O28" s="11">
        <f t="shared" si="24"/>
        <v>0</v>
      </c>
      <c r="P28" s="11">
        <f t="shared" si="24"/>
        <v>0</v>
      </c>
    </row>
    <row r="29" spans="1:16" ht="31" x14ac:dyDescent="0.35">
      <c r="A29" s="10"/>
      <c r="B29" s="20" t="s">
        <v>52</v>
      </c>
      <c r="C29" s="18" t="s">
        <v>68</v>
      </c>
      <c r="D29" s="18" t="s">
        <v>48</v>
      </c>
      <c r="E29" s="6" t="s">
        <v>49</v>
      </c>
      <c r="F29" s="10"/>
      <c r="G29" s="18" t="s">
        <v>50</v>
      </c>
      <c r="H29" s="10">
        <f t="shared" ref="H29:H34" si="25">IF(G29="Khó và phức tạp",200,IF(G29="Cao",150,IF(G29="Trungbình",120,100)))</f>
        <v>200</v>
      </c>
      <c r="I29" s="10">
        <f t="shared" ref="I29:I34" si="26">H29*0.01</f>
        <v>2</v>
      </c>
      <c r="J29" s="10">
        <f t="shared" ref="J29:J34" si="27">F29*I29</f>
        <v>0</v>
      </c>
      <c r="K29" s="19">
        <f t="shared" ref="K29:K34" si="28">F29*100%</f>
        <v>0</v>
      </c>
      <c r="L29" s="13">
        <f t="shared" ref="L29:L34" si="29">K29*I29</f>
        <v>0</v>
      </c>
      <c r="M29" s="7">
        <f t="shared" ref="M29:M34" si="30">K29*75%</f>
        <v>0</v>
      </c>
      <c r="N29" s="13">
        <f t="shared" ref="N29:N34" si="31">I29*M29</f>
        <v>0</v>
      </c>
      <c r="O29" s="19">
        <f t="shared" ref="O29:O34" si="32">K29*100%</f>
        <v>0</v>
      </c>
      <c r="P29" s="13">
        <f t="shared" ref="P29:P34" si="33">I29*O29</f>
        <v>0</v>
      </c>
    </row>
    <row r="30" spans="1:16" ht="31" x14ac:dyDescent="0.35">
      <c r="A30" s="18"/>
      <c r="B30" s="20" t="s">
        <v>52</v>
      </c>
      <c r="C30" s="18" t="s">
        <v>69</v>
      </c>
      <c r="D30" s="18" t="s">
        <v>48</v>
      </c>
      <c r="E30" s="6" t="s">
        <v>49</v>
      </c>
      <c r="F30" s="10"/>
      <c r="G30" s="18" t="s">
        <v>50</v>
      </c>
      <c r="H30" s="10">
        <f t="shared" si="25"/>
        <v>200</v>
      </c>
      <c r="I30" s="10">
        <f t="shared" si="26"/>
        <v>2</v>
      </c>
      <c r="J30" s="10">
        <f t="shared" si="27"/>
        <v>0</v>
      </c>
      <c r="K30" s="19">
        <f t="shared" si="28"/>
        <v>0</v>
      </c>
      <c r="L30" s="13">
        <f t="shared" si="29"/>
        <v>0</v>
      </c>
      <c r="M30" s="7">
        <f t="shared" si="30"/>
        <v>0</v>
      </c>
      <c r="N30" s="13">
        <f t="shared" si="31"/>
        <v>0</v>
      </c>
      <c r="O30" s="19">
        <f t="shared" si="32"/>
        <v>0</v>
      </c>
      <c r="P30" s="13">
        <f t="shared" si="33"/>
        <v>0</v>
      </c>
    </row>
    <row r="31" spans="1:16" ht="31" x14ac:dyDescent="0.35">
      <c r="A31" s="18"/>
      <c r="B31" s="20" t="s">
        <v>52</v>
      </c>
      <c r="C31" s="18" t="s">
        <v>70</v>
      </c>
      <c r="D31" s="18" t="s">
        <v>48</v>
      </c>
      <c r="E31" s="6" t="s">
        <v>49</v>
      </c>
      <c r="F31" s="10"/>
      <c r="G31" s="18" t="s">
        <v>50</v>
      </c>
      <c r="H31" s="10">
        <f t="shared" si="25"/>
        <v>200</v>
      </c>
      <c r="I31" s="10">
        <f t="shared" si="26"/>
        <v>2</v>
      </c>
      <c r="J31" s="10">
        <f t="shared" si="27"/>
        <v>0</v>
      </c>
      <c r="K31" s="19">
        <f t="shared" si="28"/>
        <v>0</v>
      </c>
      <c r="L31" s="13">
        <f t="shared" si="29"/>
        <v>0</v>
      </c>
      <c r="M31" s="7">
        <f t="shared" si="30"/>
        <v>0</v>
      </c>
      <c r="N31" s="13">
        <f t="shared" si="31"/>
        <v>0</v>
      </c>
      <c r="O31" s="19">
        <f t="shared" si="32"/>
        <v>0</v>
      </c>
      <c r="P31" s="13">
        <f t="shared" si="33"/>
        <v>0</v>
      </c>
    </row>
    <row r="32" spans="1:16" ht="31" x14ac:dyDescent="0.35">
      <c r="A32" s="18"/>
      <c r="B32" s="20" t="s">
        <v>52</v>
      </c>
      <c r="C32" s="18" t="s">
        <v>71</v>
      </c>
      <c r="D32" s="18" t="s">
        <v>48</v>
      </c>
      <c r="E32" s="6" t="s">
        <v>49</v>
      </c>
      <c r="F32" s="10"/>
      <c r="G32" s="18" t="s">
        <v>50</v>
      </c>
      <c r="H32" s="10">
        <f t="shared" si="25"/>
        <v>200</v>
      </c>
      <c r="I32" s="10">
        <f t="shared" si="26"/>
        <v>2</v>
      </c>
      <c r="J32" s="10">
        <f t="shared" si="27"/>
        <v>0</v>
      </c>
      <c r="K32" s="19">
        <f t="shared" si="28"/>
        <v>0</v>
      </c>
      <c r="L32" s="13">
        <f t="shared" si="29"/>
        <v>0</v>
      </c>
      <c r="M32" s="7">
        <f t="shared" si="30"/>
        <v>0</v>
      </c>
      <c r="N32" s="13">
        <f t="shared" si="31"/>
        <v>0</v>
      </c>
      <c r="O32" s="19">
        <f t="shared" si="32"/>
        <v>0</v>
      </c>
      <c r="P32" s="13">
        <f t="shared" si="33"/>
        <v>0</v>
      </c>
    </row>
    <row r="33" spans="1:16" ht="31" x14ac:dyDescent="0.35">
      <c r="A33" s="18"/>
      <c r="B33" s="20" t="s">
        <v>52</v>
      </c>
      <c r="C33" s="18" t="s">
        <v>72</v>
      </c>
      <c r="D33" s="18" t="s">
        <v>48</v>
      </c>
      <c r="E33" s="6" t="s">
        <v>49</v>
      </c>
      <c r="F33" s="10"/>
      <c r="G33" s="18" t="s">
        <v>50</v>
      </c>
      <c r="H33" s="10">
        <f t="shared" si="25"/>
        <v>200</v>
      </c>
      <c r="I33" s="10">
        <f t="shared" si="26"/>
        <v>2</v>
      </c>
      <c r="J33" s="10">
        <f t="shared" si="27"/>
        <v>0</v>
      </c>
      <c r="K33" s="19">
        <f t="shared" si="28"/>
        <v>0</v>
      </c>
      <c r="L33" s="13">
        <f t="shared" si="29"/>
        <v>0</v>
      </c>
      <c r="M33" s="7">
        <f t="shared" si="30"/>
        <v>0</v>
      </c>
      <c r="N33" s="13">
        <f t="shared" si="31"/>
        <v>0</v>
      </c>
      <c r="O33" s="19">
        <f t="shared" si="32"/>
        <v>0</v>
      </c>
      <c r="P33" s="13">
        <f t="shared" si="33"/>
        <v>0</v>
      </c>
    </row>
    <row r="34" spans="1:16" ht="31" x14ac:dyDescent="0.35">
      <c r="A34" s="18"/>
      <c r="B34" s="20" t="s">
        <v>52</v>
      </c>
      <c r="C34" s="18" t="s">
        <v>73</v>
      </c>
      <c r="D34" s="18" t="s">
        <v>48</v>
      </c>
      <c r="E34" s="6" t="s">
        <v>49</v>
      </c>
      <c r="F34" s="10"/>
      <c r="G34" s="18" t="s">
        <v>50</v>
      </c>
      <c r="H34" s="10">
        <f t="shared" si="25"/>
        <v>200</v>
      </c>
      <c r="I34" s="10">
        <f t="shared" si="26"/>
        <v>2</v>
      </c>
      <c r="J34" s="10">
        <f t="shared" si="27"/>
        <v>0</v>
      </c>
      <c r="K34" s="19">
        <f t="shared" si="28"/>
        <v>0</v>
      </c>
      <c r="L34" s="13">
        <f t="shared" si="29"/>
        <v>0</v>
      </c>
      <c r="M34" s="7">
        <f t="shared" si="30"/>
        <v>0</v>
      </c>
      <c r="N34" s="13">
        <f t="shared" si="31"/>
        <v>0</v>
      </c>
      <c r="O34" s="19">
        <f t="shared" si="32"/>
        <v>0</v>
      </c>
      <c r="P34" s="13">
        <f t="shared" si="33"/>
        <v>0</v>
      </c>
    </row>
    <row r="35" spans="1:16" ht="15" x14ac:dyDescent="0.35">
      <c r="A35" s="11">
        <v>6</v>
      </c>
      <c r="B35" s="47" t="s">
        <v>75</v>
      </c>
      <c r="C35" s="48"/>
      <c r="D35" s="48"/>
      <c r="E35" s="48"/>
      <c r="F35" s="11">
        <f>SUM(F36:F37)</f>
        <v>0</v>
      </c>
      <c r="G35" s="12"/>
      <c r="H35" s="12"/>
      <c r="I35" s="12"/>
      <c r="J35" s="11">
        <f t="shared" ref="J35:P35" si="34">SUM(J36:J37)</f>
        <v>0</v>
      </c>
      <c r="K35" s="11">
        <f t="shared" si="34"/>
        <v>0</v>
      </c>
      <c r="L35" s="11">
        <f t="shared" si="34"/>
        <v>0</v>
      </c>
      <c r="M35" s="11">
        <f t="shared" si="34"/>
        <v>0</v>
      </c>
      <c r="N35" s="11">
        <f t="shared" si="34"/>
        <v>0</v>
      </c>
      <c r="O35" s="11">
        <f t="shared" si="34"/>
        <v>0</v>
      </c>
      <c r="P35" s="11">
        <f t="shared" si="34"/>
        <v>0</v>
      </c>
    </row>
    <row r="36" spans="1:16" ht="31" x14ac:dyDescent="0.35">
      <c r="A36" s="10"/>
      <c r="B36" s="20" t="s">
        <v>52</v>
      </c>
      <c r="C36" s="18" t="s">
        <v>68</v>
      </c>
      <c r="D36" s="18" t="s">
        <v>48</v>
      </c>
      <c r="E36" s="6" t="s">
        <v>49</v>
      </c>
      <c r="F36" s="10"/>
      <c r="G36" s="18" t="s">
        <v>50</v>
      </c>
      <c r="H36" s="10">
        <f>IF(G36="Khó và phức tạp",200,IF(G36="Cao",150,IF(G36="Trungbình",120,100)))</f>
        <v>200</v>
      </c>
      <c r="I36" s="10">
        <f>H36*0.01</f>
        <v>2</v>
      </c>
      <c r="J36" s="10">
        <f t="shared" ref="J36:J37" si="35">F36*I36</f>
        <v>0</v>
      </c>
      <c r="K36" s="19">
        <f t="shared" ref="K36:K37" si="36">F36*100%</f>
        <v>0</v>
      </c>
      <c r="L36" s="13">
        <f t="shared" ref="L36:L37" si="37">K36*I36</f>
        <v>0</v>
      </c>
      <c r="M36" s="7">
        <f t="shared" ref="M36:M37" si="38">K36*75%</f>
        <v>0</v>
      </c>
      <c r="N36" s="13">
        <f t="shared" ref="N36:N37" si="39">I36*M36</f>
        <v>0</v>
      </c>
      <c r="O36" s="19">
        <f t="shared" ref="O36:O37" si="40">K36*100%</f>
        <v>0</v>
      </c>
      <c r="P36" s="13">
        <f t="shared" ref="P36:P37" si="41">I36*O36</f>
        <v>0</v>
      </c>
    </row>
    <row r="37" spans="1:16" ht="31" x14ac:dyDescent="0.35">
      <c r="A37" s="18"/>
      <c r="B37" s="20" t="s">
        <v>52</v>
      </c>
      <c r="C37" s="18" t="s">
        <v>69</v>
      </c>
      <c r="D37" s="18" t="s">
        <v>48</v>
      </c>
      <c r="E37" s="6" t="s">
        <v>49</v>
      </c>
      <c r="F37" s="10"/>
      <c r="G37" s="18" t="s">
        <v>50</v>
      </c>
      <c r="H37" s="10">
        <f>IF(G37="Khó và phức tạp",200,IF(G37="Cao",150,IF(G37="Trungbình",120,100)))</f>
        <v>200</v>
      </c>
      <c r="I37" s="10">
        <f>H37*0.01</f>
        <v>2</v>
      </c>
      <c r="J37" s="10">
        <f t="shared" si="35"/>
        <v>0</v>
      </c>
      <c r="K37" s="19">
        <f t="shared" si="36"/>
        <v>0</v>
      </c>
      <c r="L37" s="13">
        <f t="shared" si="37"/>
        <v>0</v>
      </c>
      <c r="M37" s="7">
        <f t="shared" si="38"/>
        <v>0</v>
      </c>
      <c r="N37" s="13">
        <f t="shared" si="39"/>
        <v>0</v>
      </c>
      <c r="O37" s="19">
        <f t="shared" si="40"/>
        <v>0</v>
      </c>
      <c r="P37" s="13">
        <f t="shared" si="41"/>
        <v>0</v>
      </c>
    </row>
    <row r="38" spans="1:16" ht="15" x14ac:dyDescent="0.35">
      <c r="A38" s="11" t="s">
        <v>76</v>
      </c>
      <c r="B38" s="39" t="s">
        <v>77</v>
      </c>
      <c r="C38" s="40"/>
      <c r="D38" s="40"/>
      <c r="E38" s="40"/>
      <c r="F38" s="11">
        <f>SUM(F39:F41)</f>
        <v>0</v>
      </c>
      <c r="G38" s="12"/>
      <c r="H38" s="12"/>
      <c r="I38" s="12"/>
      <c r="J38" s="11">
        <f t="shared" ref="J38:P38" si="42">SUM(J39:J41)</f>
        <v>0</v>
      </c>
      <c r="K38" s="11">
        <f t="shared" si="42"/>
        <v>0</v>
      </c>
      <c r="L38" s="11">
        <f t="shared" si="42"/>
        <v>0</v>
      </c>
      <c r="M38" s="11">
        <f t="shared" si="42"/>
        <v>0</v>
      </c>
      <c r="N38" s="11">
        <f t="shared" si="42"/>
        <v>0</v>
      </c>
      <c r="O38" s="11">
        <f t="shared" si="42"/>
        <v>0</v>
      </c>
      <c r="P38" s="11">
        <f t="shared" si="42"/>
        <v>0</v>
      </c>
    </row>
    <row r="39" spans="1:16" ht="31" x14ac:dyDescent="0.35">
      <c r="A39" s="18">
        <v>1</v>
      </c>
      <c r="B39" s="20"/>
      <c r="C39" s="18" t="s">
        <v>47</v>
      </c>
      <c r="D39" s="18" t="s">
        <v>48</v>
      </c>
      <c r="E39" s="6" t="s">
        <v>49</v>
      </c>
      <c r="F39" s="10"/>
      <c r="G39" s="18" t="s">
        <v>50</v>
      </c>
      <c r="H39" s="10">
        <f>IF(G39="Khó và phức tạp",200,IF(G39="Cao",150,IF(G39="Trungbình",120,100)))</f>
        <v>200</v>
      </c>
      <c r="I39" s="10">
        <f>H39*0.01</f>
        <v>2</v>
      </c>
      <c r="J39" s="10">
        <f t="shared" ref="J39:J41" si="43">F39*I39</f>
        <v>0</v>
      </c>
      <c r="K39" s="19">
        <f t="shared" ref="K39:K41" si="44">F39*100%</f>
        <v>0</v>
      </c>
      <c r="L39" s="13">
        <f t="shared" ref="L39:L41" si="45">K39*I39</f>
        <v>0</v>
      </c>
      <c r="M39" s="7">
        <f t="shared" ref="M39:M41" si="46">K39*75%</f>
        <v>0</v>
      </c>
      <c r="N39" s="13">
        <f t="shared" ref="N39:N41" si="47">I39*M39</f>
        <v>0</v>
      </c>
      <c r="O39" s="19">
        <f t="shared" ref="O39:O41" si="48">K39*100%</f>
        <v>0</v>
      </c>
      <c r="P39" s="13">
        <f t="shared" ref="P39:P41" si="49">I39*O39</f>
        <v>0</v>
      </c>
    </row>
    <row r="40" spans="1:16" ht="31" x14ac:dyDescent="0.35">
      <c r="A40" s="18">
        <v>2</v>
      </c>
      <c r="B40" s="20"/>
      <c r="C40" s="18" t="s">
        <v>68</v>
      </c>
      <c r="D40" s="18" t="s">
        <v>48</v>
      </c>
      <c r="E40" s="6" t="s">
        <v>49</v>
      </c>
      <c r="F40" s="10"/>
      <c r="G40" s="18" t="s">
        <v>50</v>
      </c>
      <c r="H40" s="10">
        <f>IF(G40="Khó và phức tạp",200,IF(G40="Cao",150,IF(G40="Trungbình",120,100)))</f>
        <v>200</v>
      </c>
      <c r="I40" s="10">
        <f>H40*0.01</f>
        <v>2</v>
      </c>
      <c r="J40" s="10">
        <f t="shared" si="43"/>
        <v>0</v>
      </c>
      <c r="K40" s="19">
        <f t="shared" si="44"/>
        <v>0</v>
      </c>
      <c r="L40" s="13">
        <f t="shared" si="45"/>
        <v>0</v>
      </c>
      <c r="M40" s="7">
        <f t="shared" si="46"/>
        <v>0</v>
      </c>
      <c r="N40" s="13">
        <f t="shared" si="47"/>
        <v>0</v>
      </c>
      <c r="O40" s="19">
        <f t="shared" si="48"/>
        <v>0</v>
      </c>
      <c r="P40" s="13">
        <f t="shared" si="49"/>
        <v>0</v>
      </c>
    </row>
    <row r="41" spans="1:16" ht="31" x14ac:dyDescent="0.35">
      <c r="A41" s="18" t="s">
        <v>52</v>
      </c>
      <c r="B41" s="20"/>
      <c r="C41" s="18" t="s">
        <v>69</v>
      </c>
      <c r="D41" s="18" t="s">
        <v>48</v>
      </c>
      <c r="E41" s="6" t="s">
        <v>49</v>
      </c>
      <c r="F41" s="10"/>
      <c r="G41" s="18" t="s">
        <v>50</v>
      </c>
      <c r="H41" s="10">
        <f>IF(G41="Khó và phức tạp",200,IF(G41="Cao",150,IF(G41="Trungbình",120,100)))</f>
        <v>200</v>
      </c>
      <c r="I41" s="10">
        <f>H41*0.01</f>
        <v>2</v>
      </c>
      <c r="J41" s="10">
        <f t="shared" si="43"/>
        <v>0</v>
      </c>
      <c r="K41" s="19">
        <f t="shared" si="44"/>
        <v>0</v>
      </c>
      <c r="L41" s="13">
        <f t="shared" si="45"/>
        <v>0</v>
      </c>
      <c r="M41" s="7">
        <f t="shared" si="46"/>
        <v>0</v>
      </c>
      <c r="N41" s="13">
        <f t="shared" si="47"/>
        <v>0</v>
      </c>
      <c r="O41" s="19">
        <f t="shared" si="48"/>
        <v>0</v>
      </c>
      <c r="P41" s="13">
        <f t="shared" si="49"/>
        <v>0</v>
      </c>
    </row>
    <row r="42" spans="1:16" ht="15.5" x14ac:dyDescent="0.35">
      <c r="B42" s="41"/>
      <c r="C42" s="41"/>
      <c r="D42" s="41"/>
      <c r="E42" s="41"/>
      <c r="F42" s="41"/>
      <c r="G42" s="41"/>
      <c r="H42" s="41"/>
      <c r="I42" s="41"/>
      <c r="J42" s="41"/>
      <c r="K42" s="41"/>
      <c r="L42" s="41"/>
      <c r="M42" s="41"/>
      <c r="N42" s="41"/>
      <c r="O42" s="41"/>
      <c r="P42" s="41"/>
    </row>
    <row r="43" spans="1:16" s="3" customFormat="1" ht="105" customHeight="1" x14ac:dyDescent="0.35">
      <c r="A43" s="42" t="s">
        <v>78</v>
      </c>
      <c r="B43" s="42"/>
      <c r="C43" s="42"/>
      <c r="D43" s="8"/>
      <c r="G43" s="43" t="s">
        <v>79</v>
      </c>
      <c r="H43" s="43"/>
      <c r="I43" s="43"/>
      <c r="J43" s="43"/>
      <c r="K43" s="43"/>
      <c r="L43" s="44"/>
      <c r="M43" s="44"/>
      <c r="N43" s="44"/>
      <c r="O43" s="44"/>
      <c r="P43" s="44"/>
    </row>
  </sheetData>
  <mergeCells count="31">
    <mergeCell ref="A4:P4"/>
    <mergeCell ref="A1:P1"/>
    <mergeCell ref="A2:B2"/>
    <mergeCell ref="G2:P2"/>
    <mergeCell ref="A3:B3"/>
    <mergeCell ref="G3:P3"/>
    <mergeCell ref="B9:P9"/>
    <mergeCell ref="A5:P5"/>
    <mergeCell ref="A6:A7"/>
    <mergeCell ref="B6:B7"/>
    <mergeCell ref="C6:C7"/>
    <mergeCell ref="D6:D7"/>
    <mergeCell ref="E6:E7"/>
    <mergeCell ref="F6:F7"/>
    <mergeCell ref="G6:G7"/>
    <mergeCell ref="H6:H7"/>
    <mergeCell ref="I6:I7"/>
    <mergeCell ref="J6:J7"/>
    <mergeCell ref="K6:L6"/>
    <mergeCell ref="M6:N6"/>
    <mergeCell ref="O6:P6"/>
    <mergeCell ref="B38:E38"/>
    <mergeCell ref="B42:P42"/>
    <mergeCell ref="A43:C43"/>
    <mergeCell ref="G43:P43"/>
    <mergeCell ref="B10:E10"/>
    <mergeCell ref="B15:E15"/>
    <mergeCell ref="B18:E18"/>
    <mergeCell ref="B21:E21"/>
    <mergeCell ref="B28:E28"/>
    <mergeCell ref="B35:E35"/>
  </mergeCells>
  <conditionalFormatting sqref="C11:C14">
    <cfRule type="dataBar" priority="9">
      <dataBar>
        <cfvo type="min"/>
        <cfvo type="max"/>
        <color rgb="FF638EC6"/>
      </dataBar>
      <extLst>
        <ext xmlns:x14="http://schemas.microsoft.com/office/spreadsheetml/2009/9/main" uri="{B025F937-C7B1-47D3-B67F-A62EFF666E3E}">
          <x14:id>{E3F63EB6-3757-41D5-9B41-E8F3A86A46DA}</x14:id>
        </ext>
      </extLst>
    </cfRule>
    <cfRule type="dataBar" priority="10">
      <dataBar>
        <cfvo type="min"/>
        <cfvo type="max"/>
        <color rgb="FF638EC6"/>
      </dataBar>
      <extLst>
        <ext xmlns:x14="http://schemas.microsoft.com/office/spreadsheetml/2009/9/main" uri="{B025F937-C7B1-47D3-B67F-A62EFF666E3E}">
          <x14:id>{B02C0568-0B95-438E-8F0F-8304F73B5A78}</x14:id>
        </ext>
      </extLst>
    </cfRule>
  </conditionalFormatting>
  <conditionalFormatting sqref="C16:C17">
    <cfRule type="dataBar" priority="8">
      <dataBar>
        <cfvo type="min"/>
        <cfvo type="max"/>
        <color rgb="FF638EC6"/>
      </dataBar>
      <extLst>
        <ext xmlns:x14="http://schemas.microsoft.com/office/spreadsheetml/2009/9/main" uri="{B025F937-C7B1-47D3-B67F-A62EFF666E3E}">
          <x14:id>{76CBBD28-0F8F-48F6-9DE7-09AF5602AC72}</x14:id>
        </ext>
      </extLst>
    </cfRule>
    <cfRule type="dataBar" priority="11">
      <dataBar>
        <cfvo type="min"/>
        <cfvo type="max"/>
        <color rgb="FF638EC6"/>
      </dataBar>
      <extLst>
        <ext xmlns:x14="http://schemas.microsoft.com/office/spreadsheetml/2009/9/main" uri="{B025F937-C7B1-47D3-B67F-A62EFF666E3E}">
          <x14:id>{91E4274D-B171-4686-8314-4D3DBA220CD2}</x14:id>
        </ext>
      </extLst>
    </cfRule>
  </conditionalFormatting>
  <conditionalFormatting sqref="C19">
    <cfRule type="dataBar" priority="7">
      <dataBar>
        <cfvo type="min"/>
        <cfvo type="max"/>
        <color rgb="FF638EC6"/>
      </dataBar>
      <extLst>
        <ext xmlns:x14="http://schemas.microsoft.com/office/spreadsheetml/2009/9/main" uri="{B025F937-C7B1-47D3-B67F-A62EFF666E3E}">
          <x14:id>{C317F566-9A7D-4714-9316-BB846B134046}</x14:id>
        </ext>
      </extLst>
    </cfRule>
    <cfRule type="dataBar" priority="12">
      <dataBar>
        <cfvo type="min"/>
        <cfvo type="max"/>
        <color rgb="FF638EC6"/>
      </dataBar>
      <extLst>
        <ext xmlns:x14="http://schemas.microsoft.com/office/spreadsheetml/2009/9/main" uri="{B025F937-C7B1-47D3-B67F-A62EFF666E3E}">
          <x14:id>{78693158-1AD8-4B30-86DE-FC75A7DA4A16}</x14:id>
        </ext>
      </extLst>
    </cfRule>
  </conditionalFormatting>
  <conditionalFormatting sqref="C20">
    <cfRule type="dataBar" priority="6">
      <dataBar>
        <cfvo type="min"/>
        <cfvo type="max"/>
        <color rgb="FF638EC6"/>
      </dataBar>
      <extLst>
        <ext xmlns:x14="http://schemas.microsoft.com/office/spreadsheetml/2009/9/main" uri="{B025F937-C7B1-47D3-B67F-A62EFF666E3E}">
          <x14:id>{7908DBC6-10E3-4B73-B60B-5480AEA85BF2}</x14:id>
        </ext>
      </extLst>
    </cfRule>
    <cfRule type="dataBar" priority="13">
      <dataBar>
        <cfvo type="min"/>
        <cfvo type="max"/>
        <color rgb="FF638EC6"/>
      </dataBar>
      <extLst>
        <ext xmlns:x14="http://schemas.microsoft.com/office/spreadsheetml/2009/9/main" uri="{B025F937-C7B1-47D3-B67F-A62EFF666E3E}">
          <x14:id>{E019BEA0-41FC-416C-9347-F081B9321A3C}</x14:id>
        </ext>
      </extLst>
    </cfRule>
  </conditionalFormatting>
  <conditionalFormatting sqref="C22:C27">
    <cfRule type="dataBar" priority="5">
      <dataBar>
        <cfvo type="min"/>
        <cfvo type="max"/>
        <color rgb="FF638EC6"/>
      </dataBar>
      <extLst>
        <ext xmlns:x14="http://schemas.microsoft.com/office/spreadsheetml/2009/9/main" uri="{B025F937-C7B1-47D3-B67F-A62EFF666E3E}">
          <x14:id>{519C365F-AFE5-401E-B811-C31A1C427C94}</x14:id>
        </ext>
      </extLst>
    </cfRule>
    <cfRule type="dataBar" priority="14">
      <dataBar>
        <cfvo type="min"/>
        <cfvo type="max"/>
        <color rgb="FF638EC6"/>
      </dataBar>
      <extLst>
        <ext xmlns:x14="http://schemas.microsoft.com/office/spreadsheetml/2009/9/main" uri="{B025F937-C7B1-47D3-B67F-A62EFF666E3E}">
          <x14:id>{C4793C31-134B-490B-8E16-175CCE067DA7}</x14:id>
        </ext>
      </extLst>
    </cfRule>
  </conditionalFormatting>
  <conditionalFormatting sqref="C29">
    <cfRule type="dataBar" priority="1">
      <dataBar>
        <cfvo type="min"/>
        <cfvo type="max"/>
        <color rgb="FF638EC6"/>
      </dataBar>
      <extLst>
        <ext xmlns:x14="http://schemas.microsoft.com/office/spreadsheetml/2009/9/main" uri="{B025F937-C7B1-47D3-B67F-A62EFF666E3E}">
          <x14:id>{9669D37A-687E-468E-B194-2DF8CC256F6F}</x14:id>
        </ext>
      </extLst>
    </cfRule>
    <cfRule type="dataBar" priority="15">
      <dataBar>
        <cfvo type="min"/>
        <cfvo type="max"/>
        <color rgb="FF638EC6"/>
      </dataBar>
      <extLst>
        <ext xmlns:x14="http://schemas.microsoft.com/office/spreadsheetml/2009/9/main" uri="{B025F937-C7B1-47D3-B67F-A62EFF666E3E}">
          <x14:id>{E6E9F118-07EF-44E3-9D59-FE1CEB23B81F}</x14:id>
        </ext>
      </extLst>
    </cfRule>
  </conditionalFormatting>
  <conditionalFormatting sqref="C30:C34">
    <cfRule type="dataBar" priority="4">
      <dataBar>
        <cfvo type="min"/>
        <cfvo type="max"/>
        <color rgb="FF638EC6"/>
      </dataBar>
      <extLst>
        <ext xmlns:x14="http://schemas.microsoft.com/office/spreadsheetml/2009/9/main" uri="{B025F937-C7B1-47D3-B67F-A62EFF666E3E}">
          <x14:id>{115E2400-494B-47F4-BC5F-E631C995C6B6}</x14:id>
        </ext>
      </extLst>
    </cfRule>
    <cfRule type="dataBar" priority="16">
      <dataBar>
        <cfvo type="min"/>
        <cfvo type="max"/>
        <color rgb="FF638EC6"/>
      </dataBar>
      <extLst>
        <ext xmlns:x14="http://schemas.microsoft.com/office/spreadsheetml/2009/9/main" uri="{B025F937-C7B1-47D3-B67F-A62EFF666E3E}">
          <x14:id>{1A03D98B-8EDB-483B-BE79-CB688593C248}</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{B1DFFF78-95C3-4F21-B85D-70C570157316}</x14:id>
        </ext>
      </extLst>
    </cfRule>
    <cfRule type="dataBar" priority="17">
      <dataBar>
        <cfvo type="min"/>
        <cfvo type="max"/>
        <color rgb="FF638EC6"/>
      </dataBar>
      <extLst>
        <ext xmlns:x14="http://schemas.microsoft.com/office/spreadsheetml/2009/9/main" uri="{B025F937-C7B1-47D3-B67F-A62EFF666E3E}">
          <x14:id>{A6C4A495-21F2-422A-8C0D-A3824C3E9184}</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{CEE50C59-B2F5-44EF-8782-95DB440934F8}</x14:id>
        </ext>
      </extLst>
    </cfRule>
    <cfRule type="dataBar" priority="18">
      <dataBar>
        <cfvo type="min"/>
        <cfvo type="max"/>
        <color rgb="FF638EC6"/>
      </dataBar>
      <extLst>
        <ext xmlns:x14="http://schemas.microsoft.com/office/spreadsheetml/2009/9/main" uri="{B025F937-C7B1-47D3-B67F-A62EFF666E3E}">
          <x14:id>{55FAEA13-AE3D-47D8-B30A-29B9C86A4DFF}</x14:id>
        </ext>
      </extLst>
    </cfRule>
  </conditionalFormatting>
  <dataValidations count="4">
    <dataValidation allowBlank="1" showInputMessage="1" sqref="E16:E17 H36:K37 E19:E20 H22:K27 E11:E14 H39:K41 H29:K34 H19:K20 E22:E27 E29:E34 E36:E37 E39:E41 H16:K17 H11:K14" xr:uid="{00000000-0002-0000-0100-000000000000}"/>
    <dataValidation type="list" allowBlank="1" showInputMessage="1" sqref="G19:G20 G11:G14 G16:G17 G22:G27 G39:G41 G36:G37 G29:G34" xr:uid="{00000000-0002-0000-0100-000001000000}">
      <formula1>"Thấp,Trung bình,Cao,Khó và phức tạp"</formula1>
    </dataValidation>
    <dataValidation type="list" allowBlank="1" showInputMessage="1" sqref="C11:C14 C16:C17 C19:C20 C22:C27 C39:C41 C36:C37 C29:C34" xr:uid="{00000000-0002-0000-0100-000002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11:D14 D16:D17 D19:D20 D36:D37 D22:D27 D39:D41 D29:D34" xr:uid="{00000000-0002-0000-0100-000003000000}">
      <formula1>"Phòng QLĐT&amp;BĐCL, Phòng TH-HC&amp;QT, Phòng QLKHCN&amp;HTPT, Phòng TC-KT, Phòng  TCCB&amp;CTHSSV, Khoa Sư phạm, Khoa CKHCB, Khoa KT&amp;NL, Khoa Y – Dược, Khoa ĐT&amp;SHLX, Khoa KT&amp;CN"</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3F63EB6-3757-41D5-9B41-E8F3A86A46DA}">
            <x14:dataBar minLength="0" maxLength="100" gradient="0">
              <x14:cfvo type="autoMin"/>
              <x14:cfvo type="autoMax"/>
              <x14:negativeFillColor rgb="FFFF0000"/>
              <x14:axisColor rgb="FF000000"/>
            </x14:dataBar>
          </x14:cfRule>
          <x14:cfRule type="dataBar" id="{B02C0568-0B95-438E-8F0F-8304F73B5A78}">
            <x14:dataBar minLength="0" maxLength="100" gradient="0">
              <x14:cfvo type="autoMin"/>
              <x14:cfvo type="autoMax"/>
              <x14:negativeFillColor rgb="FFFF0000"/>
              <x14:axisColor rgb="FF000000"/>
            </x14:dataBar>
          </x14:cfRule>
          <xm:sqref>C11:C14</xm:sqref>
        </x14:conditionalFormatting>
        <x14:conditionalFormatting xmlns:xm="http://schemas.microsoft.com/office/excel/2006/main">
          <x14:cfRule type="dataBar" id="{76CBBD28-0F8F-48F6-9DE7-09AF5602AC72}">
            <x14:dataBar minLength="0" maxLength="100" gradient="0">
              <x14:cfvo type="autoMin"/>
              <x14:cfvo type="autoMax"/>
              <x14:negativeFillColor rgb="FFFF0000"/>
              <x14:axisColor rgb="FF000000"/>
            </x14:dataBar>
          </x14:cfRule>
          <x14:cfRule type="dataBar" id="{91E4274D-B171-4686-8314-4D3DBA220CD2}">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C317F566-9A7D-4714-9316-BB846B134046}">
            <x14:dataBar minLength="0" maxLength="100" gradient="0">
              <x14:cfvo type="autoMin"/>
              <x14:cfvo type="autoMax"/>
              <x14:negativeFillColor rgb="FFFF0000"/>
              <x14:axisColor rgb="FF000000"/>
            </x14:dataBar>
          </x14:cfRule>
          <x14:cfRule type="dataBar" id="{78693158-1AD8-4B30-86DE-FC75A7DA4A16}">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7908DBC6-10E3-4B73-B60B-5480AEA85BF2}">
            <x14:dataBar minLength="0" maxLength="100" gradient="0">
              <x14:cfvo type="autoMin"/>
              <x14:cfvo type="autoMax"/>
              <x14:negativeFillColor rgb="FFFF0000"/>
              <x14:axisColor rgb="FF000000"/>
            </x14:dataBar>
          </x14:cfRule>
          <x14:cfRule type="dataBar" id="{E019BEA0-41FC-416C-9347-F081B9321A3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519C365F-AFE5-401E-B811-C31A1C427C94}">
            <x14:dataBar minLength="0" maxLength="100" gradient="0">
              <x14:cfvo type="autoMin"/>
              <x14:cfvo type="autoMax"/>
              <x14:negativeFillColor rgb="FFFF0000"/>
              <x14:axisColor rgb="FF000000"/>
            </x14:dataBar>
          </x14:cfRule>
          <x14:cfRule type="dataBar" id="{C4793C31-134B-490B-8E16-175CCE067DA7}">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9669D37A-687E-468E-B194-2DF8CC256F6F}">
            <x14:dataBar minLength="0" maxLength="100" gradient="0">
              <x14:cfvo type="autoMin"/>
              <x14:cfvo type="autoMax"/>
              <x14:negativeFillColor rgb="FFFF0000"/>
              <x14:axisColor rgb="FF000000"/>
            </x14:dataBar>
          </x14:cfRule>
          <x14:cfRule type="dataBar" id="{E6E9F118-07EF-44E3-9D59-FE1CEB23B81F}">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115E2400-494B-47F4-BC5F-E631C995C6B6}">
            <x14:dataBar minLength="0" maxLength="100" gradient="0">
              <x14:cfvo type="autoMin"/>
              <x14:cfvo type="autoMax"/>
              <x14:negativeFillColor rgb="FFFF0000"/>
              <x14:axisColor rgb="FF000000"/>
            </x14:dataBar>
          </x14:cfRule>
          <x14:cfRule type="dataBar" id="{1A03D98B-8EDB-483B-BE79-CB688593C248}">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B1DFFF78-95C3-4F21-B85D-70C570157316}">
            <x14:dataBar minLength="0" maxLength="100" gradient="0">
              <x14:cfvo type="autoMin"/>
              <x14:cfvo type="autoMax"/>
              <x14:negativeFillColor rgb="FFFF0000"/>
              <x14:axisColor rgb="FF000000"/>
            </x14:dataBar>
          </x14:cfRule>
          <x14:cfRule type="dataBar" id="{A6C4A495-21F2-422A-8C0D-A3824C3E9184}">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CEE50C59-B2F5-44EF-8782-95DB440934F8}">
            <x14:dataBar minLength="0" maxLength="100" gradient="0">
              <x14:cfvo type="autoMin"/>
              <x14:cfvo type="autoMax"/>
              <x14:negativeFillColor rgb="FFFF0000"/>
              <x14:axisColor rgb="FF000000"/>
            </x14:dataBar>
          </x14:cfRule>
          <x14:cfRule type="dataBar" id="{55FAEA13-AE3D-47D8-B30A-29B9C86A4DFF}">
            <x14:dataBar minLength="0" maxLength="100" gradient="0">
              <x14:cfvo type="autoMin"/>
              <x14:cfvo type="autoMax"/>
              <x14:negativeFillColor rgb="FFFF0000"/>
              <x14:axisColor rgb="FF000000"/>
            </x14:dataBar>
          </x14:cfRule>
          <xm:sqref>C39:C41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Mẫu BC tháng</vt:lpstr>
      <vt:lpstr>Mẫu BC QUÝ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Thành</cp:lastModifiedBy>
  <cp:lastPrinted>2026-08-15T06:34:47Z</cp:lastPrinted>
  <dcterms:modified xsi:type="dcterms:W3CDTF">2026-08-15T06:36:52Z</dcterms:modified>
</cp:coreProperties>
</file>