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CÔNG VIỆC\BÁO CÁO\BÁO CÁO THÁNG\THÁNG 8.2026\P TH-HC&amp;QT\"/>
    </mc:Choice>
  </mc:AlternateContent>
  <xr:revisionPtr revIDLastSave="0" documentId="13_ncr:1_{0DDB0B29-8324-4972-B430-9573B3AF6604}" xr6:coauthVersionLast="47" xr6:coauthVersionMax="47" xr10:uidLastSave="{00000000-0000-0000-0000-000000000000}"/>
  <bookViews>
    <workbookView xWindow="-110" yWindow="-110" windowWidth="19420" windowHeight="11500" xr2:uid="{00000000-000D-0000-FFFF-FFFF00000000}"/>
  </bookViews>
  <sheets>
    <sheet name="Mẫu BC thá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1" l="1"/>
  <c r="I26" i="1" s="1"/>
  <c r="K26" i="1"/>
  <c r="M26" i="1" s="1"/>
  <c r="H27" i="1"/>
  <c r="I27" i="1" s="1"/>
  <c r="K27" i="1"/>
  <c r="M27" i="1" s="1"/>
  <c r="F10" i="1"/>
  <c r="K12" i="1"/>
  <c r="M12" i="1" s="1"/>
  <c r="K13" i="1"/>
  <c r="O13" i="1" s="1"/>
  <c r="K14" i="1"/>
  <c r="O14" i="1" s="1"/>
  <c r="K15" i="1"/>
  <c r="K16" i="1"/>
  <c r="O16" i="1" s="1"/>
  <c r="K17" i="1"/>
  <c r="M17" i="1" s="1"/>
  <c r="K18" i="1"/>
  <c r="O18" i="1" s="1"/>
  <c r="K19" i="1"/>
  <c r="O19" i="1" s="1"/>
  <c r="K20" i="1"/>
  <c r="O20" i="1" s="1"/>
  <c r="K21" i="1"/>
  <c r="O21" i="1" s="1"/>
  <c r="K11" i="1"/>
  <c r="M11" i="1" s="1"/>
  <c r="O17" i="1"/>
  <c r="M16" i="1"/>
  <c r="M20" i="1"/>
  <c r="H14" i="1"/>
  <c r="I14" i="1" s="1"/>
  <c r="J14" i="1" s="1"/>
  <c r="H15" i="1"/>
  <c r="I15" i="1" s="1"/>
  <c r="J15" i="1" s="1"/>
  <c r="H16" i="1"/>
  <c r="I16" i="1" s="1"/>
  <c r="H17" i="1"/>
  <c r="I17" i="1" s="1"/>
  <c r="J17" i="1" s="1"/>
  <c r="H18" i="1"/>
  <c r="I18" i="1" s="1"/>
  <c r="J18" i="1" s="1"/>
  <c r="H19" i="1"/>
  <c r="I19" i="1" s="1"/>
  <c r="J19" i="1" s="1"/>
  <c r="H20" i="1"/>
  <c r="I20" i="1" s="1"/>
  <c r="H21" i="1"/>
  <c r="I21" i="1" s="1"/>
  <c r="J21" i="1" s="1"/>
  <c r="H12" i="1"/>
  <c r="I12" i="1" s="1"/>
  <c r="H13" i="1"/>
  <c r="I13" i="1" s="1"/>
  <c r="H11" i="1"/>
  <c r="I11" i="1" s="1"/>
  <c r="J11" i="1" s="1"/>
  <c r="O12" i="1" l="1"/>
  <c r="O11" i="1"/>
  <c r="M13" i="1"/>
  <c r="K10" i="1"/>
  <c r="L27" i="1"/>
  <c r="J27" i="1"/>
  <c r="J26" i="1"/>
  <c r="L26" i="1"/>
  <c r="P16" i="1"/>
  <c r="L16" i="1"/>
  <c r="J16" i="1"/>
  <c r="N16" i="1"/>
  <c r="P21" i="1"/>
  <c r="N17" i="1"/>
  <c r="M21" i="1"/>
  <c r="N21" i="1" s="1"/>
  <c r="L20" i="1"/>
  <c r="P20" i="1"/>
  <c r="J20" i="1"/>
  <c r="J13" i="1"/>
  <c r="L13" i="1"/>
  <c r="L12" i="1"/>
  <c r="P12" i="1"/>
  <c r="J12" i="1"/>
  <c r="P13" i="1"/>
  <c r="P19" i="1"/>
  <c r="L15" i="1"/>
  <c r="N13" i="1"/>
  <c r="P18" i="1"/>
  <c r="L18" i="1"/>
  <c r="N20" i="1"/>
  <c r="N12" i="1"/>
  <c r="L19" i="1"/>
  <c r="P17" i="1"/>
  <c r="N11" i="1"/>
  <c r="P14" i="1"/>
  <c r="L11" i="1"/>
  <c r="L21" i="1"/>
  <c r="L17" i="1"/>
  <c r="L14" i="1"/>
  <c r="M19" i="1"/>
  <c r="N19" i="1" s="1"/>
  <c r="M15" i="1"/>
  <c r="N15" i="1" s="1"/>
  <c r="O15" i="1"/>
  <c r="P15" i="1" s="1"/>
  <c r="M18" i="1"/>
  <c r="N18" i="1" s="1"/>
  <c r="M14" i="1"/>
  <c r="J10" i="1" l="1"/>
  <c r="P10" i="1"/>
  <c r="N14" i="1"/>
  <c r="N10" i="1" s="1"/>
  <c r="M10" i="1"/>
  <c r="L10" i="1"/>
  <c r="O10" i="1"/>
  <c r="H24" i="1"/>
  <c r="I24" i="1" s="1"/>
  <c r="J24" i="1" s="1"/>
  <c r="K38" i="1"/>
  <c r="O38" i="1" s="1"/>
  <c r="K37" i="1"/>
  <c r="M37" i="1" s="1"/>
  <c r="K36" i="1"/>
  <c r="M36" i="1" s="1"/>
  <c r="K34" i="1"/>
  <c r="M34" i="1" s="1"/>
  <c r="K32" i="1"/>
  <c r="K31" i="1"/>
  <c r="M31" i="1" s="1"/>
  <c r="K29" i="1"/>
  <c r="M29" i="1" s="1"/>
  <c r="K24" i="1"/>
  <c r="M24" i="1" s="1"/>
  <c r="K23" i="1"/>
  <c r="M23" i="1" s="1"/>
  <c r="H38" i="1"/>
  <c r="I38" i="1" s="1"/>
  <c r="J38" i="1" s="1"/>
  <c r="H37" i="1"/>
  <c r="I37" i="1" s="1"/>
  <c r="J37" i="1" s="1"/>
  <c r="H36" i="1"/>
  <c r="I36" i="1" s="1"/>
  <c r="J36" i="1" s="1"/>
  <c r="H34" i="1"/>
  <c r="I34" i="1" s="1"/>
  <c r="J34" i="1" s="1"/>
  <c r="H32" i="1"/>
  <c r="I32" i="1" s="1"/>
  <c r="J32" i="1" s="1"/>
  <c r="H31" i="1"/>
  <c r="I31" i="1" s="1"/>
  <c r="J31" i="1" s="1"/>
  <c r="H29" i="1"/>
  <c r="I29" i="1" s="1"/>
  <c r="J29" i="1" s="1"/>
  <c r="H23" i="1"/>
  <c r="I23" i="1" s="1"/>
  <c r="J23" i="1" s="1"/>
  <c r="F25" i="1"/>
  <c r="F28" i="1"/>
  <c r="F30" i="1"/>
  <c r="F33" i="1"/>
  <c r="F35" i="1"/>
  <c r="F22" i="1"/>
  <c r="O32" i="1" l="1"/>
  <c r="M32" i="1"/>
  <c r="K25" i="1"/>
  <c r="L23" i="1"/>
  <c r="P32" i="1"/>
  <c r="N37" i="1"/>
  <c r="P38" i="1"/>
  <c r="J33" i="1"/>
  <c r="L29" i="1"/>
  <c r="J28" i="1"/>
  <c r="J35" i="1"/>
  <c r="M38" i="1"/>
  <c r="N38" i="1" s="1"/>
  <c r="L32" i="1"/>
  <c r="J22" i="1"/>
  <c r="N32" i="1"/>
  <c r="K22" i="1"/>
  <c r="L25" i="1"/>
  <c r="N27" i="1"/>
  <c r="L38" i="1"/>
  <c r="N24" i="1"/>
  <c r="L24" i="1"/>
  <c r="N36" i="1"/>
  <c r="O37" i="1"/>
  <c r="P37" i="1" s="1"/>
  <c r="K35" i="1"/>
  <c r="O36" i="1"/>
  <c r="L37" i="1"/>
  <c r="L36" i="1"/>
  <c r="N34" i="1"/>
  <c r="N33" i="1" s="1"/>
  <c r="M33" i="1"/>
  <c r="O34" i="1"/>
  <c r="K33" i="1"/>
  <c r="L34" i="1"/>
  <c r="J30" i="1"/>
  <c r="N31" i="1"/>
  <c r="O31" i="1"/>
  <c r="L31" i="1"/>
  <c r="K30" i="1"/>
  <c r="K28" i="1"/>
  <c r="O29" i="1"/>
  <c r="J25" i="1"/>
  <c r="O27" i="1"/>
  <c r="P27" i="1" s="1"/>
  <c r="N26" i="1"/>
  <c r="O26" i="1"/>
  <c r="O24" i="1"/>
  <c r="P24" i="1" s="1"/>
  <c r="O23" i="1"/>
  <c r="L22" i="1" l="1"/>
  <c r="M35" i="1"/>
  <c r="M28" i="1"/>
  <c r="N25" i="1"/>
  <c r="N35" i="1"/>
  <c r="N29" i="1"/>
  <c r="N28" i="1" s="1"/>
  <c r="L35" i="1"/>
  <c r="L33" i="1"/>
  <c r="M25" i="1"/>
  <c r="N23" i="1"/>
  <c r="N22" i="1" s="1"/>
  <c r="M22" i="1"/>
  <c r="P36" i="1"/>
  <c r="P35" i="1" s="1"/>
  <c r="O35" i="1"/>
  <c r="P34" i="1"/>
  <c r="P33" i="1" s="1"/>
  <c r="O33" i="1"/>
  <c r="M30" i="1"/>
  <c r="N30" i="1"/>
  <c r="L30" i="1"/>
  <c r="P31" i="1"/>
  <c r="P30" i="1" s="1"/>
  <c r="O30" i="1"/>
  <c r="L28" i="1"/>
  <c r="P29" i="1"/>
  <c r="P28" i="1" s="1"/>
  <c r="O28" i="1"/>
  <c r="P26" i="1"/>
  <c r="P25" i="1" s="1"/>
  <c r="O25" i="1"/>
  <c r="P23" i="1"/>
  <c r="P22" i="1" s="1"/>
  <c r="O22" i="1"/>
</calcChain>
</file>

<file path=xl/sharedStrings.xml><?xml version="1.0" encoding="utf-8"?>
<sst xmlns="http://schemas.openxmlformats.org/spreadsheetml/2006/main" count="181" uniqueCount="107">
  <si>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</si>
  <si>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</si>
  <si>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</si>
  <si>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</si>
  <si>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</si>
  <si>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</si>
  <si>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</si>
  <si>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</si>
  <si>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</si>
  <si>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</si>
  <si>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</si>
  <si>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</si>
  <si>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</si>
  <si>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</si>
  <si>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</si>
  <si>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</si>
  <si>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</si>
  <si>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</si>
  <si>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</si>
  <si>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</si>
  <si>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</si>
  <si>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</si>
  <si>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</si>
  <si>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</si>
  <si>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</si>
  <si>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 chủ trì</t>
  </si>
  <si>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</si>
  <si>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</si>
  <si>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</si>
  <si>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1.3</t>
  </si>
  <si>
    <t>Phòng  TCCB&amp;CTHSSV</t>
  </si>
  <si>
    <t>Bí thư Đảng uỷ</t>
  </si>
  <si>
    <t>Phó Bí thư Đảng uỷ</t>
  </si>
  <si>
    <t>Chủ tịch Công đoàn</t>
  </si>
  <si>
    <t>Các nhiệm vụ đột xuất, phát sinh khác ngoài kế hoạch (nếu có)</t>
  </si>
  <si>
    <t>Quyết định</t>
  </si>
  <si>
    <t>Trung bình</t>
  </si>
  <si>
    <t>Cao</t>
  </si>
  <si>
    <t>Khó và phức tạp</t>
  </si>
  <si>
    <t>1.4</t>
  </si>
  <si>
    <t>Điểm chấm công việc</t>
  </si>
  <si>
    <t>Hệ số quy đổi</t>
  </si>
  <si>
    <t>KPI (số lượng)</t>
  </si>
  <si>
    <t>KPI (chất lượng)</t>
  </si>
  <si>
    <t>KPI (tiến độ)</t>
  </si>
  <si>
    <t>Thực tế hoàn thành</t>
  </si>
  <si>
    <t>Quy đổi</t>
  </si>
  <si>
    <t>Số lượng quy đổi</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</si>
  <si>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</si>
  <si>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</si>
  <si>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</si>
  <si>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</si>
  <si>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</si>
  <si>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</si>
  <si>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</si>
  <si>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</si>
  <si>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</si>
  <si>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</si>
  <si>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</si>
  <si>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</si>
  <si>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IIb
MẪU BÁO CÁO KẾT QUẢ THỰC  HIỆN CÔNG TÁC THÁNG CỦA TRƯỜNG CAO ĐẲNG KON TUM</t>
  </si>
  <si>
    <t>ĐƠN VỊ: BAN TRUYỀN THÔNG</t>
  </si>
  <si>
    <t>BÁO CÁO
kết quả thực hiện công tác tháng 8 năm 2026</t>
  </si>
  <si>
    <t>1.5</t>
  </si>
  <si>
    <t>Tham mưu văn bản, đề xuất có liên quan đến công tác truyền thông của Trường</t>
  </si>
  <si>
    <t>Tác nghiệp, thu thập thông tin, dữ liệu các sự kiện, hoạt động của Trường</t>
  </si>
  <si>
    <t>Xây dựng kịch bản chi tiết các chương trình, sự kiện lớn của Trường</t>
  </si>
  <si>
    <t>Xây dựng kịch bản, lời bình cho các sản phẩm truyền thông</t>
  </si>
  <si>
    <t>Liên kết, phối hợp với Báo và phát thanh truyền hình Quảng Ngãi thực hiện Chuyên mục Giáo dục nghề nghiệp (theo Hợp đồng đã ký)</t>
  </si>
  <si>
    <t>Góp ý vào dự thảo văn bản chuyên môn, chuyên đề do các đơn vị thuộc Trường tham mưu Hiệu trưởng ban hành</t>
  </si>
  <si>
    <t>Hậu kỳ: Photoshop, chỉnh sửa ảnh sau sự kiện</t>
  </si>
  <si>
    <t>Công tác tuyên truyền theo văn bản cấp trên (Chính quyền, Đảng, Đoàn thể, các Sở ngành)</t>
  </si>
  <si>
    <t>Tuyên truyền các ngày Lễ lớn trong tháng</t>
  </si>
  <si>
    <t>Truyền thông về các dịch vụ của Trường</t>
  </si>
  <si>
    <t>Ban Truyền thông</t>
  </si>
  <si>
    <t>Thông báo</t>
  </si>
  <si>
    <t>Sự kiện</t>
  </si>
  <si>
    <t>Kịch bản lời bình</t>
  </si>
  <si>
    <t>Phóng sự</t>
  </si>
  <si>
    <t>Văn bản</t>
  </si>
  <si>
    <t>Hình ảnh</t>
  </si>
  <si>
    <t>Bài viết</t>
  </si>
  <si>
    <t>1.6</t>
  </si>
  <si>
    <t>1.7</t>
  </si>
  <si>
    <t>1.8</t>
  </si>
  <si>
    <t>1.9</t>
  </si>
  <si>
    <t>1.10</t>
  </si>
  <si>
    <t>1.11</t>
  </si>
  <si>
    <t>Thiết kế (Banner, Poster, Quảng cáo,…)</t>
  </si>
  <si>
    <t>Truyền thông các hoạt động công đoàn thể hiện được vai trò của công đoàn trong việc quan tâm đến đời sống vật chất, tinh thần của đoàn viên công đoàn</t>
  </si>
  <si>
    <t>Tin, bài</t>
  </si>
  <si>
    <t>Truyền thông, thông tin về các hoạt động của Đảng trong việc nghiêm túc học tập, chấp hành các Nghị quyết của Đảng, chính sách pháp luật của Nhà nước</t>
  </si>
  <si>
    <t>Phối hợp đẩy mạnh truyền thông về hoạt động chuyển đổi số, phát triển khoa học công nghệ và đổi mới sáng tạo</t>
  </si>
  <si>
    <t>3.1</t>
  </si>
  <si>
    <t>3.2</t>
  </si>
  <si>
    <t>2.1</t>
  </si>
  <si>
    <t>2.2</t>
  </si>
  <si>
    <t>Ứng dụng AI trong công tác Truyền thông</t>
  </si>
  <si>
    <t>4.1</t>
  </si>
  <si>
    <t>Thực hiện tuyên truyền, biên tập các bài viết về công tác liên quan đến xây dựng Đảng, Đoàn thể, phát huy tính đòn kết nội bộ của tập thể viên chức nhà giáo và HSSV toàn Trường</t>
  </si>
  <si>
    <t>Tham gia tuyên truyền các hoạt động  giữ vững an ninh trật tự; tham gia công tác phòng cháy, chữa cháy; chủ động đấu tranh với các thông tin sai trái, xuyên tạc; tham gia hoạt động kết nối doanh nghiệp, phối hợp DN trong thực tập, thực hành nghề; tham gia/phục vụ hội thảo, hợp tác chuyên môn, kết nối ngoài trường và các hoạt động hội nhập khác,...</t>
  </si>
  <si>
    <t>Biên tập những bài viết, sản phẩm truyền thông góp phần phát triển văn hoá, con người, nâng cao giá trị tinh thần trong môi trường học tập tại Trường</t>
  </si>
  <si>
    <t>5.1</t>
  </si>
  <si>
    <t>5.2</t>
  </si>
  <si>
    <t>Tham gia và tuyên truyền rộng rãi về các Hội nghị quán triệt Nghị quyết của Đảng</t>
  </si>
  <si>
    <r>
      <rPr>
        <i/>
        <sz val="14"/>
        <rFont val="Times New Roman"/>
        <family val="1"/>
        <charset val="163"/>
      </rPr>
      <t>Quảng Ngãi, ngày 14 tháng 8 năm 2026</t>
    </r>
    <r>
      <rPr>
        <sz val="14"/>
        <rFont val="Times New Roman"/>
        <family val="1"/>
      </rPr>
      <t xml:space="preserve">
</t>
    </r>
    <r>
      <rPr>
        <b/>
        <sz val="14"/>
        <rFont val="Times New Roman"/>
        <family val="1"/>
      </rPr>
      <t xml:space="preserve">TRƯỞNG BAN TRUYỀN THÔNG
Trần Thị Thanh Thanh
</t>
    </r>
  </si>
  <si>
    <t>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</si>
</sst>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5"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2"/>
      <color rgb="FF000000"/>
      <name val="Times New Roman"/>
      <family val="1"/>
    </font>
    <font>
      <b/>
      <sz val="12"/>
      <color rgb="FF000000"/>
      <name val="Times New Roman"/>
      <family val="1"/>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65">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0" fontId="9" fillId="0" borderId="2" xfId="0" applyFont="1" applyBorder="1" applyAlignment="1">
      <alignment horizontal="center" vertical="center" wrapText="1"/>
    </xf>
    <xf numFmtId="0" fontId="9" fillId="0" borderId="2" xfId="0" applyFont="1" applyBorder="1" applyAlignment="1">
      <alignment vertical="center" wrapText="1"/>
    </xf>
    <xf numFmtId="0" fontId="14" fillId="0" borderId="2" xfId="0" quotePrefix="1" applyFont="1" applyBorder="1" applyAlignment="1">
      <alignment horizontal="center" vertical="center" wrapText="1"/>
    </xf>
    <xf numFmtId="0" fontId="9" fillId="0" borderId="2" xfId="0" applyFont="1" applyBorder="1" applyAlignment="1">
      <alignment horizontal="left" vertical="center" wrapText="1"/>
    </xf>
    <xf numFmtId="0" fontId="9" fillId="0" borderId="2" xfId="0" quotePrefix="1" applyFont="1" applyBorder="1" applyAlignment="1">
      <alignment horizontal="left" vertical="center" wrapText="1"/>
    </xf>
    <xf numFmtId="0" fontId="9" fillId="0" borderId="2" xfId="0" applyFont="1" applyBorder="1" applyAlignment="1">
      <alignment horizontal="justify" vertical="center" wrapText="1"/>
    </xf>
    <xf numFmtId="0" fontId="9" fillId="0" borderId="2" xfId="0" applyFont="1" applyBorder="1" applyAlignment="1">
      <alignment wrapText="1"/>
    </xf>
    <xf numFmtId="0" fontId="23" fillId="0" borderId="2" xfId="0" applyFont="1" applyBorder="1" applyAlignment="1">
      <alignment horizontal="center" vertical="center" wrapText="1"/>
    </xf>
    <xf numFmtId="0" fontId="24" fillId="0" borderId="2" xfId="0" applyFont="1" applyBorder="1" applyAlignment="1">
      <alignment horizontal="center" vertical="center" wrapText="1"/>
    </xf>
    <xf numFmtId="43" fontId="8" fillId="0" borderId="2" xfId="0" applyNumberFormat="1" applyFont="1" applyBorder="1" applyAlignment="1">
      <alignment horizontal="center" vertical="center"/>
    </xf>
    <xf numFmtId="164" fontId="8" fillId="0" borderId="2" xfId="0" applyNumberFormat="1" applyFont="1" applyBorder="1" applyAlignment="1">
      <alignment horizontal="center" vertical="center"/>
    </xf>
    <xf numFmtId="0" fontId="9" fillId="0" borderId="8" xfId="0" applyFont="1" applyBorder="1" applyAlignment="1">
      <alignment horizontal="left" vertical="center" wrapText="1"/>
    </xf>
    <xf numFmtId="0" fontId="9" fillId="0" borderId="8" xfId="0" applyFont="1" applyBorder="1" applyAlignment="1">
      <alignment horizontal="center" vertical="center"/>
    </xf>
    <xf numFmtId="0" fontId="23" fillId="0" borderId="2" xfId="0" applyFont="1" applyBorder="1" applyAlignment="1">
      <alignment vertical="center" wrapText="1"/>
    </xf>
    <xf numFmtId="0" fontId="9" fillId="0" borderId="8" xfId="0" quotePrefix="1" applyFont="1" applyBorder="1" applyAlignment="1">
      <alignment horizontal="left" vertical="center" wrapText="1"/>
    </xf>
    <xf numFmtId="0" fontId="0" fillId="6" borderId="0" xfId="0" applyFill="1"/>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8" xfId="0" applyFont="1" applyBorder="1" applyAlignment="1">
      <alignment horizontal="center" vertical="center" wrapText="1"/>
    </xf>
    <xf numFmtId="0" fontId="22" fillId="0" borderId="10" xfId="0" applyFont="1" applyBorder="1"/>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1" fillId="0" borderId="0" xfId="0" applyFont="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611817</xdr:colOff>
      <xdr:row>2</xdr:row>
      <xdr:rowOff>242848</xdr:rowOff>
    </xdr:from>
    <xdr:to>
      <xdr:col>1</xdr:col>
      <xdr:colOff>1409676</xdr:colOff>
      <xdr:row>2</xdr:row>
      <xdr:rowOff>242848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979210" y="1154527"/>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3</xdr:row>
      <xdr:rowOff>49249</xdr:rowOff>
    </xdr:from>
    <xdr:to>
      <xdr:col>12</xdr:col>
      <xdr:colOff>381001</xdr:colOff>
      <xdr:row>3</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3</xdr:row>
      <xdr:rowOff>533400</xdr:rowOff>
    </xdr:from>
    <xdr:to>
      <xdr:col>6</xdr:col>
      <xdr:colOff>176892</xdr:colOff>
      <xdr:row>3</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816428</xdr:colOff>
      <xdr:row>0</xdr:row>
      <xdr:rowOff>504815</xdr:rowOff>
    </xdr:from>
    <xdr:to>
      <xdr:col>6</xdr:col>
      <xdr:colOff>403598</xdr:colOff>
      <xdr:row>0</xdr:row>
      <xdr:rowOff>504815</xdr:rowOff>
    </xdr:to>
    <xdr:cxnSp macro="">
      <xdr:nvCxnSpPr>
        <xdr:cNvPr id="6" name="Straight Connector 5">
          <a:extLst>
            <a:ext uri="{FF2B5EF4-FFF2-40B4-BE49-F238E27FC236}">
              <a16:creationId xmlns:a16="http://schemas.microsoft.com/office/drawing/2014/main" id="{09CE587A-C9FA-4F93-9F09-EB05934BA463}"/>
            </a:ext>
          </a:extLst>
        </xdr:cNvPr>
        <xdr:cNvCxnSpPr/>
      </xdr:nvCxn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9</xdr:col>
      <xdr:colOff>0</xdr:colOff>
      <xdr:row>39</xdr:row>
      <xdr:rowOff>492449</xdr:rowOff>
    </xdr:from>
    <xdr:to>
      <xdr:col>12</xdr:col>
      <xdr:colOff>220306</xdr:colOff>
      <xdr:row>39</xdr:row>
      <xdr:rowOff>1619898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9694" y="21991735"/>
          <a:ext cx="1995714" cy="11274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
  <sheetViews>
    <sheetView tabSelected="1" view="pageBreakPreview" zoomScale="56" zoomScaleNormal="70" zoomScaleSheetLayoutView="70" workbookViewId="0">
      <selection activeCell="K8" sqref="K8"/>
    </sheetView>
  </sheetViews>
  <sheetFormatPr defaultRowHeight="32.5" customHeight="1" x14ac:dyDescent="0.35"/>
  <cols>
    <col min="1" max="1" width="4.90625" customWidth="1"/>
    <col min="2" max="2" width="31.08984375" customWidth="1"/>
    <col min="3" max="3" width="16.453125" customWidth="1"/>
    <col min="4" max="4" width="17.08984375" customWidth="1"/>
    <col min="5" max="5" width="22.1796875"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ht="42.75" customHeight="1" x14ac:dyDescent="0.35">
      <c r="A1" s="43" t="s">
        <v>60</v>
      </c>
      <c r="B1" s="54"/>
      <c r="C1" s="54"/>
      <c r="D1" s="54"/>
      <c r="E1" s="54"/>
      <c r="F1" s="54"/>
      <c r="G1" s="54"/>
      <c r="H1" s="54"/>
      <c r="I1" s="54"/>
      <c r="J1" s="54"/>
      <c r="K1" s="54"/>
      <c r="L1" s="54"/>
      <c r="M1" s="54"/>
      <c r="N1" s="54"/>
      <c r="O1" s="54"/>
      <c r="P1" s="54"/>
    </row>
    <row r="2" spans="1:17" s="1" customFormat="1" ht="28.5" customHeight="1" x14ac:dyDescent="0.4">
      <c r="A2" s="61" t="s">
        <v>24</v>
      </c>
      <c r="B2" s="62"/>
      <c r="E2" s="5"/>
      <c r="F2" s="5"/>
      <c r="G2" s="42" t="s">
        <v>20</v>
      </c>
      <c r="H2" s="42"/>
      <c r="I2" s="42"/>
      <c r="J2" s="42"/>
      <c r="K2" s="42"/>
      <c r="L2" s="42"/>
      <c r="M2" s="42"/>
      <c r="N2" s="42"/>
      <c r="O2" s="42"/>
      <c r="P2" s="42"/>
    </row>
    <row r="3" spans="1:17" s="1" customFormat="1" ht="18.75" customHeight="1" x14ac:dyDescent="0.35">
      <c r="A3" s="63" t="s">
        <v>61</v>
      </c>
      <c r="B3" s="63"/>
      <c r="C3" s="2"/>
      <c r="E3" s="6"/>
      <c r="F3" s="6"/>
      <c r="G3" s="43" t="s">
        <v>21</v>
      </c>
      <c r="H3" s="43"/>
      <c r="I3" s="43"/>
      <c r="J3" s="43"/>
      <c r="K3" s="43"/>
      <c r="L3" s="43"/>
      <c r="M3" s="43"/>
      <c r="N3" s="43"/>
      <c r="O3" s="43"/>
      <c r="P3" s="43"/>
    </row>
    <row r="4" spans="1:17" ht="44.25" customHeight="1" x14ac:dyDescent="0.35">
      <c r="A4" s="43" t="s">
        <v>62</v>
      </c>
      <c r="B4" s="64"/>
      <c r="C4" s="64"/>
      <c r="D4" s="64"/>
      <c r="E4" s="64"/>
      <c r="F4" s="64"/>
      <c r="G4" s="64"/>
      <c r="H4" s="64"/>
      <c r="I4" s="64"/>
      <c r="J4" s="64"/>
      <c r="K4" s="64"/>
      <c r="L4" s="64"/>
      <c r="M4" s="64"/>
      <c r="N4" s="64"/>
      <c r="O4" s="64"/>
      <c r="P4" s="64"/>
    </row>
    <row r="5" spans="1:17" ht="9" customHeight="1" x14ac:dyDescent="0.35">
      <c r="A5" s="46"/>
      <c r="B5" s="46"/>
      <c r="C5" s="46"/>
      <c r="D5" s="46"/>
      <c r="E5" s="46"/>
      <c r="F5" s="46"/>
      <c r="G5" s="46"/>
      <c r="H5" s="46"/>
      <c r="I5" s="46"/>
      <c r="J5" s="46"/>
      <c r="K5" s="46"/>
      <c r="L5" s="46"/>
      <c r="M5" s="46"/>
      <c r="N5" s="46"/>
      <c r="O5" s="46"/>
      <c r="P5" s="46"/>
    </row>
    <row r="6" spans="1:17" ht="20.25" customHeight="1" x14ac:dyDescent="0.35">
      <c r="A6" s="55" t="s">
        <v>0</v>
      </c>
      <c r="B6" s="55" t="s">
        <v>1</v>
      </c>
      <c r="C6" s="55" t="s">
        <v>2</v>
      </c>
      <c r="D6" s="55" t="s">
        <v>25</v>
      </c>
      <c r="E6" s="55" t="s">
        <v>49</v>
      </c>
      <c r="F6" s="55" t="s">
        <v>12</v>
      </c>
      <c r="G6" s="57" t="s">
        <v>54</v>
      </c>
      <c r="H6" s="47" t="s">
        <v>40</v>
      </c>
      <c r="I6" s="47" t="s">
        <v>41</v>
      </c>
      <c r="J6" s="49" t="s">
        <v>47</v>
      </c>
      <c r="K6" s="44" t="s">
        <v>42</v>
      </c>
      <c r="L6" s="45"/>
      <c r="M6" s="44" t="s">
        <v>43</v>
      </c>
      <c r="N6" s="45"/>
      <c r="O6" s="44" t="s">
        <v>44</v>
      </c>
      <c r="P6" s="45"/>
      <c r="Q6" s="1"/>
    </row>
    <row r="7" spans="1:17" ht="65.25" customHeight="1" x14ac:dyDescent="0.35">
      <c r="A7" s="56"/>
      <c r="B7" s="56"/>
      <c r="C7" s="56"/>
      <c r="D7" s="56"/>
      <c r="E7" s="56"/>
      <c r="F7" s="56"/>
      <c r="G7" s="58"/>
      <c r="H7" s="48"/>
      <c r="I7" s="48"/>
      <c r="J7" s="50"/>
      <c r="K7" s="14" t="s">
        <v>45</v>
      </c>
      <c r="L7" s="14" t="s">
        <v>46</v>
      </c>
      <c r="M7" s="14" t="s">
        <v>45</v>
      </c>
      <c r="N7" s="14" t="s">
        <v>46</v>
      </c>
      <c r="O7" s="14" t="s">
        <v>45</v>
      </c>
      <c r="P7" s="14" t="s">
        <v>46</v>
      </c>
      <c r="Q7" s="1"/>
    </row>
    <row r="8" spans="1:17" ht="102" customHeight="1" x14ac:dyDescent="0.35">
      <c r="A8" s="22" t="s">
        <v>13</v>
      </c>
      <c r="B8" s="22" t="s">
        <v>14</v>
      </c>
      <c r="C8" s="22" t="s">
        <v>15</v>
      </c>
      <c r="D8" s="22" t="s">
        <v>16</v>
      </c>
      <c r="E8" s="22" t="s">
        <v>17</v>
      </c>
      <c r="F8" s="22" t="s">
        <v>18</v>
      </c>
      <c r="G8" s="22" t="s">
        <v>19</v>
      </c>
      <c r="H8" s="22" t="s">
        <v>50</v>
      </c>
      <c r="I8" s="22" t="s">
        <v>59</v>
      </c>
      <c r="J8" s="22" t="s">
        <v>58</v>
      </c>
      <c r="K8" s="22" t="s">
        <v>52</v>
      </c>
      <c r="L8" s="22" t="s">
        <v>57</v>
      </c>
      <c r="M8" s="22" t="s">
        <v>51</v>
      </c>
      <c r="N8" s="22" t="s">
        <v>55</v>
      </c>
      <c r="O8" s="22" t="s">
        <v>53</v>
      </c>
      <c r="P8" s="22" t="s">
        <v>56</v>
      </c>
    </row>
    <row r="9" spans="1:17" ht="31.5" customHeight="1" x14ac:dyDescent="0.35">
      <c r="A9" s="15" t="s">
        <v>3</v>
      </c>
      <c r="B9" s="59" t="s">
        <v>48</v>
      </c>
      <c r="C9" s="59"/>
      <c r="D9" s="59"/>
      <c r="E9" s="59"/>
      <c r="F9" s="59"/>
      <c r="G9" s="59"/>
      <c r="H9" s="59"/>
      <c r="I9" s="59"/>
      <c r="J9" s="59"/>
      <c r="K9" s="59"/>
      <c r="L9" s="59"/>
      <c r="M9" s="59"/>
      <c r="N9" s="59"/>
      <c r="O9" s="59"/>
      <c r="P9" s="59"/>
    </row>
    <row r="10" spans="1:17" ht="15" x14ac:dyDescent="0.35">
      <c r="A10" s="16">
        <v>1</v>
      </c>
      <c r="B10" s="40" t="s">
        <v>4</v>
      </c>
      <c r="C10" s="40"/>
      <c r="D10" s="40"/>
      <c r="E10" s="40"/>
      <c r="F10" s="16">
        <f>SUM(F11:F21)</f>
        <v>37</v>
      </c>
      <c r="G10" s="17"/>
      <c r="H10" s="17"/>
      <c r="I10" s="17"/>
      <c r="J10" s="16">
        <f t="shared" ref="J10:P10" si="0">SUM(J11:J21)</f>
        <v>46</v>
      </c>
      <c r="K10" s="29">
        <f t="shared" si="0"/>
        <v>37</v>
      </c>
      <c r="L10" s="30">
        <f t="shared" si="0"/>
        <v>46</v>
      </c>
      <c r="M10" s="29">
        <f t="shared" si="0"/>
        <v>37</v>
      </c>
      <c r="N10" s="30">
        <f t="shared" si="0"/>
        <v>46</v>
      </c>
      <c r="O10" s="29">
        <f t="shared" si="0"/>
        <v>27.75</v>
      </c>
      <c r="P10" s="30">
        <f t="shared" si="0"/>
        <v>33.75</v>
      </c>
    </row>
    <row r="11" spans="1:17" ht="46.5" x14ac:dyDescent="0.35">
      <c r="A11" s="11" t="s">
        <v>22</v>
      </c>
      <c r="B11" s="23" t="s">
        <v>64</v>
      </c>
      <c r="C11" s="11" t="s">
        <v>27</v>
      </c>
      <c r="D11" s="20" t="s">
        <v>74</v>
      </c>
      <c r="E11" s="27" t="s">
        <v>75</v>
      </c>
      <c r="F11" s="28">
        <v>1</v>
      </c>
      <c r="G11" s="27" t="s">
        <v>36</v>
      </c>
      <c r="H11" s="11">
        <f t="shared" ref="H11:H21" si="1">IF(G11="Khó và phức tạp",200,IF(G11="Cao",150,IF(G11="Trungbình",120,100)))</f>
        <v>100</v>
      </c>
      <c r="I11" s="11">
        <f t="shared" ref="I11:I21" si="2">H11*0.01</f>
        <v>1</v>
      </c>
      <c r="J11" s="11">
        <f t="shared" ref="J11:J21" si="3">F11*I11</f>
        <v>1</v>
      </c>
      <c r="K11" s="12">
        <f>F11*100%</f>
        <v>1</v>
      </c>
      <c r="L11" s="18">
        <f t="shared" ref="L11:L21" si="4">K11*I11</f>
        <v>1</v>
      </c>
      <c r="M11" s="12">
        <f t="shared" ref="M11:M21" si="5">K11*100%</f>
        <v>1</v>
      </c>
      <c r="N11" s="18">
        <f t="shared" ref="N11:N21" si="6">I11*M11</f>
        <v>1</v>
      </c>
      <c r="O11" s="12">
        <f t="shared" ref="O11:O21" si="7">K11*75%</f>
        <v>0.75</v>
      </c>
      <c r="P11" s="18" t="s">
        <v>22</v>
      </c>
    </row>
    <row r="12" spans="1:17" ht="46.5" x14ac:dyDescent="0.35">
      <c r="A12" s="11" t="s">
        <v>23</v>
      </c>
      <c r="B12" s="24" t="s">
        <v>65</v>
      </c>
      <c r="C12" s="11" t="s">
        <v>27</v>
      </c>
      <c r="D12" s="20" t="s">
        <v>74</v>
      </c>
      <c r="E12" s="27" t="s">
        <v>76</v>
      </c>
      <c r="F12" s="28">
        <v>10</v>
      </c>
      <c r="G12" s="27" t="s">
        <v>36</v>
      </c>
      <c r="H12" s="11">
        <f t="shared" si="1"/>
        <v>100</v>
      </c>
      <c r="I12" s="11">
        <f t="shared" si="2"/>
        <v>1</v>
      </c>
      <c r="J12" s="11">
        <f t="shared" si="3"/>
        <v>10</v>
      </c>
      <c r="K12" s="12">
        <f t="shared" ref="K12:K21" si="8">F12*100%</f>
        <v>10</v>
      </c>
      <c r="L12" s="18">
        <f t="shared" si="4"/>
        <v>10</v>
      </c>
      <c r="M12" s="12">
        <f t="shared" si="5"/>
        <v>10</v>
      </c>
      <c r="N12" s="18">
        <f t="shared" si="6"/>
        <v>10</v>
      </c>
      <c r="O12" s="12">
        <f t="shared" si="7"/>
        <v>7.5</v>
      </c>
      <c r="P12" s="18">
        <f t="shared" ref="P12:P21" si="9">I12*O12</f>
        <v>7.5</v>
      </c>
    </row>
    <row r="13" spans="1:17" ht="46.5" x14ac:dyDescent="0.35">
      <c r="A13" s="11" t="s">
        <v>29</v>
      </c>
      <c r="B13" s="26" t="s">
        <v>66</v>
      </c>
      <c r="C13" s="11" t="s">
        <v>27</v>
      </c>
      <c r="D13" s="20" t="s">
        <v>74</v>
      </c>
      <c r="E13" s="27" t="s">
        <v>76</v>
      </c>
      <c r="F13" s="28">
        <v>1</v>
      </c>
      <c r="G13" s="27" t="s">
        <v>37</v>
      </c>
      <c r="H13" s="11">
        <f t="shared" si="1"/>
        <v>150</v>
      </c>
      <c r="I13" s="11">
        <f t="shared" si="2"/>
        <v>1.5</v>
      </c>
      <c r="J13" s="11">
        <f t="shared" si="3"/>
        <v>1.5</v>
      </c>
      <c r="K13" s="12">
        <f t="shared" si="8"/>
        <v>1</v>
      </c>
      <c r="L13" s="18">
        <f t="shared" si="4"/>
        <v>1.5</v>
      </c>
      <c r="M13" s="12">
        <f t="shared" si="5"/>
        <v>1</v>
      </c>
      <c r="N13" s="18">
        <f t="shared" si="6"/>
        <v>1.5</v>
      </c>
      <c r="O13" s="12">
        <f t="shared" si="7"/>
        <v>0.75</v>
      </c>
      <c r="P13" s="18">
        <f t="shared" si="9"/>
        <v>1.125</v>
      </c>
    </row>
    <row r="14" spans="1:17" ht="31" x14ac:dyDescent="0.35">
      <c r="A14" s="11" t="s">
        <v>39</v>
      </c>
      <c r="B14" s="26" t="s">
        <v>67</v>
      </c>
      <c r="C14" s="11" t="s">
        <v>27</v>
      </c>
      <c r="D14" s="20" t="s">
        <v>74</v>
      </c>
      <c r="E14" s="27" t="s">
        <v>77</v>
      </c>
      <c r="F14" s="28">
        <v>1</v>
      </c>
      <c r="G14" s="27" t="s">
        <v>37</v>
      </c>
      <c r="H14" s="11">
        <f t="shared" si="1"/>
        <v>150</v>
      </c>
      <c r="I14" s="11">
        <f t="shared" si="2"/>
        <v>1.5</v>
      </c>
      <c r="J14" s="11">
        <f t="shared" si="3"/>
        <v>1.5</v>
      </c>
      <c r="K14" s="12">
        <f t="shared" si="8"/>
        <v>1</v>
      </c>
      <c r="L14" s="18">
        <f t="shared" si="4"/>
        <v>1.5</v>
      </c>
      <c r="M14" s="12">
        <f t="shared" si="5"/>
        <v>1</v>
      </c>
      <c r="N14" s="18">
        <f t="shared" si="6"/>
        <v>1.5</v>
      </c>
      <c r="O14" s="12">
        <f t="shared" si="7"/>
        <v>0.75</v>
      </c>
      <c r="P14" s="18">
        <f t="shared" si="9"/>
        <v>1.125</v>
      </c>
    </row>
    <row r="15" spans="1:17" ht="77.5" x14ac:dyDescent="0.35">
      <c r="A15" s="11" t="s">
        <v>63</v>
      </c>
      <c r="B15" s="24" t="s">
        <v>68</v>
      </c>
      <c r="C15" s="11" t="s">
        <v>27</v>
      </c>
      <c r="D15" s="20" t="s">
        <v>74</v>
      </c>
      <c r="E15" s="27" t="s">
        <v>78</v>
      </c>
      <c r="F15" s="28">
        <v>1</v>
      </c>
      <c r="G15" s="27" t="s">
        <v>37</v>
      </c>
      <c r="H15" s="11">
        <f t="shared" si="1"/>
        <v>150</v>
      </c>
      <c r="I15" s="11">
        <f t="shared" si="2"/>
        <v>1.5</v>
      </c>
      <c r="J15" s="11">
        <f t="shared" si="3"/>
        <v>1.5</v>
      </c>
      <c r="K15" s="12">
        <f t="shared" si="8"/>
        <v>1</v>
      </c>
      <c r="L15" s="18">
        <f t="shared" si="4"/>
        <v>1.5</v>
      </c>
      <c r="M15" s="12">
        <f t="shared" si="5"/>
        <v>1</v>
      </c>
      <c r="N15" s="18">
        <f t="shared" si="6"/>
        <v>1.5</v>
      </c>
      <c r="O15" s="12">
        <f t="shared" si="7"/>
        <v>0.75</v>
      </c>
      <c r="P15" s="18">
        <f t="shared" si="9"/>
        <v>1.125</v>
      </c>
    </row>
    <row r="16" spans="1:17" ht="62" x14ac:dyDescent="0.35">
      <c r="A16" s="11" t="s">
        <v>82</v>
      </c>
      <c r="B16" s="25" t="s">
        <v>69</v>
      </c>
      <c r="C16" s="11" t="s">
        <v>27</v>
      </c>
      <c r="D16" s="20" t="s">
        <v>74</v>
      </c>
      <c r="E16" s="27" t="s">
        <v>79</v>
      </c>
      <c r="F16" s="28">
        <v>3</v>
      </c>
      <c r="G16" s="27" t="s">
        <v>36</v>
      </c>
      <c r="H16" s="11">
        <f t="shared" si="1"/>
        <v>100</v>
      </c>
      <c r="I16" s="11">
        <f t="shared" si="2"/>
        <v>1</v>
      </c>
      <c r="J16" s="11">
        <f t="shared" si="3"/>
        <v>3</v>
      </c>
      <c r="K16" s="12">
        <f t="shared" si="8"/>
        <v>3</v>
      </c>
      <c r="L16" s="18">
        <f t="shared" si="4"/>
        <v>3</v>
      </c>
      <c r="M16" s="12">
        <f t="shared" si="5"/>
        <v>3</v>
      </c>
      <c r="N16" s="18">
        <f t="shared" si="6"/>
        <v>3</v>
      </c>
      <c r="O16" s="12">
        <f t="shared" si="7"/>
        <v>2.25</v>
      </c>
      <c r="P16" s="18">
        <f t="shared" si="9"/>
        <v>2.25</v>
      </c>
    </row>
    <row r="17" spans="1:16" ht="31" x14ac:dyDescent="0.35">
      <c r="A17" s="11" t="s">
        <v>83</v>
      </c>
      <c r="B17" s="24" t="s">
        <v>88</v>
      </c>
      <c r="C17" s="11" t="s">
        <v>27</v>
      </c>
      <c r="D17" s="20" t="s">
        <v>74</v>
      </c>
      <c r="E17" s="27" t="s">
        <v>80</v>
      </c>
      <c r="F17" s="28">
        <v>3</v>
      </c>
      <c r="G17" s="27" t="s">
        <v>37</v>
      </c>
      <c r="H17" s="11">
        <f t="shared" si="1"/>
        <v>150</v>
      </c>
      <c r="I17" s="11">
        <f t="shared" si="2"/>
        <v>1.5</v>
      </c>
      <c r="J17" s="11">
        <f t="shared" si="3"/>
        <v>4.5</v>
      </c>
      <c r="K17" s="12">
        <f t="shared" si="8"/>
        <v>3</v>
      </c>
      <c r="L17" s="18">
        <f t="shared" si="4"/>
        <v>4.5</v>
      </c>
      <c r="M17" s="12">
        <f t="shared" si="5"/>
        <v>3</v>
      </c>
      <c r="N17" s="18">
        <f t="shared" si="6"/>
        <v>4.5</v>
      </c>
      <c r="O17" s="12">
        <f t="shared" si="7"/>
        <v>2.25</v>
      </c>
      <c r="P17" s="18">
        <f t="shared" si="9"/>
        <v>3.375</v>
      </c>
    </row>
    <row r="18" spans="1:16" ht="31" x14ac:dyDescent="0.35">
      <c r="A18" s="11" t="s">
        <v>84</v>
      </c>
      <c r="B18" s="24" t="s">
        <v>70</v>
      </c>
      <c r="C18" s="11" t="s">
        <v>27</v>
      </c>
      <c r="D18" s="20" t="s">
        <v>74</v>
      </c>
      <c r="E18" s="27" t="s">
        <v>80</v>
      </c>
      <c r="F18" s="28">
        <v>10</v>
      </c>
      <c r="G18" s="27" t="s">
        <v>37</v>
      </c>
      <c r="H18" s="11">
        <f t="shared" si="1"/>
        <v>150</v>
      </c>
      <c r="I18" s="11">
        <f t="shared" si="2"/>
        <v>1.5</v>
      </c>
      <c r="J18" s="11">
        <f t="shared" si="3"/>
        <v>15</v>
      </c>
      <c r="K18" s="12">
        <f t="shared" si="8"/>
        <v>10</v>
      </c>
      <c r="L18" s="18">
        <f t="shared" si="4"/>
        <v>15</v>
      </c>
      <c r="M18" s="12">
        <f t="shared" si="5"/>
        <v>10</v>
      </c>
      <c r="N18" s="18">
        <f t="shared" si="6"/>
        <v>15</v>
      </c>
      <c r="O18" s="12">
        <f t="shared" si="7"/>
        <v>7.5</v>
      </c>
      <c r="P18" s="18">
        <f t="shared" si="9"/>
        <v>11.25</v>
      </c>
    </row>
    <row r="19" spans="1:16" ht="46.5" x14ac:dyDescent="0.35">
      <c r="A19" s="11" t="s">
        <v>85</v>
      </c>
      <c r="B19" s="23" t="s">
        <v>71</v>
      </c>
      <c r="C19" s="11" t="s">
        <v>27</v>
      </c>
      <c r="D19" s="20" t="s">
        <v>74</v>
      </c>
      <c r="E19" s="27" t="s">
        <v>81</v>
      </c>
      <c r="F19" s="28">
        <v>3</v>
      </c>
      <c r="G19" s="27" t="s">
        <v>36</v>
      </c>
      <c r="H19" s="11">
        <f t="shared" si="1"/>
        <v>100</v>
      </c>
      <c r="I19" s="11">
        <f t="shared" si="2"/>
        <v>1</v>
      </c>
      <c r="J19" s="11">
        <f t="shared" si="3"/>
        <v>3</v>
      </c>
      <c r="K19" s="12">
        <f t="shared" si="8"/>
        <v>3</v>
      </c>
      <c r="L19" s="18">
        <f t="shared" si="4"/>
        <v>3</v>
      </c>
      <c r="M19" s="12">
        <f t="shared" si="5"/>
        <v>3</v>
      </c>
      <c r="N19" s="18">
        <f t="shared" si="6"/>
        <v>3</v>
      </c>
      <c r="O19" s="12">
        <f t="shared" si="7"/>
        <v>2.25</v>
      </c>
      <c r="P19" s="18">
        <f t="shared" si="9"/>
        <v>2.25</v>
      </c>
    </row>
    <row r="20" spans="1:16" ht="31" x14ac:dyDescent="0.35">
      <c r="A20" s="11" t="s">
        <v>86</v>
      </c>
      <c r="B20" s="24" t="s">
        <v>72</v>
      </c>
      <c r="C20" s="11" t="s">
        <v>27</v>
      </c>
      <c r="D20" s="20" t="s">
        <v>74</v>
      </c>
      <c r="E20" s="27" t="s">
        <v>81</v>
      </c>
      <c r="F20" s="28">
        <v>2</v>
      </c>
      <c r="G20" s="27" t="s">
        <v>36</v>
      </c>
      <c r="H20" s="11">
        <f t="shared" si="1"/>
        <v>100</v>
      </c>
      <c r="I20" s="11">
        <f t="shared" si="2"/>
        <v>1</v>
      </c>
      <c r="J20" s="11">
        <f t="shared" si="3"/>
        <v>2</v>
      </c>
      <c r="K20" s="12">
        <f t="shared" si="8"/>
        <v>2</v>
      </c>
      <c r="L20" s="18">
        <f t="shared" si="4"/>
        <v>2</v>
      </c>
      <c r="M20" s="12">
        <f t="shared" si="5"/>
        <v>2</v>
      </c>
      <c r="N20" s="18">
        <f t="shared" si="6"/>
        <v>2</v>
      </c>
      <c r="O20" s="12">
        <f t="shared" si="7"/>
        <v>1.5</v>
      </c>
      <c r="P20" s="18">
        <f t="shared" si="9"/>
        <v>1.5</v>
      </c>
    </row>
    <row r="21" spans="1:16" ht="31" x14ac:dyDescent="0.35">
      <c r="A21" s="11" t="s">
        <v>87</v>
      </c>
      <c r="B21" s="24" t="s">
        <v>73</v>
      </c>
      <c r="C21" s="11" t="s">
        <v>27</v>
      </c>
      <c r="D21" s="20" t="s">
        <v>74</v>
      </c>
      <c r="E21" s="27" t="s">
        <v>81</v>
      </c>
      <c r="F21" s="28">
        <v>2</v>
      </c>
      <c r="G21" s="27" t="s">
        <v>37</v>
      </c>
      <c r="H21" s="11">
        <f t="shared" si="1"/>
        <v>150</v>
      </c>
      <c r="I21" s="11">
        <f t="shared" si="2"/>
        <v>1.5</v>
      </c>
      <c r="J21" s="11">
        <f t="shared" si="3"/>
        <v>3</v>
      </c>
      <c r="K21" s="12">
        <f t="shared" si="8"/>
        <v>2</v>
      </c>
      <c r="L21" s="18">
        <f t="shared" si="4"/>
        <v>3</v>
      </c>
      <c r="M21" s="12">
        <f t="shared" si="5"/>
        <v>2</v>
      </c>
      <c r="N21" s="18">
        <f t="shared" si="6"/>
        <v>3</v>
      </c>
      <c r="O21" s="12">
        <f t="shared" si="7"/>
        <v>1.5</v>
      </c>
      <c r="P21" s="18">
        <f t="shared" si="9"/>
        <v>2.25</v>
      </c>
    </row>
    <row r="22" spans="1:16" ht="15" x14ac:dyDescent="0.35">
      <c r="A22" s="16">
        <v>2</v>
      </c>
      <c r="B22" s="40" t="s">
        <v>6</v>
      </c>
      <c r="C22" s="40"/>
      <c r="D22" s="40"/>
      <c r="E22" s="40"/>
      <c r="F22" s="16">
        <f>SUM(F23:F24)</f>
        <v>2</v>
      </c>
      <c r="G22" s="17"/>
      <c r="H22" s="17"/>
      <c r="I22" s="17"/>
      <c r="J22" s="16">
        <f t="shared" ref="J22:P22" si="10">SUM(J23:J24)</f>
        <v>2</v>
      </c>
      <c r="K22" s="16">
        <f t="shared" si="10"/>
        <v>2</v>
      </c>
      <c r="L22" s="16">
        <f t="shared" si="10"/>
        <v>2</v>
      </c>
      <c r="M22" s="16">
        <f t="shared" si="10"/>
        <v>2</v>
      </c>
      <c r="N22" s="16">
        <f t="shared" si="10"/>
        <v>2</v>
      </c>
      <c r="O22" s="16">
        <f t="shared" si="10"/>
        <v>2</v>
      </c>
      <c r="P22" s="16">
        <f t="shared" si="10"/>
        <v>2</v>
      </c>
    </row>
    <row r="23" spans="1:16" ht="77.5" x14ac:dyDescent="0.35">
      <c r="A23" s="11" t="s">
        <v>95</v>
      </c>
      <c r="B23" s="31" t="s">
        <v>89</v>
      </c>
      <c r="C23" s="20" t="s">
        <v>33</v>
      </c>
      <c r="D23" s="20" t="s">
        <v>74</v>
      </c>
      <c r="E23" s="32" t="s">
        <v>90</v>
      </c>
      <c r="F23" s="28">
        <v>1</v>
      </c>
      <c r="G23" s="27" t="s">
        <v>36</v>
      </c>
      <c r="H23" s="11">
        <f>IF(G23="Khó và phức tạp",200,IF(G23="Cao",150,IF(G23="Trungbình",120,100)))</f>
        <v>100</v>
      </c>
      <c r="I23" s="11">
        <f>H23*0.01</f>
        <v>1</v>
      </c>
      <c r="J23" s="11">
        <f>F23*I23</f>
        <v>1</v>
      </c>
      <c r="K23" s="12">
        <f>F23*100%</f>
        <v>1</v>
      </c>
      <c r="L23" s="18">
        <f t="shared" ref="L23:L24" si="11">K23*I23</f>
        <v>1</v>
      </c>
      <c r="M23" s="12">
        <f>K23*100%</f>
        <v>1</v>
      </c>
      <c r="N23" s="18">
        <f>I23*M23</f>
        <v>1</v>
      </c>
      <c r="O23" s="12">
        <f>K23*100%</f>
        <v>1</v>
      </c>
      <c r="P23" s="18">
        <f>I23*O23</f>
        <v>1</v>
      </c>
    </row>
    <row r="24" spans="1:16" ht="77.5" x14ac:dyDescent="0.35">
      <c r="A24" s="11" t="s">
        <v>96</v>
      </c>
      <c r="B24" s="33" t="s">
        <v>91</v>
      </c>
      <c r="C24" s="20" t="s">
        <v>31</v>
      </c>
      <c r="D24" s="20" t="s">
        <v>74</v>
      </c>
      <c r="E24" s="32" t="s">
        <v>90</v>
      </c>
      <c r="F24" s="28">
        <v>1</v>
      </c>
      <c r="G24" s="27" t="s">
        <v>36</v>
      </c>
      <c r="H24" s="11">
        <f>IF(G24="Khó và phức tạp",200,IF(G24="Cao",150,IF(G24="Trungbình",120,100)))</f>
        <v>100</v>
      </c>
      <c r="I24" s="11">
        <f>H24*0.01</f>
        <v>1</v>
      </c>
      <c r="J24" s="11">
        <f>F24*I24</f>
        <v>1</v>
      </c>
      <c r="K24" s="12">
        <f>F24*100%</f>
        <v>1</v>
      </c>
      <c r="L24" s="18">
        <f t="shared" si="11"/>
        <v>1</v>
      </c>
      <c r="M24" s="12">
        <f>K24*100%</f>
        <v>1</v>
      </c>
      <c r="N24" s="18">
        <f>I24*M24</f>
        <v>1</v>
      </c>
      <c r="O24" s="12">
        <f>K24*100%</f>
        <v>1</v>
      </c>
      <c r="P24" s="18">
        <f>I24*O24</f>
        <v>1</v>
      </c>
    </row>
    <row r="25" spans="1:16" ht="15" x14ac:dyDescent="0.35">
      <c r="A25" s="16">
        <v>3</v>
      </c>
      <c r="B25" s="40" t="s">
        <v>7</v>
      </c>
      <c r="C25" s="40"/>
      <c r="D25" s="40"/>
      <c r="E25" s="40"/>
      <c r="F25" s="16">
        <f>SUM(F26:F27)</f>
        <v>2</v>
      </c>
      <c r="G25" s="17"/>
      <c r="H25" s="17"/>
      <c r="I25" s="17"/>
      <c r="J25" s="16">
        <f t="shared" ref="J25:P25" si="12">SUM(J26:J27)</f>
        <v>2</v>
      </c>
      <c r="K25" s="16">
        <f t="shared" si="12"/>
        <v>2</v>
      </c>
      <c r="L25" s="16">
        <f t="shared" si="12"/>
        <v>2</v>
      </c>
      <c r="M25" s="16">
        <f t="shared" si="12"/>
        <v>2</v>
      </c>
      <c r="N25" s="16">
        <f t="shared" si="12"/>
        <v>2</v>
      </c>
      <c r="O25" s="16">
        <f t="shared" si="12"/>
        <v>2</v>
      </c>
      <c r="P25" s="16">
        <f t="shared" si="12"/>
        <v>2</v>
      </c>
    </row>
    <row r="26" spans="1:16" ht="31" x14ac:dyDescent="0.35">
      <c r="A26" s="11" t="s">
        <v>93</v>
      </c>
      <c r="B26" s="31" t="s">
        <v>97</v>
      </c>
      <c r="C26" s="20" t="s">
        <v>27</v>
      </c>
      <c r="D26" s="20" t="s">
        <v>74</v>
      </c>
      <c r="E26" s="27" t="s">
        <v>81</v>
      </c>
      <c r="F26" s="28">
        <v>1</v>
      </c>
      <c r="G26" s="27" t="s">
        <v>36</v>
      </c>
      <c r="H26" s="11">
        <f>IF(G26="Khó và phức tạp",200,IF(G26="Cao",150,IF(G26="Trungbình",120,100)))</f>
        <v>100</v>
      </c>
      <c r="I26" s="11">
        <f>H26*0.01</f>
        <v>1</v>
      </c>
      <c r="J26" s="11">
        <f>F26*I26</f>
        <v>1</v>
      </c>
      <c r="K26" s="12">
        <f>F26*100%</f>
        <v>1</v>
      </c>
      <c r="L26" s="18">
        <f t="shared" ref="L26:L27" si="13">K26*I26</f>
        <v>1</v>
      </c>
      <c r="M26" s="12">
        <f>K26*100%</f>
        <v>1</v>
      </c>
      <c r="N26" s="18">
        <f>I26*M26</f>
        <v>1</v>
      </c>
      <c r="O26" s="12">
        <f>K26*100%</f>
        <v>1</v>
      </c>
      <c r="P26" s="18">
        <f>I26*O26</f>
        <v>1</v>
      </c>
    </row>
    <row r="27" spans="1:16" ht="62" x14ac:dyDescent="0.35">
      <c r="A27" s="11" t="s">
        <v>94</v>
      </c>
      <c r="B27" s="33" t="s">
        <v>92</v>
      </c>
      <c r="C27" s="20" t="s">
        <v>27</v>
      </c>
      <c r="D27" s="20" t="s">
        <v>74</v>
      </c>
      <c r="E27" s="27" t="s">
        <v>81</v>
      </c>
      <c r="F27" s="28">
        <v>1</v>
      </c>
      <c r="G27" s="27" t="s">
        <v>36</v>
      </c>
      <c r="H27" s="11">
        <f>IF(G27="Khó và phức tạp",200,IF(G27="Cao",150,IF(G27="Trungbình",120,100)))</f>
        <v>100</v>
      </c>
      <c r="I27" s="11">
        <f>H27*0.01</f>
        <v>1</v>
      </c>
      <c r="J27" s="11">
        <f>F27*I27</f>
        <v>1</v>
      </c>
      <c r="K27" s="12">
        <f>F27*100%</f>
        <v>1</v>
      </c>
      <c r="L27" s="18">
        <f t="shared" si="13"/>
        <v>1</v>
      </c>
      <c r="M27" s="12">
        <f>K27*100%</f>
        <v>1</v>
      </c>
      <c r="N27" s="18">
        <f>I27*M27</f>
        <v>1</v>
      </c>
      <c r="O27" s="12">
        <f>K27*100%</f>
        <v>1</v>
      </c>
      <c r="P27" s="18">
        <f>I27*O27</f>
        <v>1</v>
      </c>
    </row>
    <row r="28" spans="1:16" ht="15" x14ac:dyDescent="0.35">
      <c r="A28" s="16">
        <v>4</v>
      </c>
      <c r="B28" s="41" t="s">
        <v>8</v>
      </c>
      <c r="C28" s="41"/>
      <c r="D28" s="41"/>
      <c r="E28" s="41"/>
      <c r="F28" s="16">
        <f>SUM(F29:F29)</f>
        <v>1</v>
      </c>
      <c r="G28" s="17"/>
      <c r="H28" s="17"/>
      <c r="I28" s="17"/>
      <c r="J28" s="16">
        <f t="shared" ref="J28:P28" si="14">SUM(J29:J29)</f>
        <v>1</v>
      </c>
      <c r="K28" s="16">
        <f t="shared" si="14"/>
        <v>1</v>
      </c>
      <c r="L28" s="16">
        <f t="shared" si="14"/>
        <v>1</v>
      </c>
      <c r="M28" s="16">
        <f t="shared" si="14"/>
        <v>1</v>
      </c>
      <c r="N28" s="16">
        <f t="shared" si="14"/>
        <v>1</v>
      </c>
      <c r="O28" s="16">
        <f t="shared" si="14"/>
        <v>1</v>
      </c>
      <c r="P28" s="16">
        <f t="shared" si="14"/>
        <v>1</v>
      </c>
    </row>
    <row r="29" spans="1:16" ht="93" x14ac:dyDescent="0.35">
      <c r="A29" s="11" t="s">
        <v>98</v>
      </c>
      <c r="B29" s="34" t="s">
        <v>99</v>
      </c>
      <c r="C29" s="20" t="s">
        <v>27</v>
      </c>
      <c r="D29" s="20" t="s">
        <v>74</v>
      </c>
      <c r="E29" s="27" t="s">
        <v>81</v>
      </c>
      <c r="F29" s="28">
        <v>1</v>
      </c>
      <c r="G29" s="27" t="s">
        <v>36</v>
      </c>
      <c r="H29" s="11">
        <f t="shared" ref="H29" si="15">IF(G29="Khó và phức tạp",200,IF(G29="Cao",150,IF(G29="Trungbình",120,100)))</f>
        <v>100</v>
      </c>
      <c r="I29" s="11">
        <f t="shared" ref="I29" si="16">H29*0.01</f>
        <v>1</v>
      </c>
      <c r="J29" s="11">
        <f>F29*I29</f>
        <v>1</v>
      </c>
      <c r="K29" s="12">
        <f>F29*100%</f>
        <v>1</v>
      </c>
      <c r="L29" s="18">
        <f t="shared" ref="L29" si="17">K29*I29</f>
        <v>1</v>
      </c>
      <c r="M29" s="12">
        <f>K29*100%</f>
        <v>1</v>
      </c>
      <c r="N29" s="18">
        <f>I29*M29</f>
        <v>1</v>
      </c>
      <c r="O29" s="12">
        <f>K29*100%</f>
        <v>1</v>
      </c>
      <c r="P29" s="18">
        <f>I29*O29</f>
        <v>1</v>
      </c>
    </row>
    <row r="30" spans="1:16" ht="15" x14ac:dyDescent="0.35">
      <c r="A30" s="16">
        <v>5</v>
      </c>
      <c r="B30" s="40" t="s">
        <v>9</v>
      </c>
      <c r="C30" s="40"/>
      <c r="D30" s="40"/>
      <c r="E30" s="40"/>
      <c r="F30" s="16">
        <f>SUM(F31:F32)</f>
        <v>3</v>
      </c>
      <c r="G30" s="17"/>
      <c r="H30" s="17"/>
      <c r="I30" s="17"/>
      <c r="J30" s="16">
        <f t="shared" ref="J30:P30" si="18">SUM(J31:J32)</f>
        <v>3.5</v>
      </c>
      <c r="K30" s="16">
        <f t="shared" si="18"/>
        <v>3</v>
      </c>
      <c r="L30" s="16">
        <f t="shared" si="18"/>
        <v>3.5</v>
      </c>
      <c r="M30" s="16">
        <f t="shared" si="18"/>
        <v>3</v>
      </c>
      <c r="N30" s="16">
        <f t="shared" si="18"/>
        <v>3.5</v>
      </c>
      <c r="O30" s="16">
        <f t="shared" si="18"/>
        <v>3</v>
      </c>
      <c r="P30" s="16">
        <f t="shared" si="18"/>
        <v>3.5</v>
      </c>
    </row>
    <row r="31" spans="1:16" ht="186" x14ac:dyDescent="0.35">
      <c r="A31" s="11" t="s">
        <v>102</v>
      </c>
      <c r="B31" s="34" t="s">
        <v>100</v>
      </c>
      <c r="C31" s="20" t="s">
        <v>27</v>
      </c>
      <c r="D31" s="20" t="s">
        <v>74</v>
      </c>
      <c r="E31" s="27" t="s">
        <v>81</v>
      </c>
      <c r="F31" s="28">
        <v>2</v>
      </c>
      <c r="G31" s="27" t="s">
        <v>36</v>
      </c>
      <c r="H31" s="11">
        <f t="shared" ref="H31:H32" si="19">IF(G31="Khó và phức tạp",200,IF(G31="Cao",150,IF(G31="Trungbình",120,100)))</f>
        <v>100</v>
      </c>
      <c r="I31" s="11">
        <f t="shared" ref="I31:I32" si="20">H31*0.01</f>
        <v>1</v>
      </c>
      <c r="J31" s="11">
        <f t="shared" ref="J31:J32" si="21">F31*I31</f>
        <v>2</v>
      </c>
      <c r="K31" s="12">
        <f t="shared" ref="K31:K32" si="22">F31*100%</f>
        <v>2</v>
      </c>
      <c r="L31" s="18">
        <f t="shared" ref="L31:L32" si="23">K31*I31</f>
        <v>2</v>
      </c>
      <c r="M31" s="12">
        <f>K31*100%</f>
        <v>2</v>
      </c>
      <c r="N31" s="18">
        <f t="shared" ref="N31:N32" si="24">I31*M31</f>
        <v>2</v>
      </c>
      <c r="O31" s="12">
        <f t="shared" ref="O31:O32" si="25">K31*100%</f>
        <v>2</v>
      </c>
      <c r="P31" s="18">
        <f t="shared" ref="P31:P32" si="26">I31*O31</f>
        <v>2</v>
      </c>
    </row>
    <row r="32" spans="1:16" ht="77.5" x14ac:dyDescent="0.35">
      <c r="A32" s="11" t="s">
        <v>103</v>
      </c>
      <c r="B32" s="31" t="s">
        <v>101</v>
      </c>
      <c r="C32" s="20" t="s">
        <v>27</v>
      </c>
      <c r="D32" s="20" t="s">
        <v>74</v>
      </c>
      <c r="E32" s="27" t="s">
        <v>81</v>
      </c>
      <c r="F32" s="28">
        <v>1</v>
      </c>
      <c r="G32" s="27" t="s">
        <v>37</v>
      </c>
      <c r="H32" s="11">
        <f t="shared" si="19"/>
        <v>150</v>
      </c>
      <c r="I32" s="11">
        <f t="shared" si="20"/>
        <v>1.5</v>
      </c>
      <c r="J32" s="11">
        <f t="shared" si="21"/>
        <v>1.5</v>
      </c>
      <c r="K32" s="12">
        <f t="shared" si="22"/>
        <v>1</v>
      </c>
      <c r="L32" s="18">
        <f t="shared" si="23"/>
        <v>1.5</v>
      </c>
      <c r="M32" s="12">
        <f>K32*100%</f>
        <v>1</v>
      </c>
      <c r="N32" s="18">
        <f t="shared" si="24"/>
        <v>1.5</v>
      </c>
      <c r="O32" s="12">
        <f t="shared" si="25"/>
        <v>1</v>
      </c>
      <c r="P32" s="18">
        <f t="shared" si="26"/>
        <v>1.5</v>
      </c>
    </row>
    <row r="33" spans="1:16" ht="15" x14ac:dyDescent="0.35">
      <c r="A33" s="16">
        <v>6</v>
      </c>
      <c r="B33" s="36" t="s">
        <v>10</v>
      </c>
      <c r="C33" s="37"/>
      <c r="D33" s="37"/>
      <c r="E33" s="37"/>
      <c r="F33" s="16">
        <f>SUM(F34:F34)</f>
        <v>1</v>
      </c>
      <c r="G33" s="17"/>
      <c r="H33" s="17"/>
      <c r="I33" s="17"/>
      <c r="J33" s="16">
        <f t="shared" ref="J33:P33" si="27">SUM(J34:J34)</f>
        <v>1</v>
      </c>
      <c r="K33" s="16">
        <f t="shared" si="27"/>
        <v>1</v>
      </c>
      <c r="L33" s="16">
        <f t="shared" si="27"/>
        <v>1</v>
      </c>
      <c r="M33" s="16">
        <f t="shared" si="27"/>
        <v>0.75</v>
      </c>
      <c r="N33" s="16">
        <f t="shared" si="27"/>
        <v>0.75</v>
      </c>
      <c r="O33" s="16">
        <f t="shared" si="27"/>
        <v>1</v>
      </c>
      <c r="P33" s="16">
        <f t="shared" si="27"/>
        <v>1</v>
      </c>
    </row>
    <row r="34" spans="1:16" ht="46.5" x14ac:dyDescent="0.35">
      <c r="A34" s="11" t="s">
        <v>106</v>
      </c>
      <c r="B34" s="21" t="s">
        <v>104</v>
      </c>
      <c r="C34" s="20" t="s">
        <v>31</v>
      </c>
      <c r="D34" s="20" t="s">
        <v>74</v>
      </c>
      <c r="E34" s="27" t="s">
        <v>35</v>
      </c>
      <c r="F34" s="28">
        <v>1</v>
      </c>
      <c r="G34" s="27" t="s">
        <v>36</v>
      </c>
      <c r="H34" s="11">
        <f>IF(G34="Khó và phức tạp",200,IF(G34="Cao",150,IF(G34="Trungbình",120,100)))</f>
        <v>100</v>
      </c>
      <c r="I34" s="11">
        <f>H34*0.01</f>
        <v>1</v>
      </c>
      <c r="J34" s="11">
        <f t="shared" ref="J34" si="28">F34*I34</f>
        <v>1</v>
      </c>
      <c r="K34" s="12">
        <f t="shared" ref="K34" si="29">F34*100%</f>
        <v>1</v>
      </c>
      <c r="L34" s="18">
        <f t="shared" ref="L34" si="30">K34*I34</f>
        <v>1</v>
      </c>
      <c r="M34" s="12">
        <f t="shared" ref="M34" si="31">K34*75%</f>
        <v>0.75</v>
      </c>
      <c r="N34" s="18">
        <f t="shared" ref="N34" si="32">I34*M34</f>
        <v>0.75</v>
      </c>
      <c r="O34" s="12">
        <f t="shared" ref="O34" si="33">K34*100%</f>
        <v>1</v>
      </c>
      <c r="P34" s="18">
        <f t="shared" ref="P34" si="34">I34*O34</f>
        <v>1</v>
      </c>
    </row>
    <row r="35" spans="1:16" ht="15" x14ac:dyDescent="0.35">
      <c r="A35" s="16" t="s">
        <v>11</v>
      </c>
      <c r="B35" s="38" t="s">
        <v>34</v>
      </c>
      <c r="C35" s="39"/>
      <c r="D35" s="39"/>
      <c r="E35" s="39"/>
      <c r="F35" s="16">
        <f>SUM(F36:F38)</f>
        <v>0</v>
      </c>
      <c r="G35" s="17"/>
      <c r="H35" s="17"/>
      <c r="I35" s="17"/>
      <c r="J35" s="16">
        <f t="shared" ref="J35:P35" si="35">SUM(J36:J38)</f>
        <v>0</v>
      </c>
      <c r="K35" s="16">
        <f t="shared" si="35"/>
        <v>0</v>
      </c>
      <c r="L35" s="16">
        <f t="shared" si="35"/>
        <v>0</v>
      </c>
      <c r="M35" s="16">
        <f t="shared" si="35"/>
        <v>0</v>
      </c>
      <c r="N35" s="16">
        <f t="shared" si="35"/>
        <v>0</v>
      </c>
      <c r="O35" s="16">
        <f t="shared" si="35"/>
        <v>0</v>
      </c>
      <c r="P35" s="16">
        <f t="shared" si="35"/>
        <v>0</v>
      </c>
    </row>
    <row r="36" spans="1:16" ht="31" x14ac:dyDescent="0.35">
      <c r="A36" s="11">
        <v>1</v>
      </c>
      <c r="B36" s="19"/>
      <c r="C36" s="11" t="s">
        <v>28</v>
      </c>
      <c r="D36" s="11" t="s">
        <v>30</v>
      </c>
      <c r="E36" s="11" t="s">
        <v>35</v>
      </c>
      <c r="F36" s="11"/>
      <c r="G36" s="11" t="s">
        <v>38</v>
      </c>
      <c r="H36" s="11">
        <f>IF(G36="Khó và phức tạp",200,IF(G36="Cao",150,IF(G36="Trungbình",120,100)))</f>
        <v>200</v>
      </c>
      <c r="I36" s="11">
        <f>H36*0.01</f>
        <v>2</v>
      </c>
      <c r="J36" s="11">
        <f t="shared" ref="J36:J38" si="36">F36*I36</f>
        <v>0</v>
      </c>
      <c r="K36" s="12">
        <f t="shared" ref="K36:K38" si="37">F36*100%</f>
        <v>0</v>
      </c>
      <c r="L36" s="18">
        <f t="shared" ref="L36:L38" si="38">K36*I36</f>
        <v>0</v>
      </c>
      <c r="M36" s="12">
        <f t="shared" ref="M36:M38" si="39">K36*75%</f>
        <v>0</v>
      </c>
      <c r="N36" s="18">
        <f t="shared" ref="N36:N38" si="40">I36*M36</f>
        <v>0</v>
      </c>
      <c r="O36" s="12">
        <f t="shared" ref="O36:O38" si="41">K36*100%</f>
        <v>0</v>
      </c>
      <c r="P36" s="18">
        <f t="shared" ref="P36:P38" si="42">I36*O36</f>
        <v>0</v>
      </c>
    </row>
    <row r="37" spans="1:16" ht="31" x14ac:dyDescent="0.35">
      <c r="A37" s="11">
        <v>2</v>
      </c>
      <c r="B37" s="19"/>
      <c r="C37" s="11" t="s">
        <v>31</v>
      </c>
      <c r="D37" s="11" t="s">
        <v>30</v>
      </c>
      <c r="E37" s="11" t="s">
        <v>35</v>
      </c>
      <c r="F37" s="11"/>
      <c r="G37" s="11" t="s">
        <v>38</v>
      </c>
      <c r="H37" s="11">
        <f>IF(G37="Khó và phức tạp",200,IF(G37="Cao",150,IF(G37="Trungbình",120,100)))</f>
        <v>200</v>
      </c>
      <c r="I37" s="11">
        <f>H37*0.01</f>
        <v>2</v>
      </c>
      <c r="J37" s="11">
        <f t="shared" si="36"/>
        <v>0</v>
      </c>
      <c r="K37" s="12">
        <f t="shared" si="37"/>
        <v>0</v>
      </c>
      <c r="L37" s="18">
        <f t="shared" si="38"/>
        <v>0</v>
      </c>
      <c r="M37" s="12">
        <f t="shared" si="39"/>
        <v>0</v>
      </c>
      <c r="N37" s="18">
        <f t="shared" si="40"/>
        <v>0</v>
      </c>
      <c r="O37" s="12">
        <f t="shared" si="41"/>
        <v>0</v>
      </c>
      <c r="P37" s="18">
        <f t="shared" si="42"/>
        <v>0</v>
      </c>
    </row>
    <row r="38" spans="1:16" ht="31" x14ac:dyDescent="0.35">
      <c r="A38" s="11" t="s">
        <v>5</v>
      </c>
      <c r="B38" s="19"/>
      <c r="C38" s="11" t="s">
        <v>32</v>
      </c>
      <c r="D38" s="11" t="s">
        <v>30</v>
      </c>
      <c r="E38" s="11" t="s">
        <v>35</v>
      </c>
      <c r="F38" s="11"/>
      <c r="G38" s="11" t="s">
        <v>38</v>
      </c>
      <c r="H38" s="11">
        <f>IF(G38="Khó và phức tạp",200,IF(G38="Cao",150,IF(G38="Trungbình",120,100)))</f>
        <v>200</v>
      </c>
      <c r="I38" s="11">
        <f>H38*0.01</f>
        <v>2</v>
      </c>
      <c r="J38" s="11">
        <f t="shared" si="36"/>
        <v>0</v>
      </c>
      <c r="K38" s="12">
        <f t="shared" si="37"/>
        <v>0</v>
      </c>
      <c r="L38" s="18">
        <f t="shared" si="38"/>
        <v>0</v>
      </c>
      <c r="M38" s="12">
        <f t="shared" si="39"/>
        <v>0</v>
      </c>
      <c r="N38" s="18">
        <f t="shared" si="40"/>
        <v>0</v>
      </c>
      <c r="O38" s="12">
        <f t="shared" si="41"/>
        <v>0</v>
      </c>
      <c r="P38" s="18">
        <f t="shared" si="42"/>
        <v>0</v>
      </c>
    </row>
    <row r="39" spans="1:16" s="3" customFormat="1" ht="15.5" x14ac:dyDescent="0.35">
      <c r="B39" s="60"/>
      <c r="C39" s="60"/>
      <c r="D39" s="60"/>
      <c r="E39" s="60"/>
      <c r="F39" s="60"/>
      <c r="G39" s="60"/>
      <c r="H39" s="60"/>
      <c r="I39" s="60"/>
      <c r="J39" s="60"/>
      <c r="K39" s="60"/>
      <c r="L39" s="60"/>
      <c r="M39" s="60"/>
      <c r="N39" s="60"/>
      <c r="O39" s="60"/>
      <c r="P39" s="60"/>
    </row>
    <row r="40" spans="1:16" s="4" customFormat="1" ht="149.5" customHeight="1" x14ac:dyDescent="0.35">
      <c r="A40" s="53" t="s">
        <v>26</v>
      </c>
      <c r="B40" s="53"/>
      <c r="C40" s="53"/>
      <c r="D40" s="13"/>
      <c r="G40" s="51" t="s">
        <v>105</v>
      </c>
      <c r="H40" s="51"/>
      <c r="I40" s="51"/>
      <c r="J40" s="51"/>
      <c r="K40" s="51"/>
      <c r="L40" s="52"/>
      <c r="M40" s="52"/>
      <c r="N40" s="52"/>
      <c r="O40" s="52"/>
      <c r="P40" s="52"/>
    </row>
    <row r="41" spans="1:16" ht="32.5" customHeight="1" x14ac:dyDescent="0.35">
      <c r="F41" s="35"/>
      <c r="G41" s="35"/>
      <c r="H41" s="35"/>
      <c r="I41" s="35"/>
      <c r="J41" s="35"/>
      <c r="K41" s="35"/>
      <c r="L41" s="35"/>
      <c r="M41" s="35"/>
      <c r="N41" s="35"/>
      <c r="O41" s="35"/>
    </row>
  </sheetData>
  <mergeCells count="31">
    <mergeCell ref="G40:P40"/>
    <mergeCell ref="A40:C40"/>
    <mergeCell ref="A1:P1"/>
    <mergeCell ref="F6:F7"/>
    <mergeCell ref="G6:G7"/>
    <mergeCell ref="A6:A7"/>
    <mergeCell ref="B6:B7"/>
    <mergeCell ref="C6:C7"/>
    <mergeCell ref="D6:D7"/>
    <mergeCell ref="E6:E7"/>
    <mergeCell ref="B9:P9"/>
    <mergeCell ref="B39:P39"/>
    <mergeCell ref="A2:B2"/>
    <mergeCell ref="A3:B3"/>
    <mergeCell ref="A4:P4"/>
    <mergeCell ref="H6:H7"/>
    <mergeCell ref="G2:P2"/>
    <mergeCell ref="G3:P3"/>
    <mergeCell ref="K6:L6"/>
    <mergeCell ref="M6:N6"/>
    <mergeCell ref="O6:P6"/>
    <mergeCell ref="A5:P5"/>
    <mergeCell ref="I6:I7"/>
    <mergeCell ref="J6:J7"/>
    <mergeCell ref="B33:E33"/>
    <mergeCell ref="B35:E35"/>
    <mergeCell ref="B10:E10"/>
    <mergeCell ref="B22:E22"/>
    <mergeCell ref="B28:E28"/>
    <mergeCell ref="B25:E25"/>
    <mergeCell ref="B30:E30"/>
  </mergeCells>
  <conditionalFormatting sqref="C11:C21">
    <cfRule type="dataBar" priority="19">
      <dataBar>
        <cfvo type="min"/>
        <cfvo type="max"/>
        <color rgb="FF638EC6"/>
      </dataBar>
      <extLst>
        <ext xmlns:x14="http://schemas.microsoft.com/office/spreadsheetml/2009/9/main" uri="{B025F937-C7B1-47D3-B67F-A62EFF666E3E}">
          <x14:id>{503E23DC-A883-4E4A-9CEB-0585580125FE}</x14:id>
        </ext>
      </extLst>
    </cfRule>
  </conditionalFormatting>
  <conditionalFormatting sqref="C23:C24">
    <cfRule type="dataBar" priority="6">
      <dataBar>
        <cfvo type="min"/>
        <cfvo type="max"/>
        <color rgb="FF638EC6"/>
      </dataBar>
      <extLst>
        <ext xmlns:x14="http://schemas.microsoft.com/office/spreadsheetml/2009/9/main" uri="{B025F937-C7B1-47D3-B67F-A62EFF666E3E}">
          <x14:id>{EB7D0F3B-DECA-4172-B931-D8C9B2A1EE81}</x14:id>
        </ext>
      </extLst>
    </cfRule>
  </conditionalFormatting>
  <conditionalFormatting sqref="C26:C27">
    <cfRule type="dataBar" priority="5">
      <dataBar>
        <cfvo type="min"/>
        <cfvo type="max"/>
        <color rgb="FF638EC6"/>
      </dataBar>
      <extLst>
        <ext xmlns:x14="http://schemas.microsoft.com/office/spreadsheetml/2009/9/main" uri="{B025F937-C7B1-47D3-B67F-A62EFF666E3E}">
          <x14:id>{5ADD4338-75B6-404D-8B1B-71F6C2B09119}</x14:id>
        </ext>
      </extLst>
    </cfRule>
  </conditionalFormatting>
  <conditionalFormatting sqref="C29">
    <cfRule type="dataBar" priority="4">
      <dataBar>
        <cfvo type="min"/>
        <cfvo type="max"/>
        <color rgb="FF638EC6"/>
      </dataBar>
      <extLst>
        <ext xmlns:x14="http://schemas.microsoft.com/office/spreadsheetml/2009/9/main" uri="{B025F937-C7B1-47D3-B67F-A62EFF666E3E}">
          <x14:id>{280B5F0A-3228-4E3D-A8CD-7949963759B1}</x14:id>
        </ext>
      </extLst>
    </cfRule>
  </conditionalFormatting>
  <conditionalFormatting sqref="C31">
    <cfRule type="dataBar" priority="2">
      <dataBar>
        <cfvo type="min"/>
        <cfvo type="max"/>
        <color rgb="FF638EC6"/>
      </dataBar>
      <extLst>
        <ext xmlns:x14="http://schemas.microsoft.com/office/spreadsheetml/2009/9/main" uri="{B025F937-C7B1-47D3-B67F-A62EFF666E3E}">
          <x14:id>{FA678550-B6C8-447A-9A65-C41CA7681B47}</x14:id>
        </ext>
      </extLst>
    </cfRule>
  </conditionalFormatting>
  <conditionalFormatting sqref="C32">
    <cfRule type="dataBar" priority="3">
      <dataBar>
        <cfvo type="min"/>
        <cfvo type="max"/>
        <color rgb="FF638EC6"/>
      </dataBar>
      <extLst>
        <ext xmlns:x14="http://schemas.microsoft.com/office/spreadsheetml/2009/9/main" uri="{B025F937-C7B1-47D3-B67F-A62EFF666E3E}">
          <x14:id>{12A4407F-3874-48D4-AD9D-6686B6739859}</x14:id>
        </ext>
      </extLst>
    </cfRule>
  </conditionalFormatting>
  <conditionalFormatting sqref="C34">
    <cfRule type="dataBar" priority="1">
      <dataBar>
        <cfvo type="min"/>
        <cfvo type="max"/>
        <color rgb="FF638EC6"/>
      </dataBar>
      <extLst>
        <ext xmlns:x14="http://schemas.microsoft.com/office/spreadsheetml/2009/9/main" uri="{B025F937-C7B1-47D3-B67F-A62EFF666E3E}">
          <x14:id>{DE5EC147-1CCC-46B3-B7D0-7C0C05957091}</x14:id>
        </ext>
      </extLst>
    </cfRule>
  </conditionalFormatting>
  <conditionalFormatting sqref="C36:C38">
    <cfRule type="dataBar" priority="9">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29 D11:D21 D23:D24 D31:D32 D26:D27 D36:D38 D34" xr:uid="{00000000-0002-0000-00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29 C11:C21 C23:C24 C26:C27 C36:C38 C31:C32 C34" xr:uid="{00000000-0002-0000-00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23:G24 G29 G11:G21 G26:G27 G36:G38 G31:G32 G34" xr:uid="{00000000-0002-0000-0000-000002000000}">
      <formula1>"Thấp,Trung bình,Cao,Khó và phức tạp"</formula1>
    </dataValidation>
    <dataValidation allowBlank="1" showInputMessage="1" sqref="H34:K34 H23:K24 H29:K29 H11:K21 H36:K38 H31:K32 H26:K27 E36:E38" xr:uid="{00000000-0002-0000-0000-000003000000}"/>
    <dataValidation type="list" allowBlank="1" showInputMessage="1" sqref="E11:E21 E26:E27 E29 E31:E32 E34" xr:uid="{00000000-0002-0000-0000-000004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ageMargins left="0.31496062992125984" right="0.31496062992125984" top="0.39370078740157483" bottom="0.39370078740157483" header="0.31496062992125984" footer="0.31496062992125984"/>
  <pageSetup paperSize="9" scale="51"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C11:C21</xm:sqref>
        </x14:conditionalFormatting>
        <x14:conditionalFormatting xmlns:xm="http://schemas.microsoft.com/office/excel/2006/main">
          <x14:cfRule type="dataBar" id="{EB7D0F3B-DECA-4172-B931-D8C9B2A1EE81}">
            <x14:dataBar minLength="0" maxLength="100" gradient="0">
              <x14:cfvo type="autoMin"/>
              <x14:cfvo type="autoMax"/>
              <x14:negativeFillColor rgb="FFFF0000"/>
              <x14:axisColor rgb="FF000000"/>
            </x14:dataBar>
          </x14:cfRule>
          <xm:sqref>C23:C24</xm:sqref>
        </x14:conditionalFormatting>
        <x14:conditionalFormatting xmlns:xm="http://schemas.microsoft.com/office/excel/2006/main">
          <x14:cfRule type="dataBar" id="{5ADD4338-75B6-404D-8B1B-71F6C2B09119}">
            <x14:dataBar minLength="0" maxLength="100" gradient="0">
              <x14:cfvo type="autoMin"/>
              <x14:cfvo type="autoMax"/>
              <x14:negativeFillColor rgb="FFFF0000"/>
              <x14:axisColor rgb="FF000000"/>
            </x14:dataBar>
          </x14:cfRule>
          <xm:sqref>C26:C27</xm:sqref>
        </x14:conditionalFormatting>
        <x14:conditionalFormatting xmlns:xm="http://schemas.microsoft.com/office/excel/2006/main">
          <x14:cfRule type="dataBar" id="{280B5F0A-3228-4E3D-A8CD-7949963759B1}">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FA678550-B6C8-447A-9A65-C41CA7681B47}">
            <x14:dataBar minLength="0" maxLength="100" gradient="0">
              <x14:cfvo type="autoMin"/>
              <x14:cfvo type="autoMax"/>
              <x14:negativeFillColor rgb="FFFF0000"/>
              <x14:axisColor rgb="FF000000"/>
            </x14:dataBar>
          </x14:cfRule>
          <xm:sqref>C31</xm:sqref>
        </x14:conditionalFormatting>
        <x14:conditionalFormatting xmlns:xm="http://schemas.microsoft.com/office/excel/2006/main">
          <x14:cfRule type="dataBar" id="{12A4407F-3874-48D4-AD9D-6686B6739859}">
            <x14:dataBar minLength="0" maxLength="100" gradient="0">
              <x14:cfvo type="autoMin"/>
              <x14:cfvo type="autoMax"/>
              <x14:negativeFillColor rgb="FFFF0000"/>
              <x14:axisColor rgb="FF000000"/>
            </x14:dataBar>
          </x14:cfRule>
          <xm:sqref>C32</xm:sqref>
        </x14:conditionalFormatting>
        <x14:conditionalFormatting xmlns:xm="http://schemas.microsoft.com/office/excel/2006/main">
          <x14:cfRule type="dataBar" id="{DE5EC147-1CCC-46B3-B7D0-7C0C05957091}">
            <x14:dataBar minLength="0" maxLength="100" gradient="0">
              <x14:cfvo type="autoMin"/>
              <x14:cfvo type="autoMax"/>
              <x14:negativeFillColor rgb="FFFF0000"/>
              <x14:axisColor rgb="FF000000"/>
            </x14:dataBar>
          </x14:cfRule>
          <xm:sqref>C34</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C36:C38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2026-06-25T01:59:32Z</cp:lastPrinted>
  <dcterms:created xsi:type="dcterms:W3CDTF">2026-05-27T07:08:41Z</dcterms:created>
  <dcterms:modified xsi:type="dcterms:W3CDTF">2026-08-17T09:08:51Z</dcterms:modified>
</cp:coreProperties>
</file>