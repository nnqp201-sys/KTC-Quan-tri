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MÁY TÍNH CHÚC\HOANG CHUC\2. ĐOÀN THANH NIÊN\CHƯƠNG TRÌNH-KH-CV-TB\2026\Thang 8.2026\"/>
    </mc:Choice>
  </mc:AlternateContent>
  <xr:revisionPtr revIDLastSave="0" documentId="13_ncr:1_{68D80C6C-3382-45FA-802E-1AF17D1BA3B4}" xr6:coauthVersionLast="47" xr6:coauthVersionMax="47" xr10:uidLastSave="{00000000-0000-0000-0000-000000000000}"/>
  <bookViews>
    <workbookView xWindow="-120" yWindow="-120" windowWidth="20730" windowHeight="11160" xr2:uid="{7E04179B-AE72-433D-A0F4-54C338E82316}"/>
  </bookViews>
  <sheets>
    <sheet name="Tháng 9" sheetId="2" r:id="rId1"/>
  </sheets>
  <definedNames>
    <definedName name="_xlnm.Print_Area" localSheetId="0">'Tháng 9'!$A$1:$K$43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6" i="2" l="1"/>
  <c r="I36" i="2"/>
  <c r="I41" i="2"/>
  <c r="J41" i="2" s="1"/>
  <c r="I40" i="2"/>
  <c r="J40" i="2" s="1"/>
  <c r="I39" i="2"/>
  <c r="J39" i="2" s="1"/>
  <c r="I37" i="2"/>
  <c r="J37" i="2" s="1"/>
  <c r="I34" i="2"/>
  <c r="J34" i="2" s="1"/>
  <c r="I33" i="2"/>
  <c r="J33" i="2" s="1"/>
  <c r="I32" i="2"/>
  <c r="J32" i="2" s="1"/>
  <c r="I31" i="2"/>
  <c r="J31" i="2" s="1"/>
  <c r="I30" i="2"/>
  <c r="J30" i="2" s="1"/>
  <c r="I29" i="2"/>
  <c r="J29" i="2" s="1"/>
  <c r="I27" i="2"/>
  <c r="J27" i="2" s="1"/>
  <c r="I26" i="2"/>
  <c r="J26" i="2" s="1"/>
  <c r="I25" i="2"/>
  <c r="J25" i="2" s="1"/>
  <c r="I24" i="2"/>
  <c r="J24" i="2" s="1"/>
  <c r="I23" i="2"/>
  <c r="J23" i="2" s="1"/>
  <c r="I22" i="2"/>
  <c r="J22" i="2" s="1"/>
  <c r="I20" i="2"/>
  <c r="J20" i="2" s="1"/>
  <c r="I19" i="2"/>
  <c r="J19" i="2" s="1"/>
  <c r="I17" i="2"/>
  <c r="J17" i="2" s="1"/>
  <c r="I16" i="2"/>
  <c r="J16" i="2" s="1"/>
  <c r="I14" i="2"/>
  <c r="J14" i="2" s="1"/>
  <c r="I13" i="2"/>
  <c r="J13" i="2" s="1"/>
  <c r="I12" i="2"/>
  <c r="J12" i="2" s="1"/>
  <c r="I11" i="2"/>
  <c r="J11" i="2" s="1"/>
</calcChain>
</file>

<file path=xl/sharedStrings.xml><?xml version="1.0" encoding="utf-8"?>
<sst xmlns="http://schemas.openxmlformats.org/spreadsheetml/2006/main" count="102" uniqueCount="63">
  <si>
    <t>TT</t>
  </si>
  <si>
    <t>NỘI DUNG CÔNG VIỆC</t>
  </si>
  <si>
    <t>Người trực tiếp chỉ đạo</t>
  </si>
  <si>
    <t>Thời gian hoàn thành</t>
  </si>
  <si>
    <t>Ghi chú</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</si>
  <si>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</si>
  <si>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</si>
  <si>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</si>
  <si>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</si>
  <si>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</si>
  <si>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</si>
  <si>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</si>
  <si>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</si>
  <si>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</si>
  <si>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ở Quý trước phải thực hiện sang Quý sau (nếu có)</t>
  </si>
  <si>
    <t>Số lượng</t>
  </si>
  <si>
    <t>(1)</t>
  </si>
  <si>
    <t>(2)</t>
  </si>
  <si>
    <t>(3)</t>
  </si>
  <si>
    <t>(4)</t>
  </si>
  <si>
    <t>(5)</t>
  </si>
  <si>
    <t>(6)</t>
  </si>
  <si>
    <t>(7)</t>
  </si>
  <si>
    <t>(8)</t>
  </si>
  <si>
    <t>1.1</t>
  </si>
  <si>
    <t>1.2</t>
  </si>
  <si>
    <t>(9)</t>
  </si>
  <si>
    <t> Các nhiệm vụ theo kế hoạch (chương trình) công tác đã đề ra từ đầu năm</t>
  </si>
  <si>
    <t>Đơn vị chủ trì</t>
  </si>
  <si>
    <t>(10)</t>
  </si>
  <si>
    <t>PHT Huỳnh Văn Chung</t>
  </si>
  <si>
    <t>1.3</t>
  </si>
  <si>
    <t>Trung bình</t>
  </si>
  <si>
    <t>1.4</t>
  </si>
  <si>
    <t>Sản phẩm/ công việc</t>
  </si>
  <si>
    <t>(11)</t>
  </si>
  <si>
    <t>Điểm chấm công việc</t>
  </si>
  <si>
    <t>Hệ số quy đổi</t>
  </si>
  <si>
    <t>Đưa vào KH Trường</t>
  </si>
  <si>
    <t>Thường xuyên của đơn vị</t>
  </si>
  <si>
    <t>Độ khó, mới, phức tạp; phạm vi tác động</t>
  </si>
  <si>
    <t>Phối hợp tổ chức tiếp sinh, nhập học thí sinh trúng tuyển trình độ cao đẳng, trung cấp, hệ chính quy năm học 2026-2027 theo kế hoạch của nhà trường</t>
  </si>
  <si>
    <t>ĐOÀN UBND TỈNH QUẢNG NGÃI</t>
  </si>
  <si>
    <t>BCH ĐOÀN TRƯỜNG CAO ĐẲNG KON TUM</t>
  </si>
  <si>
    <t>3.1.</t>
  </si>
  <si>
    <t>Đoàn TN-Hội SV</t>
  </si>
  <si>
    <t>ĐOÀN TNCS HỒ CHÍ MINH</t>
  </si>
  <si>
    <t>Công văn/Thông báo</t>
  </si>
  <si>
    <t>Tháng 8,9</t>
  </si>
  <si>
    <t>Kế hoạch</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</si>
  <si>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</si>
  <si>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t>KẾ HOẠCH 
công tác Tháng 9 năm 2026</t>
  </si>
  <si>
    <r>
      <rPr>
        <i/>
        <sz val="12"/>
        <rFont val="Times New Roman"/>
        <family val="1"/>
        <charset val="163"/>
      </rPr>
      <t>Quảng Ngãi, ngày 14 tháng 8 năm 2026</t>
    </r>
    <r>
      <rPr>
        <sz val="12"/>
        <rFont val="Times New Roman"/>
        <family val="1"/>
      </rPr>
      <t xml:space="preserve">
</t>
    </r>
    <r>
      <rPr>
        <b/>
        <sz val="12"/>
        <rFont val="Times New Roman"/>
        <family val="1"/>
      </rPr>
      <t xml:space="preserve">TM. BCH ĐOÀN TRƯỜNG
BÍ THƯ
Hoàng Thị Chúc
</t>
    </r>
  </si>
  <si>
    <t>Đoàn TN - Hội SV</t>
  </si>
  <si>
    <t>Cao</t>
  </si>
  <si>
    <t>Xây dựng Chương trình Công tác Đoàn và phong trào thanh niên năm học 2026-2027</t>
  </si>
  <si>
    <t>Bí thư Đảng ủy</t>
  </si>
  <si>
    <t>Chương trình</t>
  </si>
  <si>
    <t>Xây dựng Chương trình Công tác Hội và phong trào Sinh viên năm học 2026-2027</t>
  </si>
  <si>
    <t>Xây dựng Kế hoạch và triển khai  tổ chức Đại hội các Chi đoàn học sinh, sinh viên nhiệm kỳ 2026- 2027</t>
  </si>
  <si>
    <t>Xây dựng Kế hoạch tổ chức “Ngày hội đầu khóa” năm học 2026-2027</t>
  </si>
  <si>
    <t>Tháng 9</t>
  </si>
  <si>
    <r>
      <rPr>
        <b/>
        <i/>
        <sz val="12"/>
        <rFont val="Times New Roman"/>
        <family val="1"/>
        <charset val="163"/>
      </rPr>
      <t xml:space="preserve">
Nơi nhận:</t>
    </r>
    <r>
      <rPr>
        <sz val="12"/>
        <rFont val="Times New Roman"/>
        <family val="1"/>
      </rPr>
      <t xml:space="preserve">
</t>
    </r>
    <r>
      <rPr>
        <sz val="12"/>
        <rFont val="Times New Roman"/>
        <family val="1"/>
        <charset val="163"/>
      </rPr>
      <t>- Đảng ủy;
- Lãnh đạo Trường;
- Phòng Tổng hợp hành chính và Quản trị;
- Lưu: VP. Đoàn- Hội.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</si>
</sst>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u/>
      <sz val="15"/>
      <color theme="1"/>
      <name val="Times New Roman"/>
      <family val="1"/>
    </font>
    <font>
      <sz val="14"/>
      <color theme="1"/>
      <name val="Times New Roman"/>
      <family val="1"/>
    </font>
    <font>
      <b/>
      <sz val="12"/>
      <name val="Times New Roman"/>
      <family val="1"/>
    </font>
    <font>
      <b/>
      <sz val="12"/>
      <name val="Times New Roman"/>
      <family val="1"/>
      <charset val="163"/>
    </font>
    <font>
      <sz val="12"/>
      <name val="Times New Roman"/>
      <family val="1"/>
    </font>
    <font>
      <sz val="12"/>
      <name val="Times New Roman"/>
      <family val="1"/>
      <charset val="163"/>
    </font>
    <font>
      <sz val="12"/>
      <name val="Calibri"/>
      <family val="2"/>
      <scheme val="minor"/>
    </font>
    <font>
      <b/>
      <i/>
      <sz val="12"/>
      <name val="Times New Roman"/>
      <family val="1"/>
      <charset val="163"/>
    </font>
    <font>
      <i/>
      <sz val="12"/>
      <name val="Times New Roman"/>
      <family val="1"/>
      <charset val="163"/>
    </font>
    <font>
      <sz val="12"/>
      <color rgb="FFFF0000"/>
      <name val="Times New Roman"/>
      <family val="1"/>
    </font>
    <font>
      <b/>
      <sz val="12"/>
      <color rgb="FFFF0000"/>
      <name val="Times New Roman"/>
      <family val="1"/>
    </font>
  </fonts>
  <fills count="2">
    <fill>
      <patternFill patternType="none"/>
    </fill>
    <fill>
      <patternFill patternType="gray125"/>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7">
    <xf numFmtId="0" fontId="0" fillId="0" borderId="0" xfId="0"/>
    <xf numFmtId="0" fontId="5" fillId="0" borderId="0" xfId="0" applyFont="1"/>
    <xf numFmtId="0" fontId="5" fillId="0" borderId="0" xfId="0" applyFont="1" applyAlignment="1">
      <alignment vertical="center"/>
    </xf>
    <xf numFmtId="0" fontId="5" fillId="0" borderId="0" xfId="0" applyFont="1" applyAlignment="1">
      <alignment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8" fillId="0" borderId="2" xfId="0" quotePrefix="1" applyFont="1" applyBorder="1" applyAlignment="1">
      <alignment horizontal="center" vertical="center" wrapText="1"/>
    </xf>
    <xf numFmtId="0" fontId="8" fillId="0" borderId="2" xfId="0" applyFont="1" applyBorder="1" applyAlignment="1">
      <alignment vertical="center" wrapText="1"/>
    </xf>
    <xf numFmtId="0" fontId="8" fillId="0" borderId="2" xfId="0" applyFont="1" applyBorder="1" applyAlignment="1">
      <alignment horizontal="center" vertical="center"/>
    </xf>
    <xf numFmtId="0" fontId="10" fillId="0" borderId="0" xfId="0" applyFont="1" applyAlignment="1">
      <alignment horizontal="center" vertical="center" wrapText="1"/>
    </xf>
    <xf numFmtId="0" fontId="10" fillId="0" borderId="2" xfId="0" applyFont="1" applyBorder="1" applyAlignment="1">
      <alignment horizontal="center" vertical="center" wrapText="1"/>
    </xf>
    <xf numFmtId="0" fontId="10" fillId="0" borderId="0" xfId="0" applyFont="1" applyAlignment="1">
      <alignment vertical="center"/>
    </xf>
    <xf numFmtId="0" fontId="10" fillId="0" borderId="2" xfId="0" applyFont="1" applyBorder="1" applyAlignment="1">
      <alignment vertical="center" wrapText="1"/>
    </xf>
    <xf numFmtId="0" fontId="11" fillId="0" borderId="2" xfId="0" applyFont="1" applyBorder="1" applyAlignment="1">
      <alignment horizontal="center" vertical="center" wrapText="1"/>
    </xf>
    <xf numFmtId="0" fontId="10" fillId="0" borderId="0" xfId="0" applyFont="1" applyAlignment="1">
      <alignment horizontal="justify" vertical="center"/>
    </xf>
    <xf numFmtId="0" fontId="10" fillId="0" borderId="4" xfId="0" applyFont="1" applyBorder="1" applyAlignment="1">
      <alignment vertical="center" wrapText="1"/>
    </xf>
    <xf numFmtId="0" fontId="10" fillId="0" borderId="4" xfId="0" applyFont="1" applyBorder="1" applyAlignment="1">
      <alignment horizontal="center" vertical="center" wrapText="1"/>
    </xf>
    <xf numFmtId="0" fontId="10" fillId="0" borderId="2" xfId="0" applyFont="1" applyBorder="1" applyAlignment="1">
      <alignment vertical="center"/>
    </xf>
    <xf numFmtId="0" fontId="8" fillId="0" borderId="4" xfId="0" applyFont="1" applyBorder="1" applyAlignment="1">
      <alignment horizontal="center" vertical="center" wrapText="1"/>
    </xf>
    <xf numFmtId="0" fontId="10" fillId="0" borderId="2" xfId="0" applyFont="1" applyBorder="1" applyAlignment="1">
      <alignment horizontal="justify" vertical="center"/>
    </xf>
    <xf numFmtId="0" fontId="12" fillId="0" borderId="2" xfId="0" applyFont="1" applyBorder="1" applyAlignment="1">
      <alignment horizontal="center" vertical="center"/>
    </xf>
    <xf numFmtId="0" fontId="12" fillId="0" borderId="0" xfId="0" applyFont="1"/>
    <xf numFmtId="0" fontId="11" fillId="0" borderId="0" xfId="0" applyFont="1" applyAlignment="1">
      <alignment horizontal="left" vertical="top" wrapText="1"/>
    </xf>
    <xf numFmtId="0" fontId="10" fillId="0" borderId="5" xfId="0" applyFont="1" applyBorder="1" applyAlignment="1">
      <alignment horizontal="center" vertical="center" wrapText="1"/>
    </xf>
    <xf numFmtId="0" fontId="15" fillId="0" borderId="2" xfId="0" applyFont="1" applyBorder="1" applyAlignment="1">
      <alignment vertical="center" wrapText="1"/>
    </xf>
    <xf numFmtId="0" fontId="15" fillId="0" borderId="2" xfId="0" applyFont="1" applyBorder="1" applyAlignment="1">
      <alignment horizontal="center" vertical="center" wrapText="1"/>
    </xf>
    <xf numFmtId="0" fontId="15" fillId="0" borderId="2" xfId="0" applyFont="1" applyBorder="1" applyAlignment="1">
      <alignment vertical="center"/>
    </xf>
    <xf numFmtId="0" fontId="16" fillId="0" borderId="2" xfId="0" applyFont="1" applyBorder="1" applyAlignment="1">
      <alignment horizontal="center" vertical="center" wrapText="1"/>
    </xf>
    <xf numFmtId="0" fontId="15" fillId="0" borderId="4" xfId="0" applyFont="1" applyBorder="1" applyAlignment="1">
      <alignment vertical="center" wrapText="1"/>
    </xf>
    <xf numFmtId="0" fontId="15"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15" fillId="0" borderId="0" xfId="0" applyFont="1" applyAlignment="1">
      <alignment vertical="center"/>
    </xf>
    <xf numFmtId="0" fontId="8" fillId="0" borderId="2" xfId="0" applyFont="1" applyBorder="1" applyAlignment="1">
      <alignment horizontal="left" vertical="center"/>
    </xf>
    <xf numFmtId="0" fontId="8" fillId="0" borderId="2" xfId="0" applyFont="1" applyBorder="1" applyAlignment="1">
      <alignment horizontal="left" vertical="center" wrapText="1"/>
    </xf>
    <xf numFmtId="0" fontId="8" fillId="0" borderId="2" xfId="0" applyFont="1" applyBorder="1" applyAlignment="1">
      <alignment horizontal="center" vertical="center" wrapText="1"/>
    </xf>
    <xf numFmtId="0" fontId="7" fillId="0" borderId="0" xfId="0" applyFont="1" applyAlignment="1">
      <alignment horizontal="center" vertical="center"/>
    </xf>
    <xf numFmtId="0" fontId="1" fillId="0" borderId="0" xfId="0" applyFont="1" applyAlignment="1">
      <alignment horizontal="center" vertical="center" wrapText="1"/>
    </xf>
    <xf numFmtId="0" fontId="8" fillId="0" borderId="2" xfId="0" applyFont="1" applyBorder="1" applyAlignment="1">
      <alignment vertical="center" wrapText="1"/>
    </xf>
    <xf numFmtId="0" fontId="9" fillId="0" borderId="0" xfId="0" applyFont="1" applyAlignment="1">
      <alignment horizontal="center" vertical="top" wrapText="1"/>
    </xf>
    <xf numFmtId="0" fontId="2"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3" fillId="0" borderId="1" xfId="0" applyFont="1" applyBorder="1" applyAlignment="1">
      <alignment horizontal="left" vertical="center"/>
    </xf>
    <xf numFmtId="0" fontId="9" fillId="0" borderId="2" xfId="0" applyFont="1" applyBorder="1" applyAlignment="1">
      <alignment horizontal="center" vertical="center" wrapText="1"/>
    </xf>
    <xf numFmtId="0" fontId="11" fillId="0" borderId="0" xfId="0" applyFont="1" applyAlignment="1">
      <alignment horizontal="left" vertical="top" wrapText="1"/>
    </xf>
    <xf numFmtId="0" fontId="10"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1301202</xdr:colOff>
      <xdr:row>2</xdr:row>
      <xdr:rowOff>389637</xdr:rowOff>
    </xdr:from>
    <xdr:to>
      <xdr:col>1</xdr:col>
      <xdr:colOff>2099061</xdr:colOff>
      <xdr:row>2</xdr:row>
      <xdr:rowOff>389637</xdr:rowOff>
    </xdr:to>
    <xdr:cxnSp macro="">
      <xdr:nvCxnSpPr>
        <xdr:cNvPr id="2" name="Straight Connector 1">
          <a:extLst>
            <a:ext uri="{FF2B5EF4-FFF2-40B4-BE49-F238E27FC236}">
              <a16:creationId xmlns:a16="http://schemas.microsoft.com/office/drawing/2014/main" id="{CEB0D8CA-916C-4409-A1C1-D570B1E66D2D}"/>
            </a:ext>
          </a:extLst>
        </xdr:cNvPr>
        <xdr:cNvCxnSpPr/>
      </xdr:nvCxnSpPr>
      <xdr:spPr>
        <a:xfrm>
          <a:off x="1704614" y="1207666"/>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1219878</xdr:colOff>
      <xdr:row>3</xdr:row>
      <xdr:rowOff>550675</xdr:rowOff>
    </xdr:from>
    <xdr:to>
      <xdr:col>4</xdr:col>
      <xdr:colOff>582706</xdr:colOff>
      <xdr:row>3</xdr:row>
      <xdr:rowOff>550675</xdr:rowOff>
    </xdr:to>
    <xdr:cxnSp macro="">
      <xdr:nvCxnSpPr>
        <xdr:cNvPr id="4" name="Straight Connector 3">
          <a:extLst>
            <a:ext uri="{FF2B5EF4-FFF2-40B4-BE49-F238E27FC236}">
              <a16:creationId xmlns:a16="http://schemas.microsoft.com/office/drawing/2014/main" id="{E57D7403-CA38-4E4D-9E1F-AA2F94BF2F9E}"/>
            </a:ext>
          </a:extLst>
        </xdr:cNvPr>
        <xdr:cNvCxnSpPr/>
      </xdr:nvCxnSpPr>
      <xdr:spPr>
        <a:xfrm>
          <a:off x="6004790" y="1604028"/>
          <a:ext cx="8756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6068-CA37-4E10-93AC-F1FEECC29AA3}">
  <dimension ref="A1:K43"/>
  <sheetViews>
    <sheetView tabSelected="1" view="pageBreakPreview" topLeftCell="A37" zoomScale="85" zoomScaleNormal="70" zoomScaleSheetLayoutView="85" workbookViewId="0">
      <selection activeCell="F43" sqref="F43:K43"/>
    </sheetView>
  </sheetViews>
  <sheetFormatPr defaultRowHeight="32.450000000000003" customHeight="1" x14ac:dyDescent="0.25"/>
  <cols>
    <col min="1" max="1" width="6" style="1" customWidth="1"/>
    <col min="2" max="2" width="40.28515625" style="1" customWidth="1"/>
    <col min="3" max="3" width="16.42578125" style="1" customWidth="1"/>
    <col min="4" max="4" width="19.85546875" style="1" customWidth="1"/>
    <col min="5" max="5" width="12.85546875" style="1" customWidth="1"/>
    <col min="6" max="6" width="14.140625" style="1" customWidth="1"/>
    <col min="7" max="7" width="14.5703125" style="1" customWidth="1"/>
    <col min="8" max="8" width="13.5703125" style="1" customWidth="1"/>
    <col min="9" max="9" width="10.85546875" style="1" customWidth="1"/>
    <col min="10" max="10" width="8.42578125" style="1" customWidth="1"/>
    <col min="11" max="11" width="12.28515625" style="1" customWidth="1"/>
    <col min="12" max="16384" width="9.140625" style="1"/>
  </cols>
  <sheetData>
    <row r="1" spans="1:11" ht="15.75" x14ac:dyDescent="0.25">
      <c r="A1" s="40"/>
      <c r="B1" s="41"/>
      <c r="C1" s="41"/>
      <c r="D1" s="41"/>
      <c r="E1" s="41"/>
      <c r="F1" s="41"/>
      <c r="G1" s="41"/>
      <c r="H1" s="41"/>
      <c r="I1" s="41"/>
      <c r="J1" s="41"/>
      <c r="K1" s="41"/>
    </row>
    <row r="2" spans="1:11" ht="21.75" customHeight="1" x14ac:dyDescent="0.25">
      <c r="A2" s="35" t="s">
        <v>42</v>
      </c>
      <c r="B2" s="35"/>
      <c r="C2" s="35"/>
      <c r="D2" s="2"/>
      <c r="E2" s="42" t="s">
        <v>46</v>
      </c>
      <c r="F2" s="42"/>
      <c r="G2" s="42"/>
      <c r="H2" s="42"/>
      <c r="I2" s="42"/>
      <c r="J2" s="42"/>
      <c r="K2" s="42"/>
    </row>
    <row r="3" spans="1:11" ht="18.75" x14ac:dyDescent="0.25">
      <c r="A3" s="36" t="s">
        <v>43</v>
      </c>
      <c r="B3" s="36"/>
      <c r="C3" s="36"/>
      <c r="D3" s="2"/>
      <c r="E3" s="40"/>
      <c r="F3" s="40"/>
      <c r="G3" s="40"/>
      <c r="H3" s="40"/>
      <c r="I3" s="40"/>
      <c r="J3" s="40"/>
      <c r="K3" s="40"/>
    </row>
    <row r="4" spans="1:11" ht="44.25" customHeight="1" x14ac:dyDescent="0.25">
      <c r="A4" s="36" t="s">
        <v>51</v>
      </c>
      <c r="B4" s="39"/>
      <c r="C4" s="39"/>
      <c r="D4" s="39"/>
      <c r="E4" s="39"/>
      <c r="F4" s="39"/>
      <c r="G4" s="39"/>
      <c r="H4" s="39"/>
      <c r="I4" s="39"/>
      <c r="J4" s="39"/>
      <c r="K4" s="39"/>
    </row>
    <row r="5" spans="1:11" ht="9" customHeight="1" x14ac:dyDescent="0.25">
      <c r="A5" s="43"/>
      <c r="B5" s="43"/>
      <c r="C5" s="43"/>
      <c r="D5" s="43"/>
      <c r="E5" s="43"/>
      <c r="F5" s="43"/>
      <c r="G5" s="43"/>
      <c r="H5" s="43"/>
      <c r="I5" s="43"/>
      <c r="J5" s="43"/>
      <c r="K5" s="43"/>
    </row>
    <row r="6" spans="1:11" ht="39.75" customHeight="1" x14ac:dyDescent="0.25">
      <c r="A6" s="34" t="s">
        <v>0</v>
      </c>
      <c r="B6" s="34" t="s">
        <v>1</v>
      </c>
      <c r="C6" s="34" t="s">
        <v>2</v>
      </c>
      <c r="D6" s="34" t="s">
        <v>28</v>
      </c>
      <c r="E6" s="34" t="s">
        <v>34</v>
      </c>
      <c r="F6" s="34" t="s">
        <v>15</v>
      </c>
      <c r="G6" s="44" t="s">
        <v>40</v>
      </c>
      <c r="H6" s="34" t="s">
        <v>3</v>
      </c>
      <c r="I6" s="34" t="s">
        <v>36</v>
      </c>
      <c r="J6" s="34" t="s">
        <v>37</v>
      </c>
      <c r="K6" s="34" t="s">
        <v>4</v>
      </c>
    </row>
    <row r="7" spans="1:11" ht="21.75" customHeight="1" x14ac:dyDescent="0.25">
      <c r="A7" s="34"/>
      <c r="B7" s="34"/>
      <c r="C7" s="34"/>
      <c r="D7" s="34"/>
      <c r="E7" s="34"/>
      <c r="F7" s="34"/>
      <c r="G7" s="44"/>
      <c r="H7" s="34"/>
      <c r="I7" s="34"/>
      <c r="J7" s="34"/>
      <c r="K7" s="34"/>
    </row>
    <row r="8" spans="1:11" ht="15.75" x14ac:dyDescent="0.25">
      <c r="A8" s="6" t="s">
        <v>16</v>
      </c>
      <c r="B8" s="6" t="s">
        <v>17</v>
      </c>
      <c r="C8" s="6" t="s">
        <v>18</v>
      </c>
      <c r="D8" s="6" t="s">
        <v>19</v>
      </c>
      <c r="E8" s="6" t="s">
        <v>20</v>
      </c>
      <c r="F8" s="6" t="s">
        <v>21</v>
      </c>
      <c r="G8" s="6" t="s">
        <v>22</v>
      </c>
      <c r="H8" s="6" t="s">
        <v>23</v>
      </c>
      <c r="I8" s="6" t="s">
        <v>26</v>
      </c>
      <c r="J8" s="6" t="s">
        <v>29</v>
      </c>
      <c r="K8" s="6" t="s">
        <v>35</v>
      </c>
    </row>
    <row r="9" spans="1:11" ht="31.5" customHeight="1" x14ac:dyDescent="0.25">
      <c r="A9" s="4" t="s">
        <v>5</v>
      </c>
      <c r="B9" s="37" t="s">
        <v>27</v>
      </c>
      <c r="C9" s="37"/>
      <c r="D9" s="37"/>
      <c r="E9" s="37"/>
      <c r="F9" s="37"/>
      <c r="G9" s="37"/>
      <c r="H9" s="37"/>
      <c r="I9" s="37"/>
      <c r="J9" s="37"/>
      <c r="K9" s="37"/>
    </row>
    <row r="10" spans="1:11" ht="25.5" customHeight="1" x14ac:dyDescent="0.25">
      <c r="A10" s="8">
        <v>1</v>
      </c>
      <c r="B10" s="32" t="s">
        <v>6</v>
      </c>
      <c r="C10" s="32"/>
      <c r="D10" s="32"/>
      <c r="E10" s="32"/>
      <c r="F10" s="32"/>
      <c r="G10" s="32"/>
      <c r="H10" s="32"/>
      <c r="I10" s="32"/>
      <c r="J10" s="32"/>
      <c r="K10" s="32"/>
    </row>
    <row r="11" spans="1:11" ht="31.5" x14ac:dyDescent="0.25">
      <c r="A11" s="4" t="s">
        <v>24</v>
      </c>
      <c r="B11" s="9"/>
      <c r="C11" s="10"/>
      <c r="D11" s="11"/>
      <c r="E11" s="10"/>
      <c r="F11" s="4"/>
      <c r="G11" s="10"/>
      <c r="H11" s="10"/>
      <c r="I11" s="4">
        <f>IF(G11="Khó và phức tạp",200,IF(G11="Cao",150,IF(G11="Trungbình",120,100)))</f>
        <v>100</v>
      </c>
      <c r="J11" s="4">
        <f>I11*0.01</f>
        <v>1</v>
      </c>
      <c r="K11" s="10" t="s">
        <v>38</v>
      </c>
    </row>
    <row r="12" spans="1:11" ht="15.75" x14ac:dyDescent="0.25">
      <c r="A12" s="4" t="s">
        <v>25</v>
      </c>
      <c r="B12" s="12" t="s">
        <v>7</v>
      </c>
      <c r="C12" s="10"/>
      <c r="D12" s="10"/>
      <c r="E12" s="13"/>
      <c r="F12" s="4"/>
      <c r="G12" s="10"/>
      <c r="H12" s="4"/>
      <c r="I12" s="4">
        <f t="shared" ref="I12:I14" si="0">IF(G12="Khó và phức tạp",200,IF(G12="Cao",150,IF(G12="Trungbình",120,100)))</f>
        <v>100</v>
      </c>
      <c r="J12" s="4">
        <f t="shared" ref="J12:J14" si="1">I12*0.01</f>
        <v>1</v>
      </c>
      <c r="K12" s="13"/>
    </row>
    <row r="13" spans="1:11" ht="15.75" x14ac:dyDescent="0.25">
      <c r="A13" s="4" t="s">
        <v>31</v>
      </c>
      <c r="B13" s="12" t="s">
        <v>7</v>
      </c>
      <c r="C13" s="10"/>
      <c r="D13" s="10"/>
      <c r="E13" s="13"/>
      <c r="F13" s="4"/>
      <c r="G13" s="10"/>
      <c r="H13" s="4"/>
      <c r="I13" s="4">
        <f t="shared" si="0"/>
        <v>100</v>
      </c>
      <c r="J13" s="4">
        <f t="shared" si="1"/>
        <v>1</v>
      </c>
      <c r="K13" s="4"/>
    </row>
    <row r="14" spans="1:11" ht="15.75" x14ac:dyDescent="0.25">
      <c r="A14" s="4" t="s">
        <v>33</v>
      </c>
      <c r="B14" s="12" t="s">
        <v>7</v>
      </c>
      <c r="C14" s="10"/>
      <c r="D14" s="10"/>
      <c r="E14" s="13"/>
      <c r="F14" s="4"/>
      <c r="G14" s="10"/>
      <c r="H14" s="4"/>
      <c r="I14" s="4">
        <f t="shared" si="0"/>
        <v>100</v>
      </c>
      <c r="J14" s="4">
        <f t="shared" si="1"/>
        <v>1</v>
      </c>
      <c r="K14" s="5"/>
    </row>
    <row r="15" spans="1:11" ht="15.75" x14ac:dyDescent="0.25">
      <c r="A15" s="8">
        <v>2</v>
      </c>
      <c r="B15" s="32" t="s">
        <v>8</v>
      </c>
      <c r="C15" s="32"/>
      <c r="D15" s="32"/>
      <c r="E15" s="32"/>
      <c r="F15" s="32"/>
      <c r="G15" s="32"/>
      <c r="H15" s="32"/>
      <c r="I15" s="32"/>
      <c r="J15" s="32"/>
      <c r="K15" s="32"/>
    </row>
    <row r="16" spans="1:11" ht="31.5" x14ac:dyDescent="0.25">
      <c r="A16" s="4"/>
      <c r="B16" s="12" t="s">
        <v>7</v>
      </c>
      <c r="C16" s="10"/>
      <c r="D16" s="10"/>
      <c r="E16" s="13"/>
      <c r="F16" s="4"/>
      <c r="G16" s="10"/>
      <c r="H16" s="10"/>
      <c r="I16" s="4">
        <f t="shared" ref="I16:I17" si="2">IF(G16="Khó và phức tạp",200,IF(G16="Cao",150,IF(G16="Trungbình",120,100)))</f>
        <v>100</v>
      </c>
      <c r="J16" s="4">
        <f t="shared" ref="J16:J41" si="3">I16*0.01</f>
        <v>1</v>
      </c>
      <c r="K16" s="10" t="s">
        <v>38</v>
      </c>
    </row>
    <row r="17" spans="1:11" ht="51" customHeight="1" x14ac:dyDescent="0.25">
      <c r="A17" s="4"/>
      <c r="B17" s="12" t="s">
        <v>7</v>
      </c>
      <c r="C17" s="10"/>
      <c r="D17" s="10"/>
      <c r="E17" s="13"/>
      <c r="F17" s="4"/>
      <c r="G17" s="10"/>
      <c r="H17" s="12"/>
      <c r="I17" s="4">
        <f t="shared" si="2"/>
        <v>100</v>
      </c>
      <c r="J17" s="4">
        <f t="shared" si="3"/>
        <v>1</v>
      </c>
      <c r="K17" s="13" t="s">
        <v>39</v>
      </c>
    </row>
    <row r="18" spans="1:11" ht="15.75" x14ac:dyDescent="0.25">
      <c r="A18" s="8">
        <v>3</v>
      </c>
      <c r="B18" s="32" t="s">
        <v>9</v>
      </c>
      <c r="C18" s="32"/>
      <c r="D18" s="32"/>
      <c r="E18" s="32"/>
      <c r="F18" s="32"/>
      <c r="G18" s="32"/>
      <c r="H18" s="32"/>
      <c r="I18" s="32"/>
      <c r="J18" s="32"/>
      <c r="K18" s="32"/>
    </row>
    <row r="19" spans="1:11" ht="51" customHeight="1" x14ac:dyDescent="0.25">
      <c r="A19" s="10" t="s">
        <v>44</v>
      </c>
      <c r="B19" s="12"/>
      <c r="C19" s="10"/>
      <c r="D19" s="11"/>
      <c r="E19" s="10"/>
      <c r="F19" s="4"/>
      <c r="G19" s="10"/>
      <c r="H19" s="10"/>
      <c r="I19" s="4">
        <f t="shared" ref="I19:I20" si="4">IF(G19="Khó và phức tạp",200,IF(G19="Cao",150,IF(G19="Trungbình",120,100)))</f>
        <v>100</v>
      </c>
      <c r="J19" s="4">
        <f t="shared" si="3"/>
        <v>1</v>
      </c>
      <c r="K19" s="10" t="s">
        <v>38</v>
      </c>
    </row>
    <row r="20" spans="1:11" ht="47.25" x14ac:dyDescent="0.25">
      <c r="A20" s="4"/>
      <c r="B20" s="14"/>
      <c r="C20" s="10"/>
      <c r="D20" s="7"/>
      <c r="E20" s="7"/>
      <c r="F20" s="7"/>
      <c r="G20" s="12"/>
      <c r="H20" s="12"/>
      <c r="I20" s="4">
        <f t="shared" si="4"/>
        <v>100</v>
      </c>
      <c r="J20" s="4">
        <f t="shared" si="3"/>
        <v>1</v>
      </c>
      <c r="K20" s="13" t="s">
        <v>39</v>
      </c>
    </row>
    <row r="21" spans="1:11" s="3" customFormat="1" ht="15.75" x14ac:dyDescent="0.25">
      <c r="A21" s="4">
        <v>4</v>
      </c>
      <c r="B21" s="33" t="s">
        <v>10</v>
      </c>
      <c r="C21" s="33"/>
      <c r="D21" s="33"/>
      <c r="E21" s="33"/>
      <c r="F21" s="33"/>
      <c r="G21" s="33"/>
      <c r="H21" s="33"/>
      <c r="I21" s="33"/>
      <c r="J21" s="33"/>
      <c r="K21" s="33"/>
    </row>
    <row r="22" spans="1:11" ht="47.25" x14ac:dyDescent="0.25">
      <c r="A22" s="10">
        <v>4.0999999999999996</v>
      </c>
      <c r="B22" s="24" t="s">
        <v>60</v>
      </c>
      <c r="C22" s="25" t="s">
        <v>30</v>
      </c>
      <c r="D22" s="26" t="s">
        <v>53</v>
      </c>
      <c r="E22" s="25" t="s">
        <v>49</v>
      </c>
      <c r="F22" s="27">
        <v>1</v>
      </c>
      <c r="G22" s="25" t="s">
        <v>54</v>
      </c>
      <c r="H22" s="25" t="s">
        <v>61</v>
      </c>
      <c r="I22" s="4">
        <f t="shared" ref="I22:I27" si="5">IF(G22="Khó và phức tạp",200,IF(G22="Cao",150,IF(G22="Trungbình",120,100)))</f>
        <v>150</v>
      </c>
      <c r="J22" s="4">
        <f t="shared" si="3"/>
        <v>1.5</v>
      </c>
      <c r="K22" s="10" t="s">
        <v>39</v>
      </c>
    </row>
    <row r="23" spans="1:11" ht="47.25" x14ac:dyDescent="0.25">
      <c r="A23" s="10">
        <v>4.2</v>
      </c>
      <c r="B23" s="24" t="s">
        <v>55</v>
      </c>
      <c r="C23" s="25" t="s">
        <v>56</v>
      </c>
      <c r="D23" s="26" t="s">
        <v>53</v>
      </c>
      <c r="E23" s="25" t="s">
        <v>57</v>
      </c>
      <c r="F23" s="27">
        <v>1</v>
      </c>
      <c r="G23" s="25" t="s">
        <v>32</v>
      </c>
      <c r="H23" s="25" t="s">
        <v>61</v>
      </c>
      <c r="I23" s="4">
        <f t="shared" si="5"/>
        <v>100</v>
      </c>
      <c r="J23" s="4">
        <f t="shared" si="3"/>
        <v>1</v>
      </c>
      <c r="K23" s="10" t="s">
        <v>39</v>
      </c>
    </row>
    <row r="24" spans="1:11" ht="47.25" x14ac:dyDescent="0.25">
      <c r="A24" s="10">
        <v>4.3</v>
      </c>
      <c r="B24" s="24" t="s">
        <v>58</v>
      </c>
      <c r="C24" s="25" t="s">
        <v>56</v>
      </c>
      <c r="D24" s="26" t="s">
        <v>53</v>
      </c>
      <c r="E24" s="25" t="s">
        <v>57</v>
      </c>
      <c r="F24" s="27">
        <v>1</v>
      </c>
      <c r="G24" s="25" t="s">
        <v>32</v>
      </c>
      <c r="H24" s="25" t="s">
        <v>61</v>
      </c>
      <c r="I24" s="4">
        <f t="shared" si="5"/>
        <v>100</v>
      </c>
      <c r="J24" s="4">
        <f t="shared" si="3"/>
        <v>1</v>
      </c>
      <c r="K24" s="10" t="s">
        <v>39</v>
      </c>
    </row>
    <row r="25" spans="1:11" ht="47.25" x14ac:dyDescent="0.25">
      <c r="A25" s="10">
        <v>4.4000000000000004</v>
      </c>
      <c r="B25" s="24" t="s">
        <v>59</v>
      </c>
      <c r="C25" s="25" t="s">
        <v>30</v>
      </c>
      <c r="D25" s="26" t="s">
        <v>53</v>
      </c>
      <c r="E25" s="25" t="s">
        <v>49</v>
      </c>
      <c r="F25" s="27">
        <v>1</v>
      </c>
      <c r="G25" s="25" t="s">
        <v>54</v>
      </c>
      <c r="H25" s="25" t="s">
        <v>61</v>
      </c>
      <c r="I25" s="4">
        <f t="shared" si="5"/>
        <v>150</v>
      </c>
      <c r="J25" s="4">
        <f t="shared" si="3"/>
        <v>1.5</v>
      </c>
      <c r="K25" s="10" t="s">
        <v>39</v>
      </c>
    </row>
    <row r="26" spans="1:11" ht="31.5" x14ac:dyDescent="0.25">
      <c r="A26" s="4"/>
      <c r="B26" s="12"/>
      <c r="C26" s="10"/>
      <c r="D26" s="10"/>
      <c r="E26" s="13"/>
      <c r="F26" s="4"/>
      <c r="G26" s="10"/>
      <c r="H26" s="10"/>
      <c r="I26" s="4">
        <f t="shared" si="5"/>
        <v>100</v>
      </c>
      <c r="J26" s="4">
        <f t="shared" si="3"/>
        <v>1</v>
      </c>
      <c r="K26" s="10" t="s">
        <v>38</v>
      </c>
    </row>
    <row r="27" spans="1:11" ht="47.25" x14ac:dyDescent="0.25">
      <c r="A27" s="4"/>
      <c r="B27" s="12"/>
      <c r="C27" s="10"/>
      <c r="D27" s="10"/>
      <c r="E27" s="13"/>
      <c r="F27" s="4"/>
      <c r="G27" s="10"/>
      <c r="H27" s="10"/>
      <c r="I27" s="4">
        <f t="shared" si="5"/>
        <v>100</v>
      </c>
      <c r="J27" s="4">
        <f t="shared" si="3"/>
        <v>1</v>
      </c>
      <c r="K27" s="13" t="s">
        <v>39</v>
      </c>
    </row>
    <row r="28" spans="1:11" ht="15.75" x14ac:dyDescent="0.25">
      <c r="A28" s="8">
        <v>5</v>
      </c>
      <c r="B28" s="32" t="s">
        <v>11</v>
      </c>
      <c r="C28" s="32"/>
      <c r="D28" s="32"/>
      <c r="E28" s="32"/>
      <c r="F28" s="32"/>
      <c r="G28" s="32"/>
      <c r="H28" s="32"/>
      <c r="I28" s="32"/>
      <c r="J28" s="32"/>
      <c r="K28" s="32"/>
    </row>
    <row r="29" spans="1:11" ht="63" x14ac:dyDescent="0.25">
      <c r="A29" s="10">
        <v>5.0999999999999996</v>
      </c>
      <c r="B29" s="28" t="s">
        <v>41</v>
      </c>
      <c r="C29" s="29" t="s">
        <v>30</v>
      </c>
      <c r="D29" s="26" t="s">
        <v>45</v>
      </c>
      <c r="E29" s="29" t="s">
        <v>47</v>
      </c>
      <c r="F29" s="30">
        <v>1</v>
      </c>
      <c r="G29" s="25" t="s">
        <v>32</v>
      </c>
      <c r="H29" s="25" t="s">
        <v>48</v>
      </c>
      <c r="I29" s="4">
        <f t="shared" ref="I29:I34" si="6">IF(G29="Khó và phức tạp",200,IF(G29="Cao",150,IF(G29="Trungbình",120,100)))</f>
        <v>100</v>
      </c>
      <c r="J29" s="4">
        <f t="shared" si="3"/>
        <v>1</v>
      </c>
      <c r="K29" s="10" t="s">
        <v>38</v>
      </c>
    </row>
    <row r="30" spans="1:11" ht="68.25" customHeight="1" x14ac:dyDescent="0.25">
      <c r="A30" s="16">
        <v>5.2</v>
      </c>
      <c r="B30" s="15"/>
      <c r="C30" s="16"/>
      <c r="D30" s="17"/>
      <c r="E30" s="16"/>
      <c r="F30" s="18"/>
      <c r="G30" s="10"/>
      <c r="H30" s="10"/>
      <c r="I30" s="4">
        <f t="shared" si="6"/>
        <v>100</v>
      </c>
      <c r="J30" s="4">
        <f t="shared" si="3"/>
        <v>1</v>
      </c>
      <c r="K30" s="10" t="s">
        <v>38</v>
      </c>
    </row>
    <row r="31" spans="1:11" ht="54" customHeight="1" x14ac:dyDescent="0.25">
      <c r="A31" s="10">
        <v>5.3</v>
      </c>
      <c r="B31" s="19"/>
      <c r="C31" s="10"/>
      <c r="D31" s="17"/>
      <c r="E31" s="10"/>
      <c r="F31" s="4"/>
      <c r="G31" s="10"/>
      <c r="H31" s="10"/>
      <c r="I31" s="4">
        <f t="shared" si="6"/>
        <v>100</v>
      </c>
      <c r="J31" s="4">
        <f t="shared" si="3"/>
        <v>1</v>
      </c>
      <c r="K31" s="13" t="s">
        <v>39</v>
      </c>
    </row>
    <row r="32" spans="1:11" ht="70.5" customHeight="1" x14ac:dyDescent="0.25">
      <c r="A32" s="23">
        <v>5.4</v>
      </c>
      <c r="B32" s="14"/>
      <c r="C32" s="10"/>
      <c r="D32" s="17"/>
      <c r="E32" s="10"/>
      <c r="F32" s="4"/>
      <c r="G32" s="10"/>
      <c r="H32" s="10"/>
      <c r="I32" s="4">
        <f t="shared" si="6"/>
        <v>100</v>
      </c>
      <c r="J32" s="4">
        <f t="shared" si="3"/>
        <v>1</v>
      </c>
      <c r="K32" s="10" t="s">
        <v>38</v>
      </c>
    </row>
    <row r="33" spans="1:11" ht="31.5" x14ac:dyDescent="0.25">
      <c r="A33" s="4"/>
      <c r="B33" s="12"/>
      <c r="C33" s="10"/>
      <c r="D33" s="10"/>
      <c r="E33" s="13"/>
      <c r="F33" s="4"/>
      <c r="G33" s="10"/>
      <c r="H33" s="10"/>
      <c r="I33" s="4">
        <f t="shared" si="6"/>
        <v>100</v>
      </c>
      <c r="J33" s="4">
        <f t="shared" si="3"/>
        <v>1</v>
      </c>
      <c r="K33" s="10" t="s">
        <v>38</v>
      </c>
    </row>
    <row r="34" spans="1:11" ht="47.25" x14ac:dyDescent="0.25">
      <c r="A34" s="4"/>
      <c r="B34" s="12"/>
      <c r="C34" s="10"/>
      <c r="D34" s="10"/>
      <c r="E34" s="13"/>
      <c r="F34" s="4"/>
      <c r="G34" s="10"/>
      <c r="H34" s="10"/>
      <c r="I34" s="4">
        <f t="shared" si="6"/>
        <v>100</v>
      </c>
      <c r="J34" s="4">
        <f t="shared" si="3"/>
        <v>1</v>
      </c>
      <c r="K34" s="13" t="s">
        <v>39</v>
      </c>
    </row>
    <row r="35" spans="1:11" ht="15.75" x14ac:dyDescent="0.25">
      <c r="A35" s="8">
        <v>6</v>
      </c>
      <c r="B35" s="32" t="s">
        <v>12</v>
      </c>
      <c r="C35" s="32"/>
      <c r="D35" s="32"/>
      <c r="E35" s="32"/>
      <c r="F35" s="32"/>
      <c r="G35" s="32"/>
      <c r="H35" s="32"/>
      <c r="I35" s="32"/>
      <c r="J35" s="32"/>
      <c r="K35" s="32"/>
    </row>
    <row r="36" spans="1:11" ht="47.25" x14ac:dyDescent="0.25">
      <c r="A36" s="20"/>
      <c r="B36" s="14"/>
      <c r="C36" s="10"/>
      <c r="D36" s="11"/>
      <c r="E36" s="10"/>
      <c r="F36" s="4"/>
      <c r="G36" s="10"/>
      <c r="H36" s="10"/>
      <c r="I36" s="4">
        <f t="shared" ref="I36" si="7">IF(G36="Khó và phức tạp",200,IF(G36="Cao",150,IF(G36="Trungbình",120,100)))</f>
        <v>100</v>
      </c>
      <c r="J36" s="4">
        <f t="shared" ref="J36" si="8">I36*0.01</f>
        <v>1</v>
      </c>
      <c r="K36" s="10" t="s">
        <v>39</v>
      </c>
    </row>
    <row r="37" spans="1:11" ht="47.25" x14ac:dyDescent="0.25">
      <c r="A37" s="10"/>
      <c r="B37" s="12" t="s">
        <v>7</v>
      </c>
      <c r="C37" s="10"/>
      <c r="D37" s="10"/>
      <c r="E37" s="13"/>
      <c r="F37" s="4"/>
      <c r="G37" s="10"/>
      <c r="H37" s="10"/>
      <c r="I37" s="4">
        <f t="shared" ref="I37" si="9">IF(G37="Khó và phức tạp",200,IF(G37="Cao",150,IF(G37="Trungbình",120,100)))</f>
        <v>100</v>
      </c>
      <c r="J37" s="4">
        <f t="shared" si="3"/>
        <v>1</v>
      </c>
      <c r="K37" s="13" t="s">
        <v>39</v>
      </c>
    </row>
    <row r="38" spans="1:11" ht="15.75" x14ac:dyDescent="0.25">
      <c r="A38" s="8" t="s">
        <v>13</v>
      </c>
      <c r="B38" s="32" t="s">
        <v>14</v>
      </c>
      <c r="C38" s="32"/>
      <c r="D38" s="32"/>
      <c r="E38" s="32"/>
      <c r="F38" s="32"/>
      <c r="G38" s="32"/>
      <c r="H38" s="32"/>
      <c r="I38" s="32"/>
      <c r="J38" s="32"/>
      <c r="K38" s="32"/>
    </row>
    <row r="39" spans="1:11" ht="47.25" x14ac:dyDescent="0.25">
      <c r="A39" s="25">
        <v>1</v>
      </c>
      <c r="B39" s="24"/>
      <c r="C39" s="25"/>
      <c r="D39" s="31"/>
      <c r="E39" s="25"/>
      <c r="F39" s="27"/>
      <c r="G39" s="25"/>
      <c r="H39" s="25"/>
      <c r="I39" s="4">
        <f t="shared" ref="I39:I41" si="10">IF(G39="Khó và phức tạp",200,IF(G39="Cao",150,IF(G39="Trungbình",120,100)))</f>
        <v>100</v>
      </c>
      <c r="J39" s="4">
        <f t="shared" si="3"/>
        <v>1</v>
      </c>
      <c r="K39" s="10" t="s">
        <v>39</v>
      </c>
    </row>
    <row r="40" spans="1:11" ht="47.25" x14ac:dyDescent="0.25">
      <c r="A40" s="10">
        <v>2</v>
      </c>
      <c r="B40" s="12"/>
      <c r="C40" s="10"/>
      <c r="D40" s="10"/>
      <c r="E40" s="13"/>
      <c r="F40" s="4"/>
      <c r="G40" s="10"/>
      <c r="H40" s="10"/>
      <c r="I40" s="4">
        <f t="shared" si="10"/>
        <v>100</v>
      </c>
      <c r="J40" s="4">
        <f t="shared" si="3"/>
        <v>1</v>
      </c>
      <c r="K40" s="13" t="s">
        <v>39</v>
      </c>
    </row>
    <row r="41" spans="1:11" ht="15.75" x14ac:dyDescent="0.25">
      <c r="A41" s="10" t="s">
        <v>7</v>
      </c>
      <c r="B41" s="12"/>
      <c r="C41" s="10"/>
      <c r="D41" s="10"/>
      <c r="E41" s="13"/>
      <c r="F41" s="4"/>
      <c r="G41" s="10"/>
      <c r="H41" s="10"/>
      <c r="I41" s="4">
        <f t="shared" si="10"/>
        <v>100</v>
      </c>
      <c r="J41" s="4">
        <f t="shared" si="3"/>
        <v>1</v>
      </c>
      <c r="K41" s="10"/>
    </row>
    <row r="42" spans="1:11" ht="119.25" customHeight="1" x14ac:dyDescent="0.25">
      <c r="A42" s="21"/>
      <c r="B42" s="46" t="s">
        <v>50</v>
      </c>
      <c r="C42" s="46"/>
      <c r="D42" s="46"/>
      <c r="E42" s="46"/>
      <c r="F42" s="46"/>
      <c r="G42" s="46"/>
      <c r="H42" s="46"/>
      <c r="I42" s="46"/>
      <c r="J42" s="46"/>
      <c r="K42" s="46"/>
    </row>
    <row r="43" spans="1:11" ht="133.5" customHeight="1" x14ac:dyDescent="0.25">
      <c r="A43" s="45" t="s">
        <v>62</v>
      </c>
      <c r="B43" s="45"/>
      <c r="C43" s="45"/>
      <c r="D43" s="22"/>
      <c r="E43" s="21"/>
      <c r="F43" s="38" t="s">
        <v>52</v>
      </c>
      <c r="G43" s="38"/>
      <c r="H43" s="38"/>
      <c r="I43" s="38"/>
      <c r="J43" s="38"/>
      <c r="K43" s="38"/>
    </row>
  </sheetData>
  <mergeCells count="29">
    <mergeCell ref="F43:K43"/>
    <mergeCell ref="A4:K4"/>
    <mergeCell ref="A1:K1"/>
    <mergeCell ref="E2:K2"/>
    <mergeCell ref="E3:K3"/>
    <mergeCell ref="A5:K5"/>
    <mergeCell ref="A6:A7"/>
    <mergeCell ref="B6:B7"/>
    <mergeCell ref="C6:C7"/>
    <mergeCell ref="D6:D7"/>
    <mergeCell ref="E6:E7"/>
    <mergeCell ref="F6:F7"/>
    <mergeCell ref="G6:G7"/>
    <mergeCell ref="A43:C43"/>
    <mergeCell ref="B42:K42"/>
    <mergeCell ref="H6:H7"/>
    <mergeCell ref="A2:C2"/>
    <mergeCell ref="A3:C3"/>
    <mergeCell ref="K6:K7"/>
    <mergeCell ref="B9:K9"/>
    <mergeCell ref="B10:K10"/>
    <mergeCell ref="B28:K28"/>
    <mergeCell ref="B35:K35"/>
    <mergeCell ref="B38:K38"/>
    <mergeCell ref="B21:K21"/>
    <mergeCell ref="I6:I7"/>
    <mergeCell ref="J6:J7"/>
    <mergeCell ref="B15:K15"/>
    <mergeCell ref="B18:K18"/>
  </mergeCells>
  <conditionalFormatting sqref="C11:C14">
    <cfRule type="dataBar" priority="17">
      <dataBar>
        <cfvo type="min"/>
        <cfvo type="max"/>
        <color rgb="FF638EC6"/>
      </dataBar>
      <extLst>
        <ext xmlns:x14="http://schemas.microsoft.com/office/spreadsheetml/2009/9/main" uri="{B025F937-C7B1-47D3-B67F-A62EFF666E3E}">
          <x14:id>{721A8620-2CEA-4C07-B1CE-0DBD1FBEA668}</x14:id>
        </ext>
      </extLst>
    </cfRule>
  </conditionalFormatting>
  <conditionalFormatting sqref="C16:C17">
    <cfRule type="dataBar" priority="16">
      <dataBar>
        <cfvo type="min"/>
        <cfvo type="max"/>
        <color rgb="FF638EC6"/>
      </dataBar>
      <extLst>
        <ext xmlns:x14="http://schemas.microsoft.com/office/spreadsheetml/2009/9/main" uri="{B025F937-C7B1-47D3-B67F-A62EFF666E3E}">
          <x14:id>{A80F9E88-A997-4E0E-A1BD-B43DA6B39DBD}</x14:id>
        </ext>
      </extLst>
    </cfRule>
  </conditionalFormatting>
  <conditionalFormatting sqref="C19">
    <cfRule type="dataBar" priority="15">
      <dataBar>
        <cfvo type="min"/>
        <cfvo type="max"/>
        <color rgb="FF638EC6"/>
      </dataBar>
      <extLst>
        <ext xmlns:x14="http://schemas.microsoft.com/office/spreadsheetml/2009/9/main" uri="{B025F937-C7B1-47D3-B67F-A62EFF666E3E}">
          <x14:id>{432AA6D4-22CD-4B59-A15A-51397F58FCFF}</x14:id>
        </ext>
      </extLst>
    </cfRule>
  </conditionalFormatting>
  <conditionalFormatting sqref="C20">
    <cfRule type="dataBar" priority="14">
      <dataBar>
        <cfvo type="min"/>
        <cfvo type="max"/>
        <color rgb="FF638EC6"/>
      </dataBar>
      <extLst>
        <ext xmlns:x14="http://schemas.microsoft.com/office/spreadsheetml/2009/9/main" uri="{B025F937-C7B1-47D3-B67F-A62EFF666E3E}">
          <x14:id>{DB9E3C13-6474-4E67-AA31-263F1FB3002C}</x14:id>
        </ext>
      </extLst>
    </cfRule>
  </conditionalFormatting>
  <conditionalFormatting sqref="C22">
    <cfRule type="dataBar" priority="1">
      <dataBar>
        <cfvo type="min"/>
        <cfvo type="max"/>
        <color rgb="FF638EC6"/>
      </dataBar>
      <extLst>
        <ext xmlns:x14="http://schemas.microsoft.com/office/spreadsheetml/2009/9/main" uri="{B025F937-C7B1-47D3-B67F-A62EFF666E3E}">
          <x14:id>{41E64870-97ED-4CEA-B567-7BE3D92F5FEF}</x14:id>
        </ext>
      </extLst>
    </cfRule>
  </conditionalFormatting>
  <conditionalFormatting sqref="C23:C27">
    <cfRule type="dataBar" priority="13">
      <dataBar>
        <cfvo type="min"/>
        <cfvo type="max"/>
        <color rgb="FF638EC6"/>
      </dataBar>
      <extLst>
        <ext xmlns:x14="http://schemas.microsoft.com/office/spreadsheetml/2009/9/main" uri="{B025F937-C7B1-47D3-B67F-A62EFF666E3E}">
          <x14:id>{72361B58-5DB6-497B-9212-A45CF5B2275B}</x14:id>
        </ext>
      </extLst>
    </cfRule>
  </conditionalFormatting>
  <conditionalFormatting sqref="C29:C30">
    <cfRule type="dataBar" priority="6">
      <dataBar>
        <cfvo type="min"/>
        <cfvo type="max"/>
        <color rgb="FF638EC6"/>
      </dataBar>
      <extLst>
        <ext xmlns:x14="http://schemas.microsoft.com/office/spreadsheetml/2009/9/main" uri="{B025F937-C7B1-47D3-B67F-A62EFF666E3E}">
          <x14:id>{8215ADAE-7969-4B82-9E87-960B199E4484}</x14:id>
        </ext>
      </extLst>
    </cfRule>
  </conditionalFormatting>
  <conditionalFormatting sqref="C31:C32">
    <cfRule type="dataBar" priority="3">
      <dataBar>
        <cfvo type="min"/>
        <cfvo type="max"/>
        <color rgb="FF638EC6"/>
      </dataBar>
      <extLst>
        <ext xmlns:x14="http://schemas.microsoft.com/office/spreadsheetml/2009/9/main" uri="{B025F937-C7B1-47D3-B67F-A62EFF666E3E}">
          <x14:id>{0937ACDC-0BF6-4AE9-A4D1-388246C5FBBF}</x14:id>
        </ext>
      </extLst>
    </cfRule>
  </conditionalFormatting>
  <conditionalFormatting sqref="C33:C34">
    <cfRule type="dataBar" priority="12">
      <dataBar>
        <cfvo type="min"/>
        <cfvo type="max"/>
        <color rgb="FF638EC6"/>
      </dataBar>
      <extLst>
        <ext xmlns:x14="http://schemas.microsoft.com/office/spreadsheetml/2009/9/main" uri="{B025F937-C7B1-47D3-B67F-A62EFF666E3E}">
          <x14:id>{D2FAAD70-CD89-4DEE-B068-39097FF9E67E}</x14:id>
        </ext>
      </extLst>
    </cfRule>
  </conditionalFormatting>
  <conditionalFormatting sqref="C36">
    <cfRule type="dataBar" priority="5">
      <dataBar>
        <cfvo type="min"/>
        <cfvo type="max"/>
        <color rgb="FF638EC6"/>
      </dataBar>
      <extLst>
        <ext xmlns:x14="http://schemas.microsoft.com/office/spreadsheetml/2009/9/main" uri="{B025F937-C7B1-47D3-B67F-A62EFF666E3E}">
          <x14:id>{16788C00-27A1-4402-9184-D3F671616CF9}</x14:id>
        </ext>
      </extLst>
    </cfRule>
  </conditionalFormatting>
  <conditionalFormatting sqref="C37">
    <cfRule type="dataBar" priority="10">
      <dataBar>
        <cfvo type="min"/>
        <cfvo type="max"/>
        <color rgb="FF638EC6"/>
      </dataBar>
      <extLst>
        <ext xmlns:x14="http://schemas.microsoft.com/office/spreadsheetml/2009/9/main" uri="{B025F937-C7B1-47D3-B67F-A62EFF666E3E}">
          <x14:id>{5552EA7E-E964-407C-8C1D-C99B7E93E5B0}</x14:id>
        </ext>
      </extLst>
    </cfRule>
  </conditionalFormatting>
  <conditionalFormatting sqref="C39">
    <cfRule type="dataBar" priority="4">
      <dataBar>
        <cfvo type="min"/>
        <cfvo type="max"/>
        <color rgb="FF638EC6"/>
      </dataBar>
      <extLst>
        <ext xmlns:x14="http://schemas.microsoft.com/office/spreadsheetml/2009/9/main" uri="{B025F937-C7B1-47D3-B67F-A62EFF666E3E}">
          <x14:id>{6D75CCCD-13C8-4C7D-8B21-2864D1A70B73}</x14:id>
        </ext>
      </extLst>
    </cfRule>
  </conditionalFormatting>
  <conditionalFormatting sqref="C40:C41">
    <cfRule type="dataBar" priority="9">
      <dataBar>
        <cfvo type="min"/>
        <cfvo type="max"/>
        <color rgb="FF638EC6"/>
      </dataBar>
      <extLst>
        <ext xmlns:x14="http://schemas.microsoft.com/office/spreadsheetml/2009/9/main" uri="{B025F937-C7B1-47D3-B67F-A62EFF666E3E}">
          <x14:id>{8508ABF8-2EDE-4C74-9EBB-80FF12442F50}</x14:id>
        </ext>
      </extLst>
    </cfRule>
  </conditionalFormatting>
  <dataValidations count="5">
    <dataValidation type="list" allowBlank="1" showInputMessage="1" sqref="G16:G17 G19 G36:G37 G11:G14 G29:G34 G39:G41 G22:G27" xr:uid="{C0E74563-52B6-410E-BB90-EEACD0B5DE34}">
      <formula1>"Thấp,Trung bình,Cao,Khó và phức tạp"</formula1>
    </dataValidation>
    <dataValidation type="list" allowBlank="1" showInputMessage="1" sqref="E29:E34 E16:E17 E19 E36:E37 E11:E14 E39:E41 E22:E27" xr:uid="{948F47A4-4AD8-47AC-9414-CB0F58839D6C}">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36:C37 C16:C17 C19:C20 C39:C41 C11:C14 C29:C34 C22:C27" xr:uid="{CF5A5EA2-85E8-42E3-A2F3-5367FCB9658B}">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36 D16:D17 D12:D14 D33:D34 D40:D41 E29:E32 D37 D26:D27" xr:uid="{8FADD92A-3B4B-4B3B-8A19-9CF06425FE0F}">
      <formula1>"Phòng QLĐT&amp;BĐCL, Phòng TH-HC&amp;QT, Phòng QLKHCN&amp;HTPT, Phòng TC-KT, Phòng  TCCB&amp;CTHSSV, Khoa Sư phạm, Khoa CKHCB, Khoa KT&amp;NL, Khoa Y – Dược, Khoa ĐT&amp;SHLX, Khoa KT&amp;CN"</formula1>
    </dataValidation>
    <dataValidation allowBlank="1" showInputMessage="1" sqref="H11:K14 H19:K20 H36:K37 H16:K17 H29:K34 H39:K41 H22:K27" xr:uid="{FB959061-C5B3-4098-8DE6-C19569271444}"/>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721A8620-2CEA-4C07-B1CE-0DBD1FBEA668}">
            <x14:dataBar minLength="0" maxLength="100" gradient="0">
              <x14:cfvo type="autoMin"/>
              <x14:cfvo type="autoMax"/>
              <x14:negativeFillColor rgb="FFFF0000"/>
              <x14:axisColor rgb="FF000000"/>
            </x14:dataBar>
          </x14:cfRule>
          <xm:sqref>C11:C14</xm:sqref>
        </x14:conditionalFormatting>
        <x14:conditionalFormatting xmlns:xm="http://schemas.microsoft.com/office/excel/2006/main">
          <x14:cfRule type="dataBar" id="{A80F9E88-A997-4E0E-A1BD-B43DA6B39DBD}">
            <x14:dataBar minLength="0" maxLength="100" gradient="0">
              <x14:cfvo type="autoMin"/>
              <x14:cfvo type="autoMax"/>
              <x14:negativeFillColor rgb="FFFF0000"/>
              <x14:axisColor rgb="FF000000"/>
            </x14:dataBar>
          </x14:cfRule>
          <xm:sqref>C16:C17</xm:sqref>
        </x14:conditionalFormatting>
        <x14:conditionalFormatting xmlns:xm="http://schemas.microsoft.com/office/excel/2006/main">
          <x14:cfRule type="dataBar" id="{432AA6D4-22CD-4B59-A15A-51397F58FCFF}">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DB9E3C13-6474-4E67-AA31-263F1FB3002C}">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41E64870-97ED-4CEA-B567-7BE3D92F5FEF}">
            <x14:dataBar minLength="0" maxLength="100" gradient="0">
              <x14:cfvo type="autoMin"/>
              <x14:cfvo type="autoMax"/>
              <x14:negativeFillColor rgb="FFFF0000"/>
              <x14:axisColor rgb="FF000000"/>
            </x14:dataBar>
          </x14:cfRule>
          <xm:sqref>C22</xm:sqref>
        </x14:conditionalFormatting>
        <x14:conditionalFormatting xmlns:xm="http://schemas.microsoft.com/office/excel/2006/main">
          <x14:cfRule type="dataBar" id="{72361B58-5DB6-497B-9212-A45CF5B2275B}">
            <x14:dataBar minLength="0" maxLength="100" gradient="0">
              <x14:cfvo type="autoMin"/>
              <x14:cfvo type="autoMax"/>
              <x14:negativeFillColor rgb="FFFF0000"/>
              <x14:axisColor rgb="FF000000"/>
            </x14:dataBar>
          </x14:cfRule>
          <xm:sqref>C23:C27</xm:sqref>
        </x14:conditionalFormatting>
        <x14:conditionalFormatting xmlns:xm="http://schemas.microsoft.com/office/excel/2006/main">
          <x14:cfRule type="dataBar" id="{8215ADAE-7969-4B82-9E87-960B199E4484}">
            <x14:dataBar minLength="0" maxLength="100" gradient="0">
              <x14:cfvo type="autoMin"/>
              <x14:cfvo type="autoMax"/>
              <x14:negativeFillColor rgb="FFFF0000"/>
              <x14:axisColor rgb="FF000000"/>
            </x14:dataBar>
          </x14:cfRule>
          <xm:sqref>C29:C30</xm:sqref>
        </x14:conditionalFormatting>
        <x14:conditionalFormatting xmlns:xm="http://schemas.microsoft.com/office/excel/2006/main">
          <x14:cfRule type="dataBar" id="{0937ACDC-0BF6-4AE9-A4D1-388246C5FBBF}">
            <x14:dataBar minLength="0" maxLength="100" gradient="0">
              <x14:cfvo type="autoMin"/>
              <x14:cfvo type="autoMax"/>
              <x14:negativeFillColor rgb="FFFF0000"/>
              <x14:axisColor rgb="FF000000"/>
            </x14:dataBar>
          </x14:cfRule>
          <xm:sqref>C31:C32</xm:sqref>
        </x14:conditionalFormatting>
        <x14:conditionalFormatting xmlns:xm="http://schemas.microsoft.com/office/excel/2006/main">
          <x14:cfRule type="dataBar" id="{D2FAAD70-CD89-4DEE-B068-39097FF9E67E}">
            <x14:dataBar minLength="0" maxLength="100" gradient="0">
              <x14:cfvo type="autoMin"/>
              <x14:cfvo type="autoMax"/>
              <x14:negativeFillColor rgb="FFFF0000"/>
              <x14:axisColor rgb="FF000000"/>
            </x14:dataBar>
          </x14:cfRule>
          <xm:sqref>C33:C34</xm:sqref>
        </x14:conditionalFormatting>
        <x14:conditionalFormatting xmlns:xm="http://schemas.microsoft.com/office/excel/2006/main">
          <x14:cfRule type="dataBar" id="{16788C00-27A1-4402-9184-D3F671616CF9}">
            <x14:dataBar minLength="0" maxLength="100" gradient="0">
              <x14:cfvo type="autoMin"/>
              <x14:cfvo type="autoMax"/>
              <x14:negativeFillColor rgb="FFFF0000"/>
              <x14:axisColor rgb="FF000000"/>
            </x14:dataBar>
          </x14:cfRule>
          <xm:sqref>C36</xm:sqref>
        </x14:conditionalFormatting>
        <x14:conditionalFormatting xmlns:xm="http://schemas.microsoft.com/office/excel/2006/main">
          <x14:cfRule type="dataBar" id="{5552EA7E-E964-407C-8C1D-C99B7E93E5B0}">
            <x14:dataBar minLength="0" maxLength="100" gradient="0">
              <x14:cfvo type="autoMin"/>
              <x14:cfvo type="autoMax"/>
              <x14:negativeFillColor rgb="FFFF0000"/>
              <x14:axisColor rgb="FF000000"/>
            </x14:dataBar>
          </x14:cfRule>
          <xm:sqref>C37</xm:sqref>
        </x14:conditionalFormatting>
        <x14:conditionalFormatting xmlns:xm="http://schemas.microsoft.com/office/excel/2006/main">
          <x14:cfRule type="dataBar" id="{6D75CCCD-13C8-4C7D-8B21-2864D1A70B73}">
            <x14:dataBar minLength="0" maxLength="100" gradient="0">
              <x14:cfvo type="autoMin"/>
              <x14:cfvo type="autoMax"/>
              <x14:negativeFillColor rgb="FFFF0000"/>
              <x14:axisColor rgb="FF000000"/>
            </x14:dataBar>
          </x14:cfRule>
          <xm:sqref>C39</xm:sqref>
        </x14:conditionalFormatting>
        <x14:conditionalFormatting xmlns:xm="http://schemas.microsoft.com/office/excel/2006/main">
          <x14:cfRule type="dataBar" id="{8508ABF8-2EDE-4C74-9EBB-80FF12442F50}">
            <x14:dataBar minLength="0" maxLength="100" gradient="0">
              <x14:cfvo type="autoMin"/>
              <x14:cfvo type="autoMax"/>
              <x14:negativeFillColor rgb="FFFF0000"/>
              <x14:axisColor rgb="FF000000"/>
            </x14:dataBar>
          </x14:cfRule>
          <xm:sqref>C40:C41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Tháng 9</vt:lpstr>
      <vt:lpstr>'Tháng 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Hoang Thi Chuc</cp:lastModifiedBy>
  <cp:lastPrinted>2026-06-25T01:37:08Z</cp:lastPrinted>
  <dcterms:created xsi:type="dcterms:W3CDTF">2026-05-27T07:08:41Z</dcterms:created>
  <dcterms:modified xsi:type="dcterms:W3CDTF">2026-08-14T03:19:40Z</dcterms:modified>
</cp:coreProperties>
</file>