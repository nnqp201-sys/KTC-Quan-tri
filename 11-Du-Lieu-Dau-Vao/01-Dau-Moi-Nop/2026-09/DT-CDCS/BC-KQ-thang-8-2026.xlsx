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0. CONG DOAN\Cong doan nam 2026\2. Bao cao\11. BC thang 8, KH thang 9\"/>
    </mc:Choice>
  </mc:AlternateContent>
  <xr:revisionPtr revIDLastSave="0" documentId="13_ncr:1_{B7E81601-0A0B-4564-BFDD-EADB1309D976}" xr6:coauthVersionLast="47" xr6:coauthVersionMax="47" xr10:uidLastSave="{00000000-0000-0000-0000-000000000000}"/>
  <bookViews>
    <workbookView xWindow="-110" yWindow="-110" windowWidth="19420" windowHeight="11500" xr2:uid="{CF09AA7D-F157-435F-8730-78D5FF9F5A39}"/>
  </bookViews>
  <sheets>
    <sheet name="Mẫu BC tháng" sheetId="1" r:id="rId1"/>
  </sheets>
  <definedNames>
    <definedName name="_xlnm.Print_Area" localSheetId="0">'Mẫu BC tháng'!$A$1:$P$38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 i="1" l="1"/>
  <c r="O10" i="1" s="1"/>
  <c r="H16" i="1" l="1"/>
  <c r="I16" i="1" s="1"/>
  <c r="J16" i="1" s="1"/>
  <c r="K35" i="1"/>
  <c r="M35" i="1" s="1"/>
  <c r="K33" i="1"/>
  <c r="M33" i="1" s="1"/>
  <c r="K32" i="1"/>
  <c r="M32" i="1" s="1"/>
  <c r="H30" i="1"/>
  <c r="I30" i="1" s="1"/>
  <c r="J30" i="1" s="1"/>
  <c r="K30" i="1"/>
  <c r="O30" i="1" s="1"/>
  <c r="K29" i="1"/>
  <c r="M29" i="1" s="1"/>
  <c r="K28" i="1"/>
  <c r="M28" i="1" s="1"/>
  <c r="K27" i="1"/>
  <c r="K26" i="1"/>
  <c r="O26" i="1" s="1"/>
  <c r="K25" i="1"/>
  <c r="M25" i="1" s="1"/>
  <c r="K23" i="1"/>
  <c r="M23" i="1" s="1"/>
  <c r="K22" i="1"/>
  <c r="O22" i="1" s="1"/>
  <c r="K21" i="1"/>
  <c r="K19" i="1"/>
  <c r="K18" i="1"/>
  <c r="M18" i="1" s="1"/>
  <c r="K16" i="1"/>
  <c r="M16" i="1" s="1"/>
  <c r="K15" i="1"/>
  <c r="H35" i="1"/>
  <c r="I35" i="1" s="1"/>
  <c r="J35" i="1" s="1"/>
  <c r="H33" i="1"/>
  <c r="I33" i="1" s="1"/>
  <c r="J33" i="1" s="1"/>
  <c r="H32" i="1"/>
  <c r="I32" i="1" s="1"/>
  <c r="J32" i="1" s="1"/>
  <c r="H29" i="1"/>
  <c r="I29" i="1" s="1"/>
  <c r="J29" i="1" s="1"/>
  <c r="H28" i="1"/>
  <c r="I28" i="1" s="1"/>
  <c r="J28" i="1" s="1"/>
  <c r="H27" i="1"/>
  <c r="I27" i="1" s="1"/>
  <c r="J27" i="1" s="1"/>
  <c r="H26" i="1"/>
  <c r="I26" i="1" s="1"/>
  <c r="J26" i="1" s="1"/>
  <c r="H25" i="1"/>
  <c r="I25" i="1" s="1"/>
  <c r="J25" i="1" s="1"/>
  <c r="H23" i="1"/>
  <c r="I23" i="1" s="1"/>
  <c r="J23" i="1" s="1"/>
  <c r="H22" i="1"/>
  <c r="I22" i="1" s="1"/>
  <c r="H21" i="1"/>
  <c r="I21" i="1" s="1"/>
  <c r="J21" i="1" s="1"/>
  <c r="H19" i="1"/>
  <c r="I19" i="1" s="1"/>
  <c r="J19" i="1" s="1"/>
  <c r="H18" i="1"/>
  <c r="I18" i="1" s="1"/>
  <c r="J18" i="1" s="1"/>
  <c r="H15" i="1"/>
  <c r="I15" i="1" s="1"/>
  <c r="J15" i="1" s="1"/>
  <c r="H11" i="1"/>
  <c r="I11" i="1" s="1"/>
  <c r="H12" i="1"/>
  <c r="I12" i="1" s="1"/>
  <c r="J12" i="1" s="1"/>
  <c r="H13" i="1"/>
  <c r="I13" i="1" s="1"/>
  <c r="H10" i="1"/>
  <c r="I10" i="1" s="1"/>
  <c r="F17" i="1"/>
  <c r="F20" i="1"/>
  <c r="F24" i="1"/>
  <c r="F31" i="1"/>
  <c r="F34" i="1"/>
  <c r="F14" i="1"/>
  <c r="K12" i="1"/>
  <c r="O12" i="1" s="1"/>
  <c r="K11" i="1"/>
  <c r="O11" i="1" s="1"/>
  <c r="K13" i="1"/>
  <c r="M13" i="1" s="1"/>
  <c r="F9" i="1"/>
  <c r="L22" i="1" l="1"/>
  <c r="P26" i="1"/>
  <c r="K17" i="1"/>
  <c r="M11" i="1"/>
  <c r="N11" i="1" s="1"/>
  <c r="L15" i="1"/>
  <c r="J31" i="1"/>
  <c r="P10" i="1"/>
  <c r="J10" i="1"/>
  <c r="L21" i="1"/>
  <c r="J22" i="1"/>
  <c r="J20" i="1" s="1"/>
  <c r="K9" i="1"/>
  <c r="N33" i="1"/>
  <c r="L10" i="1"/>
  <c r="P13" i="1"/>
  <c r="J34" i="1"/>
  <c r="L27" i="1"/>
  <c r="O13" i="1"/>
  <c r="P22" i="1"/>
  <c r="N23" i="1"/>
  <c r="L26" i="1"/>
  <c r="M27" i="1"/>
  <c r="N27" i="1" s="1"/>
  <c r="N29" i="1"/>
  <c r="J14" i="1"/>
  <c r="L19" i="1"/>
  <c r="M26" i="1"/>
  <c r="N26" i="1" s="1"/>
  <c r="K14" i="1"/>
  <c r="M15" i="1"/>
  <c r="L18" i="1"/>
  <c r="M19" i="1"/>
  <c r="N19" i="1" s="1"/>
  <c r="M21" i="1"/>
  <c r="M22" i="1"/>
  <c r="N22" i="1" s="1"/>
  <c r="N28" i="1"/>
  <c r="N16" i="1"/>
  <c r="L16" i="1"/>
  <c r="N35" i="1"/>
  <c r="K34" i="1"/>
  <c r="O35" i="1"/>
  <c r="L35" i="1"/>
  <c r="N32" i="1"/>
  <c r="M31" i="1"/>
  <c r="O33" i="1"/>
  <c r="P33" i="1" s="1"/>
  <c r="O32" i="1"/>
  <c r="L33" i="1"/>
  <c r="K31" i="1"/>
  <c r="L32" i="1"/>
  <c r="J24" i="1"/>
  <c r="P30" i="1"/>
  <c r="L30" i="1"/>
  <c r="M30" i="1"/>
  <c r="N30" i="1" s="1"/>
  <c r="N25" i="1"/>
  <c r="O25" i="1"/>
  <c r="O29" i="1"/>
  <c r="P29" i="1" s="1"/>
  <c r="L25" i="1"/>
  <c r="L29" i="1"/>
  <c r="K24" i="1"/>
  <c r="O27" i="1"/>
  <c r="P27" i="1" s="1"/>
  <c r="L28" i="1"/>
  <c r="O28" i="1"/>
  <c r="P28" i="1" s="1"/>
  <c r="O23" i="1"/>
  <c r="P23" i="1" s="1"/>
  <c r="K20" i="1"/>
  <c r="L23" i="1"/>
  <c r="O21" i="1"/>
  <c r="J17" i="1"/>
  <c r="O19" i="1"/>
  <c r="P19" i="1" s="1"/>
  <c r="N18" i="1"/>
  <c r="O18" i="1"/>
  <c r="O16" i="1"/>
  <c r="P16" i="1" s="1"/>
  <c r="O15" i="1"/>
  <c r="P11" i="1"/>
  <c r="P12" i="1"/>
  <c r="M10" i="1"/>
  <c r="M12" i="1"/>
  <c r="N12" i="1" s="1"/>
  <c r="J11" i="1"/>
  <c r="O9" i="1"/>
  <c r="L11" i="1"/>
  <c r="J13" i="1"/>
  <c r="N13" i="1"/>
  <c r="L13" i="1"/>
  <c r="L12" i="1"/>
  <c r="L14" i="1" l="1"/>
  <c r="L17" i="1"/>
  <c r="M34" i="1"/>
  <c r="N31" i="1"/>
  <c r="M20" i="1"/>
  <c r="M9" i="1"/>
  <c r="N10" i="1"/>
  <c r="N9" i="1" s="1"/>
  <c r="N17" i="1"/>
  <c r="J9" i="1"/>
  <c r="N34" i="1"/>
  <c r="N21" i="1"/>
  <c r="N20" i="1" s="1"/>
  <c r="L34" i="1"/>
  <c r="L31" i="1"/>
  <c r="M17" i="1"/>
  <c r="N15" i="1"/>
  <c r="N14" i="1" s="1"/>
  <c r="M14" i="1"/>
  <c r="P35" i="1"/>
  <c r="P34" i="1" s="1"/>
  <c r="O34" i="1"/>
  <c r="P32" i="1"/>
  <c r="P31" i="1" s="1"/>
  <c r="O31" i="1"/>
  <c r="M24" i="1"/>
  <c r="N24" i="1"/>
  <c r="L24" i="1"/>
  <c r="P25" i="1"/>
  <c r="P24" i="1" s="1"/>
  <c r="O24" i="1"/>
  <c r="L20" i="1"/>
  <c r="P21" i="1"/>
  <c r="P20" i="1" s="1"/>
  <c r="O20" i="1"/>
  <c r="P18" i="1"/>
  <c r="P17" i="1" s="1"/>
  <c r="O17" i="1"/>
  <c r="P15" i="1"/>
  <c r="P14" i="1" s="1"/>
  <c r="O14" i="1"/>
  <c r="L9" i="1"/>
  <c r="P9" i="1"/>
</calcChain>
</file>

<file path=xl/sharedStrings.xml><?xml version="1.0" encoding="utf-8"?>
<sst xmlns="http://schemas.openxmlformats.org/spreadsheetml/2006/main" count="160" uniqueCount="110">
  <si>
    <t>TT</t>
  </si>
  <si>
    <t>NỘI DUNG CÔNG VIỆC</t>
  </si>
  <si>
    <t>Người trực tiếp chỉ đạo</t>
  </si>
  <si>
    <t>I</t>
  </si>
  <si>
    <t xml:space="preserve">Trục (1) - Thực hiện mục tiêu phát triển Kinh tế - xã hội và nhiệm vụ chính trị được giao </t>
  </si>
  <si>
    <t>…</t>
  </si>
  <si>
    <t>Trục (2) - Hoàn thiện thể chế, đẩy mạnh phân cấp, phân quyền gắn với kiểm tra, giám sát</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</si>
  <si>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</si>
  <si>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</si>
  <si>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Trục (5) - Phát triển văn hóa, con người, bảo đảm an sinh xã hội, nâng cao đời sống nhân dân</t>
  </si>
  <si>
    <t>Trục (6) - Củng cố quốc phòng, an ninh, giữ vững ổn định chính trị - xã hội, nâng cao hiệu quả đối ngoại và hội nhập quốc tế</t>
  </si>
  <si>
    <t>II</t>
  </si>
  <si>
    <t>Số lượng</t>
  </si>
  <si>
    <t>(1)</t>
  </si>
  <si>
    <t>(2)</t>
  </si>
  <si>
    <t>(3)</t>
  </si>
  <si>
    <t>(4)</t>
  </si>
  <si>
    <t>(5)</t>
  </si>
  <si>
    <t>(6)</t>
  </si>
  <si>
    <t>(7)</t>
  </si>
  <si>
    <t>CỘNG HÒA XÃ HỘI CHỦ NGHĨA VIỆT NAM</t>
  </si>
  <si>
    <t>Độc lập - Tự do - Hạnh phúc</t>
  </si>
  <si>
    <t>1.1</t>
  </si>
  <si>
    <t>1.2</t>
  </si>
  <si>
    <t>Đơn vị chủ trì</t>
  </si>
  <si>
    <t>PHT Dương Văn Anh Dũng</t>
  </si>
  <si>
    <t>1.3</t>
  </si>
  <si>
    <t>Chủ tịch Công đoàn</t>
  </si>
  <si>
    <t>Các nhiệm vụ đột xuất, phát sinh khác ngoài kế hoạch (nếu có)</t>
  </si>
  <si>
    <t>Quyết định</t>
  </si>
  <si>
    <t>Trung bình</t>
  </si>
  <si>
    <t>Cao</t>
  </si>
  <si>
    <t>Khó và phức tạp</t>
  </si>
  <si>
    <t>Phòng QLĐT&amp;BĐCL</t>
  </si>
  <si>
    <t>1.4</t>
  </si>
  <si>
    <t>Điểm chấm công việc</t>
  </si>
  <si>
    <t>Hệ số quy đổi</t>
  </si>
  <si>
    <t>KPI (số lượng)</t>
  </si>
  <si>
    <t>KPI (chất lượng)</t>
  </si>
  <si>
    <t>KPI (tiến độ)</t>
  </si>
  <si>
    <t>Thực tế hoàn thành</t>
  </si>
  <si>
    <t>Quy đổi</t>
  </si>
  <si>
    <t>Số lượng quy đổi</t>
  </si>
  <si>
    <t>Thấp</t>
  </si>
  <si>
    <t> Các nhiệm vụ theo kế hoạch (chương trình) công tác đã đề ra từ đầu tháng</t>
  </si>
  <si>
    <t>Sản phẩm/ Công việc</t>
  </si>
  <si>
    <t>(8)</t>
  </si>
  <si>
    <t>(13)=(11)*[Tỷ lệ hoàn thành chất lượng]
Sửa đổi 1-2 lần 75% (trừ 0,25)</t>
  </si>
  <si>
    <t>(11)=(6)* [Tỷ lệ hoàn thành khối lượng]
Thiếu 1 = 75% (trừ 0,25)</t>
  </si>
  <si>
    <t>(15)=(11)*[Tỷ lệ hoàn thành tiến độ]
Chậm tiến độ 75% (trừ 0,25)</t>
  </si>
  <si>
    <t>Độ khó, mới, phức tạp; phạm vi tác
động</t>
  </si>
  <si>
    <t>(14)= (9)* (13)</t>
  </si>
  <si>
    <t>(16)= (9)* (15)</t>
  </si>
  <si>
    <t>(12)= (9)* (11)</t>
  </si>
  <si>
    <t>(10)= (6)* (9)</t>
  </si>
  <si>
    <t>(9)= (8)* 1%</t>
  </si>
  <si>
    <t>LIÊN ĐOÀN LAO ĐỘNG TỈNH QUẢNG NGÃI</t>
  </si>
  <si>
    <t>CÔNG ĐOÀN CƠ SỞ TRƯỜNG CAO ĐẲNG KON TUM</t>
  </si>
  <si>
    <t>BÁO CÁO
kết quả thực hiện công tác tháng 8 năm 2026</t>
  </si>
  <si>
    <t>Theo dõi, đôn đốc tiến độ thực hiện nhiệm vụ Quý III; rà soát kết quả các chỉ tiêu, nhiệm vụ công tác năm 2026.</t>
  </si>
  <si>
    <t>CĐCS Trường</t>
  </si>
  <si>
    <t>Báo cáo/rà soát tiến độ</t>
  </si>
  <si>
    <t>Duy trì chế độ thông tin, báo cáo; tổng hợp tình hình đoàn viên, VC, NLĐ và các nội dung thuộc chức năng Công đoàn.</t>
  </si>
  <si>
    <t>Tổng hợp/báo cáo</t>
  </si>
  <si>
    <t>Tổng kết hoạt động Công đoàn và phong trào VC, NLĐ năm học 2025 - 2026; xác định phương hướng, nhiệm vụ trọng tâm năm học 2026 - 2027.</t>
  </si>
  <si>
    <t>Báo cáo số 55/BC-CĐCS ngày 06/8/2026</t>
  </si>
  <si>
    <t>Phối hợp giám sát việc thực hiện chế độ, chính sách đối với VC, NLĐ; rà soát, chuẩn hóa hồ sơ kiểm tra, giám sát, tài chính và hoạt động Công đoàn.</t>
  </si>
  <si>
    <t>CĐCS Trường/UBKT</t>
  </si>
  <si>
    <t>Hồ sơ rà soát, giám sát</t>
  </si>
  <si>
    <t>Theo dõi việc thực hiện các kiến nghị sau kiểm tra; hoàn thiện hồ sơ, minh chứng phục vụ kiểm tra, đánh giá và lưu trữ theo quy định.</t>
  </si>
  <si>
    <t>UBKT CĐCS</t>
  </si>
  <si>
    <t>Hồ sơ theo dõi, kiến nghị; hồ sơ minh chứng</t>
  </si>
  <si>
    <t>Đẩy mạnh ứng dụng công nghệ thông tin, nền tảng số, thư điện tử, nhóm Zalo và Fanpage Công đoàn cơ sở trong quản lý, điều hành, tuyên truyền và trao đổi thông tin.</t>
  </si>
  <si>
    <t>Nội dung/tin bài, thông tin trao đổi trên nền tảng số</t>
  </si>
  <si>
    <t>Chuẩn hóa, cập nhật và quản lý hồ sơ, dữ liệu và minh chứng điện tử phục vụ theo dõi, kiểm tra, đánh giá, xếp loại và chấm điểm KPI năm 2026.</t>
  </si>
  <si>
    <t>Thư mục/danh mục hồ sơ, minh chứng điện tử</t>
  </si>
  <si>
    <t>Tiếp tục quán triệt, cụ thể hóa các nghị quyết, chỉ thị và văn bản chỉ đạo của Đảng, Công đoàn cấp trên gắn với chức năng, nhiệm vụ của Công đoàn và nhiệm vụ chính trị của Nhà trường.</t>
  </si>
  <si>
    <t>Nội dung triển khai/tuyên truyền</t>
  </si>
  <si>
    <t>Phát huy vai trò của BCH, UBKT, Ban Nữ công và các Tổ Công đoàn; thực hiện công khai, minh bạch, phòng, chống tham nhũng, tiêu cực, thực hành tiết kiệm, chống lãng phí trong hoạt động Công đoàn.</t>
  </si>
  <si>
    <t>Hồ sơ/minh chứng</t>
  </si>
  <si>
    <t>Hoàn thành hồ sơ đề nghị công nhận kết quả đánh giá, xếp loại Công đoàn cơ sở Trường Cao đẳng Kon Tum năm học 2025 - 2026.</t>
  </si>
  <si>
    <t>Tờ trình số 56/TTr-CĐCS ngày 06/8/2026</t>
  </si>
  <si>
    <t>5.1</t>
  </si>
  <si>
    <t>5.2</t>
  </si>
  <si>
    <t>5.3</t>
  </si>
  <si>
    <t>5.4</t>
  </si>
  <si>
    <t>5.5</t>
  </si>
  <si>
    <t>5.6</t>
  </si>
  <si>
    <t>Nắm bắt tình hình tư tưởng, việc làm và đời sống đoàn viên, VC, NLĐ; thực hiện thăm hỏi, động viên, hỗ trợ các trường hợp khó khăn, ốm đau theo quy định.</t>
  </si>
  <si>
    <t>Danh sách/hồ sơ thăm hỏi, hỗ trợ</t>
  </si>
  <si>
    <t>Thành lập Đoàn tham gia Giải bóng chuyền nữ CNVCLĐ năm 2026.</t>
  </si>
  <si>
    <t>Quyết định số 57/QĐ-CĐCS ngày 12/8/2026; danh sách Đoàn</t>
  </si>
  <si>
    <t>Lập danh sách 02 cháu là con VC, NLĐ tham gia Chương trình trao tặng quà, học bổng nhân dịp khai giảng năm học 2026 - 2027.</t>
  </si>
  <si>
    <t>Danh sách 02 cháu và hồ sơ liên quan</t>
  </si>
  <si>
    <t>Rà soát, thống kê số trẻ em mồ côi là con đoàn viên, người lao động tử vong do tai nạn lao động theo Công văn số 616/LĐLĐ tỉnh.</t>
  </si>
  <si>
    <t>Bảng rà soát, thống kê/danh sách</t>
  </si>
  <si>
    <t>Đẩy mạnh tuyên truyền, vận động đoàn viên tham gia Cuộc thi trực tuyến tìm hiểu Nghị quyết Đại hội Công đoàn.</t>
  </si>
  <si>
    <t>Nội dung tuyên truyền; tin/bài; kết quả tham gia nếu có</t>
  </si>
  <si>
    <t>Xây dựng Kế hoạch tổ chức Chương trình Tết Trung thu năm 2026 cho con VC, NLĐ; rà soát đối tượng, nội dung, điều kiện và kinh phí tổ chức.</t>
  </si>
  <si>
    <t>Ban Nữ công/CĐCS</t>
  </si>
  <si>
    <t>Kế hoạch Tết Trung thu năm 2026</t>
  </si>
  <si>
    <t>Tuyên truyền, phổ biến các quy định về an toàn giao thông, phòng cháy, chữa cháy, an ninh mạng, an toàn, vệ sinh lao động và văn hóa công sở.</t>
  </si>
  <si>
    <t>Nội dung tuyên truyền</t>
  </si>
  <si>
    <t>Vận động VC, NLĐ chấp hành nghiêm pháp luật, nội quy, quy chế của Nhà trường; nâng cao ý thức bảo vệ tài sản công, giữ gìn an ninh, trật tự và xây dựng môi trường làm việc an toàn, văn minh.</t>
  </si>
  <si>
    <t>Các Tổ Công đoàn</t>
  </si>
  <si>
    <t>Nội dung vận động/minh chứng</t>
  </si>
  <si>
    <t>Nguyễn Trung Hiếu</t>
  </si>
  <si>
    <r>
      <rPr>
        <i/>
        <sz val="14"/>
        <rFont val="Times New Roman"/>
        <family val="1"/>
        <charset val="163"/>
      </rPr>
      <t>Quảng Ngãi, ngày 17 tháng 8 năm 2026</t>
    </r>
    <r>
      <rPr>
        <sz val="14"/>
        <rFont val="Times New Roman"/>
        <family val="1"/>
      </rPr>
      <t xml:space="preserve">
</t>
    </r>
    <r>
      <rPr>
        <b/>
        <sz val="14"/>
        <rFont val="Times New Roman"/>
        <family val="1"/>
      </rPr>
      <t xml:space="preserve">TM. BAN CHẤP HÀNH
CHỦ TỊCH
</t>
    </r>
  </si>
  <si>
    <r>
      <rPr>
        <b/>
        <i/>
        <sz val="12"/>
        <rFont val="Times New Roman"/>
        <family val="1"/>
        <charset val="163"/>
      </rPr>
      <t xml:space="preserve">
Nơi nhận:</t>
    </r>
    <r>
      <rPr>
        <sz val="12"/>
        <rFont val="Times New Roman"/>
        <family val="1"/>
      </rPr>
      <t xml:space="preserve">
</t>
    </r>
    <r>
      <rPr>
        <sz val="11"/>
        <rFont val="Times New Roman"/>
        <family val="1"/>
        <charset val="163"/>
      </rPr>
      <t>- Đảng ủy Trường;
- Lãnh đạo Trường;
- Phòng TH-HC&amp;QT;
- Các tổ Công đoàn;
- Lưu:VT, CĐCS.</t>
    </r>
  </si>
  <si>
    <t>Không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</si>
</sst>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22" x14ac:knownFonts="1">
    <font>
      <sz val="11"/>
      <color theme="1"/>
      <name val="Calibri"/>
      <family val="2"/>
      <scheme val="minor"/>
    </font>
    <font>
      <b/>
      <sz val="14"/>
      <color theme="1"/>
      <name val="Times New Roman"/>
      <family val="1"/>
    </font>
    <font>
      <sz val="14"/>
      <color theme="1"/>
      <name val="Calibri"/>
      <family val="2"/>
      <scheme val="minor"/>
    </font>
    <font>
      <sz val="12"/>
      <color theme="1"/>
      <name val="Times New Roman"/>
      <family val="1"/>
    </font>
    <font>
      <sz val="12"/>
      <color theme="1"/>
      <name val="Calibri"/>
      <family val="2"/>
      <scheme val="minor"/>
    </font>
    <font>
      <b/>
      <sz val="13"/>
      <color theme="1"/>
      <name val="Times New Roman"/>
      <family val="1"/>
    </font>
    <font>
      <sz val="11"/>
      <name val="Calibri"/>
      <family val="2"/>
      <scheme val="minor"/>
    </font>
    <font>
      <b/>
      <sz val="12"/>
      <name val="Times New Roman"/>
      <family val="1"/>
    </font>
    <font>
      <sz val="12"/>
      <name val="Times New Roman"/>
      <family val="1"/>
    </font>
    <font>
      <sz val="14"/>
      <name val="Times New Roman"/>
      <family val="1"/>
    </font>
    <font>
      <b/>
      <sz val="14"/>
      <name val="Times New Roman"/>
      <family val="1"/>
    </font>
    <font>
      <sz val="12"/>
      <name val="Times New Roman"/>
      <family val="1"/>
      <charset val="163"/>
    </font>
    <font>
      <b/>
      <i/>
      <sz val="12"/>
      <name val="Times New Roman"/>
      <family val="1"/>
      <charset val="163"/>
    </font>
    <font>
      <sz val="11"/>
      <name val="Times New Roman"/>
      <family val="1"/>
      <charset val="163"/>
    </font>
    <font>
      <sz val="12"/>
      <name val="Calibri"/>
      <family val="2"/>
      <scheme val="minor"/>
    </font>
    <font>
      <sz val="13"/>
      <color theme="1"/>
      <name val="Times New Roman"/>
      <family val="1"/>
    </font>
    <font>
      <i/>
      <sz val="14"/>
      <name val="Times New Roman"/>
      <family val="1"/>
      <charset val="163"/>
    </font>
    <font>
      <b/>
      <sz val="14"/>
      <name val="Times New Roman"/>
      <family val="1"/>
      <charset val="163"/>
    </font>
    <font>
      <sz val="11"/>
      <color theme="1"/>
      <name val="Calibri"/>
      <family val="2"/>
      <scheme val="minor"/>
    </font>
    <font>
      <b/>
      <sz val="12"/>
      <name val="Times New Roman"/>
      <family val="1"/>
      <charset val="163"/>
    </font>
    <font>
      <sz val="12"/>
      <name val="Calibri"/>
      <family val="2"/>
    </font>
    <font>
      <sz val="10"/>
      <name val="Times New Roman"/>
      <family val="1"/>
    </font>
  </fonts>
  <fills count="6">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C000"/>
        <bgColor indexed="64"/>
      </patternFill>
    </fill>
    <fill>
      <patternFill patternType="solid">
        <fgColor theme="5" tint="0.59999389629810485"/>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s>
  <cellStyleXfs count="2">
    <xf numFmtId="0" fontId="0" fillId="0" borderId="0"/>
    <xf numFmtId="43" fontId="18" fillId="0" borderId="0" applyFont="0" applyFill="0" applyBorder="0" applyAlignment="0" applyProtection="0"/>
  </cellStyleXfs>
  <cellXfs count="52">
    <xf numFmtId="0" fontId="0" fillId="0" borderId="0" xfId="0"/>
    <xf numFmtId="0" fontId="4" fillId="0" borderId="0" xfId="0" applyFont="1"/>
    <xf numFmtId="0" fontId="6" fillId="0" borderId="0" xfId="0" applyFont="1"/>
    <xf numFmtId="0" fontId="14" fillId="0" borderId="0" xfId="0" applyFont="1"/>
    <xf numFmtId="0" fontId="5" fillId="0" borderId="0" xfId="0" applyFont="1" applyAlignment="1">
      <alignment wrapText="1"/>
    </xf>
    <xf numFmtId="0" fontId="1" fillId="0" borderId="0" xfId="0" applyFont="1" applyAlignment="1">
      <alignment vertical="center" wrapText="1"/>
    </xf>
    <xf numFmtId="0" fontId="0" fillId="3" borderId="0" xfId="0" applyFill="1"/>
    <xf numFmtId="0" fontId="0" fillId="4" borderId="0" xfId="0" applyFill="1"/>
    <xf numFmtId="0" fontId="0" fillId="2" borderId="0" xfId="0" applyFill="1"/>
    <xf numFmtId="0" fontId="0" fillId="5" borderId="0" xfId="0" applyFill="1"/>
    <xf numFmtId="0" fontId="11" fillId="0" borderId="2" xfId="0" applyFont="1" applyBorder="1" applyAlignment="1">
      <alignment horizontal="center" vertical="center" wrapText="1"/>
    </xf>
    <xf numFmtId="43" fontId="11" fillId="0" borderId="2" xfId="1" applyFont="1" applyFill="1" applyBorder="1" applyAlignment="1">
      <alignment horizontal="center" vertical="center" wrapText="1"/>
    </xf>
    <xf numFmtId="0" fontId="11" fillId="0" borderId="0" xfId="0" applyFont="1" applyAlignment="1">
      <alignment horizontal="left" vertical="top" wrapText="1"/>
    </xf>
    <xf numFmtId="2" fontId="7" fillId="0" borderId="8" xfId="0" applyNumberFormat="1" applyFont="1" applyBorder="1" applyAlignment="1">
      <alignment horizontal="center" vertical="center" wrapText="1"/>
    </xf>
    <xf numFmtId="0" fontId="7" fillId="0" borderId="2" xfId="0" applyFont="1" applyBorder="1" applyAlignment="1">
      <alignment horizontal="center" vertical="center" wrapText="1"/>
    </xf>
    <xf numFmtId="0" fontId="7" fillId="0" borderId="2" xfId="0" applyFont="1" applyBorder="1" applyAlignment="1">
      <alignment horizontal="center" vertical="center"/>
    </xf>
    <xf numFmtId="0" fontId="7" fillId="0" borderId="2" xfId="0" applyFont="1" applyBorder="1" applyAlignment="1">
      <alignment vertical="center"/>
    </xf>
    <xf numFmtId="164" fontId="11" fillId="0" borderId="2" xfId="1" applyNumberFormat="1" applyFont="1" applyFill="1" applyBorder="1" applyAlignment="1">
      <alignment horizontal="center" vertical="center" wrapText="1"/>
    </xf>
    <xf numFmtId="0" fontId="11" fillId="0" borderId="2" xfId="0" applyFont="1" applyBorder="1" applyAlignment="1">
      <alignment vertical="center" wrapText="1"/>
    </xf>
    <xf numFmtId="43" fontId="11" fillId="0" borderId="2" xfId="1" quotePrefix="1" applyFont="1" applyFill="1" applyBorder="1" applyAlignment="1">
      <alignment horizontal="center" vertical="center" wrapText="1"/>
    </xf>
    <xf numFmtId="0" fontId="13" fillId="0" borderId="2" xfId="0" quotePrefix="1" applyFont="1" applyBorder="1" applyAlignment="1">
      <alignment horizontal="center" vertical="center" wrapText="1"/>
    </xf>
    <xf numFmtId="0" fontId="21" fillId="0" borderId="2" xfId="0" applyFont="1" applyBorder="1" applyAlignment="1">
      <alignment vertical="top" wrapText="1"/>
    </xf>
    <xf numFmtId="0" fontId="21" fillId="0" borderId="2" xfId="0" applyFont="1" applyBorder="1"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xf numFmtId="0" fontId="17" fillId="0" borderId="0" xfId="0" applyFont="1" applyAlignment="1">
      <alignment horizontal="center" vertical="top" wrapText="1"/>
    </xf>
    <xf numFmtId="0" fontId="10" fillId="0" borderId="0" xfId="0" applyFont="1" applyAlignment="1">
      <alignment horizontal="center" vertical="top" wrapText="1"/>
    </xf>
    <xf numFmtId="0" fontId="11" fillId="0" borderId="0" xfId="0" applyFont="1" applyAlignment="1">
      <alignment horizontal="left" vertical="top"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7" xfId="0" applyFont="1" applyBorder="1" applyAlignment="1">
      <alignment horizontal="center" vertical="center" wrapText="1"/>
    </xf>
    <xf numFmtId="0" fontId="7" fillId="0" borderId="2" xfId="0" applyFont="1" applyBorder="1" applyAlignment="1">
      <alignment vertical="center" wrapText="1"/>
    </xf>
    <xf numFmtId="0" fontId="8" fillId="0" borderId="3" xfId="0" applyFont="1" applyBorder="1" applyAlignment="1">
      <alignment horizontal="left" vertical="center" wrapText="1"/>
    </xf>
    <xf numFmtId="0" fontId="1" fillId="0" borderId="0" xfId="0" applyFont="1" applyAlignment="1">
      <alignment horizontal="center" vertical="center" wrapText="1"/>
    </xf>
    <xf numFmtId="0" fontId="2" fillId="0" borderId="0" xfId="0" applyFont="1" applyAlignment="1">
      <alignment horizontal="center" vertical="center"/>
    </xf>
    <xf numFmtId="0" fontId="7" fillId="0" borderId="8" xfId="0" applyFont="1" applyBorder="1" applyAlignment="1">
      <alignment horizontal="center" vertical="center" wrapText="1"/>
    </xf>
    <xf numFmtId="0" fontId="20" fillId="0" borderId="10" xfId="0" applyFont="1" applyBorder="1"/>
    <xf numFmtId="0" fontId="5" fillId="0" borderId="0" xfId="0" applyFont="1" applyAlignment="1">
      <alignment horizontal="center" wrapText="1"/>
    </xf>
    <xf numFmtId="2" fontId="7" fillId="0" borderId="8" xfId="0" applyNumberFormat="1" applyFont="1" applyBorder="1" applyAlignment="1">
      <alignment horizontal="center" vertical="center" wrapText="1"/>
    </xf>
    <xf numFmtId="2" fontId="20" fillId="0" borderId="9" xfId="0" applyNumberFormat="1" applyFont="1" applyBorder="1" applyAlignment="1">
      <alignment wrapText="1"/>
    </xf>
    <xf numFmtId="0" fontId="3" fillId="0" borderId="1" xfId="0" applyFont="1" applyBorder="1" applyAlignment="1">
      <alignment horizontal="left" vertical="center"/>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15" fillId="0" borderId="0" xfId="0" applyFont="1" applyAlignment="1">
      <alignment horizontal="center"/>
    </xf>
    <xf numFmtId="0" fontId="5" fillId="0" borderId="0" xfId="0" applyFont="1" applyAlignment="1">
      <alignment horizontal="center"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4" xfId="0" applyFont="1" applyBorder="1" applyAlignment="1">
      <alignment horizontal="left" vertical="center"/>
    </xf>
    <xf numFmtId="0" fontId="7" fillId="0" borderId="5" xfId="0" applyFont="1" applyBorder="1" applyAlignment="1">
      <alignment horizontal="left" vertical="center"/>
    </xf>
    <xf numFmtId="0" fontId="7" fillId="0" borderId="2" xfId="0" applyFont="1" applyBorder="1" applyAlignment="1">
      <alignment horizontal="left" vertical="center"/>
    </xf>
    <xf numFmtId="0" fontId="7" fillId="0" borderId="2" xfId="0"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1348145</xdr:colOff>
      <xdr:row>2</xdr:row>
      <xdr:rowOff>13573</xdr:rowOff>
    </xdr:from>
    <xdr:to>
      <xdr:col>2</xdr:col>
      <xdr:colOff>368407</xdr:colOff>
      <xdr:row>2</xdr:row>
      <xdr:rowOff>13573</xdr:rowOff>
    </xdr:to>
    <xdr:cxnSp macro="">
      <xdr:nvCxnSpPr>
        <xdr:cNvPr id="2" name="Straight Connector 1">
          <a:extLst>
            <a:ext uri="{FF2B5EF4-FFF2-40B4-BE49-F238E27FC236}">
              <a16:creationId xmlns:a16="http://schemas.microsoft.com/office/drawing/2014/main" id="{C84106FF-030C-484D-91E0-13935D3AC82E}"/>
            </a:ext>
          </a:extLst>
        </xdr:cNvPr>
        <xdr:cNvCxnSpPr/>
      </xdr:nvCxnSpPr>
      <xdr:spPr>
        <a:xfrm>
          <a:off x="1692666" y="614796"/>
          <a:ext cx="118872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126379</xdr:colOff>
      <xdr:row>2</xdr:row>
      <xdr:rowOff>22229</xdr:rowOff>
    </xdr:from>
    <xdr:to>
      <xdr:col>12</xdr:col>
      <xdr:colOff>507337</xdr:colOff>
      <xdr:row>2</xdr:row>
      <xdr:rowOff>22229</xdr:rowOff>
    </xdr:to>
    <xdr:cxnSp macro="">
      <xdr:nvCxnSpPr>
        <xdr:cNvPr id="3" name="Straight Connector 2">
          <a:extLst>
            <a:ext uri="{FF2B5EF4-FFF2-40B4-BE49-F238E27FC236}">
              <a16:creationId xmlns:a16="http://schemas.microsoft.com/office/drawing/2014/main" id="{8DA3F0EA-A2EA-4136-800A-FE8E509630DA}"/>
            </a:ext>
          </a:extLst>
        </xdr:cNvPr>
        <xdr:cNvCxnSpPr/>
      </xdr:nvCxnSpPr>
      <xdr:spPr>
        <a:xfrm>
          <a:off x="8239517" y="623452"/>
          <a:ext cx="2150852"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801054</xdr:colOff>
      <xdr:row>2</xdr:row>
      <xdr:rowOff>513135</xdr:rowOff>
    </xdr:from>
    <xdr:to>
      <xdr:col>6</xdr:col>
      <xdr:colOff>376414</xdr:colOff>
      <xdr:row>2</xdr:row>
      <xdr:rowOff>513135</xdr:rowOff>
    </xdr:to>
    <xdr:cxnSp macro="">
      <xdr:nvCxnSpPr>
        <xdr:cNvPr id="4" name="Straight Connector 3">
          <a:extLst>
            <a:ext uri="{FF2B5EF4-FFF2-40B4-BE49-F238E27FC236}">
              <a16:creationId xmlns:a16="http://schemas.microsoft.com/office/drawing/2014/main" id="{E126119D-5FF3-48E9-B8F9-5FADE7BBE46C}"/>
            </a:ext>
          </a:extLst>
        </xdr:cNvPr>
        <xdr:cNvCxnSpPr/>
      </xdr:nvCxnSpPr>
      <xdr:spPr>
        <a:xfrm>
          <a:off x="5658128" y="1114358"/>
          <a:ext cx="1068286"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42E2-2B61-4B4F-A642-CBE7C4BEBB84}">
  <dimension ref="A1:Q38"/>
  <sheetViews>
    <sheetView tabSelected="1" view="pageBreakPreview" topLeftCell="A21" zoomScale="94" zoomScaleNormal="70" zoomScaleSheetLayoutView="94" workbookViewId="0">
      <selection activeCell="D25" sqref="D25"/>
    </sheetView>
  </sheetViews>
  <sheetFormatPr defaultRowHeight="32.5" customHeight="1" x14ac:dyDescent="0.35"/>
  <cols>
    <col min="1" max="1" width="4.90625" customWidth="1"/>
    <col min="2" max="2" width="31.08984375" customWidth="1"/>
    <col min="3" max="3" width="16.453125" customWidth="1"/>
    <col min="4" max="4" width="17.08984375" customWidth="1"/>
    <col min="5" max="5" width="14.36328125" customWidth="1"/>
    <col min="6" max="6" width="7" style="8" customWidth="1"/>
    <col min="7" max="7" width="10.08984375" customWidth="1"/>
    <col min="8" max="8" width="8.36328125" style="7" customWidth="1"/>
    <col min="9" max="9" width="6.90625" style="6" customWidth="1"/>
    <col min="10" max="10" width="7.26953125" customWidth="1"/>
    <col min="11" max="11" width="11.453125" style="9" customWidth="1"/>
    <col min="12" max="12" width="6.6328125" customWidth="1"/>
    <col min="13" max="13" width="10.453125" style="9" customWidth="1"/>
    <col min="14" max="14" width="6.36328125" customWidth="1"/>
    <col min="15" max="15" width="10.453125" style="9" customWidth="1"/>
    <col min="16" max="16" width="6.6328125" customWidth="1"/>
  </cols>
  <sheetData>
    <row r="1" spans="1:17" s="1" customFormat="1" ht="28.5" customHeight="1" x14ac:dyDescent="0.35">
      <c r="A1" s="44" t="s">
        <v>56</v>
      </c>
      <c r="B1" s="44"/>
      <c r="C1" s="44"/>
      <c r="D1" s="44"/>
      <c r="E1" s="4"/>
      <c r="F1" s="4"/>
      <c r="G1" s="38" t="s">
        <v>20</v>
      </c>
      <c r="H1" s="38"/>
      <c r="I1" s="38"/>
      <c r="J1" s="38"/>
      <c r="K1" s="38"/>
      <c r="L1" s="38"/>
      <c r="M1" s="38"/>
      <c r="N1" s="38"/>
      <c r="O1" s="38"/>
      <c r="P1" s="38"/>
    </row>
    <row r="2" spans="1:17" s="1" customFormat="1" ht="18.75" customHeight="1" x14ac:dyDescent="0.35">
      <c r="A2" s="45" t="s">
        <v>57</v>
      </c>
      <c r="B2" s="45"/>
      <c r="C2" s="45"/>
      <c r="D2" s="45"/>
      <c r="E2" s="5"/>
      <c r="F2" s="5"/>
      <c r="G2" s="34" t="s">
        <v>21</v>
      </c>
      <c r="H2" s="34"/>
      <c r="I2" s="34"/>
      <c r="J2" s="34"/>
      <c r="K2" s="34"/>
      <c r="L2" s="34"/>
      <c r="M2" s="34"/>
      <c r="N2" s="34"/>
      <c r="O2" s="34"/>
      <c r="P2" s="34"/>
    </row>
    <row r="3" spans="1:17" ht="44.25" customHeight="1" x14ac:dyDescent="0.35">
      <c r="A3" s="34" t="s">
        <v>58</v>
      </c>
      <c r="B3" s="35"/>
      <c r="C3" s="35"/>
      <c r="D3" s="35"/>
      <c r="E3" s="35"/>
      <c r="F3" s="35"/>
      <c r="G3" s="35"/>
      <c r="H3" s="35"/>
      <c r="I3" s="35"/>
      <c r="J3" s="35"/>
      <c r="K3" s="35"/>
      <c r="L3" s="35"/>
      <c r="M3" s="35"/>
      <c r="N3" s="35"/>
      <c r="O3" s="35"/>
      <c r="P3" s="35"/>
    </row>
    <row r="4" spans="1:17" ht="9" customHeight="1" x14ac:dyDescent="0.35">
      <c r="A4" s="41"/>
      <c r="B4" s="41"/>
      <c r="C4" s="41"/>
      <c r="D4" s="41"/>
      <c r="E4" s="41"/>
      <c r="F4" s="41"/>
      <c r="G4" s="41"/>
      <c r="H4" s="41"/>
      <c r="I4" s="41"/>
      <c r="J4" s="41"/>
      <c r="K4" s="41"/>
      <c r="L4" s="41"/>
      <c r="M4" s="41"/>
      <c r="N4" s="41"/>
      <c r="O4" s="41"/>
      <c r="P4" s="41"/>
    </row>
    <row r="5" spans="1:17" ht="20.25" customHeight="1" x14ac:dyDescent="0.35">
      <c r="A5" s="28" t="s">
        <v>0</v>
      </c>
      <c r="B5" s="28" t="s">
        <v>1</v>
      </c>
      <c r="C5" s="28" t="s">
        <v>2</v>
      </c>
      <c r="D5" s="28" t="s">
        <v>24</v>
      </c>
      <c r="E5" s="28" t="s">
        <v>45</v>
      </c>
      <c r="F5" s="28" t="s">
        <v>12</v>
      </c>
      <c r="G5" s="30" t="s">
        <v>50</v>
      </c>
      <c r="H5" s="36" t="s">
        <v>35</v>
      </c>
      <c r="I5" s="36" t="s">
        <v>36</v>
      </c>
      <c r="J5" s="42" t="s">
        <v>42</v>
      </c>
      <c r="K5" s="39" t="s">
        <v>37</v>
      </c>
      <c r="L5" s="40"/>
      <c r="M5" s="39" t="s">
        <v>38</v>
      </c>
      <c r="N5" s="40"/>
      <c r="O5" s="39" t="s">
        <v>39</v>
      </c>
      <c r="P5" s="40"/>
      <c r="Q5" s="1"/>
    </row>
    <row r="6" spans="1:17" ht="65.25" customHeight="1" x14ac:dyDescent="0.35">
      <c r="A6" s="29"/>
      <c r="B6" s="29"/>
      <c r="C6" s="29"/>
      <c r="D6" s="29"/>
      <c r="E6" s="29"/>
      <c r="F6" s="29"/>
      <c r="G6" s="31"/>
      <c r="H6" s="37"/>
      <c r="I6" s="37"/>
      <c r="J6" s="43"/>
      <c r="K6" s="13" t="s">
        <v>40</v>
      </c>
      <c r="L6" s="13" t="s">
        <v>41</v>
      </c>
      <c r="M6" s="13" t="s">
        <v>40</v>
      </c>
      <c r="N6" s="13" t="s">
        <v>41</v>
      </c>
      <c r="O6" s="13" t="s">
        <v>40</v>
      </c>
      <c r="P6" s="13" t="s">
        <v>41</v>
      </c>
      <c r="Q6" s="1"/>
    </row>
    <row r="7" spans="1:17" ht="102" customHeight="1" x14ac:dyDescent="0.35">
      <c r="A7" s="20" t="s">
        <v>13</v>
      </c>
      <c r="B7" s="20" t="s">
        <v>14</v>
      </c>
      <c r="C7" s="20" t="s">
        <v>15</v>
      </c>
      <c r="D7" s="20" t="s">
        <v>16</v>
      </c>
      <c r="E7" s="20" t="s">
        <v>17</v>
      </c>
      <c r="F7" s="20" t="s">
        <v>18</v>
      </c>
      <c r="G7" s="20" t="s">
        <v>19</v>
      </c>
      <c r="H7" s="20" t="s">
        <v>46</v>
      </c>
      <c r="I7" s="20" t="s">
        <v>55</v>
      </c>
      <c r="J7" s="20" t="s">
        <v>54</v>
      </c>
      <c r="K7" s="20" t="s">
        <v>48</v>
      </c>
      <c r="L7" s="20" t="s">
        <v>53</v>
      </c>
      <c r="M7" s="20" t="s">
        <v>47</v>
      </c>
      <c r="N7" s="20" t="s">
        <v>51</v>
      </c>
      <c r="O7" s="20" t="s">
        <v>49</v>
      </c>
      <c r="P7" s="20" t="s">
        <v>52</v>
      </c>
    </row>
    <row r="8" spans="1:17" ht="31.5" customHeight="1" x14ac:dyDescent="0.35">
      <c r="A8" s="14" t="s">
        <v>3</v>
      </c>
      <c r="B8" s="32" t="s">
        <v>44</v>
      </c>
      <c r="C8" s="32"/>
      <c r="D8" s="32"/>
      <c r="E8" s="32"/>
      <c r="F8" s="32"/>
      <c r="G8" s="32"/>
      <c r="H8" s="32"/>
      <c r="I8" s="32"/>
      <c r="J8" s="32"/>
      <c r="K8" s="32"/>
      <c r="L8" s="32"/>
      <c r="M8" s="32"/>
      <c r="N8" s="32"/>
      <c r="O8" s="32"/>
      <c r="P8" s="32"/>
    </row>
    <row r="9" spans="1:17" ht="15" x14ac:dyDescent="0.35">
      <c r="A9" s="15">
        <v>1</v>
      </c>
      <c r="B9" s="50" t="s">
        <v>4</v>
      </c>
      <c r="C9" s="50"/>
      <c r="D9" s="50"/>
      <c r="E9" s="50"/>
      <c r="F9" s="15">
        <f>SUM(F10:F13)</f>
        <v>22</v>
      </c>
      <c r="G9" s="16"/>
      <c r="H9" s="16"/>
      <c r="I9" s="16"/>
      <c r="J9" s="15">
        <f t="shared" ref="J9:P9" si="0">SUM(J10:J13)</f>
        <v>24.5</v>
      </c>
      <c r="K9" s="15">
        <f t="shared" si="0"/>
        <v>17.5</v>
      </c>
      <c r="L9" s="15">
        <f t="shared" si="0"/>
        <v>20</v>
      </c>
      <c r="M9" s="15">
        <f t="shared" si="0"/>
        <v>16.25</v>
      </c>
      <c r="N9" s="15">
        <f t="shared" si="0"/>
        <v>18.125</v>
      </c>
      <c r="O9" s="15">
        <f t="shared" si="0"/>
        <v>12.5</v>
      </c>
      <c r="P9" s="15">
        <f t="shared" si="0"/>
        <v>14</v>
      </c>
    </row>
    <row r="10" spans="1:17" ht="39" x14ac:dyDescent="0.35">
      <c r="A10" s="10" t="s">
        <v>22</v>
      </c>
      <c r="B10" s="21" t="s">
        <v>59</v>
      </c>
      <c r="C10" s="21" t="s">
        <v>27</v>
      </c>
      <c r="D10" s="21" t="s">
        <v>60</v>
      </c>
      <c r="E10" s="21" t="s">
        <v>61</v>
      </c>
      <c r="F10" s="10">
        <v>1</v>
      </c>
      <c r="G10" s="10" t="s">
        <v>31</v>
      </c>
      <c r="H10" s="10">
        <f>IF(G10="Khó và phức tạp",200,IF(G10="Cao",150,IF(G10="Trungbình",120,100)))</f>
        <v>150</v>
      </c>
      <c r="I10" s="10">
        <f>H10*0.01</f>
        <v>1.5</v>
      </c>
      <c r="J10" s="10">
        <f>F10*I10</f>
        <v>1.5</v>
      </c>
      <c r="K10" s="11">
        <f>F10*100%</f>
        <v>1</v>
      </c>
      <c r="L10" s="17">
        <f>K10*I10</f>
        <v>1.5</v>
      </c>
      <c r="M10" s="11">
        <f>K10*75%</f>
        <v>0.75</v>
      </c>
      <c r="N10" s="17">
        <f>I10*M10</f>
        <v>1.125</v>
      </c>
      <c r="O10" s="11">
        <f>K10*100%</f>
        <v>1</v>
      </c>
      <c r="P10" s="17">
        <f>I10*O10</f>
        <v>1.5</v>
      </c>
    </row>
    <row r="11" spans="1:17" ht="39" x14ac:dyDescent="0.35">
      <c r="A11" s="10" t="s">
        <v>23</v>
      </c>
      <c r="B11" s="21" t="s">
        <v>62</v>
      </c>
      <c r="C11" s="21" t="s">
        <v>27</v>
      </c>
      <c r="D11" s="21" t="s">
        <v>60</v>
      </c>
      <c r="E11" s="21" t="s">
        <v>63</v>
      </c>
      <c r="F11" s="10">
        <v>1</v>
      </c>
      <c r="G11" s="10" t="s">
        <v>30</v>
      </c>
      <c r="H11" s="10">
        <f t="shared" ref="H11:H13" si="1">IF(G11="Khó và phức tạp",200,IF(G11="Cao",150,IF(G11="Trungbình",120,100)))</f>
        <v>100</v>
      </c>
      <c r="I11" s="10">
        <f t="shared" ref="I11:I13" si="2">H11*0.01</f>
        <v>1</v>
      </c>
      <c r="J11" s="10">
        <f t="shared" ref="J11:J13" si="3">F11*I11</f>
        <v>1</v>
      </c>
      <c r="K11" s="11">
        <f>F11*50%</f>
        <v>0.5</v>
      </c>
      <c r="L11" s="17">
        <f t="shared" ref="L11:L13" si="4">K11*I11</f>
        <v>0.5</v>
      </c>
      <c r="M11" s="19">
        <f>K11*100%</f>
        <v>0.5</v>
      </c>
      <c r="N11" s="17">
        <f t="shared" ref="N11:N13" si="5">I11*M11</f>
        <v>0.5</v>
      </c>
      <c r="O11" s="19">
        <f>K11*100%</f>
        <v>0.5</v>
      </c>
      <c r="P11" s="17">
        <f t="shared" ref="P11:P13" si="6">I11*O11</f>
        <v>0.5</v>
      </c>
    </row>
    <row r="12" spans="1:17" ht="52" x14ac:dyDescent="0.35">
      <c r="A12" s="10" t="s">
        <v>26</v>
      </c>
      <c r="B12" s="21" t="s">
        <v>64</v>
      </c>
      <c r="C12" s="21" t="s">
        <v>27</v>
      </c>
      <c r="D12" s="21" t="s">
        <v>60</v>
      </c>
      <c r="E12" s="21" t="s">
        <v>65</v>
      </c>
      <c r="F12" s="10">
        <v>4</v>
      </c>
      <c r="G12" s="10" t="s">
        <v>31</v>
      </c>
      <c r="H12" s="10">
        <f t="shared" si="1"/>
        <v>150</v>
      </c>
      <c r="I12" s="10">
        <f t="shared" si="2"/>
        <v>1.5</v>
      </c>
      <c r="J12" s="10">
        <f t="shared" si="3"/>
        <v>6</v>
      </c>
      <c r="K12" s="11">
        <f>F12*100%</f>
        <v>4</v>
      </c>
      <c r="L12" s="17">
        <f t="shared" si="4"/>
        <v>6</v>
      </c>
      <c r="M12" s="11">
        <f>K12*75%</f>
        <v>3</v>
      </c>
      <c r="N12" s="17">
        <f t="shared" si="5"/>
        <v>4.5</v>
      </c>
      <c r="O12" s="11">
        <f>K12*50%</f>
        <v>2</v>
      </c>
      <c r="P12" s="17">
        <f t="shared" si="6"/>
        <v>3</v>
      </c>
    </row>
    <row r="13" spans="1:17" ht="31" x14ac:dyDescent="0.35">
      <c r="A13" s="10" t="s">
        <v>34</v>
      </c>
      <c r="B13" s="18" t="s">
        <v>5</v>
      </c>
      <c r="C13" s="10" t="s">
        <v>25</v>
      </c>
      <c r="D13" s="10" t="s">
        <v>33</v>
      </c>
      <c r="E13" s="10" t="s">
        <v>29</v>
      </c>
      <c r="F13" s="10">
        <v>16</v>
      </c>
      <c r="G13" s="10" t="s">
        <v>43</v>
      </c>
      <c r="H13" s="10">
        <f t="shared" si="1"/>
        <v>100</v>
      </c>
      <c r="I13" s="10">
        <f t="shared" si="2"/>
        <v>1</v>
      </c>
      <c r="J13" s="10">
        <f t="shared" si="3"/>
        <v>16</v>
      </c>
      <c r="K13" s="11">
        <f>F13*75%</f>
        <v>12</v>
      </c>
      <c r="L13" s="17">
        <f t="shared" si="4"/>
        <v>12</v>
      </c>
      <c r="M13" s="11">
        <f>K13*100%</f>
        <v>12</v>
      </c>
      <c r="N13" s="17">
        <f t="shared" si="5"/>
        <v>12</v>
      </c>
      <c r="O13" s="11">
        <f>K13*75%</f>
        <v>9</v>
      </c>
      <c r="P13" s="17">
        <f t="shared" si="6"/>
        <v>9</v>
      </c>
    </row>
    <row r="14" spans="1:17" ht="15" x14ac:dyDescent="0.35">
      <c r="A14" s="15">
        <v>2</v>
      </c>
      <c r="B14" s="50" t="s">
        <v>6</v>
      </c>
      <c r="C14" s="50"/>
      <c r="D14" s="50"/>
      <c r="E14" s="50"/>
      <c r="F14" s="15">
        <f>SUM(F15:F16)</f>
        <v>2</v>
      </c>
      <c r="G14" s="16"/>
      <c r="H14" s="16"/>
      <c r="I14" s="16"/>
      <c r="J14" s="15">
        <f t="shared" ref="J14:P14" si="7">SUM(J15:J16)</f>
        <v>2.5</v>
      </c>
      <c r="K14" s="15">
        <f t="shared" si="7"/>
        <v>2</v>
      </c>
      <c r="L14" s="15">
        <f t="shared" si="7"/>
        <v>2.5</v>
      </c>
      <c r="M14" s="15">
        <f t="shared" si="7"/>
        <v>1.5</v>
      </c>
      <c r="N14" s="15">
        <f t="shared" si="7"/>
        <v>1.875</v>
      </c>
      <c r="O14" s="15">
        <f t="shared" si="7"/>
        <v>2</v>
      </c>
      <c r="P14" s="15">
        <f t="shared" si="7"/>
        <v>2.5</v>
      </c>
    </row>
    <row r="15" spans="1:17" ht="52" x14ac:dyDescent="0.35">
      <c r="A15" s="10"/>
      <c r="B15" s="21" t="s">
        <v>66</v>
      </c>
      <c r="C15" s="21" t="s">
        <v>27</v>
      </c>
      <c r="D15" s="21" t="s">
        <v>67</v>
      </c>
      <c r="E15" s="21" t="s">
        <v>68</v>
      </c>
      <c r="F15" s="21">
        <v>1</v>
      </c>
      <c r="G15" s="10" t="s">
        <v>31</v>
      </c>
      <c r="H15" s="10">
        <f>IF(G15="Khó và phức tạp",200,IF(G15="Cao",150,IF(G15="Trungbình",120,100)))</f>
        <v>150</v>
      </c>
      <c r="I15" s="10">
        <f>H15*0.01</f>
        <v>1.5</v>
      </c>
      <c r="J15" s="10">
        <f>F15*I15</f>
        <v>1.5</v>
      </c>
      <c r="K15" s="11">
        <f>F15*100%</f>
        <v>1</v>
      </c>
      <c r="L15" s="17">
        <f t="shared" ref="L15:L16" si="8">K15*I15</f>
        <v>1.5</v>
      </c>
      <c r="M15" s="11">
        <f>K15*75%</f>
        <v>0.75</v>
      </c>
      <c r="N15" s="17">
        <f>I15*M15</f>
        <v>1.125</v>
      </c>
      <c r="O15" s="11">
        <f>K15*100%</f>
        <v>1</v>
      </c>
      <c r="P15" s="17">
        <f>I15*O15</f>
        <v>1.5</v>
      </c>
    </row>
    <row r="16" spans="1:17" ht="52" x14ac:dyDescent="0.35">
      <c r="A16" s="10"/>
      <c r="B16" s="21" t="s">
        <v>69</v>
      </c>
      <c r="C16" s="21" t="s">
        <v>27</v>
      </c>
      <c r="D16" s="21" t="s">
        <v>70</v>
      </c>
      <c r="E16" s="21" t="s">
        <v>71</v>
      </c>
      <c r="F16" s="21">
        <v>1</v>
      </c>
      <c r="G16" s="10" t="s">
        <v>30</v>
      </c>
      <c r="H16" s="10">
        <f>IF(G16="Khó và phức tạp",200,IF(G16="Cao",150,IF(G16="Trungbình",120,100)))</f>
        <v>100</v>
      </c>
      <c r="I16" s="10">
        <f>H16*0.01</f>
        <v>1</v>
      </c>
      <c r="J16" s="10">
        <f>F16*I16</f>
        <v>1</v>
      </c>
      <c r="K16" s="11">
        <f>F16*100%</f>
        <v>1</v>
      </c>
      <c r="L16" s="17">
        <f t="shared" si="8"/>
        <v>1</v>
      </c>
      <c r="M16" s="11">
        <f>K16*75%</f>
        <v>0.75</v>
      </c>
      <c r="N16" s="17">
        <f>I16*M16</f>
        <v>0.75</v>
      </c>
      <c r="O16" s="11">
        <f>K16*100%</f>
        <v>1</v>
      </c>
      <c r="P16" s="17">
        <f>I16*O16</f>
        <v>1</v>
      </c>
    </row>
    <row r="17" spans="1:16" ht="15" x14ac:dyDescent="0.35">
      <c r="A17" s="15">
        <v>3</v>
      </c>
      <c r="B17" s="50" t="s">
        <v>7</v>
      </c>
      <c r="C17" s="50"/>
      <c r="D17" s="50"/>
      <c r="E17" s="50"/>
      <c r="F17" s="15">
        <f>SUM(F18:F19)</f>
        <v>3</v>
      </c>
      <c r="G17" s="16"/>
      <c r="H17" s="16"/>
      <c r="I17" s="16"/>
      <c r="J17" s="15">
        <f t="shared" ref="J17:P17" si="9">SUM(J18:J19)</f>
        <v>4.5</v>
      </c>
      <c r="K17" s="15">
        <f t="shared" si="9"/>
        <v>3</v>
      </c>
      <c r="L17" s="15">
        <f t="shared" si="9"/>
        <v>4.5</v>
      </c>
      <c r="M17" s="15">
        <f t="shared" si="9"/>
        <v>2.25</v>
      </c>
      <c r="N17" s="15">
        <f t="shared" si="9"/>
        <v>3.375</v>
      </c>
      <c r="O17" s="15">
        <f t="shared" si="9"/>
        <v>3</v>
      </c>
      <c r="P17" s="15">
        <f t="shared" si="9"/>
        <v>4.5</v>
      </c>
    </row>
    <row r="18" spans="1:16" ht="65" x14ac:dyDescent="0.35">
      <c r="A18" s="10"/>
      <c r="B18" s="21" t="s">
        <v>72</v>
      </c>
      <c r="C18" s="21" t="s">
        <v>27</v>
      </c>
      <c r="D18" s="21" t="s">
        <v>60</v>
      </c>
      <c r="E18" s="21" t="s">
        <v>73</v>
      </c>
      <c r="F18" s="21">
        <v>2</v>
      </c>
      <c r="G18" s="22" t="s">
        <v>31</v>
      </c>
      <c r="H18" s="10">
        <f>IF(G18="Khó và phức tạp",200,IF(G18="Cao",150,IF(G18="Trungbình",120,100)))</f>
        <v>150</v>
      </c>
      <c r="I18" s="10">
        <f>H18*0.01</f>
        <v>1.5</v>
      </c>
      <c r="J18" s="10">
        <f>F18*I18</f>
        <v>3</v>
      </c>
      <c r="K18" s="11">
        <f>F18*100%</f>
        <v>2</v>
      </c>
      <c r="L18" s="17">
        <f t="shared" ref="L18:L19" si="10">K18*I18</f>
        <v>3</v>
      </c>
      <c r="M18" s="11">
        <f>K18*75%</f>
        <v>1.5</v>
      </c>
      <c r="N18" s="17">
        <f>I18*M18</f>
        <v>2.25</v>
      </c>
      <c r="O18" s="11">
        <f>K18*100%</f>
        <v>2</v>
      </c>
      <c r="P18" s="17">
        <f>I18*O18</f>
        <v>3</v>
      </c>
    </row>
    <row r="19" spans="1:16" ht="52" x14ac:dyDescent="0.35">
      <c r="A19" s="10"/>
      <c r="B19" s="21" t="s">
        <v>74</v>
      </c>
      <c r="C19" s="21" t="s">
        <v>27</v>
      </c>
      <c r="D19" s="21" t="s">
        <v>60</v>
      </c>
      <c r="E19" s="21" t="s">
        <v>75</v>
      </c>
      <c r="F19" s="21">
        <v>1</v>
      </c>
      <c r="G19" s="22" t="s">
        <v>31</v>
      </c>
      <c r="H19" s="10">
        <f>IF(G19="Khó và phức tạp",200,IF(G19="Cao",150,IF(G19="Trungbình",120,100)))</f>
        <v>150</v>
      </c>
      <c r="I19" s="10">
        <f>H19*0.01</f>
        <v>1.5</v>
      </c>
      <c r="J19" s="10">
        <f>F19*I19</f>
        <v>1.5</v>
      </c>
      <c r="K19" s="11">
        <f>F19*100%</f>
        <v>1</v>
      </c>
      <c r="L19" s="17">
        <f t="shared" si="10"/>
        <v>1.5</v>
      </c>
      <c r="M19" s="11">
        <f>K19*75%</f>
        <v>0.75</v>
      </c>
      <c r="N19" s="17">
        <f>I19*M19</f>
        <v>1.125</v>
      </c>
      <c r="O19" s="11">
        <f>K19*100%</f>
        <v>1</v>
      </c>
      <c r="P19" s="17">
        <f>I19*O19</f>
        <v>1.5</v>
      </c>
    </row>
    <row r="20" spans="1:16" ht="15" x14ac:dyDescent="0.35">
      <c r="A20" s="15">
        <v>4</v>
      </c>
      <c r="B20" s="51" t="s">
        <v>8</v>
      </c>
      <c r="C20" s="51"/>
      <c r="D20" s="51"/>
      <c r="E20" s="51"/>
      <c r="F20" s="15">
        <f>SUM(F21:F23)</f>
        <v>3</v>
      </c>
      <c r="G20" s="16"/>
      <c r="H20" s="16"/>
      <c r="I20" s="16"/>
      <c r="J20" s="15">
        <f>SUM(J21:J23)</f>
        <v>4</v>
      </c>
      <c r="K20" s="15">
        <f>SUM(K21:K23)</f>
        <v>3</v>
      </c>
      <c r="L20" s="15">
        <f>SUM(L21:L23)</f>
        <v>4</v>
      </c>
      <c r="M20" s="15">
        <f>SUM(M21:M23)</f>
        <v>2.25</v>
      </c>
      <c r="N20" s="15">
        <f>SUM(N21:N23)</f>
        <v>3</v>
      </c>
      <c r="O20" s="15">
        <f>SUM(O21:O23)</f>
        <v>3</v>
      </c>
      <c r="P20" s="15">
        <f>SUM(P21:P23)</f>
        <v>4</v>
      </c>
    </row>
    <row r="21" spans="1:16" ht="65" x14ac:dyDescent="0.35">
      <c r="A21" s="10"/>
      <c r="B21" s="21" t="s">
        <v>76</v>
      </c>
      <c r="C21" s="21" t="s">
        <v>27</v>
      </c>
      <c r="D21" s="21" t="s">
        <v>60</v>
      </c>
      <c r="E21" s="21" t="s">
        <v>77</v>
      </c>
      <c r="F21" s="21">
        <v>1</v>
      </c>
      <c r="G21" s="22" t="s">
        <v>31</v>
      </c>
      <c r="H21" s="10">
        <f t="shared" ref="H21:H23" si="11">IF(G21="Khó và phức tạp",200,IF(G21="Cao",150,IF(G21="Trungbình",120,100)))</f>
        <v>150</v>
      </c>
      <c r="I21" s="10">
        <f t="shared" ref="I21:I23" si="12">H21*0.01</f>
        <v>1.5</v>
      </c>
      <c r="J21" s="10">
        <f>F21*I21</f>
        <v>1.5</v>
      </c>
      <c r="K21" s="11">
        <f>F21*100%</f>
        <v>1</v>
      </c>
      <c r="L21" s="17">
        <f t="shared" ref="L21:L23" si="13">K21*I21</f>
        <v>1.5</v>
      </c>
      <c r="M21" s="11">
        <f>K21*75%</f>
        <v>0.75</v>
      </c>
      <c r="N21" s="17">
        <f>I21*M21</f>
        <v>1.125</v>
      </c>
      <c r="O21" s="11">
        <f>K21*100%</f>
        <v>1</v>
      </c>
      <c r="P21" s="17">
        <f>I21*O21</f>
        <v>1.5</v>
      </c>
    </row>
    <row r="22" spans="1:16" ht="78" x14ac:dyDescent="0.35">
      <c r="A22" s="10"/>
      <c r="B22" s="21" t="s">
        <v>78</v>
      </c>
      <c r="C22" s="21" t="s">
        <v>27</v>
      </c>
      <c r="D22" s="21" t="s">
        <v>60</v>
      </c>
      <c r="E22" s="21" t="s">
        <v>79</v>
      </c>
      <c r="F22" s="21">
        <v>1</v>
      </c>
      <c r="G22" s="22" t="s">
        <v>30</v>
      </c>
      <c r="H22" s="10">
        <f t="shared" si="11"/>
        <v>100</v>
      </c>
      <c r="I22" s="10">
        <f t="shared" si="12"/>
        <v>1</v>
      </c>
      <c r="J22" s="10">
        <f>F22*I22</f>
        <v>1</v>
      </c>
      <c r="K22" s="11">
        <f>F22*100%</f>
        <v>1</v>
      </c>
      <c r="L22" s="17">
        <f t="shared" si="13"/>
        <v>1</v>
      </c>
      <c r="M22" s="11">
        <f>K22*75%</f>
        <v>0.75</v>
      </c>
      <c r="N22" s="17">
        <f>I22*M22</f>
        <v>0.75</v>
      </c>
      <c r="O22" s="11">
        <f>K22*100%</f>
        <v>1</v>
      </c>
      <c r="P22" s="17">
        <f>I22*O22</f>
        <v>1</v>
      </c>
    </row>
    <row r="23" spans="1:16" ht="52" x14ac:dyDescent="0.35">
      <c r="A23" s="10"/>
      <c r="B23" s="21" t="s">
        <v>80</v>
      </c>
      <c r="C23" s="21" t="s">
        <v>27</v>
      </c>
      <c r="D23" s="21" t="s">
        <v>60</v>
      </c>
      <c r="E23" s="21" t="s">
        <v>81</v>
      </c>
      <c r="F23" s="21">
        <v>1</v>
      </c>
      <c r="G23" s="22" t="s">
        <v>31</v>
      </c>
      <c r="H23" s="10">
        <f t="shared" si="11"/>
        <v>150</v>
      </c>
      <c r="I23" s="10">
        <f t="shared" si="12"/>
        <v>1.5</v>
      </c>
      <c r="J23" s="10">
        <f>F23*I23</f>
        <v>1.5</v>
      </c>
      <c r="K23" s="11">
        <f>F23*100%</f>
        <v>1</v>
      </c>
      <c r="L23" s="17">
        <f t="shared" si="13"/>
        <v>1.5</v>
      </c>
      <c r="M23" s="11">
        <f>K23*75%</f>
        <v>0.75</v>
      </c>
      <c r="N23" s="17">
        <f>I23*M23</f>
        <v>1.125</v>
      </c>
      <c r="O23" s="11">
        <f>K23*100%</f>
        <v>1</v>
      </c>
      <c r="P23" s="17">
        <f>I23*O23</f>
        <v>1.5</v>
      </c>
    </row>
    <row r="24" spans="1:16" ht="15" x14ac:dyDescent="0.35">
      <c r="A24" s="15">
        <v>5</v>
      </c>
      <c r="B24" s="50" t="s">
        <v>9</v>
      </c>
      <c r="C24" s="50"/>
      <c r="D24" s="50"/>
      <c r="E24" s="50"/>
      <c r="F24" s="15">
        <f>SUM(F25:F30)</f>
        <v>6</v>
      </c>
      <c r="G24" s="16"/>
      <c r="H24" s="16"/>
      <c r="I24" s="16"/>
      <c r="J24" s="15">
        <f t="shared" ref="J24:P24" si="14">SUM(J25:J30)</f>
        <v>8.5</v>
      </c>
      <c r="K24" s="15">
        <f t="shared" si="14"/>
        <v>6</v>
      </c>
      <c r="L24" s="15">
        <f t="shared" si="14"/>
        <v>8.5</v>
      </c>
      <c r="M24" s="15">
        <f t="shared" si="14"/>
        <v>4.5</v>
      </c>
      <c r="N24" s="15">
        <f t="shared" si="14"/>
        <v>6.375</v>
      </c>
      <c r="O24" s="15">
        <f t="shared" si="14"/>
        <v>6</v>
      </c>
      <c r="P24" s="15">
        <f t="shared" si="14"/>
        <v>8.5</v>
      </c>
    </row>
    <row r="25" spans="1:16" ht="52" x14ac:dyDescent="0.35">
      <c r="A25" s="22" t="s">
        <v>82</v>
      </c>
      <c r="B25" s="21" t="s">
        <v>88</v>
      </c>
      <c r="C25" s="21" t="s">
        <v>27</v>
      </c>
      <c r="D25" s="21" t="s">
        <v>60</v>
      </c>
      <c r="E25" s="21" t="s">
        <v>89</v>
      </c>
      <c r="F25" s="22">
        <v>1</v>
      </c>
      <c r="G25" s="22" t="s">
        <v>31</v>
      </c>
      <c r="H25" s="10">
        <f t="shared" ref="H25:H30" si="15">IF(G25="Khó và phức tạp",200,IF(G25="Cao",150,IF(G25="Trungbình",120,100)))</f>
        <v>150</v>
      </c>
      <c r="I25" s="10">
        <f t="shared" ref="I25:I30" si="16">H25*0.01</f>
        <v>1.5</v>
      </c>
      <c r="J25" s="10">
        <f t="shared" ref="J25:J30" si="17">F25*I25</f>
        <v>1.5</v>
      </c>
      <c r="K25" s="11">
        <f t="shared" ref="K25:K30" si="18">F25*100%</f>
        <v>1</v>
      </c>
      <c r="L25" s="17">
        <f t="shared" ref="L25:L30" si="19">K25*I25</f>
        <v>1.5</v>
      </c>
      <c r="M25" s="11">
        <f t="shared" ref="M25:M30" si="20">K25*75%</f>
        <v>0.75</v>
      </c>
      <c r="N25" s="17">
        <f t="shared" ref="N25:N30" si="21">I25*M25</f>
        <v>1.125</v>
      </c>
      <c r="O25" s="11">
        <f t="shared" ref="O25:O30" si="22">K25*100%</f>
        <v>1</v>
      </c>
      <c r="P25" s="17">
        <f t="shared" ref="P25:P30" si="23">I25*O25</f>
        <v>1.5</v>
      </c>
    </row>
    <row r="26" spans="1:16" ht="52" x14ac:dyDescent="0.35">
      <c r="A26" s="22" t="s">
        <v>83</v>
      </c>
      <c r="B26" s="21" t="s">
        <v>90</v>
      </c>
      <c r="C26" s="21" t="s">
        <v>27</v>
      </c>
      <c r="D26" s="21" t="s">
        <v>60</v>
      </c>
      <c r="E26" s="21" t="s">
        <v>91</v>
      </c>
      <c r="F26" s="22">
        <v>1</v>
      </c>
      <c r="G26" s="22" t="s">
        <v>31</v>
      </c>
      <c r="H26" s="10">
        <f t="shared" si="15"/>
        <v>150</v>
      </c>
      <c r="I26" s="10">
        <f t="shared" si="16"/>
        <v>1.5</v>
      </c>
      <c r="J26" s="10">
        <f t="shared" si="17"/>
        <v>1.5</v>
      </c>
      <c r="K26" s="11">
        <f t="shared" si="18"/>
        <v>1</v>
      </c>
      <c r="L26" s="17">
        <f t="shared" si="19"/>
        <v>1.5</v>
      </c>
      <c r="M26" s="11">
        <f t="shared" si="20"/>
        <v>0.75</v>
      </c>
      <c r="N26" s="17">
        <f t="shared" si="21"/>
        <v>1.125</v>
      </c>
      <c r="O26" s="11">
        <f t="shared" si="22"/>
        <v>1</v>
      </c>
      <c r="P26" s="17">
        <f t="shared" si="23"/>
        <v>1.5</v>
      </c>
    </row>
    <row r="27" spans="1:16" ht="52" x14ac:dyDescent="0.35">
      <c r="A27" s="22" t="s">
        <v>84</v>
      </c>
      <c r="B27" s="21" t="s">
        <v>92</v>
      </c>
      <c r="C27" s="21" t="s">
        <v>27</v>
      </c>
      <c r="D27" s="21" t="s">
        <v>60</v>
      </c>
      <c r="E27" s="21" t="s">
        <v>93</v>
      </c>
      <c r="F27" s="22">
        <v>1</v>
      </c>
      <c r="G27" s="22" t="s">
        <v>30</v>
      </c>
      <c r="H27" s="10">
        <f t="shared" si="15"/>
        <v>100</v>
      </c>
      <c r="I27" s="10">
        <f t="shared" si="16"/>
        <v>1</v>
      </c>
      <c r="J27" s="10">
        <f t="shared" si="17"/>
        <v>1</v>
      </c>
      <c r="K27" s="11">
        <f t="shared" si="18"/>
        <v>1</v>
      </c>
      <c r="L27" s="17">
        <f t="shared" si="19"/>
        <v>1</v>
      </c>
      <c r="M27" s="11">
        <f t="shared" si="20"/>
        <v>0.75</v>
      </c>
      <c r="N27" s="17">
        <f t="shared" si="21"/>
        <v>0.75</v>
      </c>
      <c r="O27" s="11">
        <f t="shared" si="22"/>
        <v>1</v>
      </c>
      <c r="P27" s="17">
        <f t="shared" si="23"/>
        <v>1</v>
      </c>
    </row>
    <row r="28" spans="1:16" ht="52" x14ac:dyDescent="0.35">
      <c r="A28" s="22" t="s">
        <v>85</v>
      </c>
      <c r="B28" s="21" t="s">
        <v>94</v>
      </c>
      <c r="C28" s="21" t="s">
        <v>27</v>
      </c>
      <c r="D28" s="21" t="s">
        <v>60</v>
      </c>
      <c r="E28" s="21" t="s">
        <v>95</v>
      </c>
      <c r="F28" s="22">
        <v>1</v>
      </c>
      <c r="G28" s="22" t="s">
        <v>31</v>
      </c>
      <c r="H28" s="10">
        <f t="shared" si="15"/>
        <v>150</v>
      </c>
      <c r="I28" s="10">
        <f t="shared" si="16"/>
        <v>1.5</v>
      </c>
      <c r="J28" s="10">
        <f t="shared" si="17"/>
        <v>1.5</v>
      </c>
      <c r="K28" s="11">
        <f t="shared" si="18"/>
        <v>1</v>
      </c>
      <c r="L28" s="17">
        <f t="shared" si="19"/>
        <v>1.5</v>
      </c>
      <c r="M28" s="11">
        <f t="shared" si="20"/>
        <v>0.75</v>
      </c>
      <c r="N28" s="17">
        <f t="shared" si="21"/>
        <v>1.125</v>
      </c>
      <c r="O28" s="11">
        <f t="shared" si="22"/>
        <v>1</v>
      </c>
      <c r="P28" s="17">
        <f t="shared" si="23"/>
        <v>1.5</v>
      </c>
    </row>
    <row r="29" spans="1:16" ht="52" x14ac:dyDescent="0.35">
      <c r="A29" s="22" t="s">
        <v>86</v>
      </c>
      <c r="B29" s="21" t="s">
        <v>96</v>
      </c>
      <c r="C29" s="21" t="s">
        <v>27</v>
      </c>
      <c r="D29" s="21" t="s">
        <v>60</v>
      </c>
      <c r="E29" s="21" t="s">
        <v>97</v>
      </c>
      <c r="F29" s="22">
        <v>1</v>
      </c>
      <c r="G29" s="22" t="s">
        <v>30</v>
      </c>
      <c r="H29" s="10">
        <f t="shared" si="15"/>
        <v>100</v>
      </c>
      <c r="I29" s="10">
        <f t="shared" si="16"/>
        <v>1</v>
      </c>
      <c r="J29" s="10">
        <f t="shared" si="17"/>
        <v>1</v>
      </c>
      <c r="K29" s="11">
        <f t="shared" si="18"/>
        <v>1</v>
      </c>
      <c r="L29" s="17">
        <f t="shared" si="19"/>
        <v>1</v>
      </c>
      <c r="M29" s="11">
        <f t="shared" si="20"/>
        <v>0.75</v>
      </c>
      <c r="N29" s="17">
        <f t="shared" si="21"/>
        <v>0.75</v>
      </c>
      <c r="O29" s="11">
        <f t="shared" si="22"/>
        <v>1</v>
      </c>
      <c r="P29" s="17">
        <f t="shared" si="23"/>
        <v>1</v>
      </c>
    </row>
    <row r="30" spans="1:16" ht="52" x14ac:dyDescent="0.35">
      <c r="A30" s="22" t="s">
        <v>87</v>
      </c>
      <c r="B30" s="21" t="s">
        <v>98</v>
      </c>
      <c r="C30" s="21" t="s">
        <v>27</v>
      </c>
      <c r="D30" s="21" t="s">
        <v>99</v>
      </c>
      <c r="E30" s="21" t="s">
        <v>100</v>
      </c>
      <c r="F30" s="22">
        <v>1</v>
      </c>
      <c r="G30" s="22" t="s">
        <v>32</v>
      </c>
      <c r="H30" s="10">
        <f t="shared" si="15"/>
        <v>200</v>
      </c>
      <c r="I30" s="10">
        <f t="shared" si="16"/>
        <v>2</v>
      </c>
      <c r="J30" s="10">
        <f t="shared" si="17"/>
        <v>2</v>
      </c>
      <c r="K30" s="11">
        <f t="shared" si="18"/>
        <v>1</v>
      </c>
      <c r="L30" s="17">
        <f t="shared" si="19"/>
        <v>2</v>
      </c>
      <c r="M30" s="11">
        <f t="shared" si="20"/>
        <v>0.75</v>
      </c>
      <c r="N30" s="17">
        <f t="shared" si="21"/>
        <v>1.5</v>
      </c>
      <c r="O30" s="11">
        <f t="shared" si="22"/>
        <v>1</v>
      </c>
      <c r="P30" s="17">
        <f t="shared" si="23"/>
        <v>2</v>
      </c>
    </row>
    <row r="31" spans="1:16" ht="15" x14ac:dyDescent="0.35">
      <c r="A31" s="15">
        <v>6</v>
      </c>
      <c r="B31" s="46" t="s">
        <v>10</v>
      </c>
      <c r="C31" s="47"/>
      <c r="D31" s="47"/>
      <c r="E31" s="47"/>
      <c r="F31" s="15">
        <f>SUM(F32:F33)</f>
        <v>2</v>
      </c>
      <c r="G31" s="16"/>
      <c r="H31" s="16"/>
      <c r="I31" s="16"/>
      <c r="J31" s="15">
        <f t="shared" ref="J31:P31" si="24">SUM(J32:J33)</f>
        <v>2</v>
      </c>
      <c r="K31" s="15">
        <f t="shared" si="24"/>
        <v>2</v>
      </c>
      <c r="L31" s="15">
        <f t="shared" si="24"/>
        <v>2</v>
      </c>
      <c r="M31" s="15">
        <f t="shared" si="24"/>
        <v>1.5</v>
      </c>
      <c r="N31" s="15">
        <f t="shared" si="24"/>
        <v>1.5</v>
      </c>
      <c r="O31" s="15">
        <f t="shared" si="24"/>
        <v>2</v>
      </c>
      <c r="P31" s="15">
        <f t="shared" si="24"/>
        <v>2</v>
      </c>
    </row>
    <row r="32" spans="1:16" ht="52" x14ac:dyDescent="0.35">
      <c r="A32" s="10"/>
      <c r="B32" s="21" t="s">
        <v>101</v>
      </c>
      <c r="C32" s="21" t="s">
        <v>27</v>
      </c>
      <c r="D32" s="21" t="s">
        <v>60</v>
      </c>
      <c r="E32" s="21" t="s">
        <v>102</v>
      </c>
      <c r="F32" s="22">
        <v>1</v>
      </c>
      <c r="G32" s="22" t="s">
        <v>30</v>
      </c>
      <c r="H32" s="10">
        <f>IF(G32="Khó và phức tạp",200,IF(G32="Cao",150,IF(G32="Trungbình",120,100)))</f>
        <v>100</v>
      </c>
      <c r="I32" s="10">
        <f>H32*0.01</f>
        <v>1</v>
      </c>
      <c r="J32" s="10">
        <f t="shared" ref="J32:J33" si="25">F32*I32</f>
        <v>1</v>
      </c>
      <c r="K32" s="11">
        <f t="shared" ref="K32:K33" si="26">F32*100%</f>
        <v>1</v>
      </c>
      <c r="L32" s="17">
        <f t="shared" ref="L32:L33" si="27">K32*I32</f>
        <v>1</v>
      </c>
      <c r="M32" s="11">
        <f t="shared" ref="M32:M33" si="28">K32*75%</f>
        <v>0.75</v>
      </c>
      <c r="N32" s="17">
        <f t="shared" ref="N32:N33" si="29">I32*M32</f>
        <v>0.75</v>
      </c>
      <c r="O32" s="11">
        <f t="shared" ref="O32:O33" si="30">K32*100%</f>
        <v>1</v>
      </c>
      <c r="P32" s="17">
        <f t="shared" ref="P32:P33" si="31">I32*O32</f>
        <v>1</v>
      </c>
    </row>
    <row r="33" spans="1:16" ht="65" x14ac:dyDescent="0.35">
      <c r="A33" s="10"/>
      <c r="B33" s="21" t="s">
        <v>103</v>
      </c>
      <c r="C33" s="21" t="s">
        <v>27</v>
      </c>
      <c r="D33" s="21" t="s">
        <v>104</v>
      </c>
      <c r="E33" s="21" t="s">
        <v>105</v>
      </c>
      <c r="F33" s="22">
        <v>1</v>
      </c>
      <c r="G33" s="22" t="s">
        <v>30</v>
      </c>
      <c r="H33" s="10">
        <f>IF(G33="Khó và phức tạp",200,IF(G33="Cao",150,IF(G33="Trungbình",120,100)))</f>
        <v>100</v>
      </c>
      <c r="I33" s="10">
        <f>H33*0.01</f>
        <v>1</v>
      </c>
      <c r="J33" s="10">
        <f t="shared" si="25"/>
        <v>1</v>
      </c>
      <c r="K33" s="11">
        <f t="shared" si="26"/>
        <v>1</v>
      </c>
      <c r="L33" s="17">
        <f t="shared" si="27"/>
        <v>1</v>
      </c>
      <c r="M33" s="11">
        <f t="shared" si="28"/>
        <v>0.75</v>
      </c>
      <c r="N33" s="17">
        <f t="shared" si="29"/>
        <v>0.75</v>
      </c>
      <c r="O33" s="11">
        <f t="shared" si="30"/>
        <v>1</v>
      </c>
      <c r="P33" s="17">
        <f t="shared" si="31"/>
        <v>1</v>
      </c>
    </row>
    <row r="34" spans="1:16" ht="15" x14ac:dyDescent="0.35">
      <c r="A34" s="15" t="s">
        <v>11</v>
      </c>
      <c r="B34" s="48" t="s">
        <v>28</v>
      </c>
      <c r="C34" s="49"/>
      <c r="D34" s="49"/>
      <c r="E34" s="49"/>
      <c r="F34" s="15">
        <f>SUM(F35:F35)</f>
        <v>0</v>
      </c>
      <c r="G34" s="16"/>
      <c r="H34" s="16"/>
      <c r="I34" s="16"/>
      <c r="J34" s="15">
        <f>SUM(J35:J35)</f>
        <v>0</v>
      </c>
      <c r="K34" s="15">
        <f>SUM(K35:K35)</f>
        <v>0</v>
      </c>
      <c r="L34" s="15">
        <f>SUM(L35:L35)</f>
        <v>0</v>
      </c>
      <c r="M34" s="15">
        <f>SUM(M35:M35)</f>
        <v>0</v>
      </c>
      <c r="N34" s="15">
        <f>SUM(N35:N35)</f>
        <v>0</v>
      </c>
      <c r="O34" s="15">
        <f>SUM(O35:O35)</f>
        <v>0</v>
      </c>
      <c r="P34" s="15">
        <f>SUM(P35:P35)</f>
        <v>0</v>
      </c>
    </row>
    <row r="35" spans="1:16" ht="31" x14ac:dyDescent="0.35">
      <c r="A35" s="10">
        <v>1</v>
      </c>
      <c r="B35" s="10" t="s">
        <v>109</v>
      </c>
      <c r="C35" s="10"/>
      <c r="D35" s="10"/>
      <c r="E35" s="10"/>
      <c r="F35" s="10"/>
      <c r="G35" s="10" t="s">
        <v>32</v>
      </c>
      <c r="H35" s="10">
        <f>IF(G35="Khó và phức tạp",200,IF(G35="Cao",150,IF(G35="Trungbình",120,100)))</f>
        <v>200</v>
      </c>
      <c r="I35" s="10">
        <f>H35*0.01</f>
        <v>2</v>
      </c>
      <c r="J35" s="10">
        <f t="shared" ref="J35" si="32">F35*I35</f>
        <v>0</v>
      </c>
      <c r="K35" s="11">
        <f t="shared" ref="K35" si="33">F35*100%</f>
        <v>0</v>
      </c>
      <c r="L35" s="17">
        <f t="shared" ref="L35" si="34">K35*I35</f>
        <v>0</v>
      </c>
      <c r="M35" s="11">
        <f t="shared" ref="M35" si="35">K35*75%</f>
        <v>0</v>
      </c>
      <c r="N35" s="17">
        <f t="shared" ref="N35" si="36">I35*M35</f>
        <v>0</v>
      </c>
      <c r="O35" s="11">
        <f t="shared" ref="O35" si="37">K35*100%</f>
        <v>0</v>
      </c>
      <c r="P35" s="17">
        <f t="shared" ref="P35" si="38">I35*O35</f>
        <v>0</v>
      </c>
    </row>
    <row r="36" spans="1:16" s="2" customFormat="1" ht="15.5" x14ac:dyDescent="0.35">
      <c r="B36" s="33"/>
      <c r="C36" s="33"/>
      <c r="D36" s="33"/>
      <c r="E36" s="33"/>
      <c r="F36" s="33"/>
      <c r="G36" s="33"/>
      <c r="H36" s="33"/>
      <c r="I36" s="33"/>
      <c r="J36" s="33"/>
      <c r="K36" s="33"/>
      <c r="L36" s="33"/>
      <c r="M36" s="33"/>
      <c r="N36" s="33"/>
      <c r="O36" s="33"/>
      <c r="P36" s="33"/>
    </row>
    <row r="37" spans="1:16" s="3" customFormat="1" ht="131.25" customHeight="1" x14ac:dyDescent="0.35">
      <c r="A37" s="27" t="s">
        <v>108</v>
      </c>
      <c r="B37" s="27"/>
      <c r="C37" s="27"/>
      <c r="D37" s="12"/>
      <c r="G37" s="25" t="s">
        <v>107</v>
      </c>
      <c r="H37" s="25"/>
      <c r="I37" s="25"/>
      <c r="J37" s="25"/>
      <c r="K37" s="25"/>
      <c r="L37" s="26"/>
      <c r="M37" s="26"/>
      <c r="N37" s="26"/>
      <c r="O37" s="26"/>
      <c r="P37" s="26"/>
    </row>
    <row r="38" spans="1:16" ht="32.5" customHeight="1" x14ac:dyDescent="0.35">
      <c r="F38"/>
      <c r="G38" s="23" t="s">
        <v>106</v>
      </c>
      <c r="H38" s="24"/>
      <c r="I38" s="24"/>
      <c r="J38" s="24"/>
      <c r="K38" s="24"/>
      <c r="L38" s="24"/>
      <c r="M38" s="24"/>
      <c r="N38" s="24"/>
      <c r="O38" s="24"/>
      <c r="P38" s="24"/>
    </row>
  </sheetData>
  <mergeCells count="31">
    <mergeCell ref="B20:E20"/>
    <mergeCell ref="B17:E17"/>
    <mergeCell ref="B24:E24"/>
    <mergeCell ref="A3:P3"/>
    <mergeCell ref="H5:H6"/>
    <mergeCell ref="G1:P1"/>
    <mergeCell ref="G2:P2"/>
    <mergeCell ref="K5:L5"/>
    <mergeCell ref="M5:N5"/>
    <mergeCell ref="O5:P5"/>
    <mergeCell ref="A4:P4"/>
    <mergeCell ref="I5:I6"/>
    <mergeCell ref="J5:J6"/>
    <mergeCell ref="A1:D1"/>
    <mergeCell ref="A2:D2"/>
    <mergeCell ref="G38:P38"/>
    <mergeCell ref="G37:P37"/>
    <mergeCell ref="A37:C37"/>
    <mergeCell ref="F5:F6"/>
    <mergeCell ref="G5:G6"/>
    <mergeCell ref="A5:A6"/>
    <mergeCell ref="B5:B6"/>
    <mergeCell ref="C5:C6"/>
    <mergeCell ref="D5:D6"/>
    <mergeCell ref="E5:E6"/>
    <mergeCell ref="B8:P8"/>
    <mergeCell ref="B36:P36"/>
    <mergeCell ref="B31:E31"/>
    <mergeCell ref="B34:E34"/>
    <mergeCell ref="B9:E9"/>
    <mergeCell ref="B14:E14"/>
  </mergeCells>
  <conditionalFormatting sqref="C10:C13">
    <cfRule type="dataBar" priority="11">
      <dataBar>
        <cfvo type="min"/>
        <cfvo type="max"/>
        <color rgb="FF638EC6"/>
      </dataBar>
      <extLst>
        <ext xmlns:x14="http://schemas.microsoft.com/office/spreadsheetml/2009/9/main" uri="{B025F937-C7B1-47D3-B67F-A62EFF666E3E}">
          <x14:id>{503E23DC-A883-4E4A-9CEB-0585580125FE}</x14:id>
        </ext>
      </extLst>
    </cfRule>
  </conditionalFormatting>
  <conditionalFormatting sqref="C15:C16">
    <cfRule type="dataBar" priority="9">
      <dataBar>
        <cfvo type="min"/>
        <cfvo type="max"/>
        <color rgb="FF638EC6"/>
      </dataBar>
      <extLst>
        <ext xmlns:x14="http://schemas.microsoft.com/office/spreadsheetml/2009/9/main" uri="{B025F937-C7B1-47D3-B67F-A62EFF666E3E}">
          <x14:id>{CBD7B373-A4C1-41FB-A25C-F14BF1ED705A}</x14:id>
        </ext>
      </extLst>
    </cfRule>
  </conditionalFormatting>
  <conditionalFormatting sqref="C18">
    <cfRule type="dataBar" priority="8">
      <dataBar>
        <cfvo type="min"/>
        <cfvo type="max"/>
        <color rgb="FF638EC6"/>
      </dataBar>
      <extLst>
        <ext xmlns:x14="http://schemas.microsoft.com/office/spreadsheetml/2009/9/main" uri="{B025F937-C7B1-47D3-B67F-A62EFF666E3E}">
          <x14:id>{053ED826-4A3B-4E29-9CF6-C5C888A31A9A}</x14:id>
        </ext>
      </extLst>
    </cfRule>
  </conditionalFormatting>
  <conditionalFormatting sqref="C19">
    <cfRule type="dataBar" priority="7">
      <dataBar>
        <cfvo type="min"/>
        <cfvo type="max"/>
        <color rgb="FF638EC6"/>
      </dataBar>
      <extLst>
        <ext xmlns:x14="http://schemas.microsoft.com/office/spreadsheetml/2009/9/main" uri="{B025F937-C7B1-47D3-B67F-A62EFF666E3E}">
          <x14:id>{C43A89B3-42DD-4279-AA99-7BDD08DBEF47}</x14:id>
        </ext>
      </extLst>
    </cfRule>
  </conditionalFormatting>
  <conditionalFormatting sqref="C25">
    <cfRule type="dataBar" priority="1">
      <dataBar>
        <cfvo type="min"/>
        <cfvo type="max"/>
        <color rgb="FF638EC6"/>
      </dataBar>
      <extLst>
        <ext xmlns:x14="http://schemas.microsoft.com/office/spreadsheetml/2009/9/main" uri="{B025F937-C7B1-47D3-B67F-A62EFF666E3E}">
          <x14:id>{B2DABE0F-7BA8-442A-B48E-1ECE74F6B597}</x14:id>
        </ext>
      </extLst>
    </cfRule>
  </conditionalFormatting>
  <conditionalFormatting sqref="C26:C30">
    <cfRule type="dataBar" priority="5">
      <dataBar>
        <cfvo type="min"/>
        <cfvo type="max"/>
        <color rgb="FF638EC6"/>
      </dataBar>
      <extLst>
        <ext xmlns:x14="http://schemas.microsoft.com/office/spreadsheetml/2009/9/main" uri="{B025F937-C7B1-47D3-B67F-A62EFF666E3E}">
          <x14:id>{03A9939A-9B3D-4529-BE0E-4E6837550A17}</x14:id>
        </ext>
      </extLst>
    </cfRule>
  </conditionalFormatting>
  <conditionalFormatting sqref="C32:C33">
    <cfRule type="dataBar" priority="4">
      <dataBar>
        <cfvo type="min"/>
        <cfvo type="max"/>
        <color rgb="FF638EC6"/>
      </dataBar>
      <extLst>
        <ext xmlns:x14="http://schemas.microsoft.com/office/spreadsheetml/2009/9/main" uri="{B025F937-C7B1-47D3-B67F-A62EFF666E3E}">
          <x14:id>{7E1987A0-3211-4AC2-801D-3D223C64AEAA}</x14:id>
        </ext>
      </extLst>
    </cfRule>
  </conditionalFormatting>
  <conditionalFormatting sqref="C35">
    <cfRule type="dataBar" priority="12">
      <dataBar>
        <cfvo type="min"/>
        <cfvo type="max"/>
        <color rgb="FF638EC6"/>
      </dataBar>
      <extLst>
        <ext xmlns:x14="http://schemas.microsoft.com/office/spreadsheetml/2009/9/main" uri="{B025F937-C7B1-47D3-B67F-A62EFF666E3E}">
          <x14:id>{2EA7D65E-B8CA-499C-8421-2AC504B81EAC}</x14:id>
        </ext>
      </extLst>
    </cfRule>
  </conditionalFormatting>
  <conditionalFormatting sqref="C21:C23">
    <cfRule type="dataBar" priority="13">
      <dataBar>
        <cfvo type="min"/>
        <cfvo type="max"/>
        <color rgb="FF638EC6"/>
      </dataBar>
      <extLst>
        <ext xmlns:x14="http://schemas.microsoft.com/office/spreadsheetml/2009/9/main" uri="{B025F937-C7B1-47D3-B67F-A62EFF666E3E}">
          <x14:id>{43AE063F-6FBA-4145-8E96-3B15FC0C4DF2}</x14:id>
        </ext>
      </extLst>
    </cfRule>
  </conditionalFormatting>
  <dataValidations count="4">
    <dataValidation type="list" allowBlank="1" showInputMessage="1" sqref="D10:D13 D15:D16 D18:D19 D32:D33 D21:D23 D35 D25:D30" xr:uid="{723BBEA1-CDA5-4E90-B789-0CB64C257373}">
      <formula1>"Phòng QLĐT&amp;BĐCL, Phòng TH-HC&amp;QT, Phòng QLKHCN&amp;HTPT, Phòng TC-KT, Phòng  TCCB&amp;CTHSSV, Khoa Sư phạm, Khoa CKHCB, Khoa KT&amp;NL, Khoa Y – Dược, Khoa ĐT&amp;SHLX, Khoa KT&amp;CN"</formula1>
    </dataValidation>
    <dataValidation type="list" allowBlank="1" showInputMessage="1" sqref="C10:C13 C15:C16 C18:C19 C21:C23 C35 C32:C33 C25:C30" xr:uid="{9D67AEC4-2B59-40A3-9470-A85A768A8BE7}">
      <formula1>"Hiệu trưởng, PHT Nguyễn Trung Hiếu, PHT Huỳnh Văn Chung, PHT Dương Văn Anh Dũng, Bí thư Đảng uỷ, Phó Bí thư Đảng uỷ, Uỷ viên BTV, Chủ tịch Công đoàn, Bí thư ĐTN, Chủ tịch HSV"</formula1>
    </dataValidation>
    <dataValidation type="list" allowBlank="1" showInputMessage="1" sqref="G18:G19 G10:G13 G15:G16 G21:G23 G35 G32:G33 G25:G30" xr:uid="{242DABCC-F988-4BD7-A39A-B18DD09F67B5}">
      <formula1>"Thấp,Trung bình,Cao,Khó và phức tạp"</formula1>
    </dataValidation>
    <dataValidation allowBlank="1" showInputMessage="1" sqref="H10:K13 H32:K33 E18:E19 H21:K23 E10:E13 H35:K35 H25:K30 H18:K19 E21:E23 E25:E30 E32:E33 E35 H15:K16 E15:E16" xr:uid="{10642937-B860-4152-A8CB-DF82470CE8F3}"/>
  </dataValidations>
  <pageMargins left="0.31496062992125984" right="0.31496062992125984" top="0.39370078740157483" bottom="0.39370078740157483" header="0.31496062992125984" footer="0.31496062992125984"/>
  <pageSetup paperSize="9" scale="51" orientation="portrait" r:id="rId1"/>
  <drawing r:id="rId2"/>
  <extLst>
    <ext xmlns:x14="http://schemas.microsoft.com/office/spreadsheetml/2009/9/main" uri="{78C0D931-6437-407d-A8EE-F0AAD7539E65}">
      <x14:conditionalFormattings>
        <x14:conditionalFormatting xmlns:xm="http://schemas.microsoft.com/office/excel/2006/main">
          <x14:cfRule type="dataBar" id="{503E23DC-A883-4E4A-9CEB-0585580125FE}">
            <x14:dataBar minLength="0" maxLength="100" gradient="0">
              <x14:cfvo type="autoMin"/>
              <x14:cfvo type="autoMax"/>
              <x14:negativeFillColor rgb="FFFF0000"/>
              <x14:axisColor rgb="FF000000"/>
            </x14:dataBar>
          </x14:cfRule>
          <xm:sqref>C10:C13</xm:sqref>
        </x14:conditionalFormatting>
        <x14:conditionalFormatting xmlns:xm="http://schemas.microsoft.com/office/excel/2006/main">
          <x14:cfRule type="dataBar" id="{CBD7B373-A4C1-41FB-A25C-F14BF1ED705A}">
            <x14:dataBar minLength="0" maxLength="100" gradient="0">
              <x14:cfvo type="autoMin"/>
              <x14:cfvo type="autoMax"/>
              <x14:negativeFillColor rgb="FFFF0000"/>
              <x14:axisColor rgb="FF000000"/>
            </x14:dataBar>
          </x14:cfRule>
          <xm:sqref>C15:C16</xm:sqref>
        </x14:conditionalFormatting>
        <x14:conditionalFormatting xmlns:xm="http://schemas.microsoft.com/office/excel/2006/main">
          <x14:cfRule type="dataBar" id="{053ED826-4A3B-4E29-9CF6-C5C888A31A9A}">
            <x14:dataBar minLength="0" maxLength="100" gradient="0">
              <x14:cfvo type="autoMin"/>
              <x14:cfvo type="autoMax"/>
              <x14:negativeFillColor rgb="FFFF0000"/>
              <x14:axisColor rgb="FF000000"/>
            </x14:dataBar>
          </x14:cfRule>
          <xm:sqref>C18</xm:sqref>
        </x14:conditionalFormatting>
        <x14:conditionalFormatting xmlns:xm="http://schemas.microsoft.com/office/excel/2006/main">
          <x14:cfRule type="dataBar" id="{C43A89B3-42DD-4279-AA99-7BDD08DBEF47}">
            <x14:dataBar minLength="0" maxLength="100" gradient="0">
              <x14:cfvo type="autoMin"/>
              <x14:cfvo type="autoMax"/>
              <x14:negativeFillColor rgb="FFFF0000"/>
              <x14:axisColor rgb="FF000000"/>
            </x14:dataBar>
          </x14:cfRule>
          <xm:sqref>C19</xm:sqref>
        </x14:conditionalFormatting>
        <x14:conditionalFormatting xmlns:xm="http://schemas.microsoft.com/office/excel/2006/main">
          <x14:cfRule type="dataBar" id="{B2DABE0F-7BA8-442A-B48E-1ECE74F6B597}">
            <x14:dataBar minLength="0" maxLength="100" gradient="0">
              <x14:cfvo type="autoMin"/>
              <x14:cfvo type="autoMax"/>
              <x14:negativeFillColor rgb="FFFF0000"/>
              <x14:axisColor rgb="FF000000"/>
            </x14:dataBar>
          </x14:cfRule>
          <xm:sqref>C25</xm:sqref>
        </x14:conditionalFormatting>
        <x14:conditionalFormatting xmlns:xm="http://schemas.microsoft.com/office/excel/2006/main">
          <x14:cfRule type="dataBar" id="{03A9939A-9B3D-4529-BE0E-4E6837550A17}">
            <x14:dataBar minLength="0" maxLength="100" gradient="0">
              <x14:cfvo type="autoMin"/>
              <x14:cfvo type="autoMax"/>
              <x14:negativeFillColor rgb="FFFF0000"/>
              <x14:axisColor rgb="FF000000"/>
            </x14:dataBar>
          </x14:cfRule>
          <xm:sqref>C26:C30</xm:sqref>
        </x14:conditionalFormatting>
        <x14:conditionalFormatting xmlns:xm="http://schemas.microsoft.com/office/excel/2006/main">
          <x14:cfRule type="dataBar" id="{7E1987A0-3211-4AC2-801D-3D223C64AEAA}">
            <x14:dataBar minLength="0" maxLength="100" gradient="0">
              <x14:cfvo type="autoMin"/>
              <x14:cfvo type="autoMax"/>
              <x14:negativeFillColor rgb="FFFF0000"/>
              <x14:axisColor rgb="FF000000"/>
            </x14:dataBar>
          </x14:cfRule>
          <xm:sqref>C32:C33</xm:sqref>
        </x14:conditionalFormatting>
        <x14:conditionalFormatting xmlns:xm="http://schemas.microsoft.com/office/excel/2006/main">
          <x14:cfRule type="dataBar" id="{2EA7D65E-B8CA-499C-8421-2AC504B81EAC}">
            <x14:dataBar minLength="0" maxLength="100" gradient="0">
              <x14:cfvo type="autoMin"/>
              <x14:cfvo type="autoMax"/>
              <x14:negativeFillColor rgb="FFFF0000"/>
              <x14:axisColor rgb="FF000000"/>
            </x14:dataBar>
          </x14:cfRule>
          <xm:sqref>C35</xm:sqref>
        </x14:conditionalFormatting>
        <x14:conditionalFormatting xmlns:xm="http://schemas.microsoft.com/office/excel/2006/main">
          <x14:cfRule type="dataBar" id="{43AE063F-6FBA-4145-8E96-3B15FC0C4DF2}">
            <x14:dataBar minLength="0" maxLength="100" gradient="0">
              <x14:cfvo type="autoMin"/>
              <x14:cfvo type="autoMax"/>
              <x14:negativeFillColor rgb="FFFF0000"/>
              <x14:axisColor rgb="FF000000"/>
            </x14:dataBar>
          </x14:cfRule>
          <xm:sqref>C21:C23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Mẫu BC tháng</vt:lpstr>
      <vt:lpstr>'Mẫu BC tháng'!Print_Area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Phuc</dc:creator>
  <cp:lastModifiedBy>ACER</cp:lastModifiedBy>
  <cp:lastPrinted>2026-06-25T01:59:32Z</cp:lastPrinted>
  <dcterms:created xsi:type="dcterms:W3CDTF">2026-05-27T07:08:41Z</dcterms:created>
  <dcterms:modified xsi:type="dcterms:W3CDTF">2026-08-17T08:50:17Z</dcterms:modified>
</cp:coreProperties>
</file>