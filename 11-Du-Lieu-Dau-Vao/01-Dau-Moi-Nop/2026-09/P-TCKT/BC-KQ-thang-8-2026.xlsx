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Phòng TCKT báo cáo tháng 8 và kế hoạch tháng 9 - Copy\"/>
    </mc:Choice>
  </mc:AlternateContent>
  <bookViews>
    <workbookView xWindow="-120" yWindow="-120" windowWidth="24240" windowHeight="13020"/>
  </bookViews>
  <sheets>
    <sheet name="Mẫu BC tháng"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9" i="1" l="1"/>
  <c r="P39" i="1" s="1"/>
  <c r="M39" i="1"/>
  <c r="N39" i="1" s="1"/>
  <c r="L39" i="1"/>
  <c r="J39" i="1"/>
  <c r="P21" i="1"/>
  <c r="O21" i="1"/>
  <c r="M21" i="1"/>
  <c r="L21" i="1"/>
  <c r="K21" i="1"/>
  <c r="P38" i="1"/>
  <c r="O38" i="1"/>
  <c r="N38" i="1"/>
  <c r="M38" i="1"/>
  <c r="L38" i="1"/>
  <c r="J38" i="1"/>
  <c r="O37" i="1"/>
  <c r="P37" i="1" s="1"/>
  <c r="M37" i="1"/>
  <c r="N37" i="1" s="1"/>
  <c r="M31" i="1"/>
  <c r="N31" i="1" s="1"/>
  <c r="L37" i="1"/>
  <c r="J37" i="1"/>
  <c r="M20" i="1"/>
  <c r="M19" i="1"/>
  <c r="L20" i="1"/>
  <c r="P20" i="1"/>
  <c r="K20" i="1"/>
  <c r="O20" i="1" s="1"/>
  <c r="P31" i="1"/>
  <c r="O31" i="1"/>
  <c r="L31" i="1"/>
  <c r="K31" i="1"/>
  <c r="J31" i="1"/>
  <c r="I31" i="1"/>
  <c r="K15" i="1"/>
  <c r="L15" i="1" s="1"/>
  <c r="O15" i="1" l="1"/>
  <c r="P15" i="1" s="1"/>
  <c r="M15" i="1"/>
  <c r="N15" i="1" s="1"/>
  <c r="K11" i="1" l="1"/>
  <c r="K17" i="1" l="1"/>
  <c r="M17" i="1" s="1"/>
  <c r="K14" i="1"/>
  <c r="L14" i="1" s="1"/>
  <c r="K16" i="1"/>
  <c r="L16" i="1" s="1"/>
  <c r="K13" i="1"/>
  <c r="M13" i="1" s="1"/>
  <c r="H13" i="1"/>
  <c r="I13" i="1" s="1"/>
  <c r="J14" i="1"/>
  <c r="O14" i="1"/>
  <c r="P14" i="1" s="1"/>
  <c r="H12" i="1"/>
  <c r="I12" i="1" s="1"/>
  <c r="H11" i="1"/>
  <c r="I11" i="1" s="1"/>
  <c r="M11" i="1"/>
  <c r="K12" i="1"/>
  <c r="M12" i="1" s="1"/>
  <c r="O17" i="1" l="1"/>
  <c r="P17" i="1" s="1"/>
  <c r="M16" i="1"/>
  <c r="N16" i="1" s="1"/>
  <c r="O16" i="1"/>
  <c r="P16" i="1" s="1"/>
  <c r="M14" i="1"/>
  <c r="N14" i="1" s="1"/>
  <c r="O13" i="1"/>
  <c r="P13" i="1" s="1"/>
  <c r="N13" i="1"/>
  <c r="J13" i="1"/>
  <c r="L13" i="1"/>
  <c r="O11" i="1"/>
  <c r="P11" i="1" s="1"/>
  <c r="J11" i="1"/>
  <c r="L11" i="1"/>
  <c r="J12" i="1"/>
  <c r="N12" i="1"/>
  <c r="L12" i="1"/>
  <c r="O12" i="1"/>
  <c r="P12" i="1" s="1"/>
  <c r="N11" i="1"/>
  <c r="K19" i="1" l="1"/>
  <c r="K22" i="1"/>
  <c r="L22" i="1" s="1"/>
  <c r="O22" i="1" l="1"/>
  <c r="P22" i="1" s="1"/>
  <c r="O19" i="1"/>
  <c r="P19" i="1" s="1"/>
  <c r="J19" i="1"/>
  <c r="N19" i="1"/>
  <c r="L19" i="1"/>
  <c r="J22" i="1"/>
  <c r="M22" i="1"/>
  <c r="N22" i="1" s="1"/>
  <c r="K32" i="1" l="1"/>
  <c r="O32" i="1" s="1"/>
  <c r="K30" i="1"/>
  <c r="M30" i="1" s="1"/>
  <c r="H32" i="1"/>
  <c r="I32" i="1" s="1"/>
  <c r="J32" i="1" s="1"/>
  <c r="I30" i="1"/>
  <c r="J30" i="1" s="1"/>
  <c r="F23" i="1"/>
  <c r="F26" i="1"/>
  <c r="F29" i="1"/>
  <c r="F33" i="1"/>
  <c r="F36" i="1"/>
  <c r="F18" i="1"/>
  <c r="F10" i="1"/>
  <c r="K23" i="1" l="1"/>
  <c r="P32" i="1"/>
  <c r="J33" i="1"/>
  <c r="K10" i="1"/>
  <c r="J36" i="1"/>
  <c r="L32" i="1"/>
  <c r="J18" i="1"/>
  <c r="M32" i="1"/>
  <c r="N32" i="1" s="1"/>
  <c r="K18" i="1"/>
  <c r="L18" i="1"/>
  <c r="K36" i="1"/>
  <c r="M33" i="1"/>
  <c r="K33" i="1"/>
  <c r="J29" i="1"/>
  <c r="N30" i="1"/>
  <c r="O30" i="1"/>
  <c r="L30" i="1"/>
  <c r="K29" i="1"/>
  <c r="J26" i="1"/>
  <c r="K26" i="1"/>
  <c r="J23" i="1"/>
  <c r="L23" i="1" l="1"/>
  <c r="M36" i="1"/>
  <c r="N33" i="1"/>
  <c r="O10" i="1"/>
  <c r="M26" i="1"/>
  <c r="M10" i="1"/>
  <c r="N10" i="1"/>
  <c r="N23" i="1"/>
  <c r="J10" i="1"/>
  <c r="N36" i="1"/>
  <c r="N26" i="1"/>
  <c r="L36" i="1"/>
  <c r="L33" i="1"/>
  <c r="M23" i="1"/>
  <c r="N18" i="1"/>
  <c r="M18" i="1"/>
  <c r="P36" i="1"/>
  <c r="O36" i="1"/>
  <c r="P33" i="1"/>
  <c r="O33" i="1"/>
  <c r="M29" i="1"/>
  <c r="N29" i="1"/>
  <c r="L29" i="1"/>
  <c r="P30" i="1"/>
  <c r="P29" i="1" s="1"/>
  <c r="O29" i="1"/>
  <c r="L26" i="1"/>
  <c r="P26" i="1"/>
  <c r="O26" i="1"/>
  <c r="P23" i="1"/>
  <c r="O23" i="1"/>
  <c r="P18" i="1"/>
  <c r="O18" i="1"/>
  <c r="L10" i="1"/>
  <c r="P10" i="1"/>
</calcChain>
</file>

<file path=xl/sharedStrings.xml><?xml version="1.0" encoding="utf-8"?>
<sst xmlns="http://schemas.openxmlformats.org/spreadsheetml/2006/main" count="142" uniqueCount="87">
  <si>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</si>
  <si>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</si>
  <si>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</si>
  <si>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</si>
  <si>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</si>
  <si>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</si>
  <si>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</si>
  <si>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</si>
  <si>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</si>
  <si>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</si>
  <si>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</si>
  <si>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</si>
  <si>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</si>
  <si>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</si>
  <si>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</si>
  <si>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</si>
  <si>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</si>
  <si>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</si>
  <si>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</si>
  <si>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</si>
  <si>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</si>
  <si>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</si>
  <si>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</si>
  <si>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</si>
  <si>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</si>
  <si>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 chủ trì</t>
  </si>
  <si>
    <t>Hiệu trưởng</t>
  </si>
  <si>
    <t>1.3</t>
  </si>
  <si>
    <t>Các nhiệm vụ đột xuất, phát sinh khác ngoài kế hoạch (nếu có)</t>
  </si>
  <si>
    <t>Trung bình</t>
  </si>
  <si>
    <t>Cao</t>
  </si>
  <si>
    <t>1.4</t>
  </si>
  <si>
    <t>Điểm chấm công việc</t>
  </si>
  <si>
    <t>Hệ số quy đổi</t>
  </si>
  <si>
    <t>KPI (số lượng)</t>
  </si>
  <si>
    <t>KPI (chất lượng)</t>
  </si>
  <si>
    <t>KPI (tiến độ)</t>
  </si>
  <si>
    <t>Thực tế hoàn thành</t>
  </si>
  <si>
    <t>Quy đổi</t>
  </si>
  <si>
    <t>Số lượng quy đổi</t>
  </si>
  <si>
    <t>Thấp</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</si>
  <si>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</si>
  <si>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</si>
  <si>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</si>
  <si>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</si>
  <si>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</si>
  <si>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</si>
  <si>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</si>
  <si>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</si>
  <si>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</si>
  <si>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</si>
  <si>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</si>
  <si>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</si>
  <si>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 xml:space="preserve">Phụ lục IIb
</t>
  </si>
  <si>
    <t>ĐƠN VỊ: PHÒNG TCKT</t>
  </si>
  <si>
    <t>Phòng TCKT</t>
  </si>
  <si>
    <t>Danh sách</t>
  </si>
  <si>
    <t>Chứng từ</t>
  </si>
  <si>
    <r>
      <rPr>
        <b/>
        <i/>
        <sz val="12"/>
        <rFont val="Times New Roman"/>
        <family val="1"/>
        <charset val="163"/>
      </rPr>
      <t xml:space="preserve">
Nơi nhận:</t>
    </r>
    <r>
      <rPr>
        <sz val="12"/>
        <rFont val="Times New Roman"/>
        <family val="1"/>
      </rPr>
      <t xml:space="preserve">
</t>
    </r>
    <r>
      <rPr>
        <sz val="11"/>
        <rFont val="Times New Roman"/>
        <family val="1"/>
        <charset val="163"/>
      </rPr>
      <t>- Lãnh đạo Trường;
- Phòng THHCQT;
- Lưu: TCKT.</t>
    </r>
  </si>
  <si>
    <t>1.5</t>
  </si>
  <si>
    <t>BÁO CÁO
kết quả thực hiện công tác tháng 8 năm 2026</t>
  </si>
  <si>
    <t>Thực hiện thanh toán các nhiệm vụ thường xuyên, không thường xuyên cho công tác chuyên môn và lương cho viên chức, người lao động</t>
  </si>
  <si>
    <t>Thực hiện báo cáo thuế quý II/2026</t>
  </si>
  <si>
    <t>Bảng kê, Báo cáo</t>
  </si>
  <si>
    <t>Xây dựng định mức kinh tế kỹ thuật và giá dịch vụ đào tạo nghề sơ cấp và dưới 3 tháng</t>
  </si>
  <si>
    <t>Phòng TCKT+ Ban chủ nhiệm</t>
  </si>
  <si>
    <t>Phụ lục</t>
  </si>
  <si>
    <t>Thành lập Ban chủ nhiệm xây dựng định mức kinh tế kỹ thuật và giá dịch vụ đào tạo nghề sơ cấp và dưới 3 tháng</t>
  </si>
  <si>
    <t>Quyết định</t>
  </si>
  <si>
    <t>Thành lập Hội đồng thẩm định định mức - kinh tế kỹ thuật và định mức chi phí đào tạo đối với các nghề đào tạo trình độ sơ cấp, đào tạo dưới 3 tháng</t>
  </si>
  <si>
    <t>Trích lập quỹ học bổng khuyến khích học tập cho HSSV</t>
  </si>
  <si>
    <t>1.6</t>
  </si>
  <si>
    <t>Thanh toán lương và các khoản theo lương mức lương cơ sở mới tháng 8/2026 cho viên chức, người lao động</t>
  </si>
  <si>
    <t>Thanh toán chính sách cho HSSV tháng 7/2026</t>
  </si>
  <si>
    <t>Thông báo thu học phí các lớp trình độ cao đẳng, trình độ trung cấp</t>
  </si>
  <si>
    <t>Thông báo</t>
  </si>
  <si>
    <t>THấp</t>
  </si>
  <si>
    <t>1.7</t>
  </si>
  <si>
    <t>Truy lĩnh phu cấp ưu đãi cho viên chức theo NĐ ssoo 182/2026/NĐ- CP</t>
  </si>
  <si>
    <t>Tham mưu ban hành mẫu kế hoạch học phí và nhận các chế độ chính sách, 
học bổng khuyến khích học tập toàn khóa học đối với học sinh, sinh viên tham gia học tập tại Trường</t>
  </si>
  <si>
    <t>Tham mưu Quyết định ban hành tiền ở ký túc xá năm học 2026-2027</t>
  </si>
  <si>
    <t>Báo cáo nhu cầu phát sinh KP tăng thêm để thực hiện các chính sách năm 2026</t>
  </si>
  <si>
    <t>Báo cáo + danh sách</t>
  </si>
  <si>
    <t>Báo cáo rà soát cắt giảm chi thường xuyên năm 2026</t>
  </si>
  <si>
    <t>Tham mưu Quyết định bổ sung, sửa đổi Quy định quản lý tài chính phòng khám  Đa khoa và Nhà thuốc</t>
  </si>
  <si>
    <t>Báo cáo Sở Tà chính về số liệu Tổng kiểm kê Tài sản</t>
  </si>
  <si>
    <r>
      <rPr>
        <i/>
        <sz val="14"/>
        <rFont val="Times New Roman"/>
        <family val="1"/>
        <charset val="163"/>
      </rPr>
      <t>Quảng Ngãi, ngày 15 tháng 8 năm 2026</t>
    </r>
    <r>
      <rPr>
        <sz val="14"/>
        <rFont val="Times New Roman"/>
        <family val="1"/>
      </rPr>
      <t xml:space="preserve">
</t>
    </r>
    <r>
      <rPr>
        <b/>
        <sz val="14"/>
        <rFont val="Times New Roman"/>
        <family val="1"/>
      </rPr>
      <t xml:space="preserve">TRƯỞNG PHÒNG
Lê Thị Hồng Nga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</si>
</sst>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0_);_(* \(#,##0.0\);_(* &quot;-&quot;??_);_(@_)"/>
  </numFmts>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2"/>
      <color rgb="FF000000"/>
      <name val="Times New Roman"/>
      <family val="1"/>
    </font>
    <font>
      <b/>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56">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14" fillId="0" borderId="2" xfId="0" quotePrefix="1" applyFont="1" applyBorder="1" applyAlignment="1">
      <alignment horizontal="center" vertical="center" wrapText="1"/>
    </xf>
    <xf numFmtId="0" fontId="23" fillId="0" borderId="2" xfId="0" applyFont="1" applyBorder="1" applyAlignment="1">
      <alignment horizontal="center" vertical="center" wrapText="1"/>
    </xf>
    <xf numFmtId="0" fontId="23" fillId="0" borderId="2" xfId="0" applyFont="1" applyBorder="1" applyAlignment="1">
      <alignment vertical="center" wrapText="1"/>
    </xf>
    <xf numFmtId="0" fontId="24" fillId="0" borderId="2" xfId="0" applyFont="1" applyBorder="1" applyAlignment="1">
      <alignment horizontal="center" vertical="center" wrapText="1"/>
    </xf>
    <xf numFmtId="43" fontId="12" fillId="2" borderId="2" xfId="1" applyFont="1" applyFill="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8" xfId="0" applyFont="1" applyBorder="1" applyAlignment="1">
      <alignment horizontal="center" vertical="center" wrapText="1"/>
    </xf>
    <xf numFmtId="0" fontId="22" fillId="0" borderId="10" xfId="0" applyFont="1" applyBorder="1"/>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9" fillId="0" borderId="2"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tabSelected="1" view="pageBreakPreview" topLeftCell="A31" zoomScale="70" zoomScaleNormal="70" zoomScaleSheetLayoutView="70" workbookViewId="0">
      <selection activeCell="G41" sqref="G41:P41"/>
    </sheetView>
  </sheetViews>
  <sheetFormatPr defaultRowHeight="32.450000000000003" customHeight="1" x14ac:dyDescent="0.25"/>
  <cols>
    <col min="1" max="1" width="4.85546875" customWidth="1"/>
    <col min="2" max="2" width="31.140625" customWidth="1"/>
    <col min="3" max="3" width="16.42578125" customWidth="1"/>
    <col min="4" max="4" width="17.140625" customWidth="1"/>
    <col min="5" max="5" width="14.42578125" customWidth="1"/>
    <col min="6" max="6" width="7" style="9" customWidth="1"/>
    <col min="7" max="7" width="10.140625" customWidth="1"/>
    <col min="8" max="8" width="8.42578125" style="8" customWidth="1"/>
    <col min="9" max="9" width="6.85546875" style="7" customWidth="1"/>
    <col min="10" max="10" width="7.28515625" customWidth="1"/>
    <col min="11" max="11" width="11.42578125" style="10" customWidth="1"/>
    <col min="12" max="12" width="10.85546875" customWidth="1"/>
    <col min="13" max="13" width="10.42578125" style="10" customWidth="1"/>
    <col min="14" max="14" width="7.85546875" customWidth="1"/>
    <col min="15" max="15" width="10.42578125" style="10" customWidth="1"/>
    <col min="16" max="16" width="8.140625" customWidth="1"/>
  </cols>
  <sheetData>
    <row r="1" spans="1:17" ht="30" customHeight="1" x14ac:dyDescent="0.25">
      <c r="A1" s="33" t="s">
        <v>53</v>
      </c>
      <c r="B1" s="44"/>
      <c r="C1" s="44"/>
      <c r="D1" s="44"/>
      <c r="E1" s="44"/>
      <c r="F1" s="44"/>
      <c r="G1" s="44"/>
      <c r="H1" s="44"/>
      <c r="I1" s="44"/>
      <c r="J1" s="44"/>
      <c r="K1" s="44"/>
      <c r="L1" s="44"/>
      <c r="M1" s="44"/>
      <c r="N1" s="44"/>
      <c r="O1" s="44"/>
      <c r="P1" s="44"/>
    </row>
    <row r="2" spans="1:17" s="1" customFormat="1" ht="28.5" customHeight="1" x14ac:dyDescent="0.3">
      <c r="A2" s="51" t="s">
        <v>24</v>
      </c>
      <c r="B2" s="52"/>
      <c r="E2" s="5"/>
      <c r="F2" s="5"/>
      <c r="G2" s="32" t="s">
        <v>20</v>
      </c>
      <c r="H2" s="32"/>
      <c r="I2" s="32"/>
      <c r="J2" s="32"/>
      <c r="K2" s="32"/>
      <c r="L2" s="32"/>
      <c r="M2" s="32"/>
      <c r="N2" s="32"/>
      <c r="O2" s="32"/>
      <c r="P2" s="32"/>
    </row>
    <row r="3" spans="1:17" s="1" customFormat="1" ht="18.75" customHeight="1" x14ac:dyDescent="0.25">
      <c r="A3" s="53" t="s">
        <v>54</v>
      </c>
      <c r="B3" s="53"/>
      <c r="C3" s="2"/>
      <c r="E3" s="6"/>
      <c r="F3" s="6"/>
      <c r="G3" s="33" t="s">
        <v>21</v>
      </c>
      <c r="H3" s="33"/>
      <c r="I3" s="33"/>
      <c r="J3" s="33"/>
      <c r="K3" s="33"/>
      <c r="L3" s="33"/>
      <c r="M3" s="33"/>
      <c r="N3" s="33"/>
      <c r="O3" s="33"/>
      <c r="P3" s="33"/>
    </row>
    <row r="4" spans="1:17" ht="44.25" customHeight="1" x14ac:dyDescent="0.25">
      <c r="A4" s="33" t="s">
        <v>60</v>
      </c>
      <c r="B4" s="54"/>
      <c r="C4" s="54"/>
      <c r="D4" s="54"/>
      <c r="E4" s="54"/>
      <c r="F4" s="54"/>
      <c r="G4" s="54"/>
      <c r="H4" s="54"/>
      <c r="I4" s="54"/>
      <c r="J4" s="54"/>
      <c r="K4" s="54"/>
      <c r="L4" s="54"/>
      <c r="M4" s="54"/>
      <c r="N4" s="54"/>
      <c r="O4" s="54"/>
      <c r="P4" s="54"/>
    </row>
    <row r="5" spans="1:17" ht="9" customHeight="1" x14ac:dyDescent="0.25">
      <c r="A5" s="36"/>
      <c r="B5" s="36"/>
      <c r="C5" s="36"/>
      <c r="D5" s="36"/>
      <c r="E5" s="36"/>
      <c r="F5" s="36"/>
      <c r="G5" s="36"/>
      <c r="H5" s="36"/>
      <c r="I5" s="36"/>
      <c r="J5" s="36"/>
      <c r="K5" s="36"/>
      <c r="L5" s="36"/>
      <c r="M5" s="36"/>
      <c r="N5" s="36"/>
      <c r="O5" s="36"/>
      <c r="P5" s="36"/>
    </row>
    <row r="6" spans="1:17" ht="20.25" customHeight="1" x14ac:dyDescent="0.25">
      <c r="A6" s="45" t="s">
        <v>0</v>
      </c>
      <c r="B6" s="45" t="s">
        <v>1</v>
      </c>
      <c r="C6" s="45" t="s">
        <v>2</v>
      </c>
      <c r="D6" s="45" t="s">
        <v>25</v>
      </c>
      <c r="E6" s="45" t="s">
        <v>42</v>
      </c>
      <c r="F6" s="45" t="s">
        <v>12</v>
      </c>
      <c r="G6" s="47" t="s">
        <v>47</v>
      </c>
      <c r="H6" s="37" t="s">
        <v>32</v>
      </c>
      <c r="I6" s="37" t="s">
        <v>33</v>
      </c>
      <c r="J6" s="39" t="s">
        <v>39</v>
      </c>
      <c r="K6" s="34" t="s">
        <v>34</v>
      </c>
      <c r="L6" s="35"/>
      <c r="M6" s="34" t="s">
        <v>35</v>
      </c>
      <c r="N6" s="35"/>
      <c r="O6" s="34" t="s">
        <v>36</v>
      </c>
      <c r="P6" s="35"/>
      <c r="Q6" s="1"/>
    </row>
    <row r="7" spans="1:17" ht="65.25" customHeight="1" x14ac:dyDescent="0.25">
      <c r="A7" s="46"/>
      <c r="B7" s="46"/>
      <c r="C7" s="46"/>
      <c r="D7" s="46"/>
      <c r="E7" s="46"/>
      <c r="F7" s="46"/>
      <c r="G7" s="48"/>
      <c r="H7" s="38"/>
      <c r="I7" s="38"/>
      <c r="J7" s="40"/>
      <c r="K7" s="14" t="s">
        <v>37</v>
      </c>
      <c r="L7" s="14" t="s">
        <v>38</v>
      </c>
      <c r="M7" s="14" t="s">
        <v>37</v>
      </c>
      <c r="N7" s="14" t="s">
        <v>38</v>
      </c>
      <c r="O7" s="14" t="s">
        <v>37</v>
      </c>
      <c r="P7" s="14" t="s">
        <v>38</v>
      </c>
      <c r="Q7" s="1"/>
    </row>
    <row r="8" spans="1:17" ht="121.5" customHeight="1" x14ac:dyDescent="0.25">
      <c r="A8" s="21" t="s">
        <v>13</v>
      </c>
      <c r="B8" s="21" t="s">
        <v>14</v>
      </c>
      <c r="C8" s="21" t="s">
        <v>15</v>
      </c>
      <c r="D8" s="21" t="s">
        <v>16</v>
      </c>
      <c r="E8" s="21" t="s">
        <v>17</v>
      </c>
      <c r="F8" s="21" t="s">
        <v>18</v>
      </c>
      <c r="G8" s="21" t="s">
        <v>19</v>
      </c>
      <c r="H8" s="21" t="s">
        <v>43</v>
      </c>
      <c r="I8" s="21" t="s">
        <v>52</v>
      </c>
      <c r="J8" s="21" t="s">
        <v>51</v>
      </c>
      <c r="K8" s="21" t="s">
        <v>45</v>
      </c>
      <c r="L8" s="21" t="s">
        <v>50</v>
      </c>
      <c r="M8" s="21" t="s">
        <v>44</v>
      </c>
      <c r="N8" s="21" t="s">
        <v>48</v>
      </c>
      <c r="O8" s="21" t="s">
        <v>46</v>
      </c>
      <c r="P8" s="21" t="s">
        <v>49</v>
      </c>
    </row>
    <row r="9" spans="1:17" ht="31.5" customHeight="1" x14ac:dyDescent="0.25">
      <c r="A9" s="15" t="s">
        <v>3</v>
      </c>
      <c r="B9" s="49" t="s">
        <v>41</v>
      </c>
      <c r="C9" s="49"/>
      <c r="D9" s="49"/>
      <c r="E9" s="49"/>
      <c r="F9" s="49"/>
      <c r="G9" s="49"/>
      <c r="H9" s="49"/>
      <c r="I9" s="49"/>
      <c r="J9" s="49"/>
      <c r="K9" s="49"/>
      <c r="L9" s="49"/>
      <c r="M9" s="49"/>
      <c r="N9" s="49"/>
      <c r="O9" s="49"/>
      <c r="P9" s="49"/>
    </row>
    <row r="10" spans="1:17" ht="15.75" x14ac:dyDescent="0.25">
      <c r="A10" s="16">
        <v>1</v>
      </c>
      <c r="B10" s="30" t="s">
        <v>4</v>
      </c>
      <c r="C10" s="30"/>
      <c r="D10" s="30"/>
      <c r="E10" s="30"/>
      <c r="F10" s="16">
        <f>SUM(F11:F17)</f>
        <v>10</v>
      </c>
      <c r="G10" s="17"/>
      <c r="H10" s="17"/>
      <c r="I10" s="17"/>
      <c r="J10" s="16">
        <f>SUM(J11:J17)</f>
        <v>11</v>
      </c>
      <c r="K10" s="16">
        <f>SUM(K11:K17)</f>
        <v>276</v>
      </c>
      <c r="L10" s="16">
        <f>SUM(L11:L17)</f>
        <v>276</v>
      </c>
      <c r="M10" s="16">
        <f>SUM(M11:M17)</f>
        <v>276</v>
      </c>
      <c r="N10" s="16">
        <f>SUM(N11:N17)</f>
        <v>276</v>
      </c>
      <c r="O10" s="16">
        <f>SUM(O11:O17)</f>
        <v>276</v>
      </c>
      <c r="P10" s="16">
        <f>SUM(P11:P17)</f>
        <v>277</v>
      </c>
    </row>
    <row r="11" spans="1:17" ht="87.75" customHeight="1" x14ac:dyDescent="0.25">
      <c r="A11" s="11" t="s">
        <v>22</v>
      </c>
      <c r="B11" s="23" t="s">
        <v>61</v>
      </c>
      <c r="C11" s="11" t="s">
        <v>26</v>
      </c>
      <c r="D11" s="11" t="s">
        <v>55</v>
      </c>
      <c r="E11" s="22" t="s">
        <v>57</v>
      </c>
      <c r="F11" s="11">
        <v>1</v>
      </c>
      <c r="G11" s="22" t="s">
        <v>40</v>
      </c>
      <c r="H11" s="24">
        <f t="shared" ref="H11:H13" si="0">IF(F11="Khó và phức tạp",200,IF(F11="Cao",150,IF(F11="Trungbình",120,100)))</f>
        <v>100</v>
      </c>
      <c r="I11" s="11">
        <f>H11*0.01</f>
        <v>1</v>
      </c>
      <c r="J11" s="11">
        <f>F11*I11</f>
        <v>1</v>
      </c>
      <c r="K11" s="25">
        <f>14+36+48+37+132</f>
        <v>267</v>
      </c>
      <c r="L11" s="18">
        <f>K11*I11</f>
        <v>267</v>
      </c>
      <c r="M11" s="12">
        <f t="shared" ref="M11:M17" si="1">K11*100%</f>
        <v>267</v>
      </c>
      <c r="N11" s="18">
        <f>I11*M11</f>
        <v>267</v>
      </c>
      <c r="O11" s="12">
        <f t="shared" ref="O11:O17" si="2">K11*100%</f>
        <v>267</v>
      </c>
      <c r="P11" s="18">
        <f>I11*O11</f>
        <v>267</v>
      </c>
    </row>
    <row r="12" spans="1:17" ht="44.25" customHeight="1" x14ac:dyDescent="0.25">
      <c r="A12" s="11" t="s">
        <v>23</v>
      </c>
      <c r="B12" s="23" t="s">
        <v>62</v>
      </c>
      <c r="C12" s="11" t="s">
        <v>26</v>
      </c>
      <c r="D12" s="11" t="s">
        <v>55</v>
      </c>
      <c r="E12" s="22" t="s">
        <v>63</v>
      </c>
      <c r="F12" s="11">
        <v>1</v>
      </c>
      <c r="G12" s="22" t="s">
        <v>40</v>
      </c>
      <c r="H12" s="24">
        <f t="shared" si="0"/>
        <v>100</v>
      </c>
      <c r="I12" s="11">
        <f t="shared" ref="I12:I13" si="3">H12*0.01</f>
        <v>1</v>
      </c>
      <c r="J12" s="11">
        <f t="shared" ref="J12:J14" si="4">F12*I12</f>
        <v>1</v>
      </c>
      <c r="K12" s="12">
        <f t="shared" ref="K12:K17" si="5">F12*100%</f>
        <v>1</v>
      </c>
      <c r="L12" s="18">
        <f t="shared" ref="L12:L16" si="6">K12*I12</f>
        <v>1</v>
      </c>
      <c r="M12" s="20">
        <f t="shared" si="1"/>
        <v>1</v>
      </c>
      <c r="N12" s="18">
        <f t="shared" ref="N12:N16" si="7">I12*M12</f>
        <v>1</v>
      </c>
      <c r="O12" s="20">
        <f t="shared" si="2"/>
        <v>1</v>
      </c>
      <c r="P12" s="18">
        <f>I12*O12</f>
        <v>1</v>
      </c>
    </row>
    <row r="13" spans="1:17" ht="61.5" customHeight="1" x14ac:dyDescent="0.25">
      <c r="A13" s="11" t="s">
        <v>27</v>
      </c>
      <c r="B13" s="23" t="s">
        <v>67</v>
      </c>
      <c r="C13" s="11" t="s">
        <v>26</v>
      </c>
      <c r="D13" s="11" t="s">
        <v>55</v>
      </c>
      <c r="E13" s="22" t="s">
        <v>68</v>
      </c>
      <c r="F13" s="11">
        <v>1</v>
      </c>
      <c r="G13" s="22" t="s">
        <v>40</v>
      </c>
      <c r="H13" s="24">
        <f t="shared" si="0"/>
        <v>100</v>
      </c>
      <c r="I13" s="11">
        <f t="shared" si="3"/>
        <v>1</v>
      </c>
      <c r="J13" s="11">
        <f t="shared" si="4"/>
        <v>1</v>
      </c>
      <c r="K13" s="12">
        <f t="shared" si="5"/>
        <v>1</v>
      </c>
      <c r="L13" s="18">
        <f t="shared" si="6"/>
        <v>1</v>
      </c>
      <c r="M13" s="20">
        <f t="shared" si="1"/>
        <v>1</v>
      </c>
      <c r="N13" s="18">
        <f t="shared" si="7"/>
        <v>1</v>
      </c>
      <c r="O13" s="20">
        <f t="shared" si="2"/>
        <v>1</v>
      </c>
      <c r="P13" s="18">
        <f>I13*O13</f>
        <v>1</v>
      </c>
    </row>
    <row r="14" spans="1:17" ht="69.75" customHeight="1" x14ac:dyDescent="0.25">
      <c r="A14" s="11" t="s">
        <v>31</v>
      </c>
      <c r="B14" s="23" t="s">
        <v>64</v>
      </c>
      <c r="C14" s="11" t="s">
        <v>26</v>
      </c>
      <c r="D14" s="11" t="s">
        <v>65</v>
      </c>
      <c r="E14" s="22" t="s">
        <v>66</v>
      </c>
      <c r="F14" s="11">
        <v>2</v>
      </c>
      <c r="G14" s="22" t="s">
        <v>30</v>
      </c>
      <c r="H14" s="24">
        <v>150</v>
      </c>
      <c r="I14" s="11">
        <v>1.5</v>
      </c>
      <c r="J14" s="11">
        <f t="shared" si="4"/>
        <v>3</v>
      </c>
      <c r="K14" s="12">
        <f t="shared" si="5"/>
        <v>2</v>
      </c>
      <c r="L14" s="18">
        <f t="shared" si="6"/>
        <v>3</v>
      </c>
      <c r="M14" s="20">
        <f t="shared" si="1"/>
        <v>2</v>
      </c>
      <c r="N14" s="18">
        <f t="shared" si="7"/>
        <v>3</v>
      </c>
      <c r="O14" s="20">
        <f t="shared" si="2"/>
        <v>2</v>
      </c>
      <c r="P14" s="18">
        <f t="shared" ref="P14:P17" si="8">I14*O14</f>
        <v>3</v>
      </c>
    </row>
    <row r="15" spans="1:17" ht="69.75" customHeight="1" x14ac:dyDescent="0.25">
      <c r="A15" s="11" t="s">
        <v>59</v>
      </c>
      <c r="B15" s="23" t="s">
        <v>74</v>
      </c>
      <c r="C15" s="55" t="s">
        <v>26</v>
      </c>
      <c r="D15" s="55" t="s">
        <v>55</v>
      </c>
      <c r="E15" s="22" t="s">
        <v>75</v>
      </c>
      <c r="F15" s="11">
        <v>3</v>
      </c>
      <c r="G15" s="22" t="s">
        <v>76</v>
      </c>
      <c r="H15" s="24">
        <v>100</v>
      </c>
      <c r="I15" s="11">
        <v>1</v>
      </c>
      <c r="J15" s="11">
        <v>3</v>
      </c>
      <c r="K15" s="12">
        <f t="shared" si="5"/>
        <v>3</v>
      </c>
      <c r="L15" s="18">
        <f t="shared" si="6"/>
        <v>3</v>
      </c>
      <c r="M15" s="20">
        <f t="shared" si="1"/>
        <v>3</v>
      </c>
      <c r="N15" s="18">
        <f t="shared" si="7"/>
        <v>3</v>
      </c>
      <c r="O15" s="20">
        <f t="shared" si="2"/>
        <v>3</v>
      </c>
      <c r="P15" s="18">
        <f t="shared" si="8"/>
        <v>3</v>
      </c>
    </row>
    <row r="16" spans="1:17" ht="91.5" customHeight="1" x14ac:dyDescent="0.25">
      <c r="A16" s="11" t="s">
        <v>71</v>
      </c>
      <c r="B16" s="23" t="s">
        <v>69</v>
      </c>
      <c r="C16" s="11" t="s">
        <v>26</v>
      </c>
      <c r="D16" s="11" t="s">
        <v>55</v>
      </c>
      <c r="E16" s="22" t="s">
        <v>68</v>
      </c>
      <c r="F16" s="11">
        <v>1</v>
      </c>
      <c r="G16" s="22" t="s">
        <v>40</v>
      </c>
      <c r="H16" s="24">
        <v>100</v>
      </c>
      <c r="I16" s="11">
        <v>1</v>
      </c>
      <c r="J16" s="11">
        <v>1</v>
      </c>
      <c r="K16" s="12">
        <f t="shared" si="5"/>
        <v>1</v>
      </c>
      <c r="L16" s="18">
        <f t="shared" si="6"/>
        <v>1</v>
      </c>
      <c r="M16" s="20">
        <f t="shared" si="1"/>
        <v>1</v>
      </c>
      <c r="N16" s="18">
        <f t="shared" si="7"/>
        <v>1</v>
      </c>
      <c r="O16" s="20">
        <f t="shared" si="2"/>
        <v>1</v>
      </c>
      <c r="P16" s="18">
        <f t="shared" si="8"/>
        <v>1</v>
      </c>
    </row>
    <row r="17" spans="1:16" ht="69.75" customHeight="1" x14ac:dyDescent="0.25">
      <c r="A17" s="11" t="s">
        <v>77</v>
      </c>
      <c r="B17" s="23" t="s">
        <v>70</v>
      </c>
      <c r="C17" s="11" t="s">
        <v>26</v>
      </c>
      <c r="D17" s="11" t="s">
        <v>55</v>
      </c>
      <c r="E17" s="22" t="s">
        <v>68</v>
      </c>
      <c r="F17" s="11">
        <v>1</v>
      </c>
      <c r="G17" s="22" t="s">
        <v>40</v>
      </c>
      <c r="H17" s="24">
        <v>100</v>
      </c>
      <c r="I17" s="11">
        <v>1</v>
      </c>
      <c r="J17" s="11">
        <v>1</v>
      </c>
      <c r="K17" s="12">
        <f t="shared" si="5"/>
        <v>1</v>
      </c>
      <c r="L17" s="18"/>
      <c r="M17" s="20">
        <f t="shared" si="1"/>
        <v>1</v>
      </c>
      <c r="N17" s="18"/>
      <c r="O17" s="20">
        <f t="shared" si="2"/>
        <v>1</v>
      </c>
      <c r="P17" s="18">
        <f t="shared" si="8"/>
        <v>1</v>
      </c>
    </row>
    <row r="18" spans="1:16" ht="15.75" x14ac:dyDescent="0.25">
      <c r="A18" s="16">
        <v>2</v>
      </c>
      <c r="B18" s="30" t="s">
        <v>6</v>
      </c>
      <c r="C18" s="30"/>
      <c r="D18" s="30"/>
      <c r="E18" s="30"/>
      <c r="F18" s="16">
        <f>SUM(F19:F22)</f>
        <v>3</v>
      </c>
      <c r="G18" s="17"/>
      <c r="H18" s="17"/>
      <c r="I18" s="17"/>
      <c r="J18" s="16">
        <f t="shared" ref="J18:P18" si="9">SUM(J19:J22)</f>
        <v>3.5999999999999996</v>
      </c>
      <c r="K18" s="16">
        <f t="shared" si="9"/>
        <v>3</v>
      </c>
      <c r="L18" s="16">
        <f t="shared" si="9"/>
        <v>3.5999999999999996</v>
      </c>
      <c r="M18" s="16">
        <f t="shared" si="9"/>
        <v>3</v>
      </c>
      <c r="N18" s="16">
        <f t="shared" si="9"/>
        <v>1.2</v>
      </c>
      <c r="O18" s="16">
        <f t="shared" si="9"/>
        <v>3</v>
      </c>
      <c r="P18" s="16">
        <f t="shared" si="9"/>
        <v>3.5999999999999996</v>
      </c>
    </row>
    <row r="19" spans="1:16" ht="110.25" x14ac:dyDescent="0.25">
      <c r="A19" s="11">
        <v>2.1</v>
      </c>
      <c r="B19" s="23" t="s">
        <v>79</v>
      </c>
      <c r="C19" s="55" t="s">
        <v>26</v>
      </c>
      <c r="D19" s="55" t="s">
        <v>55</v>
      </c>
      <c r="E19" s="22" t="s">
        <v>75</v>
      </c>
      <c r="F19" s="11">
        <v>1</v>
      </c>
      <c r="G19" s="11" t="s">
        <v>29</v>
      </c>
      <c r="H19" s="11">
        <v>120</v>
      </c>
      <c r="I19" s="11">
        <v>1.2</v>
      </c>
      <c r="J19" s="11">
        <f>F19*I19</f>
        <v>1.2</v>
      </c>
      <c r="K19" s="12">
        <f>F19*100%</f>
        <v>1</v>
      </c>
      <c r="L19" s="18">
        <f t="shared" ref="L19:L22" si="10">K19*I19</f>
        <v>1.2</v>
      </c>
      <c r="M19" s="12">
        <f>K19*100%</f>
        <v>1</v>
      </c>
      <c r="N19" s="18">
        <f>I19*M19</f>
        <v>1.2</v>
      </c>
      <c r="O19" s="12">
        <f>K19*100%</f>
        <v>1</v>
      </c>
      <c r="P19" s="18">
        <f>I19*O19</f>
        <v>1.2</v>
      </c>
    </row>
    <row r="20" spans="1:16" ht="47.25" x14ac:dyDescent="0.25">
      <c r="A20" s="11">
        <v>2.2000000000000002</v>
      </c>
      <c r="B20" s="19" t="s">
        <v>80</v>
      </c>
      <c r="C20" s="55" t="s">
        <v>26</v>
      </c>
      <c r="D20" s="55" t="s">
        <v>55</v>
      </c>
      <c r="E20" s="11" t="s">
        <v>68</v>
      </c>
      <c r="F20" s="11">
        <v>1</v>
      </c>
      <c r="G20" s="11" t="s">
        <v>29</v>
      </c>
      <c r="H20" s="11">
        <v>120</v>
      </c>
      <c r="I20" s="11">
        <v>1.2</v>
      </c>
      <c r="J20" s="11">
        <v>1.2</v>
      </c>
      <c r="K20" s="12">
        <f>F20*100%</f>
        <v>1</v>
      </c>
      <c r="L20" s="18">
        <f t="shared" si="10"/>
        <v>1.2</v>
      </c>
      <c r="M20" s="12">
        <f>K20*100%</f>
        <v>1</v>
      </c>
      <c r="N20" s="18"/>
      <c r="O20" s="12">
        <f>K20*100%</f>
        <v>1</v>
      </c>
      <c r="P20" s="18">
        <f>I20*O20</f>
        <v>1.2</v>
      </c>
    </row>
    <row r="21" spans="1:16" ht="63" x14ac:dyDescent="0.25">
      <c r="A21" s="11"/>
      <c r="B21" s="19" t="s">
        <v>84</v>
      </c>
      <c r="C21" s="55" t="s">
        <v>26</v>
      </c>
      <c r="D21" s="55" t="s">
        <v>55</v>
      </c>
      <c r="E21" s="11" t="s">
        <v>68</v>
      </c>
      <c r="F21" s="11">
        <v>1</v>
      </c>
      <c r="G21" s="11" t="s">
        <v>29</v>
      </c>
      <c r="H21" s="11">
        <v>120</v>
      </c>
      <c r="I21" s="11">
        <v>1.2</v>
      </c>
      <c r="J21" s="11">
        <v>1.2</v>
      </c>
      <c r="K21" s="12">
        <f>F21*100%</f>
        <v>1</v>
      </c>
      <c r="L21" s="18">
        <f t="shared" si="10"/>
        <v>1.2</v>
      </c>
      <c r="M21" s="12">
        <f>K21*100%</f>
        <v>1</v>
      </c>
      <c r="N21" s="18"/>
      <c r="O21" s="12">
        <f>K21*100%</f>
        <v>1</v>
      </c>
      <c r="P21" s="18">
        <f>I21*O21</f>
        <v>1.2</v>
      </c>
    </row>
    <row r="22" spans="1:16" ht="15.75" x14ac:dyDescent="0.25">
      <c r="A22" s="11"/>
      <c r="B22" s="19" t="s">
        <v>5</v>
      </c>
      <c r="C22" s="11"/>
      <c r="D22" s="11"/>
      <c r="E22" s="11" t="s">
        <v>68</v>
      </c>
      <c r="F22" s="11"/>
      <c r="G22" s="11"/>
      <c r="H22" s="11"/>
      <c r="I22" s="11"/>
      <c r="J22" s="11">
        <f>F22*I22</f>
        <v>0</v>
      </c>
      <c r="K22" s="12">
        <f>F22*100%</f>
        <v>0</v>
      </c>
      <c r="L22" s="18">
        <f t="shared" si="10"/>
        <v>0</v>
      </c>
      <c r="M22" s="12">
        <f>K22*75%</f>
        <v>0</v>
      </c>
      <c r="N22" s="18">
        <f>I22*M22</f>
        <v>0</v>
      </c>
      <c r="O22" s="12">
        <f>K22*100%</f>
        <v>0</v>
      </c>
      <c r="P22" s="18">
        <f>I22*O22</f>
        <v>0</v>
      </c>
    </row>
    <row r="23" spans="1:16" ht="15.75" x14ac:dyDescent="0.25">
      <c r="A23" s="16">
        <v>3</v>
      </c>
      <c r="B23" s="30" t="s">
        <v>7</v>
      </c>
      <c r="C23" s="30"/>
      <c r="D23" s="30"/>
      <c r="E23" s="30"/>
      <c r="F23" s="16">
        <f>SUM(F24:F25)</f>
        <v>0</v>
      </c>
      <c r="G23" s="17"/>
      <c r="H23" s="17"/>
      <c r="I23" s="17"/>
      <c r="J23" s="16">
        <f t="shared" ref="J23:P23" si="11">SUM(J24:J25)</f>
        <v>0</v>
      </c>
      <c r="K23" s="16">
        <f t="shared" si="11"/>
        <v>0</v>
      </c>
      <c r="L23" s="16">
        <f t="shared" si="11"/>
        <v>0</v>
      </c>
      <c r="M23" s="16">
        <f t="shared" si="11"/>
        <v>0</v>
      </c>
      <c r="N23" s="16">
        <f t="shared" si="11"/>
        <v>0</v>
      </c>
      <c r="O23" s="16">
        <f t="shared" si="11"/>
        <v>0</v>
      </c>
      <c r="P23" s="16">
        <f t="shared" si="11"/>
        <v>0</v>
      </c>
    </row>
    <row r="24" spans="1:16" ht="15.75" x14ac:dyDescent="0.25">
      <c r="A24" s="11"/>
      <c r="B24" s="19"/>
      <c r="C24" s="11"/>
      <c r="D24" s="11"/>
      <c r="E24" s="11"/>
      <c r="F24" s="11"/>
      <c r="G24" s="11"/>
      <c r="H24" s="11"/>
      <c r="I24" s="11"/>
      <c r="J24" s="11"/>
      <c r="K24" s="12"/>
      <c r="L24" s="18"/>
      <c r="M24" s="12"/>
      <c r="N24" s="18"/>
      <c r="O24" s="12"/>
      <c r="P24" s="18"/>
    </row>
    <row r="25" spans="1:16" ht="15.75" x14ac:dyDescent="0.25">
      <c r="A25" s="11"/>
      <c r="B25" s="19"/>
      <c r="C25" s="11"/>
      <c r="D25" s="11"/>
      <c r="E25" s="11"/>
      <c r="F25" s="11"/>
      <c r="G25" s="11"/>
      <c r="H25" s="11"/>
      <c r="I25" s="11"/>
      <c r="J25" s="11"/>
      <c r="K25" s="12"/>
      <c r="L25" s="18"/>
      <c r="M25" s="12"/>
      <c r="N25" s="18"/>
      <c r="O25" s="12"/>
      <c r="P25" s="18"/>
    </row>
    <row r="26" spans="1:16" ht="15.75" x14ac:dyDescent="0.25">
      <c r="A26" s="16">
        <v>4</v>
      </c>
      <c r="B26" s="31" t="s">
        <v>8</v>
      </c>
      <c r="C26" s="31"/>
      <c r="D26" s="31"/>
      <c r="E26" s="31"/>
      <c r="F26" s="16">
        <f>SUM(F27:F28)</f>
        <v>0</v>
      </c>
      <c r="G26" s="17"/>
      <c r="H26" s="17"/>
      <c r="I26" s="17"/>
      <c r="J26" s="16">
        <f t="shared" ref="J26:P26" si="12">SUM(J27:J28)</f>
        <v>0</v>
      </c>
      <c r="K26" s="16">
        <f t="shared" si="12"/>
        <v>0</v>
      </c>
      <c r="L26" s="16">
        <f t="shared" si="12"/>
        <v>0</v>
      </c>
      <c r="M26" s="16">
        <f t="shared" si="12"/>
        <v>0</v>
      </c>
      <c r="N26" s="16">
        <f t="shared" si="12"/>
        <v>0</v>
      </c>
      <c r="O26" s="16">
        <f t="shared" si="12"/>
        <v>0</v>
      </c>
      <c r="P26" s="16">
        <f t="shared" si="12"/>
        <v>0</v>
      </c>
    </row>
    <row r="27" spans="1:16" ht="15.75" x14ac:dyDescent="0.25">
      <c r="A27" s="11"/>
      <c r="B27" s="19"/>
      <c r="C27" s="11"/>
      <c r="D27" s="11"/>
      <c r="E27" s="11"/>
      <c r="F27" s="11"/>
      <c r="G27" s="11"/>
      <c r="H27" s="11"/>
      <c r="I27" s="11"/>
      <c r="J27" s="11"/>
      <c r="K27" s="12"/>
      <c r="L27" s="18"/>
      <c r="M27" s="12"/>
      <c r="N27" s="18"/>
      <c r="O27" s="12"/>
      <c r="P27" s="18"/>
    </row>
    <row r="28" spans="1:16" ht="15.75" x14ac:dyDescent="0.25">
      <c r="A28" s="11"/>
      <c r="B28" s="19"/>
      <c r="C28" s="11"/>
      <c r="D28" s="11"/>
      <c r="E28" s="11"/>
      <c r="F28" s="11"/>
      <c r="G28" s="11"/>
      <c r="H28" s="11"/>
      <c r="I28" s="11"/>
      <c r="J28" s="11"/>
      <c r="K28" s="12"/>
      <c r="L28" s="18"/>
      <c r="M28" s="12"/>
      <c r="N28" s="18"/>
      <c r="O28" s="12"/>
      <c r="P28" s="18"/>
    </row>
    <row r="29" spans="1:16" ht="15.75" x14ac:dyDescent="0.25">
      <c r="A29" s="16">
        <v>5</v>
      </c>
      <c r="B29" s="30" t="s">
        <v>9</v>
      </c>
      <c r="C29" s="30"/>
      <c r="D29" s="30"/>
      <c r="E29" s="30"/>
      <c r="F29" s="16">
        <f>SUM(F30:F32)</f>
        <v>8</v>
      </c>
      <c r="G29" s="17"/>
      <c r="H29" s="17"/>
      <c r="I29" s="17"/>
      <c r="J29" s="16">
        <f t="shared" ref="J29:P29" si="13">SUM(J30:J32)</f>
        <v>8.8000000000000007</v>
      </c>
      <c r="K29" s="16">
        <f t="shared" si="13"/>
        <v>8</v>
      </c>
      <c r="L29" s="16">
        <f t="shared" si="13"/>
        <v>8.8000000000000007</v>
      </c>
      <c r="M29" s="16">
        <f t="shared" si="13"/>
        <v>6.25</v>
      </c>
      <c r="N29" s="16">
        <f t="shared" si="13"/>
        <v>6.8999999999999995</v>
      </c>
      <c r="O29" s="16">
        <f t="shared" si="13"/>
        <v>8</v>
      </c>
      <c r="P29" s="16">
        <f t="shared" si="13"/>
        <v>8.8000000000000007</v>
      </c>
    </row>
    <row r="30" spans="1:16" ht="63" x14ac:dyDescent="0.25">
      <c r="A30" s="11"/>
      <c r="B30" s="19" t="s">
        <v>72</v>
      </c>
      <c r="C30" s="11" t="s">
        <v>26</v>
      </c>
      <c r="D30" s="11" t="s">
        <v>55</v>
      </c>
      <c r="E30" s="11" t="s">
        <v>56</v>
      </c>
      <c r="F30" s="11">
        <v>3</v>
      </c>
      <c r="G30" s="11" t="s">
        <v>29</v>
      </c>
      <c r="H30" s="11">
        <v>120</v>
      </c>
      <c r="I30" s="11">
        <f t="shared" ref="I30:I32" si="14">H30*0.01</f>
        <v>1.2</v>
      </c>
      <c r="J30" s="11">
        <f t="shared" ref="J30:J32" si="15">F30*I30</f>
        <v>3.5999999999999996</v>
      </c>
      <c r="K30" s="12">
        <f t="shared" ref="K30:K32" si="16">F30*100%</f>
        <v>3</v>
      </c>
      <c r="L30" s="18">
        <f t="shared" ref="L30:L32" si="17">K30*I30</f>
        <v>3.5999999999999996</v>
      </c>
      <c r="M30" s="12">
        <f t="shared" ref="M30:M32" si="18">K30*75%</f>
        <v>2.25</v>
      </c>
      <c r="N30" s="18">
        <f t="shared" ref="N30:N32" si="19">I30*M30</f>
        <v>2.6999999999999997</v>
      </c>
      <c r="O30" s="12">
        <f t="shared" ref="O30:O32" si="20">K30*100%</f>
        <v>3</v>
      </c>
      <c r="P30" s="18">
        <f t="shared" ref="P30:P32" si="21">I30*O30</f>
        <v>3.5999999999999996</v>
      </c>
    </row>
    <row r="31" spans="1:16" ht="47.25" x14ac:dyDescent="0.25">
      <c r="A31" s="11"/>
      <c r="B31" s="19" t="s">
        <v>78</v>
      </c>
      <c r="C31" s="11" t="s">
        <v>26</v>
      </c>
      <c r="D31" s="11" t="s">
        <v>55</v>
      </c>
      <c r="E31" s="11" t="s">
        <v>56</v>
      </c>
      <c r="F31" s="11">
        <v>1</v>
      </c>
      <c r="G31" s="11" t="s">
        <v>29</v>
      </c>
      <c r="H31" s="11">
        <v>120</v>
      </c>
      <c r="I31" s="11">
        <f t="shared" si="14"/>
        <v>1.2</v>
      </c>
      <c r="J31" s="11">
        <f t="shared" si="15"/>
        <v>1.2</v>
      </c>
      <c r="K31" s="12">
        <f t="shared" si="16"/>
        <v>1</v>
      </c>
      <c r="L31" s="18">
        <f t="shared" si="17"/>
        <v>1.2</v>
      </c>
      <c r="M31" s="12">
        <f>K31*100%</f>
        <v>1</v>
      </c>
      <c r="N31" s="18">
        <f t="shared" si="19"/>
        <v>1.2</v>
      </c>
      <c r="O31" s="12">
        <f t="shared" si="20"/>
        <v>1</v>
      </c>
      <c r="P31" s="18">
        <f t="shared" si="21"/>
        <v>1.2</v>
      </c>
    </row>
    <row r="32" spans="1:16" ht="31.5" x14ac:dyDescent="0.25">
      <c r="A32" s="11"/>
      <c r="B32" s="19" t="s">
        <v>73</v>
      </c>
      <c r="C32" s="11" t="s">
        <v>26</v>
      </c>
      <c r="D32" s="11" t="s">
        <v>55</v>
      </c>
      <c r="E32" s="11" t="s">
        <v>56</v>
      </c>
      <c r="F32" s="11">
        <v>4</v>
      </c>
      <c r="G32" s="11" t="s">
        <v>40</v>
      </c>
      <c r="H32" s="11">
        <f t="shared" ref="H32" si="22">IF(G32="Khó và phức tạp",200,IF(G32="Cao",150,IF(G32="Trungbình",120,100)))</f>
        <v>100</v>
      </c>
      <c r="I32" s="11">
        <f t="shared" si="14"/>
        <v>1</v>
      </c>
      <c r="J32" s="11">
        <f t="shared" si="15"/>
        <v>4</v>
      </c>
      <c r="K32" s="12">
        <f t="shared" si="16"/>
        <v>4</v>
      </c>
      <c r="L32" s="18">
        <f t="shared" si="17"/>
        <v>4</v>
      </c>
      <c r="M32" s="12">
        <f t="shared" si="18"/>
        <v>3</v>
      </c>
      <c r="N32" s="18">
        <f t="shared" si="19"/>
        <v>3</v>
      </c>
      <c r="O32" s="12">
        <f t="shared" si="20"/>
        <v>4</v>
      </c>
      <c r="P32" s="18">
        <f t="shared" si="21"/>
        <v>4</v>
      </c>
    </row>
    <row r="33" spans="1:16" ht="15.75" x14ac:dyDescent="0.25">
      <c r="A33" s="16">
        <v>6</v>
      </c>
      <c r="B33" s="26" t="s">
        <v>10</v>
      </c>
      <c r="C33" s="27"/>
      <c r="D33" s="27"/>
      <c r="E33" s="27"/>
      <c r="F33" s="16">
        <f>SUM(F34:F35)</f>
        <v>0</v>
      </c>
      <c r="G33" s="17"/>
      <c r="H33" s="17"/>
      <c r="I33" s="17"/>
      <c r="J33" s="16">
        <f t="shared" ref="J33:P33" si="23">SUM(J34:J35)</f>
        <v>0</v>
      </c>
      <c r="K33" s="16">
        <f t="shared" si="23"/>
        <v>0</v>
      </c>
      <c r="L33" s="16">
        <f t="shared" si="23"/>
        <v>0</v>
      </c>
      <c r="M33" s="16">
        <f t="shared" si="23"/>
        <v>0</v>
      </c>
      <c r="N33" s="16">
        <f t="shared" si="23"/>
        <v>0</v>
      </c>
      <c r="O33" s="16">
        <f t="shared" si="23"/>
        <v>0</v>
      </c>
      <c r="P33" s="16">
        <f t="shared" si="23"/>
        <v>0</v>
      </c>
    </row>
    <row r="34" spans="1:16" ht="15.75" x14ac:dyDescent="0.25">
      <c r="A34" s="11"/>
      <c r="B34" s="19"/>
      <c r="C34" s="11"/>
      <c r="D34" s="11"/>
      <c r="E34" s="11"/>
      <c r="F34" s="11"/>
      <c r="G34" s="11"/>
      <c r="H34" s="11"/>
      <c r="I34" s="11"/>
      <c r="J34" s="11"/>
      <c r="K34" s="12"/>
      <c r="L34" s="18"/>
      <c r="M34" s="12"/>
      <c r="N34" s="18"/>
      <c r="O34" s="12"/>
      <c r="P34" s="18"/>
    </row>
    <row r="35" spans="1:16" ht="15.75" x14ac:dyDescent="0.25">
      <c r="A35" s="11"/>
      <c r="B35" s="19"/>
      <c r="C35" s="11"/>
      <c r="D35" s="11"/>
      <c r="E35" s="11"/>
      <c r="F35" s="11"/>
      <c r="G35" s="11"/>
      <c r="H35" s="11"/>
      <c r="I35" s="11"/>
      <c r="J35" s="11"/>
      <c r="K35" s="12"/>
      <c r="L35" s="18"/>
      <c r="M35" s="12"/>
      <c r="N35" s="18"/>
      <c r="O35" s="12"/>
      <c r="P35" s="18"/>
    </row>
    <row r="36" spans="1:16" ht="15.75" x14ac:dyDescent="0.25">
      <c r="A36" s="16" t="s">
        <v>11</v>
      </c>
      <c r="B36" s="28" t="s">
        <v>28</v>
      </c>
      <c r="C36" s="29"/>
      <c r="D36" s="29"/>
      <c r="E36" s="29"/>
      <c r="F36" s="16">
        <f>SUM(F37:F39)</f>
        <v>3</v>
      </c>
      <c r="G36" s="17"/>
      <c r="H36" s="17"/>
      <c r="I36" s="17"/>
      <c r="J36" s="16">
        <f t="shared" ref="J36:P36" si="24">SUM(J37:J39)</f>
        <v>3.4000000000000004</v>
      </c>
      <c r="K36" s="16">
        <f t="shared" si="24"/>
        <v>3</v>
      </c>
      <c r="L36" s="16">
        <f t="shared" si="24"/>
        <v>3.4000000000000004</v>
      </c>
      <c r="M36" s="16">
        <f t="shared" si="24"/>
        <v>3</v>
      </c>
      <c r="N36" s="16">
        <f t="shared" si="24"/>
        <v>3.4000000000000004</v>
      </c>
      <c r="O36" s="16">
        <f t="shared" si="24"/>
        <v>3</v>
      </c>
      <c r="P36" s="16">
        <f t="shared" si="24"/>
        <v>3.4000000000000004</v>
      </c>
    </row>
    <row r="37" spans="1:16" ht="47.25" x14ac:dyDescent="0.25">
      <c r="A37" s="11">
        <v>1</v>
      </c>
      <c r="B37" s="19" t="s">
        <v>81</v>
      </c>
      <c r="C37" s="11" t="s">
        <v>26</v>
      </c>
      <c r="D37" s="11" t="s">
        <v>55</v>
      </c>
      <c r="E37" s="11" t="s">
        <v>82</v>
      </c>
      <c r="F37" s="11">
        <v>1</v>
      </c>
      <c r="G37" s="11" t="s">
        <v>29</v>
      </c>
      <c r="H37" s="11">
        <v>120</v>
      </c>
      <c r="I37" s="11">
        <v>1.2</v>
      </c>
      <c r="J37" s="11">
        <f t="shared" ref="J37:K38" si="25">F37*I37</f>
        <v>1.2</v>
      </c>
      <c r="K37" s="11">
        <v>1</v>
      </c>
      <c r="L37" s="18">
        <f t="shared" ref="L37:L38" si="26">K37*I37</f>
        <v>1.2</v>
      </c>
      <c r="M37" s="12">
        <f>K37*100%</f>
        <v>1</v>
      </c>
      <c r="N37" s="18">
        <f t="shared" ref="N37:N39" si="27">I37*M37</f>
        <v>1.2</v>
      </c>
      <c r="O37" s="12">
        <f t="shared" ref="O37:O38" si="28">K37*100%</f>
        <v>1</v>
      </c>
      <c r="P37" s="18">
        <f t="shared" ref="P37:P38" si="29">I37*O37</f>
        <v>1.2</v>
      </c>
    </row>
    <row r="38" spans="1:16" ht="31.5" x14ac:dyDescent="0.25">
      <c r="A38" s="11">
        <v>2</v>
      </c>
      <c r="B38" s="19" t="s">
        <v>83</v>
      </c>
      <c r="C38" s="11" t="s">
        <v>26</v>
      </c>
      <c r="D38" s="11" t="s">
        <v>55</v>
      </c>
      <c r="E38" s="11" t="s">
        <v>82</v>
      </c>
      <c r="F38" s="11">
        <v>1</v>
      </c>
      <c r="G38" s="11" t="s">
        <v>40</v>
      </c>
      <c r="H38" s="11">
        <v>100</v>
      </c>
      <c r="I38" s="11">
        <v>1</v>
      </c>
      <c r="J38" s="11">
        <f t="shared" si="25"/>
        <v>1</v>
      </c>
      <c r="K38" s="12">
        <v>1</v>
      </c>
      <c r="L38" s="18">
        <f t="shared" si="26"/>
        <v>1</v>
      </c>
      <c r="M38" s="12">
        <f>K38*100%</f>
        <v>1</v>
      </c>
      <c r="N38" s="18">
        <f t="shared" si="27"/>
        <v>1</v>
      </c>
      <c r="O38" s="12">
        <f t="shared" si="28"/>
        <v>1</v>
      </c>
      <c r="P38" s="18">
        <f t="shared" si="29"/>
        <v>1</v>
      </c>
    </row>
    <row r="39" spans="1:16" ht="31.5" x14ac:dyDescent="0.25">
      <c r="A39" s="11">
        <v>33</v>
      </c>
      <c r="B39" s="19" t="s">
        <v>85</v>
      </c>
      <c r="C39" s="11" t="s">
        <v>26</v>
      </c>
      <c r="D39" s="11" t="s">
        <v>55</v>
      </c>
      <c r="E39" s="11" t="s">
        <v>82</v>
      </c>
      <c r="F39" s="11">
        <v>1</v>
      </c>
      <c r="G39" s="11" t="s">
        <v>29</v>
      </c>
      <c r="H39" s="11">
        <v>120</v>
      </c>
      <c r="I39" s="11">
        <v>1.2</v>
      </c>
      <c r="J39" s="11">
        <f t="shared" ref="J39" si="30">F39*I39</f>
        <v>1.2</v>
      </c>
      <c r="K39" s="11">
        <v>1</v>
      </c>
      <c r="L39" s="18">
        <f t="shared" ref="L39" si="31">K39*I39</f>
        <v>1.2</v>
      </c>
      <c r="M39" s="12">
        <f>K39*100%</f>
        <v>1</v>
      </c>
      <c r="N39" s="18">
        <f t="shared" ref="N39" si="32">I39*M39</f>
        <v>1.2</v>
      </c>
      <c r="O39" s="12">
        <f t="shared" ref="O39" si="33">K39*100%</f>
        <v>1</v>
      </c>
      <c r="P39" s="18">
        <f t="shared" ref="P39" si="34">I39*O39</f>
        <v>1.2</v>
      </c>
    </row>
    <row r="40" spans="1:16" s="3" customFormat="1" ht="15.75" x14ac:dyDescent="0.25">
      <c r="B40" s="50"/>
      <c r="C40" s="50"/>
      <c r="D40" s="50"/>
      <c r="E40" s="50"/>
      <c r="F40" s="50"/>
      <c r="G40" s="50"/>
      <c r="H40" s="50"/>
      <c r="I40" s="50"/>
      <c r="J40" s="50"/>
      <c r="K40" s="50"/>
      <c r="L40" s="50"/>
      <c r="M40" s="50"/>
      <c r="N40" s="50"/>
      <c r="O40" s="50"/>
      <c r="P40" s="50"/>
    </row>
    <row r="41" spans="1:16" s="4" customFormat="1" ht="131.25" customHeight="1" x14ac:dyDescent="0.25">
      <c r="A41" s="43" t="s">
        <v>58</v>
      </c>
      <c r="B41" s="43"/>
      <c r="C41" s="43"/>
      <c r="D41" s="13"/>
      <c r="G41" s="41" t="s">
        <v>86</v>
      </c>
      <c r="H41" s="41"/>
      <c r="I41" s="41"/>
      <c r="J41" s="41"/>
      <c r="K41" s="41"/>
      <c r="L41" s="42"/>
      <c r="M41" s="42"/>
      <c r="N41" s="42"/>
      <c r="O41" s="42"/>
      <c r="P41" s="42"/>
    </row>
  </sheetData>
  <mergeCells count="31">
    <mergeCell ref="G41:P41"/>
    <mergeCell ref="A41:C41"/>
    <mergeCell ref="A1:P1"/>
    <mergeCell ref="F6:F7"/>
    <mergeCell ref="G6:G7"/>
    <mergeCell ref="A6:A7"/>
    <mergeCell ref="B6:B7"/>
    <mergeCell ref="C6:C7"/>
    <mergeCell ref="D6:D7"/>
    <mergeCell ref="E6:E7"/>
    <mergeCell ref="B9:P9"/>
    <mergeCell ref="B40:P40"/>
    <mergeCell ref="A2:B2"/>
    <mergeCell ref="A3:B3"/>
    <mergeCell ref="A4:P4"/>
    <mergeCell ref="H6:H7"/>
    <mergeCell ref="G2:P2"/>
    <mergeCell ref="G3:P3"/>
    <mergeCell ref="K6:L6"/>
    <mergeCell ref="M6:N6"/>
    <mergeCell ref="O6:P6"/>
    <mergeCell ref="A5:P5"/>
    <mergeCell ref="I6:I7"/>
    <mergeCell ref="J6:J7"/>
    <mergeCell ref="B33:E33"/>
    <mergeCell ref="B36:E36"/>
    <mergeCell ref="B10:E10"/>
    <mergeCell ref="B18:E18"/>
    <mergeCell ref="B26:E26"/>
    <mergeCell ref="B23:E23"/>
    <mergeCell ref="B29:E29"/>
  </mergeCells>
  <conditionalFormatting sqref="C22">
    <cfRule type="dataBar" priority="12">
      <dataBar>
        <cfvo type="min"/>
        <cfvo type="max"/>
        <color rgb="FF638EC6"/>
      </dataBar>
      <extLst>
        <ext xmlns:x14="http://schemas.microsoft.com/office/spreadsheetml/2009/9/main" uri="{B025F937-C7B1-47D3-B67F-A62EFF666E3E}">
          <x14:id>{CBD7B373-A4C1-41FB-A25C-F14BF1ED705A}</x14:id>
        </ext>
      </extLst>
    </cfRule>
  </conditionalFormatting>
  <conditionalFormatting sqref="C25">
    <cfRule type="dataBar" priority="10">
      <dataBar>
        <cfvo type="min"/>
        <cfvo type="max"/>
        <color rgb="FF638EC6"/>
      </dataBar>
      <extLst>
        <ext xmlns:x14="http://schemas.microsoft.com/office/spreadsheetml/2009/9/main" uri="{B025F937-C7B1-47D3-B67F-A62EFF666E3E}">
          <x14:id>{C43A89B3-42DD-4279-AA99-7BDD08DBEF47}</x14:id>
        </ext>
      </extLst>
    </cfRule>
  </conditionalFormatting>
  <conditionalFormatting sqref="C30:C31">
    <cfRule type="dataBar" priority="4">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4:C35">
    <cfRule type="dataBar" priority="7">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7:C39">
    <cfRule type="dataBar" priority="6">
      <dataBar>
        <cfvo type="min"/>
        <cfvo type="max"/>
        <color rgb="FF638EC6"/>
      </dataBar>
      <extLst>
        <ext xmlns:x14="http://schemas.microsoft.com/office/spreadsheetml/2009/9/main" uri="{B025F937-C7B1-47D3-B67F-A62EFF666E3E}">
          <x14:id>{2EA7D65E-B8CA-499C-8421-2AC504B81EAC}</x14:id>
        </ext>
      </extLst>
    </cfRule>
  </conditionalFormatting>
  <conditionalFormatting sqref="C24">
    <cfRule type="dataBar" priority="3">
      <dataBar>
        <cfvo type="min"/>
        <cfvo type="max"/>
        <color rgb="FF638EC6"/>
      </dataBar>
      <extLst>
        <ext xmlns:x14="http://schemas.microsoft.com/office/spreadsheetml/2009/9/main" uri="{B025F937-C7B1-47D3-B67F-A62EFF666E3E}">
          <x14:id>{C9CE9DC6-5F67-4F82-A107-3D48FCC7A191}</x14:id>
        </ext>
      </extLst>
    </cfRule>
  </conditionalFormatting>
  <conditionalFormatting sqref="C27:C28">
    <cfRule type="dataBar" priority="15">
      <dataBar>
        <cfvo type="min"/>
        <cfvo type="max"/>
        <color rgb="FF638EC6"/>
      </dataBar>
      <extLst>
        <ext xmlns:x14="http://schemas.microsoft.com/office/spreadsheetml/2009/9/main" uri="{B025F937-C7B1-47D3-B67F-A62EFF666E3E}">
          <x14:id>{43AE063F-6FBA-4145-8E96-3B15FC0C4DF2}</x14:id>
        </ext>
      </extLst>
    </cfRule>
  </conditionalFormatting>
  <conditionalFormatting sqref="C32">
    <cfRule type="dataBar" priority="16">
      <dataBar>
        <cfvo type="min"/>
        <cfvo type="max"/>
        <color rgb="FF638EC6"/>
      </dataBar>
      <extLst>
        <ext xmlns:x14="http://schemas.microsoft.com/office/spreadsheetml/2009/9/main" uri="{B025F937-C7B1-47D3-B67F-A62EFF666E3E}">
          <x14:id>{03A9939A-9B3D-4529-BE0E-4E6837550A17}</x14:id>
        </ext>
      </extLst>
    </cfRule>
  </conditionalFormatting>
  <conditionalFormatting sqref="C11:C14 C16:C17">
    <cfRule type="dataBar" priority="18">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5">
    <cfRule type="dataBar" priority="2">
      <dataBar>
        <cfvo type="min"/>
        <cfvo type="max"/>
        <color rgb="FF638EC6"/>
      </dataBar>
      <extLst>
        <ext xmlns:x14="http://schemas.microsoft.com/office/spreadsheetml/2009/9/main" uri="{B025F937-C7B1-47D3-B67F-A62EFF666E3E}">
          <x14:id>{8274448E-D2E4-441B-92F7-320376BE8D3F}</x14:id>
        </ext>
      </extLst>
    </cfRule>
  </conditionalFormatting>
  <conditionalFormatting sqref="C19:C21">
    <cfRule type="dataBar" priority="1">
      <dataBar>
        <cfvo type="min"/>
        <cfvo type="max"/>
        <color rgb="FF638EC6"/>
      </dataBar>
      <extLst>
        <ext xmlns:x14="http://schemas.microsoft.com/office/spreadsheetml/2009/9/main" uri="{B025F937-C7B1-47D3-B67F-A62EFF666E3E}">
          <x14:id>{B6E373D7-8AF7-445B-B42C-3A40334CE99C}</x14:id>
        </ext>
      </extLst>
    </cfRule>
  </conditionalFormatting>
  <dataValidations count="5">
    <dataValidation type="list" allowBlank="1" showInputMessage="1" sqref="D11:D17 D30:D32 D24:D25 D34:D35 D27:D28 D19:D22 D37:D39">
      <formula1>"Phòng QLĐT&amp;BĐCL, Phòng TH-HC&amp;QT, Phòng QLKHCN&amp;HTPT, Phòng TC-KT, Phòng  TCCB&amp;CTHSSV, Khoa Sư phạm, Khoa CKHCB, Khoa KT&amp;NL, Khoa Y – Dược, Khoa ĐT&amp;SHLX, Khoa KT&amp;CN"</formula1>
    </dataValidation>
    <dataValidation type="list" allowBlank="1" showInputMessage="1" sqref="C24:C25 C30:C32 C11:C17 C27:C28 C19:C22 C34:C35 C37:C39">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24:G25 G30:G32 G11:G17 G27:G28 G19:G22 G34:G35 G37:G39">
      <formula1>"Thấp,Trung bình,Cao,Khó và phức tạp"</formula1>
    </dataValidation>
    <dataValidation allowBlank="1" showInputMessage="1" sqref="H30:K32 H34:K35 E24:E25 H27:K28 E20:E22 E30:E32 H24:K25 E27:E28 H11:K17 E34:E35 H19:K22 E37:E39 H37:K39"/>
    <dataValidation type="list" allowBlank="1" showInputMessage="1" sqref="E11:E17 E19">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C30:C31</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C34:C35</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C37:C39</xm:sqref>
        </x14:conditionalFormatting>
        <x14:conditionalFormatting xmlns:xm="http://schemas.microsoft.com/office/excel/2006/main">
          <x14:cfRule type="dataBar" id="{C9CE9DC6-5F67-4F82-A107-3D48FCC7A191}">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C27:C28</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C32</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C11:C14 C16:C17</xm:sqref>
        </x14:conditionalFormatting>
        <x14:conditionalFormatting xmlns:xm="http://schemas.microsoft.com/office/excel/2006/main">
          <x14:cfRule type="dataBar" id="{8274448E-D2E4-441B-92F7-320376BE8D3F}">
            <x14:dataBar minLength="0" maxLength="100" gradient="0">
              <x14:cfvo type="autoMin"/>
              <x14:cfvo type="autoMax"/>
              <x14:negativeFillColor rgb="FFFF0000"/>
              <x14:axisColor rgb="FF000000"/>
            </x14:dataBar>
          </x14:cfRule>
          <xm:sqref>C15</xm:sqref>
        </x14:conditionalFormatting>
        <x14:conditionalFormatting xmlns:xm="http://schemas.microsoft.com/office/excel/2006/main">
          <x14:cfRule type="dataBar" id="{B6E373D7-8AF7-445B-B42C-3A40334CE99C}">
            <x14:dataBar minLength="0" maxLength="100" gradient="0">
              <x14:cfvo type="autoMin"/>
              <x14:cfvo type="autoMax"/>
              <x14:negativeFillColor rgb="FFFF0000"/>
              <x14:axisColor rgb="FF000000"/>
            </x14:dataBar>
          </x14:cfRule>
          <xm:sqref>C19:C21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Lê Thị Hồng Nga</cp:lastModifiedBy>
  <cp:lastPrinted>2026-06-25T01:59:32Z</cp:lastPrinted>
  <dcterms:created xsi:type="dcterms:W3CDTF">2026-05-27T07:08:41Z</dcterms:created>
  <dcterms:modified xsi:type="dcterms:W3CDTF">2026-08-16T13:35:20Z</dcterms:modified>
</cp:coreProperties>
</file>