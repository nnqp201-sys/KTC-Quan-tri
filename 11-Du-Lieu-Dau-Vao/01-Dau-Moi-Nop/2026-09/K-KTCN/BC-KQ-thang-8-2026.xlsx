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ao cao\Nam 2026\thang 7\"/>
    </mc:Choice>
  </mc:AlternateContent>
  <xr:revisionPtr revIDLastSave="0" documentId="8_{1ACE50CF-31A3-4F11-8200-B01CA74804D6}" xr6:coauthVersionLast="47" xr6:coauthVersionMax="47" xr10:uidLastSave="{00000000-0000-0000-0000-000000000000}"/>
  <bookViews>
    <workbookView xWindow="-110" yWindow="-110" windowWidth="19420" windowHeight="11500" tabRatio="500" xr2:uid="{00000000-000D-0000-FFFF-FFFF00000000}"/>
  </bookViews>
  <sheets>
    <sheet name="Mẫu BC tháng" sheetId="1" r:id="rId1"/>
  </sheets>
  <definedNames>
    <definedName name="_xlnm.Print_Area" localSheetId="0">'Mẫu BC tháng'!$A$1:$P$41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0" i="1" l="1"/>
  <c r="P41" i="1"/>
  <c r="P39" i="1"/>
  <c r="P37" i="1"/>
  <c r="P34" i="1"/>
  <c r="P35" i="1"/>
  <c r="P33" i="1"/>
  <c r="P31" i="1"/>
  <c r="P30" i="1"/>
  <c r="P27" i="1"/>
  <c r="P28" i="1"/>
  <c r="P26" i="1"/>
  <c r="P24" i="1"/>
  <c r="P23" i="1"/>
  <c r="P11" i="1"/>
  <c r="P12" i="1"/>
  <c r="P13" i="1"/>
  <c r="P14" i="1"/>
  <c r="P15" i="1"/>
  <c r="P16" i="1"/>
  <c r="P17" i="1"/>
  <c r="P18" i="1"/>
  <c r="P19" i="1"/>
  <c r="P20" i="1"/>
  <c r="P21" i="1"/>
  <c r="P10" i="1"/>
  <c r="O40" i="1"/>
  <c r="O41" i="1"/>
  <c r="O39" i="1"/>
  <c r="O37" i="1"/>
  <c r="O34" i="1"/>
  <c r="O35" i="1"/>
  <c r="O33" i="1"/>
  <c r="O31" i="1"/>
  <c r="O30" i="1"/>
  <c r="O27" i="1"/>
  <c r="O28" i="1"/>
  <c r="O26" i="1"/>
  <c r="O24" i="1"/>
  <c r="O23" i="1"/>
  <c r="O11" i="1"/>
  <c r="O12" i="1"/>
  <c r="O13" i="1"/>
  <c r="O14" i="1"/>
  <c r="O15" i="1"/>
  <c r="O16" i="1"/>
  <c r="O17" i="1"/>
  <c r="O18" i="1"/>
  <c r="O19" i="1"/>
  <c r="O20" i="1"/>
  <c r="O21" i="1"/>
  <c r="O10" i="1"/>
  <c r="N40" i="1"/>
  <c r="N41" i="1"/>
  <c r="N39" i="1"/>
  <c r="N37" i="1"/>
  <c r="N34" i="1"/>
  <c r="N35" i="1"/>
  <c r="N33" i="1"/>
  <c r="N31" i="1"/>
  <c r="N30" i="1"/>
  <c r="N27" i="1"/>
  <c r="N28" i="1"/>
  <c r="N26" i="1"/>
  <c r="N24" i="1"/>
  <c r="N23" i="1"/>
  <c r="N11" i="1"/>
  <c r="N12" i="1"/>
  <c r="N13" i="1"/>
  <c r="N14" i="1"/>
  <c r="N15" i="1"/>
  <c r="N16" i="1"/>
  <c r="N17" i="1"/>
  <c r="N18" i="1"/>
  <c r="N19" i="1"/>
  <c r="N20" i="1"/>
  <c r="N21" i="1"/>
  <c r="N10" i="1"/>
  <c r="M40" i="1"/>
  <c r="M41" i="1"/>
  <c r="M39" i="1"/>
  <c r="M37" i="1"/>
  <c r="M34" i="1"/>
  <c r="M35" i="1"/>
  <c r="M33" i="1"/>
  <c r="M31" i="1"/>
  <c r="M30" i="1"/>
  <c r="M27" i="1"/>
  <c r="M28" i="1"/>
  <c r="M26" i="1"/>
  <c r="M24" i="1"/>
  <c r="M23" i="1"/>
  <c r="M11" i="1"/>
  <c r="M12" i="1"/>
  <c r="M13" i="1"/>
  <c r="M14" i="1"/>
  <c r="M15" i="1"/>
  <c r="M16" i="1"/>
  <c r="M17" i="1"/>
  <c r="M18" i="1"/>
  <c r="M19" i="1"/>
  <c r="M20" i="1"/>
  <c r="M21" i="1"/>
  <c r="M10" i="1"/>
  <c r="L40" i="1"/>
  <c r="L41" i="1"/>
  <c r="L39" i="1"/>
  <c r="L37" i="1"/>
  <c r="L34" i="1"/>
  <c r="L35" i="1"/>
  <c r="L33" i="1"/>
  <c r="L31" i="1"/>
  <c r="L30" i="1"/>
  <c r="L27" i="1"/>
  <c r="L28" i="1"/>
  <c r="L26" i="1"/>
  <c r="L24" i="1"/>
  <c r="L23" i="1"/>
  <c r="L11" i="1"/>
  <c r="L12" i="1"/>
  <c r="L13" i="1"/>
  <c r="L14" i="1"/>
  <c r="L15" i="1"/>
  <c r="L16" i="1"/>
  <c r="L17" i="1"/>
  <c r="L18" i="1"/>
  <c r="L19" i="1"/>
  <c r="L20" i="1"/>
  <c r="L21" i="1"/>
  <c r="K40" i="1"/>
  <c r="K41" i="1"/>
  <c r="K39" i="1"/>
  <c r="K37" i="1"/>
  <c r="K34" i="1"/>
  <c r="K35" i="1"/>
  <c r="K33" i="1"/>
  <c r="K31" i="1"/>
  <c r="K30" i="1"/>
  <c r="K27" i="1"/>
  <c r="K28" i="1"/>
  <c r="K26" i="1"/>
  <c r="K24" i="1"/>
  <c r="K23" i="1"/>
  <c r="K11" i="1"/>
  <c r="K12" i="1"/>
  <c r="K13" i="1"/>
  <c r="K14" i="1"/>
  <c r="K15" i="1"/>
  <c r="K16" i="1"/>
  <c r="K17" i="1"/>
  <c r="K18" i="1"/>
  <c r="K19" i="1"/>
  <c r="K20" i="1"/>
  <c r="K21" i="1"/>
  <c r="L10" i="1"/>
  <c r="K10" i="1"/>
</calcChain>
</file>

<file path=xl/sharedStrings.xml><?xml version="1.0" encoding="utf-8"?>
<sst xmlns="http://schemas.openxmlformats.org/spreadsheetml/2006/main" count="231" uniqueCount="144">
  <si>
    <t>TRƯỜNG CAO ĐẲNG KON TUM</t>
  </si>
  <si>
    <t>CỘNG HÒA XÃ HỘI CHỦ NGHĨA VIỆT NAM</t>
  </si>
  <si>
    <t>KHOA KỸ THUẬT VÀ CÔNG NGHỆ</t>
  </si>
  <si>
    <t>Độc lập - Tự do - Hạnh phúc</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</si>
  <si>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</si>
  <si>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</si>
  <si>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</si>
  <si>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</si>
  <si>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</si>
  <si>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</si>
  <si>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</si>
  <si>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</si>
  <si>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</si>
  <si>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</si>
  <si>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(1)</t>
  </si>
  <si>
    <t>(2)</t>
  </si>
  <si>
    <t>(3)</t>
  </si>
  <si>
    <t>(4)</t>
  </si>
  <si>
    <t>(5)</t>
  </si>
  <si>
    <t>(6)</t>
  </si>
  <si>
    <t>(7)</t>
  </si>
  <si>
    <t>(8)</t>
  </si>
  <si>
    <t>I</t>
  </si>
  <si>
    <t>Các nhiệm vụ theo kế hoạch (chương trình) công tác đã đề ra từ đầu quý</t>
  </si>
  <si>
    <t>Trục (1) - Thực hiện mục tiêu phát triển Kinh tế - xã hội và nhiệm vụ chính trị được giao</t>
  </si>
  <si>
    <t>1.1</t>
  </si>
  <si>
    <t>Lãnh đạo Khoa</t>
  </si>
  <si>
    <t>Giáo vụ Khoa và nhà giáo</t>
  </si>
  <si>
    <t>Báo cáo, danh sách đề nghị xét tốt nghiệp</t>
  </si>
  <si>
    <t>Trung bình; tác động trong Khoa</t>
  </si>
  <si>
    <t>1.2</t>
  </si>
  <si>
    <t>1.3</t>
  </si>
  <si>
    <t>Xây dựng Kế hoạch đào tạo các ngành, nghề của Khoa năm học 2026-2027</t>
  </si>
  <si>
    <t>Giáo vụ Khoa, các bộ môn và nhà giáo</t>
  </si>
  <si>
    <t>Kế hoạch</t>
  </si>
  <si>
    <t>Cao; tác động toàn Khoa</t>
  </si>
  <si>
    <t>1.4</t>
  </si>
  <si>
    <t>Xây dựng Kế hoạch vật tư thực hành các ngành, nghề, các khóa 7, 8, 9 năm học 2026-2027</t>
  </si>
  <si>
    <t>Trung bình; tác động toàn Khoa</t>
  </si>
  <si>
    <t>1.5</t>
  </si>
  <si>
    <t>Phối hợp triển khai truyền thông, tư vấn tuyển sinh, hướng nghiệp năm 2026, chú trọng đối tượng vùng sâu, vùng xa, dân tộc thiểu số, ngành nghề trọng điểm của Khoa</t>
  </si>
  <si>
    <t>Các bộ môn và nhà giáo</t>
  </si>
  <si>
    <t>Báo cáo kết quả phối hợp</t>
  </si>
  <si>
    <t>Trung bình; tác động ngoài Khoa</t>
  </si>
  <si>
    <t>1.6</t>
  </si>
  <si>
    <t>1.7</t>
  </si>
  <si>
    <t>Giáo vụ Khoa</t>
  </si>
  <si>
    <t>1.8</t>
  </si>
  <si>
    <t>1.9</t>
  </si>
  <si>
    <t>Khoa</t>
  </si>
  <si>
    <t>Văn bản đề xuất</t>
  </si>
  <si>
    <t>1.10</t>
  </si>
  <si>
    <t>Phối hợp hoàn thiện Đề án thành lập Trung tâm Đăng kiểm xe cơ giới trực thuộc Trường</t>
  </si>
  <si>
    <t>Bộ môn CK&amp;XD</t>
  </si>
  <si>
    <t>Ý kiến góp ý, hồ sơ</t>
  </si>
  <si>
    <t>Khó và phức tạp; tác động toàn Trường</t>
  </si>
  <si>
    <t>Báo cáo kết quả dịch vụ</t>
  </si>
  <si>
    <t>Trục (2) - Hoàn thiện thể chế, đẩy mạnh phân cấp, phân quyền gắn với kiểm tra, giám sát</t>
  </si>
  <si>
    <t>2.1</t>
  </si>
  <si>
    <t>Biên bản kiểm tra</t>
  </si>
  <si>
    <t>2.2</t>
  </si>
  <si>
    <t>Triển khai thực hiện các quy định về đạo đức nhà giáo, văn hóa công sở</t>
  </si>
  <si>
    <t>Toàn thể viên chức, nhà giáo</t>
  </si>
  <si>
    <t>Báo cáo thực hiện</t>
  </si>
  <si>
    <t>Trục (3) - Thúc đẩy phát triển khoa học, công nghệ, đổi mới sáng tạo và chuyển đổi số</t>
  </si>
  <si>
    <t>3.1</t>
  </si>
  <si>
    <t>Cao; tác động cấp Trường</t>
  </si>
  <si>
    <t>3.2</t>
  </si>
  <si>
    <t>Đăng ký đề tài nghiên cứu khoa học, sáng kiến, chuyên đề năm học 2026-2027</t>
  </si>
  <si>
    <t>Các bộ môn, nhà giáo</t>
  </si>
  <si>
    <t>Danh mục đề tài, sáng kiến</t>
  </si>
  <si>
    <t>3.3</t>
  </si>
  <si>
    <t>Thiết bị dự thi, bài viết hội thảo</t>
  </si>
  <si>
    <t>Thấp; tác động trong Khoa</t>
  </si>
  <si>
    <t>Trục (4) - Xây dựng đảng và hệ thống chính trị trong sạch, vững mạnh; giữ gìn đoàn kết, thống nhất nội bộ; phòng, chống tham nhũng, lãng phí, tiêu cực</t>
  </si>
  <si>
    <t>4.1</t>
  </si>
  <si>
    <t>Bí thư Chi bộ</t>
  </si>
  <si>
    <t>Biên bản họp</t>
  </si>
  <si>
    <t>4.2</t>
  </si>
  <si>
    <t>Phó Bí thư Chi bộ</t>
  </si>
  <si>
    <t>Báo cáo</t>
  </si>
  <si>
    <t>Trục (5) - Phát triển văn hóa, con người, bảo đảm an sinh xã hội, nâng cao đời sống nhân dân</t>
  </si>
  <si>
    <t>5.1</t>
  </si>
  <si>
    <t>GVCN các lớp</t>
  </si>
  <si>
    <t>Danh sách, báo cáo</t>
  </si>
  <si>
    <t>5.2</t>
  </si>
  <si>
    <t>Phối hợp triển khai chế độ chính sách, học bổng, mô hình "Bếp ăn hỗ trợ học sinh, sinh viên có hoàn cảnh khó khăn"</t>
  </si>
  <si>
    <t>GVCN, Đoàn Thanh niên</t>
  </si>
  <si>
    <t>Danh sách đề xuất</t>
  </si>
  <si>
    <t>5.3</t>
  </si>
  <si>
    <t>Bí thư Chi đoàn Khoa</t>
  </si>
  <si>
    <t>Đoàn viên, thanh niên Khoa</t>
  </si>
  <si>
    <t>Báo cáo kết quả</t>
  </si>
  <si>
    <t>Trục (6) - Củng cố quốc phòng, an ninh, giữ vững ổn định chính trị - xã hội, nâng cao hiệu quả đối ngoại và hội nhập quốc tế</t>
  </si>
  <si>
    <t>6.1</t>
  </si>
  <si>
    <t>Phối hợp doanh nghiệp xây dựng Kế hoạch tiếp nhận học sinh, sinh viên thực tập năm học 2026-2027</t>
  </si>
  <si>
    <t>Các bộ môn, GVCN</t>
  </si>
  <si>
    <t>Kế hoạch thực tập, biên bản làm việc</t>
  </si>
  <si>
    <t>Báo cáo theo dõi</t>
  </si>
  <si>
    <t>II</t>
  </si>
  <si>
    <t>Các nhiệm vụ đột xuất, phát sinh khác ngoài kế hoạch, từ tháng trước chuyển sang (nếu có)</t>
  </si>
  <si>
    <t>Hội đồng đánh giá sáng kiến</t>
  </si>
  <si>
    <t>Phiếu đánh giá hoàn chỉnh</t>
  </si>
  <si>
    <t>Hoàn thiện các nội dung phục vụ công tác tự kiểm định chất lượng nghề Công nghệ ô tô trình độ trung cấp</t>
  </si>
  <si>
    <t>Hồ sơ tự kiểm định</t>
  </si>
  <si>
    <t>Khó và phức tạp; tác động cấp Trường</t>
  </si>
  <si>
    <t>Tháng 8</t>
  </si>
  <si>
    <t>Phối hợp triển khai tham giá Lễ tốt nghiệp</t>
  </si>
  <si>
    <t>Triển khai hoạt động khởi nghiệp 
ĐMST năm 2026</t>
  </si>
  <si>
    <t>Hoàn thiện xây dựng Danh mục công việc</t>
  </si>
  <si>
    <t>Triển khai thực hiện Thông báo hướng dẫn xây dựng, cập nhật, cải tiến chương trình đào tạo năm 2026 theo phương pháp giảng dạy tích hợp.</t>
  </si>
  <si>
    <t>Tham gia hoạt động kỷ niệm ngày Cách mạng tháng 8, hoạt động cộng đồng, phát triển trong kỷ nguyên mới</t>
  </si>
  <si>
    <t>triển khai tiếp sinh, nhập học thí sinh trúng tuyển trình độ cao đẳng, trung cấp, hệ chính quy năm học 2026-2027.</t>
  </si>
  <si>
    <t xml:space="preserve">Giáo vụ Khoa, Chủ nhiệm lớp </t>
  </si>
  <si>
    <t>Sinh hoạt Chi bộ khoa định kỳ tháng 8/2026</t>
  </si>
  <si>
    <t>Chi bộ khoa</t>
  </si>
  <si>
    <t>Xây dựng Kế hoạch công tác cá nhân nhà giáo năm học 2026-2027</t>
  </si>
  <si>
    <t>1.11</t>
  </si>
  <si>
    <t>Triển khai thực hiện các nhiệm vụ phát sinh của Tập thể Lãnh đạo Trường trong Quý.</t>
  </si>
  <si>
    <t>Triển khai hoạt động sinh viên đầu năm học 2026 - 2027</t>
  </si>
  <si>
    <t>Kiểm tra, lưu trữ hồ sơ nhà giáo trên hệ thống ioffice (hồ sơ các lớp năm học 2025-2026) bảo đảm số hóa trong quản lý</t>
  </si>
  <si>
    <t>Định kỳ báo cáo kết quả dịch vụ bảo dưỡng, sửa chữa ô tô, xe chuyên dùng tại Khoa gắn với thực hành, rà soát cơ cấu nhân lực, triển khai nhiệm vụ đẩy mạnh theo yêu cầu (nếu có)</t>
  </si>
  <si>
    <t>Rà soát tài sản thanh lý,Đề xuất sửa chữa trang thiết bị hư hỏng</t>
  </si>
  <si>
    <t xml:space="preserve">Triển khai Kế hoạch xây dựng định mức kinh tế - kỹ thuật và định mức chi phí đào tạo đối với các nghề trình độ sơ cấp, đào tạo nghề dưới 3 tháng </t>
  </si>
  <si>
    <t>Tuyên truyền, quán triệt các văn bản, chỉ đạo của Đảng ủy, Lãnh đạo Trường tới đảng viên, nhà giáo Khoa</t>
  </si>
  <si>
    <t>Triển khai thu thập, nộp minh chứng tự đánh giá chất lượng chương trình đào tạo ngành nghề Công nghệ ô tô trình độ trung cấp</t>
  </si>
  <si>
    <t>1.12</t>
  </si>
  <si>
    <t>Xây dựng kinh phí, chuẩn bị thiết bị, hồ sơ tham gia Hội thi thiết bị đào tạo tự làm cấp cơ sở lần thứ IV năm 2026</t>
  </si>
  <si>
    <t>BÁO CÁO
kết quả thực hiện công tác tháng 8 năm 2026</t>
  </si>
  <si>
    <t>KPI (số lượng)</t>
  </si>
  <si>
    <t>KPI (chất lượng)</t>
  </si>
  <si>
    <t>KPI (tiến độ)</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</si>
  <si>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</si>
  <si>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</si>
  <si>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</si>
  <si>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</si>
  <si>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</si>
  <si>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</si>
  <si>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</si>
  <si>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</si>
  <si>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Thực tế hoàn thành</t>
  </si>
  <si>
    <t>Quy đổi</t>
  </si>
  <si>
    <r>
      <rPr>
        <b/>
        <i/>
        <sz val="12"/>
        <rFont val="Times New Roman"/>
        <family val="1"/>
      </rPr>
      <t>Nơi nhận:</t>
    </r>
    <r>
      <rPr>
        <sz val="12"/>
        <rFont val="Times New Roman"/>
        <family val="1"/>
        <charset val="163"/>
      </rPr>
      <t xml:space="preserve">
- Lãnh đạo Trường;
- Phòng Tổng hợp - Hành chính và Quản trị;
- Các bộ môn thuộc Khoa;
- Lưu: KTCN.</t>
    </r>
  </si>
  <si>
    <r>
      <rPr>
        <i/>
        <sz val="14"/>
        <rFont val="Times New Roman"/>
        <family val="1"/>
      </rPr>
      <t>Quảng Ngãi, ngày ... tháng 8 năm 2026</t>
    </r>
    <r>
      <rPr>
        <b/>
        <sz val="14"/>
        <rFont val="Times New Roman"/>
        <family val="1"/>
        <charset val="163"/>
      </rPr>
      <t xml:space="preserve">
TRƯỞNG KHOA
Nguyễn An Huấn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</si>
</sst>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charset val="1"/>
    </font>
    <font>
      <b/>
      <sz val="14"/>
      <color theme="1"/>
      <name val="Times New Roman"/>
      <family val="1"/>
      <charset val="1"/>
    </font>
    <font>
      <sz val="13"/>
      <color theme="1"/>
      <name val="Times New Roman"/>
      <family val="1"/>
      <charset val="1"/>
    </font>
    <font>
      <sz val="12"/>
      <color theme="1"/>
      <name val="Calibri"/>
      <family val="2"/>
      <charset val="1"/>
    </font>
    <font>
      <b/>
      <sz val="13"/>
      <color theme="1"/>
      <name val="Times New Roman"/>
      <family val="1"/>
      <charset val="1"/>
    </font>
    <font>
      <b/>
      <sz val="12"/>
      <color theme="1"/>
      <name val="Times New Roman"/>
      <family val="1"/>
      <charset val="1"/>
    </font>
    <font>
      <sz val="12"/>
      <color theme="1"/>
      <name val="Times New Roman"/>
      <family val="1"/>
      <charset val="1"/>
    </font>
    <font>
      <b/>
      <sz val="12"/>
      <color rgb="FF000000"/>
      <name val="Times New Roman"/>
      <family val="1"/>
      <charset val="1"/>
    </font>
    <font>
      <b/>
      <sz val="12"/>
      <name val="Times New Roman"/>
      <family val="1"/>
      <charset val="1"/>
    </font>
    <font>
      <sz val="12"/>
      <color rgb="FF000000"/>
      <name val="Times New Roman"/>
      <family val="1"/>
      <charset val="1"/>
    </font>
    <font>
      <sz val="12"/>
      <name val="Times New Roman"/>
      <family val="1"/>
      <charset val="1"/>
    </font>
    <font>
      <b/>
      <sz val="12"/>
      <color rgb="FF000000"/>
      <name val="Times New Roman"/>
      <family val="1"/>
      <charset val="163"/>
    </font>
    <font>
      <sz val="11"/>
      <name val="Calibri"/>
      <family val="2"/>
      <charset val="1"/>
    </font>
    <font>
      <sz val="12"/>
      <name val="Calibri"/>
      <family val="2"/>
      <charset val="1"/>
    </font>
    <font>
      <sz val="12"/>
      <name val="Times New Roman"/>
      <family val="1"/>
      <charset val="163"/>
    </font>
    <font>
      <b/>
      <sz val="14"/>
      <name val="Times New Roman"/>
      <family val="1"/>
      <charset val="163"/>
    </font>
    <font>
      <sz val="8"/>
      <name val="Calibri"/>
      <family val="2"/>
      <charset val="1"/>
    </font>
    <font>
      <sz val="12"/>
      <color rgb="FF000000"/>
      <name val="Times New Roman"/>
      <family val="1"/>
    </font>
    <font>
      <sz val="12"/>
      <color theme="1"/>
      <name val="Times New Roman"/>
      <family val="1"/>
      <charset val="163"/>
    </font>
    <font>
      <sz val="12"/>
      <color rgb="FF000000"/>
      <name val="Times New Roman"/>
      <family val="1"/>
      <charset val="163"/>
    </font>
    <font>
      <sz val="12"/>
      <color theme="1"/>
      <name val="Calibri"/>
      <family val="2"/>
      <charset val="163"/>
    </font>
    <font>
      <sz val="12"/>
      <color theme="1"/>
      <name val="Times New Roman"/>
      <family val="1"/>
    </font>
    <font>
      <b/>
      <sz val="12"/>
      <name val="Times New Roman"/>
      <family val="1"/>
    </font>
    <font>
      <sz val="12"/>
      <name val="Calibri"/>
      <family val="2"/>
    </font>
    <font>
      <sz val="11"/>
      <name val="Times New Roman"/>
      <family val="1"/>
      <charset val="163"/>
    </font>
    <font>
      <b/>
      <i/>
      <sz val="12"/>
      <name val="Times New Roman"/>
      <family val="1"/>
    </font>
    <font>
      <sz val="12"/>
      <name val="Times New Roman"/>
      <family val="1"/>
    </font>
    <font>
      <i/>
      <sz val="14"/>
      <name val="Times New Roman"/>
      <family val="1"/>
    </font>
    <font>
      <b/>
      <sz val="14"/>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7" fillId="0" borderId="2" xfId="0" applyFont="1" applyBorder="1" applyAlignment="1">
      <alignment horizontal="center" vertical="center" wrapText="1"/>
    </xf>
    <xf numFmtId="0" fontId="3" fillId="0" borderId="0" xfId="0" applyFont="1"/>
    <xf numFmtId="0" fontId="5" fillId="0" borderId="0" xfId="0" applyFont="1" applyAlignment="1">
      <alignment vertical="center"/>
    </xf>
    <xf numFmtId="0" fontId="7" fillId="0" borderId="2" xfId="0" applyFont="1" applyBorder="1" applyAlignment="1">
      <alignment horizontal="center" vertical="center"/>
    </xf>
    <xf numFmtId="0" fontId="9" fillId="0" borderId="2" xfId="0" applyFont="1" applyBorder="1" applyAlignment="1">
      <alignment vertical="center" wrapText="1"/>
    </xf>
    <xf numFmtId="0" fontId="10"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0" xfId="0" applyFont="1"/>
    <xf numFmtId="0" fontId="13" fillId="0" borderId="0" xfId="0" applyFont="1"/>
    <xf numFmtId="0" fontId="17" fillId="0" borderId="2" xfId="0" applyFont="1" applyBorder="1" applyAlignment="1">
      <alignment horizontal="left" vertical="center" wrapText="1"/>
    </xf>
    <xf numFmtId="0" fontId="18" fillId="0" borderId="0" xfId="0" applyFont="1" applyAlignment="1">
      <alignment horizontal="justify" vertical="center"/>
    </xf>
    <xf numFmtId="0" fontId="14"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0" xfId="0" applyFont="1"/>
    <xf numFmtId="0" fontId="21" fillId="0" borderId="0" xfId="0" applyFont="1" applyAlignment="1">
      <alignment horizontal="justify" vertical="center"/>
    </xf>
    <xf numFmtId="0" fontId="21" fillId="0" borderId="0" xfId="0" applyFont="1" applyAlignment="1">
      <alignment wrapText="1"/>
    </xf>
    <xf numFmtId="0" fontId="1" fillId="0" borderId="0" xfId="0" applyFont="1" applyAlignment="1">
      <alignment horizontal="center" vertical="center" wrapText="1"/>
    </xf>
    <xf numFmtId="0" fontId="2"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vertical="center" wrapText="1"/>
    </xf>
    <xf numFmtId="0" fontId="6" fillId="0" borderId="1" xfId="0" applyFont="1" applyBorder="1" applyAlignment="1">
      <alignment horizontal="left" vertical="center"/>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vertical="center" wrapText="1"/>
    </xf>
    <xf numFmtId="0" fontId="7" fillId="0" borderId="2" xfId="0" applyFont="1" applyBorder="1" applyAlignment="1">
      <alignment horizontal="left" vertical="center"/>
    </xf>
    <xf numFmtId="0" fontId="10" fillId="0" borderId="3" xfId="0" applyFont="1" applyBorder="1" applyAlignment="1">
      <alignment horizontal="left" vertical="center" wrapText="1"/>
    </xf>
    <xf numFmtId="0" fontId="14" fillId="0" borderId="0" xfId="0" applyFont="1" applyAlignment="1">
      <alignment horizontal="left" vertical="top" wrapText="1"/>
    </xf>
    <xf numFmtId="0" fontId="15" fillId="0" borderId="0" xfId="0" applyFont="1" applyAlignment="1">
      <alignment horizontal="center" vertical="top" wrapText="1"/>
    </xf>
    <xf numFmtId="2" fontId="22" fillId="0" borderId="4" xfId="0" applyNumberFormat="1" applyFont="1" applyBorder="1" applyAlignment="1">
      <alignment horizontal="center" vertical="center" wrapText="1"/>
    </xf>
    <xf numFmtId="2" fontId="23" fillId="0" borderId="5" xfId="0" applyNumberFormat="1" applyFont="1" applyBorder="1" applyAlignment="1">
      <alignment vertical="center" wrapText="1"/>
    </xf>
    <xf numFmtId="0" fontId="24" fillId="0" borderId="2" xfId="0" quotePrefix="1" applyFont="1" applyBorder="1" applyAlignment="1">
      <alignment horizontal="center" vertical="center" wrapText="1"/>
    </xf>
    <xf numFmtId="2" fontId="22" fillId="0" borderId="4" xfId="0" applyNumberFormat="1" applyFont="1" applyBorder="1" applyAlignment="1">
      <alignment horizontal="center" vertical="center" wrapText="1"/>
    </xf>
    <xf numFmtId="0" fontId="24" fillId="2" borderId="2" xfId="0" quotePrefix="1" applyFont="1" applyFill="1" applyBorder="1" applyAlignment="1">
      <alignment horizontal="center" vertical="center" wrapText="1"/>
    </xf>
    <xf numFmtId="0" fontId="26" fillId="0" borderId="0" xfId="0" applyFont="1" applyAlignment="1">
      <alignment horizontal="left" vertical="top" wrapText="1"/>
    </xf>
    <xf numFmtId="0" fontId="28"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3"/>
  <sheetViews>
    <sheetView tabSelected="1" view="pageBreakPreview" topLeftCell="A34" zoomScale="70" zoomScaleNormal="70" zoomScalePageLayoutView="70" workbookViewId="0">
      <selection activeCell="C39" sqref="C39"/>
    </sheetView>
  </sheetViews>
  <sheetFormatPr defaultColWidth="8.6328125" defaultRowHeight="14.5"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6" width="7.08984375" customWidth="1"/>
  </cols>
  <sheetData>
    <row r="1" spans="1:16" s="2" customFormat="1" ht="28.5" customHeight="1" x14ac:dyDescent="0.35">
      <c r="A1" s="19" t="s">
        <v>0</v>
      </c>
      <c r="B1" s="19"/>
      <c r="D1" s="20" t="s">
        <v>1</v>
      </c>
      <c r="E1" s="20"/>
      <c r="F1" s="20"/>
      <c r="G1" s="20"/>
      <c r="H1" s="20"/>
      <c r="I1" s="20"/>
      <c r="J1" s="20"/>
      <c r="K1" s="20"/>
      <c r="L1" s="20"/>
      <c r="M1" s="20"/>
      <c r="N1" s="20"/>
      <c r="O1" s="20"/>
      <c r="P1" s="20"/>
    </row>
    <row r="2" spans="1:16" s="2" customFormat="1" ht="18.75" customHeight="1" x14ac:dyDescent="0.35">
      <c r="A2" s="21" t="s">
        <v>2</v>
      </c>
      <c r="B2" s="21"/>
      <c r="C2" s="3"/>
      <c r="D2" s="18" t="s">
        <v>3</v>
      </c>
      <c r="E2" s="18"/>
      <c r="F2" s="18"/>
      <c r="G2" s="18"/>
      <c r="H2" s="18"/>
      <c r="I2" s="18"/>
      <c r="J2" s="18"/>
      <c r="K2" s="18"/>
      <c r="L2" s="18"/>
      <c r="M2" s="18"/>
      <c r="N2" s="18"/>
      <c r="O2" s="18"/>
      <c r="P2" s="18"/>
    </row>
    <row r="3" spans="1:16" ht="44.25" customHeight="1" x14ac:dyDescent="0.35">
      <c r="A3" s="18" t="s">
        <v>128</v>
      </c>
      <c r="B3" s="18"/>
      <c r="C3" s="18"/>
      <c r="D3" s="18"/>
      <c r="E3" s="18"/>
      <c r="F3" s="18"/>
      <c r="G3" s="18"/>
      <c r="H3" s="18"/>
      <c r="I3" s="18"/>
      <c r="J3" s="18"/>
      <c r="K3" s="18"/>
      <c r="L3" s="18"/>
      <c r="M3" s="18"/>
      <c r="N3" s="18"/>
      <c r="O3" s="18"/>
      <c r="P3" s="18"/>
    </row>
    <row r="4" spans="1:16" ht="9" customHeight="1" x14ac:dyDescent="0.35">
      <c r="A4" s="22"/>
      <c r="B4" s="22"/>
      <c r="C4" s="22"/>
      <c r="D4" s="22"/>
      <c r="E4" s="22"/>
      <c r="F4" s="22"/>
      <c r="G4" s="22"/>
      <c r="H4" s="22"/>
      <c r="I4" s="22"/>
      <c r="J4" s="22"/>
      <c r="K4" s="22"/>
      <c r="L4" s="22"/>
      <c r="M4" s="22"/>
      <c r="N4" s="22"/>
      <c r="O4" s="22"/>
      <c r="P4" s="22"/>
    </row>
    <row r="5" spans="1:16" ht="32" customHeight="1" x14ac:dyDescent="0.35">
      <c r="A5" s="23" t="s">
        <v>4</v>
      </c>
      <c r="B5" s="23" t="s">
        <v>5</v>
      </c>
      <c r="C5" s="23" t="s">
        <v>6</v>
      </c>
      <c r="D5" s="23" t="s">
        <v>7</v>
      </c>
      <c r="E5" s="23" t="s">
        <v>8</v>
      </c>
      <c r="F5" s="23" t="s">
        <v>9</v>
      </c>
      <c r="G5" s="23" t="s">
        <v>10</v>
      </c>
      <c r="H5" s="24" t="s">
        <v>11</v>
      </c>
      <c r="I5" s="24" t="s">
        <v>12</v>
      </c>
      <c r="J5" s="24" t="s">
        <v>13</v>
      </c>
      <c r="K5" s="30" t="s">
        <v>129</v>
      </c>
      <c r="L5" s="31"/>
      <c r="M5" s="30" t="s">
        <v>130</v>
      </c>
      <c r="N5" s="31"/>
      <c r="O5" s="30" t="s">
        <v>131</v>
      </c>
      <c r="P5" s="31"/>
    </row>
    <row r="6" spans="1:16" ht="91.5" customHeight="1" x14ac:dyDescent="0.35">
      <c r="A6" s="23"/>
      <c r="B6" s="23"/>
      <c r="C6" s="23"/>
      <c r="D6" s="23"/>
      <c r="E6" s="23"/>
      <c r="F6" s="23"/>
      <c r="G6" s="23"/>
      <c r="H6" s="23"/>
      <c r="I6" s="23"/>
      <c r="J6" s="23"/>
      <c r="K6" s="33" t="s">
        <v>140</v>
      </c>
      <c r="L6" s="33" t="s">
        <v>141</v>
      </c>
      <c r="M6" s="33" t="s">
        <v>140</v>
      </c>
      <c r="N6" s="33" t="s">
        <v>141</v>
      </c>
      <c r="O6" s="33" t="s">
        <v>140</v>
      </c>
      <c r="P6" s="33" t="s">
        <v>141</v>
      </c>
    </row>
    <row r="7" spans="1:16" ht="114.5" customHeight="1" x14ac:dyDescent="0.35">
      <c r="A7" s="32" t="s">
        <v>14</v>
      </c>
      <c r="B7" s="32" t="s">
        <v>15</v>
      </c>
      <c r="C7" s="32" t="s">
        <v>16</v>
      </c>
      <c r="D7" s="32" t="s">
        <v>17</v>
      </c>
      <c r="E7" s="32" t="s">
        <v>18</v>
      </c>
      <c r="F7" s="32" t="s">
        <v>19</v>
      </c>
      <c r="G7" s="34" t="s">
        <v>20</v>
      </c>
      <c r="H7" s="34" t="s">
        <v>21</v>
      </c>
      <c r="I7" s="34" t="s">
        <v>132</v>
      </c>
      <c r="J7" s="34" t="s">
        <v>133</v>
      </c>
      <c r="K7" s="32" t="s">
        <v>134</v>
      </c>
      <c r="L7" s="32" t="s">
        <v>135</v>
      </c>
      <c r="M7" s="32" t="s">
        <v>136</v>
      </c>
      <c r="N7" s="32" t="s">
        <v>137</v>
      </c>
      <c r="O7" s="32" t="s">
        <v>138</v>
      </c>
      <c r="P7" s="32" t="s">
        <v>139</v>
      </c>
    </row>
    <row r="8" spans="1:16" ht="31.5" customHeight="1" x14ac:dyDescent="0.35">
      <c r="A8" s="1" t="s">
        <v>22</v>
      </c>
      <c r="B8" s="25" t="s">
        <v>23</v>
      </c>
      <c r="C8" s="25"/>
      <c r="D8" s="25"/>
      <c r="E8" s="25"/>
      <c r="F8" s="25"/>
      <c r="G8" s="25"/>
      <c r="H8" s="25"/>
      <c r="I8" s="25"/>
      <c r="J8" s="25"/>
      <c r="K8" s="25"/>
      <c r="L8" s="25"/>
      <c r="M8" s="25"/>
      <c r="N8" s="25"/>
      <c r="O8" s="25"/>
      <c r="P8" s="25"/>
    </row>
    <row r="9" spans="1:16" ht="21.75" customHeight="1" x14ac:dyDescent="0.35">
      <c r="A9" s="4">
        <v>1</v>
      </c>
      <c r="B9" s="26" t="s">
        <v>24</v>
      </c>
      <c r="C9" s="26"/>
      <c r="D9" s="26"/>
      <c r="E9" s="26"/>
      <c r="F9" s="26"/>
      <c r="G9" s="26"/>
      <c r="H9" s="26"/>
      <c r="I9" s="26"/>
      <c r="J9" s="26"/>
      <c r="K9" s="26"/>
      <c r="L9" s="26"/>
      <c r="M9" s="26"/>
      <c r="N9" s="26"/>
      <c r="O9" s="26"/>
      <c r="P9" s="26"/>
    </row>
    <row r="10" spans="1:16" ht="46.5" x14ac:dyDescent="0.35">
      <c r="A10" s="1" t="s">
        <v>25</v>
      </c>
      <c r="B10" s="16" t="s">
        <v>112</v>
      </c>
      <c r="C10" s="6" t="s">
        <v>26</v>
      </c>
      <c r="D10" s="6" t="s">
        <v>113</v>
      </c>
      <c r="E10" s="7" t="s">
        <v>34</v>
      </c>
      <c r="F10" s="1">
        <v>1</v>
      </c>
      <c r="G10" s="7" t="s">
        <v>29</v>
      </c>
      <c r="H10" s="1" t="s">
        <v>106</v>
      </c>
      <c r="I10" s="1">
        <v>120</v>
      </c>
      <c r="J10" s="1">
        <v>1.2</v>
      </c>
      <c r="K10" s="1">
        <f>F10*100%</f>
        <v>1</v>
      </c>
      <c r="L10" s="1">
        <f>I10*K10</f>
        <v>120</v>
      </c>
      <c r="M10" s="1">
        <f>K10*100%</f>
        <v>1</v>
      </c>
      <c r="N10" s="1">
        <f>I10*K10</f>
        <v>120</v>
      </c>
      <c r="O10" s="1">
        <f>K10*100%</f>
        <v>1</v>
      </c>
      <c r="P10" s="1">
        <f>I10*O10</f>
        <v>120</v>
      </c>
    </row>
    <row r="11" spans="1:16" ht="61.5" customHeight="1" x14ac:dyDescent="0.35">
      <c r="A11" s="1" t="s">
        <v>30</v>
      </c>
      <c r="B11" s="5" t="s">
        <v>107</v>
      </c>
      <c r="C11" s="6" t="s">
        <v>26</v>
      </c>
      <c r="D11" s="6" t="s">
        <v>27</v>
      </c>
      <c r="E11" s="7" t="s">
        <v>28</v>
      </c>
      <c r="F11" s="1">
        <v>1</v>
      </c>
      <c r="G11" s="7" t="s">
        <v>29</v>
      </c>
      <c r="H11" s="1" t="s">
        <v>106</v>
      </c>
      <c r="I11" s="1">
        <v>120</v>
      </c>
      <c r="J11" s="1">
        <v>1.2</v>
      </c>
      <c r="K11" s="1">
        <f t="shared" ref="K11:K21" si="0">F11*100%</f>
        <v>1</v>
      </c>
      <c r="L11" s="1">
        <f t="shared" ref="L11:L21" si="1">I11*K11</f>
        <v>120</v>
      </c>
      <c r="M11" s="1">
        <f t="shared" ref="M11:M21" si="2">K11*100%</f>
        <v>1</v>
      </c>
      <c r="N11" s="1">
        <f t="shared" ref="N11:N21" si="3">I11*K11</f>
        <v>120</v>
      </c>
      <c r="O11" s="1">
        <f t="shared" ref="O11:O21" si="4">K11*100%</f>
        <v>1</v>
      </c>
      <c r="P11" s="1">
        <f t="shared" ref="P11:P21" si="5">I11*O11</f>
        <v>120</v>
      </c>
    </row>
    <row r="12" spans="1:16" ht="61.5" customHeight="1" x14ac:dyDescent="0.35">
      <c r="A12" s="1" t="s">
        <v>31</v>
      </c>
      <c r="B12" s="5" t="s">
        <v>32</v>
      </c>
      <c r="C12" s="6" t="s">
        <v>26</v>
      </c>
      <c r="D12" s="6" t="s">
        <v>33</v>
      </c>
      <c r="E12" s="7" t="s">
        <v>34</v>
      </c>
      <c r="F12" s="1">
        <v>1</v>
      </c>
      <c r="G12" s="7" t="s">
        <v>35</v>
      </c>
      <c r="H12" s="1" t="s">
        <v>106</v>
      </c>
      <c r="I12" s="1">
        <v>150</v>
      </c>
      <c r="J12" s="1">
        <v>1.5</v>
      </c>
      <c r="K12" s="1">
        <f t="shared" si="0"/>
        <v>1</v>
      </c>
      <c r="L12" s="1">
        <f t="shared" si="1"/>
        <v>150</v>
      </c>
      <c r="M12" s="1">
        <f t="shared" si="2"/>
        <v>1</v>
      </c>
      <c r="N12" s="1">
        <f t="shared" si="3"/>
        <v>150</v>
      </c>
      <c r="O12" s="1">
        <f t="shared" si="4"/>
        <v>1</v>
      </c>
      <c r="P12" s="1">
        <f t="shared" si="5"/>
        <v>150</v>
      </c>
    </row>
    <row r="13" spans="1:16" ht="61.5" customHeight="1" x14ac:dyDescent="0.35">
      <c r="A13" s="1" t="s">
        <v>36</v>
      </c>
      <c r="B13" s="5" t="s">
        <v>116</v>
      </c>
      <c r="C13" s="6" t="s">
        <v>26</v>
      </c>
      <c r="D13" s="6" t="s">
        <v>41</v>
      </c>
      <c r="E13" s="7" t="s">
        <v>42</v>
      </c>
      <c r="F13" s="1">
        <v>1</v>
      </c>
      <c r="G13" s="7" t="s">
        <v>43</v>
      </c>
      <c r="H13" s="1" t="s">
        <v>106</v>
      </c>
      <c r="I13" s="1">
        <v>120</v>
      </c>
      <c r="J13" s="1">
        <v>1.2</v>
      </c>
      <c r="K13" s="1">
        <f t="shared" si="0"/>
        <v>1</v>
      </c>
      <c r="L13" s="1">
        <f t="shared" si="1"/>
        <v>120</v>
      </c>
      <c r="M13" s="1">
        <f t="shared" si="2"/>
        <v>1</v>
      </c>
      <c r="N13" s="1">
        <f t="shared" si="3"/>
        <v>120</v>
      </c>
      <c r="O13" s="1">
        <f t="shared" si="4"/>
        <v>1</v>
      </c>
      <c r="P13" s="1">
        <f t="shared" si="5"/>
        <v>120</v>
      </c>
    </row>
    <row r="14" spans="1:16" ht="61.5" customHeight="1" x14ac:dyDescent="0.35">
      <c r="A14" s="1" t="s">
        <v>39</v>
      </c>
      <c r="B14" s="5" t="s">
        <v>37</v>
      </c>
      <c r="C14" s="6" t="s">
        <v>26</v>
      </c>
      <c r="D14" s="6" t="s">
        <v>33</v>
      </c>
      <c r="E14" s="7" t="s">
        <v>34</v>
      </c>
      <c r="F14" s="1">
        <v>1</v>
      </c>
      <c r="G14" s="7" t="s">
        <v>38</v>
      </c>
      <c r="H14" s="1" t="s">
        <v>106</v>
      </c>
      <c r="I14" s="1">
        <v>120</v>
      </c>
      <c r="J14" s="1">
        <v>1.2</v>
      </c>
      <c r="K14" s="1">
        <f t="shared" si="0"/>
        <v>1</v>
      </c>
      <c r="L14" s="1">
        <f t="shared" si="1"/>
        <v>120</v>
      </c>
      <c r="M14" s="1">
        <f t="shared" si="2"/>
        <v>1</v>
      </c>
      <c r="N14" s="1">
        <f t="shared" si="3"/>
        <v>120</v>
      </c>
      <c r="O14" s="1">
        <f t="shared" si="4"/>
        <v>1</v>
      </c>
      <c r="P14" s="1">
        <f t="shared" si="5"/>
        <v>120</v>
      </c>
    </row>
    <row r="15" spans="1:16" ht="61.5" customHeight="1" x14ac:dyDescent="0.35">
      <c r="A15" s="1" t="s">
        <v>44</v>
      </c>
      <c r="B15" s="5" t="s">
        <v>40</v>
      </c>
      <c r="C15" s="6" t="s">
        <v>26</v>
      </c>
      <c r="D15" s="6" t="s">
        <v>41</v>
      </c>
      <c r="E15" s="7" t="s">
        <v>42</v>
      </c>
      <c r="F15" s="1">
        <v>1</v>
      </c>
      <c r="G15" s="7" t="s">
        <v>43</v>
      </c>
      <c r="H15" s="1" t="s">
        <v>106</v>
      </c>
      <c r="I15" s="1">
        <v>120</v>
      </c>
      <c r="J15" s="1">
        <v>1.2</v>
      </c>
      <c r="K15" s="1">
        <f t="shared" si="0"/>
        <v>1</v>
      </c>
      <c r="L15" s="1">
        <f t="shared" si="1"/>
        <v>120</v>
      </c>
      <c r="M15" s="1">
        <f t="shared" si="2"/>
        <v>1</v>
      </c>
      <c r="N15" s="1">
        <f t="shared" si="3"/>
        <v>120</v>
      </c>
      <c r="O15" s="1">
        <f t="shared" si="4"/>
        <v>1</v>
      </c>
      <c r="P15" s="1">
        <f t="shared" si="5"/>
        <v>120</v>
      </c>
    </row>
    <row r="16" spans="1:16" ht="61.5" customHeight="1" x14ac:dyDescent="0.35">
      <c r="A16" s="1" t="s">
        <v>45</v>
      </c>
      <c r="B16" s="5" t="s">
        <v>123</v>
      </c>
      <c r="C16" s="6" t="s">
        <v>26</v>
      </c>
      <c r="D16" s="6" t="s">
        <v>41</v>
      </c>
      <c r="E16" s="7" t="s">
        <v>34</v>
      </c>
      <c r="F16" s="1">
        <v>1</v>
      </c>
      <c r="G16" s="7" t="s">
        <v>29</v>
      </c>
      <c r="H16" s="1" t="s">
        <v>106</v>
      </c>
      <c r="I16" s="1">
        <v>120</v>
      </c>
      <c r="J16" s="1">
        <v>1.2</v>
      </c>
      <c r="K16" s="1">
        <f t="shared" si="0"/>
        <v>1</v>
      </c>
      <c r="L16" s="1">
        <f t="shared" si="1"/>
        <v>120</v>
      </c>
      <c r="M16" s="1">
        <f t="shared" si="2"/>
        <v>1</v>
      </c>
      <c r="N16" s="1">
        <f t="shared" si="3"/>
        <v>120</v>
      </c>
      <c r="O16" s="1">
        <f t="shared" si="4"/>
        <v>1</v>
      </c>
      <c r="P16" s="1">
        <f t="shared" si="5"/>
        <v>120</v>
      </c>
    </row>
    <row r="17" spans="1:16" s="15" customFormat="1" ht="62" x14ac:dyDescent="0.35">
      <c r="A17" s="1" t="s">
        <v>47</v>
      </c>
      <c r="B17" s="12" t="s">
        <v>110</v>
      </c>
      <c r="C17" s="13" t="s">
        <v>26</v>
      </c>
      <c r="D17" s="13" t="s">
        <v>41</v>
      </c>
      <c r="E17" s="14" t="s">
        <v>42</v>
      </c>
      <c r="F17" s="8">
        <v>1</v>
      </c>
      <c r="G17" s="14" t="s">
        <v>43</v>
      </c>
      <c r="H17" s="8" t="s">
        <v>106</v>
      </c>
      <c r="I17" s="8">
        <v>120</v>
      </c>
      <c r="J17" s="8">
        <v>1.2</v>
      </c>
      <c r="K17" s="1">
        <f t="shared" si="0"/>
        <v>1</v>
      </c>
      <c r="L17" s="1">
        <f t="shared" si="1"/>
        <v>120</v>
      </c>
      <c r="M17" s="1">
        <f t="shared" si="2"/>
        <v>1</v>
      </c>
      <c r="N17" s="1">
        <f t="shared" si="3"/>
        <v>120</v>
      </c>
      <c r="O17" s="1">
        <f t="shared" si="4"/>
        <v>1</v>
      </c>
      <c r="P17" s="1">
        <f t="shared" si="5"/>
        <v>120</v>
      </c>
    </row>
    <row r="18" spans="1:16" ht="61.5" customHeight="1" x14ac:dyDescent="0.35">
      <c r="A18" s="1" t="s">
        <v>48</v>
      </c>
      <c r="B18" s="5" t="s">
        <v>122</v>
      </c>
      <c r="C18" s="6" t="s">
        <v>26</v>
      </c>
      <c r="D18" s="6" t="s">
        <v>49</v>
      </c>
      <c r="E18" s="7" t="s">
        <v>50</v>
      </c>
      <c r="F18" s="1">
        <v>1</v>
      </c>
      <c r="G18" s="7" t="s">
        <v>38</v>
      </c>
      <c r="H18" s="1" t="s">
        <v>106</v>
      </c>
      <c r="I18" s="1">
        <v>120</v>
      </c>
      <c r="J18" s="1">
        <v>1.2</v>
      </c>
      <c r="K18" s="1">
        <f t="shared" si="0"/>
        <v>1</v>
      </c>
      <c r="L18" s="1">
        <f t="shared" si="1"/>
        <v>120</v>
      </c>
      <c r="M18" s="1">
        <f t="shared" si="2"/>
        <v>1</v>
      </c>
      <c r="N18" s="1">
        <f t="shared" si="3"/>
        <v>120</v>
      </c>
      <c r="O18" s="1">
        <f t="shared" si="4"/>
        <v>1</v>
      </c>
      <c r="P18" s="1">
        <f t="shared" si="5"/>
        <v>120</v>
      </c>
    </row>
    <row r="19" spans="1:16" ht="61.5" customHeight="1" x14ac:dyDescent="0.35">
      <c r="A19" s="1" t="s">
        <v>51</v>
      </c>
      <c r="B19" s="5" t="s">
        <v>52</v>
      </c>
      <c r="C19" s="6" t="s">
        <v>26</v>
      </c>
      <c r="D19" s="6" t="s">
        <v>53</v>
      </c>
      <c r="E19" s="7" t="s">
        <v>54</v>
      </c>
      <c r="F19" s="1">
        <v>1</v>
      </c>
      <c r="G19" s="7" t="s">
        <v>55</v>
      </c>
      <c r="H19" s="1" t="s">
        <v>106</v>
      </c>
      <c r="I19" s="1">
        <v>200</v>
      </c>
      <c r="J19" s="1">
        <v>2</v>
      </c>
      <c r="K19" s="1">
        <f t="shared" si="0"/>
        <v>1</v>
      </c>
      <c r="L19" s="1">
        <f t="shared" si="1"/>
        <v>200</v>
      </c>
      <c r="M19" s="1">
        <f t="shared" si="2"/>
        <v>1</v>
      </c>
      <c r="N19" s="1">
        <f t="shared" si="3"/>
        <v>200</v>
      </c>
      <c r="O19" s="1">
        <f t="shared" si="4"/>
        <v>1</v>
      </c>
      <c r="P19" s="1">
        <f t="shared" si="5"/>
        <v>200</v>
      </c>
    </row>
    <row r="20" spans="1:16" ht="62" x14ac:dyDescent="0.35">
      <c r="A20" s="1" t="s">
        <v>117</v>
      </c>
      <c r="B20" s="17" t="s">
        <v>125</v>
      </c>
      <c r="C20" s="6" t="s">
        <v>26</v>
      </c>
      <c r="D20" s="6" t="s">
        <v>53</v>
      </c>
      <c r="E20" s="7" t="s">
        <v>42</v>
      </c>
      <c r="F20" s="1">
        <v>1</v>
      </c>
      <c r="G20" s="7" t="s">
        <v>43</v>
      </c>
      <c r="H20" s="1" t="s">
        <v>106</v>
      </c>
      <c r="I20" s="1">
        <v>120</v>
      </c>
      <c r="J20" s="1">
        <v>1.2</v>
      </c>
      <c r="K20" s="1">
        <f t="shared" si="0"/>
        <v>1</v>
      </c>
      <c r="L20" s="1">
        <f t="shared" si="1"/>
        <v>120</v>
      </c>
      <c r="M20" s="1">
        <f t="shared" si="2"/>
        <v>1</v>
      </c>
      <c r="N20" s="1">
        <f t="shared" si="3"/>
        <v>120</v>
      </c>
      <c r="O20" s="1">
        <f t="shared" si="4"/>
        <v>1</v>
      </c>
      <c r="P20" s="1">
        <f t="shared" si="5"/>
        <v>120</v>
      </c>
    </row>
    <row r="21" spans="1:16" ht="81.5" customHeight="1" x14ac:dyDescent="0.35">
      <c r="A21" s="1" t="s">
        <v>126</v>
      </c>
      <c r="B21" s="5" t="s">
        <v>121</v>
      </c>
      <c r="C21" s="6" t="s">
        <v>26</v>
      </c>
      <c r="D21" s="6" t="s">
        <v>53</v>
      </c>
      <c r="E21" s="7" t="s">
        <v>56</v>
      </c>
      <c r="F21" s="1">
        <v>1</v>
      </c>
      <c r="G21" s="7" t="s">
        <v>29</v>
      </c>
      <c r="H21" s="1" t="s">
        <v>106</v>
      </c>
      <c r="I21" s="1">
        <v>120</v>
      </c>
      <c r="J21" s="1">
        <v>1.2</v>
      </c>
      <c r="K21" s="1">
        <f t="shared" si="0"/>
        <v>1</v>
      </c>
      <c r="L21" s="1">
        <f t="shared" si="1"/>
        <v>120</v>
      </c>
      <c r="M21" s="1">
        <f t="shared" si="2"/>
        <v>1</v>
      </c>
      <c r="N21" s="1">
        <f t="shared" si="3"/>
        <v>120</v>
      </c>
      <c r="O21" s="1">
        <f t="shared" si="4"/>
        <v>1</v>
      </c>
      <c r="P21" s="1">
        <f t="shared" si="5"/>
        <v>120</v>
      </c>
    </row>
    <row r="22" spans="1:16" ht="21.75" customHeight="1" x14ac:dyDescent="0.35">
      <c r="A22" s="4">
        <v>2</v>
      </c>
      <c r="B22" s="26" t="s">
        <v>57</v>
      </c>
      <c r="C22" s="26"/>
      <c r="D22" s="26"/>
      <c r="E22" s="26"/>
      <c r="F22" s="26"/>
      <c r="G22" s="26"/>
      <c r="H22" s="26"/>
      <c r="I22" s="26"/>
      <c r="J22" s="26"/>
      <c r="K22" s="26"/>
      <c r="L22" s="26"/>
      <c r="M22" s="26"/>
      <c r="N22" s="26"/>
      <c r="O22" s="26"/>
      <c r="P22" s="26"/>
    </row>
    <row r="23" spans="1:16" ht="61.5" customHeight="1" x14ac:dyDescent="0.35">
      <c r="A23" s="1" t="s">
        <v>58</v>
      </c>
      <c r="B23" s="5" t="s">
        <v>120</v>
      </c>
      <c r="C23" s="6" t="s">
        <v>26</v>
      </c>
      <c r="D23" s="6" t="s">
        <v>46</v>
      </c>
      <c r="E23" s="7" t="s">
        <v>59</v>
      </c>
      <c r="F23" s="1">
        <v>1</v>
      </c>
      <c r="G23" s="7" t="s">
        <v>29</v>
      </c>
      <c r="H23" s="1" t="s">
        <v>106</v>
      </c>
      <c r="I23" s="1">
        <v>120</v>
      </c>
      <c r="J23" s="1">
        <v>1.2</v>
      </c>
      <c r="K23" s="1">
        <f>F23*100%</f>
        <v>1</v>
      </c>
      <c r="L23" s="1">
        <f>I23*K23</f>
        <v>120</v>
      </c>
      <c r="M23" s="1">
        <f>K23*100%</f>
        <v>1</v>
      </c>
      <c r="N23" s="1">
        <f>I23*K23</f>
        <v>120</v>
      </c>
      <c r="O23" s="1">
        <f>K23*100%</f>
        <v>1</v>
      </c>
      <c r="P23" s="1">
        <f>I23*O23</f>
        <v>120</v>
      </c>
    </row>
    <row r="24" spans="1:16" ht="61.5" customHeight="1" x14ac:dyDescent="0.35">
      <c r="A24" s="1" t="s">
        <v>60</v>
      </c>
      <c r="B24" s="5" t="s">
        <v>61</v>
      </c>
      <c r="C24" s="6" t="s">
        <v>26</v>
      </c>
      <c r="D24" s="6" t="s">
        <v>62</v>
      </c>
      <c r="E24" s="7" t="s">
        <v>63</v>
      </c>
      <c r="F24" s="1">
        <v>1</v>
      </c>
      <c r="G24" s="7" t="s">
        <v>38</v>
      </c>
      <c r="H24" s="1" t="s">
        <v>106</v>
      </c>
      <c r="I24" s="1">
        <v>120</v>
      </c>
      <c r="J24" s="1">
        <v>1.2</v>
      </c>
      <c r="K24" s="1">
        <f>F24*100%</f>
        <v>1</v>
      </c>
      <c r="L24" s="1">
        <f>I24*K24</f>
        <v>120</v>
      </c>
      <c r="M24" s="1">
        <f>K24*100%</f>
        <v>1</v>
      </c>
      <c r="N24" s="1">
        <f>I24*K24</f>
        <v>120</v>
      </c>
      <c r="O24" s="1">
        <f>K24*100%</f>
        <v>1</v>
      </c>
      <c r="P24" s="1">
        <f>I24*O24</f>
        <v>120</v>
      </c>
    </row>
    <row r="25" spans="1:16" ht="21.75" customHeight="1" x14ac:dyDescent="0.35">
      <c r="A25" s="4">
        <v>3</v>
      </c>
      <c r="B25" s="26" t="s">
        <v>64</v>
      </c>
      <c r="C25" s="26"/>
      <c r="D25" s="26"/>
      <c r="E25" s="26"/>
      <c r="F25" s="26"/>
      <c r="G25" s="26"/>
      <c r="H25" s="26"/>
      <c r="I25" s="26"/>
      <c r="J25" s="26"/>
      <c r="K25" s="26"/>
      <c r="L25" s="26"/>
      <c r="M25" s="26"/>
      <c r="N25" s="26"/>
      <c r="O25" s="26"/>
      <c r="P25" s="26"/>
    </row>
    <row r="26" spans="1:16" ht="46.5" x14ac:dyDescent="0.35">
      <c r="A26" s="1" t="s">
        <v>65</v>
      </c>
      <c r="B26" s="11" t="s">
        <v>108</v>
      </c>
      <c r="C26" s="6" t="s">
        <v>26</v>
      </c>
      <c r="D26" s="6" t="s">
        <v>62</v>
      </c>
      <c r="E26" s="7" t="s">
        <v>34</v>
      </c>
      <c r="F26" s="1">
        <v>1</v>
      </c>
      <c r="G26" s="7" t="s">
        <v>38</v>
      </c>
      <c r="H26" s="1" t="s">
        <v>106</v>
      </c>
      <c r="I26" s="1">
        <v>120</v>
      </c>
      <c r="J26" s="1">
        <v>1.2</v>
      </c>
      <c r="K26" s="1">
        <f>F26*100%</f>
        <v>1</v>
      </c>
      <c r="L26" s="1">
        <f>I26*K26</f>
        <v>120</v>
      </c>
      <c r="M26" s="1">
        <f>K26*100%</f>
        <v>1</v>
      </c>
      <c r="N26" s="1">
        <f>I26*K26</f>
        <v>120</v>
      </c>
      <c r="O26" s="1">
        <f>K26*100%</f>
        <v>1</v>
      </c>
      <c r="P26" s="1">
        <f>I26*O26</f>
        <v>120</v>
      </c>
    </row>
    <row r="27" spans="1:16" ht="61.5" customHeight="1" x14ac:dyDescent="0.35">
      <c r="A27" s="1" t="s">
        <v>67</v>
      </c>
      <c r="B27" s="5" t="s">
        <v>68</v>
      </c>
      <c r="C27" s="6" t="s">
        <v>26</v>
      </c>
      <c r="D27" s="6" t="s">
        <v>69</v>
      </c>
      <c r="E27" s="7" t="s">
        <v>70</v>
      </c>
      <c r="F27" s="1">
        <v>1</v>
      </c>
      <c r="G27" s="7" t="s">
        <v>29</v>
      </c>
      <c r="H27" s="1" t="s">
        <v>106</v>
      </c>
      <c r="I27" s="1">
        <v>120</v>
      </c>
      <c r="J27" s="1">
        <v>1.2</v>
      </c>
      <c r="K27" s="1">
        <f t="shared" ref="K27:K28" si="6">F27*100%</f>
        <v>1</v>
      </c>
      <c r="L27" s="1">
        <f t="shared" ref="L27:L28" si="7">I27*K27</f>
        <v>120</v>
      </c>
      <c r="M27" s="1">
        <f t="shared" ref="M27:M28" si="8">K27*100%</f>
        <v>1</v>
      </c>
      <c r="N27" s="1">
        <f t="shared" ref="N27:N28" si="9">I27*K27</f>
        <v>120</v>
      </c>
      <c r="O27" s="1">
        <f t="shared" ref="O27:O28" si="10">K27*100%</f>
        <v>1</v>
      </c>
      <c r="P27" s="1">
        <f t="shared" ref="P27:P28" si="11">I27*O27</f>
        <v>120</v>
      </c>
    </row>
    <row r="28" spans="1:16" ht="61.5" customHeight="1" x14ac:dyDescent="0.35">
      <c r="A28" s="1" t="s">
        <v>71</v>
      </c>
      <c r="B28" s="5" t="s">
        <v>127</v>
      </c>
      <c r="C28" s="6" t="s">
        <v>26</v>
      </c>
      <c r="D28" s="6" t="s">
        <v>69</v>
      </c>
      <c r="E28" s="7" t="s">
        <v>72</v>
      </c>
      <c r="F28" s="1">
        <v>1</v>
      </c>
      <c r="G28" s="7" t="s">
        <v>66</v>
      </c>
      <c r="H28" s="1" t="s">
        <v>106</v>
      </c>
      <c r="I28" s="1">
        <v>150</v>
      </c>
      <c r="J28" s="1">
        <v>1.5</v>
      </c>
      <c r="K28" s="1">
        <f t="shared" si="6"/>
        <v>1</v>
      </c>
      <c r="L28" s="1">
        <f t="shared" si="7"/>
        <v>150</v>
      </c>
      <c r="M28" s="1">
        <f t="shared" si="8"/>
        <v>1</v>
      </c>
      <c r="N28" s="1">
        <f t="shared" si="9"/>
        <v>150</v>
      </c>
      <c r="O28" s="1">
        <f t="shared" si="10"/>
        <v>1</v>
      </c>
      <c r="P28" s="1">
        <f t="shared" si="11"/>
        <v>150</v>
      </c>
    </row>
    <row r="29" spans="1:16" ht="21.75" customHeight="1" x14ac:dyDescent="0.35">
      <c r="A29" s="4">
        <v>4</v>
      </c>
      <c r="B29" s="26" t="s">
        <v>74</v>
      </c>
      <c r="C29" s="26"/>
      <c r="D29" s="26"/>
      <c r="E29" s="26"/>
      <c r="F29" s="26"/>
      <c r="G29" s="26"/>
      <c r="H29" s="26"/>
      <c r="I29" s="26"/>
      <c r="J29" s="26"/>
      <c r="K29" s="26"/>
      <c r="L29" s="26"/>
      <c r="M29" s="26"/>
      <c r="N29" s="26"/>
      <c r="O29" s="26"/>
      <c r="P29" s="26"/>
    </row>
    <row r="30" spans="1:16" ht="61.5" customHeight="1" x14ac:dyDescent="0.35">
      <c r="A30" s="1" t="s">
        <v>75</v>
      </c>
      <c r="B30" s="5" t="s">
        <v>114</v>
      </c>
      <c r="C30" s="6" t="s">
        <v>76</v>
      </c>
      <c r="D30" s="6" t="s">
        <v>115</v>
      </c>
      <c r="E30" s="7" t="s">
        <v>77</v>
      </c>
      <c r="F30" s="1">
        <v>1</v>
      </c>
      <c r="G30" s="7" t="s">
        <v>29</v>
      </c>
      <c r="H30" s="1" t="s">
        <v>106</v>
      </c>
      <c r="I30" s="1">
        <v>120</v>
      </c>
      <c r="J30" s="1">
        <v>1.2</v>
      </c>
      <c r="K30" s="1">
        <f>F30*100%</f>
        <v>1</v>
      </c>
      <c r="L30" s="1">
        <f>I30*K30</f>
        <v>120</v>
      </c>
      <c r="M30" s="1">
        <f>K30*100%</f>
        <v>1</v>
      </c>
      <c r="N30" s="1">
        <f>I30*K30</f>
        <v>120</v>
      </c>
      <c r="O30" s="1">
        <f>K30*100%</f>
        <v>1</v>
      </c>
      <c r="P30" s="1">
        <f>I30*O30</f>
        <v>120</v>
      </c>
    </row>
    <row r="31" spans="1:16" ht="61.5" customHeight="1" x14ac:dyDescent="0.35">
      <c r="A31" s="1" t="s">
        <v>78</v>
      </c>
      <c r="B31" s="5" t="s">
        <v>124</v>
      </c>
      <c r="C31" s="6" t="s">
        <v>79</v>
      </c>
      <c r="D31" s="6" t="s">
        <v>115</v>
      </c>
      <c r="E31" s="7" t="s">
        <v>80</v>
      </c>
      <c r="F31" s="1">
        <v>1</v>
      </c>
      <c r="G31" s="7" t="s">
        <v>73</v>
      </c>
      <c r="H31" s="1" t="s">
        <v>106</v>
      </c>
      <c r="I31" s="1">
        <v>100</v>
      </c>
      <c r="J31" s="1">
        <v>1</v>
      </c>
      <c r="K31" s="1">
        <f>F31*100%</f>
        <v>1</v>
      </c>
      <c r="L31" s="1">
        <f>I31*K31</f>
        <v>100</v>
      </c>
      <c r="M31" s="1">
        <f>K31*100%</f>
        <v>1</v>
      </c>
      <c r="N31" s="1">
        <f>I31*K31</f>
        <v>100</v>
      </c>
      <c r="O31" s="1">
        <f>K31*100%</f>
        <v>1</v>
      </c>
      <c r="P31" s="1">
        <f>I31*O31</f>
        <v>100</v>
      </c>
    </row>
    <row r="32" spans="1:16" ht="21.75" customHeight="1" x14ac:dyDescent="0.35">
      <c r="A32" s="4">
        <v>5</v>
      </c>
      <c r="B32" s="26" t="s">
        <v>81</v>
      </c>
      <c r="C32" s="26"/>
      <c r="D32" s="26"/>
      <c r="E32" s="26"/>
      <c r="F32" s="26"/>
      <c r="G32" s="26"/>
      <c r="H32" s="26"/>
      <c r="I32" s="26"/>
      <c r="J32" s="26"/>
      <c r="K32" s="26"/>
      <c r="L32" s="26"/>
      <c r="M32" s="26"/>
      <c r="N32" s="26"/>
      <c r="O32" s="26"/>
      <c r="P32" s="26"/>
    </row>
    <row r="33" spans="1:16" ht="61.5" customHeight="1" x14ac:dyDescent="0.35">
      <c r="A33" s="1" t="s">
        <v>82</v>
      </c>
      <c r="B33" s="5" t="s">
        <v>119</v>
      </c>
      <c r="C33" s="6" t="s">
        <v>26</v>
      </c>
      <c r="D33" s="6" t="s">
        <v>83</v>
      </c>
      <c r="E33" s="7" t="s">
        <v>84</v>
      </c>
      <c r="F33" s="1">
        <v>1</v>
      </c>
      <c r="G33" s="7" t="s">
        <v>29</v>
      </c>
      <c r="H33" s="1" t="s">
        <v>106</v>
      </c>
      <c r="I33" s="1">
        <v>120</v>
      </c>
      <c r="J33" s="1">
        <v>1.2</v>
      </c>
      <c r="K33" s="1">
        <f>F33*100%</f>
        <v>1</v>
      </c>
      <c r="L33" s="1">
        <f>I33*K33</f>
        <v>120</v>
      </c>
      <c r="M33" s="1">
        <f>K33*100%</f>
        <v>1</v>
      </c>
      <c r="N33" s="1">
        <f>I33*K33</f>
        <v>120</v>
      </c>
      <c r="O33" s="1">
        <f>K33*100%</f>
        <v>1</v>
      </c>
      <c r="P33" s="1">
        <f>I33*O33</f>
        <v>120</v>
      </c>
    </row>
    <row r="34" spans="1:16" ht="61.5" customHeight="1" x14ac:dyDescent="0.35">
      <c r="A34" s="1" t="s">
        <v>85</v>
      </c>
      <c r="B34" s="5" t="s">
        <v>86</v>
      </c>
      <c r="C34" s="6" t="s">
        <v>26</v>
      </c>
      <c r="D34" s="6" t="s">
        <v>87</v>
      </c>
      <c r="E34" s="7" t="s">
        <v>88</v>
      </c>
      <c r="F34" s="1">
        <v>1</v>
      </c>
      <c r="G34" s="7" t="s">
        <v>29</v>
      </c>
      <c r="H34" s="1" t="s">
        <v>106</v>
      </c>
      <c r="I34" s="1">
        <v>120</v>
      </c>
      <c r="J34" s="1">
        <v>1.2</v>
      </c>
      <c r="K34" s="1">
        <f t="shared" ref="K34:K35" si="12">F34*100%</f>
        <v>1</v>
      </c>
      <c r="L34" s="1">
        <f t="shared" ref="L34:L35" si="13">I34*K34</f>
        <v>120</v>
      </c>
      <c r="M34" s="1">
        <f t="shared" ref="M34:M35" si="14">K34*100%</f>
        <v>1</v>
      </c>
      <c r="N34" s="1">
        <f t="shared" ref="N34:N35" si="15">I34*K34</f>
        <v>120</v>
      </c>
      <c r="O34" s="1">
        <f t="shared" ref="O34:O35" si="16">K34*100%</f>
        <v>1</v>
      </c>
      <c r="P34" s="1">
        <f t="shared" ref="P34:P35" si="17">I34*O34</f>
        <v>120</v>
      </c>
    </row>
    <row r="35" spans="1:16" ht="61.5" customHeight="1" x14ac:dyDescent="0.35">
      <c r="A35" s="1" t="s">
        <v>89</v>
      </c>
      <c r="B35" s="5" t="s">
        <v>111</v>
      </c>
      <c r="C35" s="6" t="s">
        <v>90</v>
      </c>
      <c r="D35" s="6" t="s">
        <v>91</v>
      </c>
      <c r="E35" s="7" t="s">
        <v>92</v>
      </c>
      <c r="F35" s="1">
        <v>1</v>
      </c>
      <c r="G35" s="7" t="s">
        <v>73</v>
      </c>
      <c r="H35" s="1" t="s">
        <v>106</v>
      </c>
      <c r="I35" s="1">
        <v>100</v>
      </c>
      <c r="J35" s="1">
        <v>1</v>
      </c>
      <c r="K35" s="1">
        <f t="shared" si="12"/>
        <v>1</v>
      </c>
      <c r="L35" s="1">
        <f t="shared" si="13"/>
        <v>100</v>
      </c>
      <c r="M35" s="1">
        <f t="shared" si="14"/>
        <v>1</v>
      </c>
      <c r="N35" s="1">
        <f t="shared" si="15"/>
        <v>100</v>
      </c>
      <c r="O35" s="1">
        <f t="shared" si="16"/>
        <v>1</v>
      </c>
      <c r="P35" s="1">
        <f t="shared" si="17"/>
        <v>100</v>
      </c>
    </row>
    <row r="36" spans="1:16" ht="21.75" customHeight="1" x14ac:dyDescent="0.35">
      <c r="A36" s="4">
        <v>6</v>
      </c>
      <c r="B36" s="26" t="s">
        <v>93</v>
      </c>
      <c r="C36" s="26"/>
      <c r="D36" s="26"/>
      <c r="E36" s="26"/>
      <c r="F36" s="26"/>
      <c r="G36" s="26"/>
      <c r="H36" s="26"/>
      <c r="I36" s="26"/>
      <c r="J36" s="26"/>
      <c r="K36" s="26"/>
      <c r="L36" s="26"/>
      <c r="M36" s="26"/>
      <c r="N36" s="26"/>
      <c r="O36" s="26"/>
      <c r="P36" s="26"/>
    </row>
    <row r="37" spans="1:16" ht="61.5" customHeight="1" x14ac:dyDescent="0.35">
      <c r="A37" s="1" t="s">
        <v>94</v>
      </c>
      <c r="B37" s="5" t="s">
        <v>95</v>
      </c>
      <c r="C37" s="6" t="s">
        <v>26</v>
      </c>
      <c r="D37" s="6" t="s">
        <v>96</v>
      </c>
      <c r="E37" s="7" t="s">
        <v>97</v>
      </c>
      <c r="F37" s="1">
        <v>1</v>
      </c>
      <c r="G37" s="7" t="s">
        <v>35</v>
      </c>
      <c r="H37" s="1" t="s">
        <v>106</v>
      </c>
      <c r="I37" s="1">
        <v>150</v>
      </c>
      <c r="J37" s="1">
        <v>1.5</v>
      </c>
      <c r="K37" s="1">
        <f>F37*100%</f>
        <v>1</v>
      </c>
      <c r="L37" s="1">
        <f>I37*K37</f>
        <v>150</v>
      </c>
      <c r="M37" s="1">
        <f>K37*100%</f>
        <v>1</v>
      </c>
      <c r="N37" s="1">
        <f>I37*K37</f>
        <v>150</v>
      </c>
      <c r="O37" s="1">
        <f>K37*100%</f>
        <v>1</v>
      </c>
      <c r="P37" s="1">
        <f>I37*O37</f>
        <v>150</v>
      </c>
    </row>
    <row r="38" spans="1:16" ht="31.5" customHeight="1" x14ac:dyDescent="0.35">
      <c r="A38" s="1" t="s">
        <v>99</v>
      </c>
      <c r="B38" s="25" t="s">
        <v>100</v>
      </c>
      <c r="C38" s="25"/>
      <c r="D38" s="25"/>
      <c r="E38" s="25"/>
      <c r="F38" s="25"/>
      <c r="G38" s="25"/>
      <c r="H38" s="25"/>
      <c r="I38" s="25"/>
      <c r="J38" s="25"/>
      <c r="K38" s="25"/>
      <c r="L38" s="25"/>
      <c r="M38" s="25"/>
      <c r="N38" s="25"/>
      <c r="O38" s="25"/>
      <c r="P38" s="25"/>
    </row>
    <row r="39" spans="1:16" s="9" customFormat="1" ht="61.5" customHeight="1" x14ac:dyDescent="0.35">
      <c r="A39" s="1">
        <v>1</v>
      </c>
      <c r="B39" s="5" t="s">
        <v>109</v>
      </c>
      <c r="C39" s="6" t="s">
        <v>26</v>
      </c>
      <c r="D39" s="6" t="s">
        <v>101</v>
      </c>
      <c r="E39" s="7" t="s">
        <v>102</v>
      </c>
      <c r="F39" s="1">
        <v>1</v>
      </c>
      <c r="G39" s="7" t="s">
        <v>66</v>
      </c>
      <c r="H39" s="1" t="s">
        <v>106</v>
      </c>
      <c r="I39" s="1">
        <v>150</v>
      </c>
      <c r="J39" s="1">
        <v>1.5</v>
      </c>
      <c r="K39" s="1">
        <f>F39*100%</f>
        <v>1</v>
      </c>
      <c r="L39" s="1">
        <f>I39*K39</f>
        <v>150</v>
      </c>
      <c r="M39" s="1">
        <f>K39*100%</f>
        <v>1</v>
      </c>
      <c r="N39" s="1">
        <f>I39*K39</f>
        <v>150</v>
      </c>
      <c r="O39" s="1">
        <f>K39*100%</f>
        <v>1</v>
      </c>
      <c r="P39" s="1">
        <f>I39*O39</f>
        <v>150</v>
      </c>
    </row>
    <row r="40" spans="1:16" s="9" customFormat="1" ht="61.5" customHeight="1" x14ac:dyDescent="0.35">
      <c r="A40" s="1">
        <v>2</v>
      </c>
      <c r="B40" s="5" t="s">
        <v>103</v>
      </c>
      <c r="C40" s="6" t="s">
        <v>26</v>
      </c>
      <c r="D40" s="6" t="s">
        <v>53</v>
      </c>
      <c r="E40" s="7" t="s">
        <v>104</v>
      </c>
      <c r="F40" s="1">
        <v>1</v>
      </c>
      <c r="G40" s="7" t="s">
        <v>105</v>
      </c>
      <c r="H40" s="1" t="s">
        <v>106</v>
      </c>
      <c r="I40" s="1">
        <v>200</v>
      </c>
      <c r="J40" s="1">
        <v>2</v>
      </c>
      <c r="K40" s="1">
        <f t="shared" ref="K40:K41" si="18">F40*100%</f>
        <v>1</v>
      </c>
      <c r="L40" s="1">
        <f t="shared" ref="L40:L41" si="19">I40*K40</f>
        <v>200</v>
      </c>
      <c r="M40" s="1">
        <f t="shared" ref="M40:M41" si="20">K40*100%</f>
        <v>1</v>
      </c>
      <c r="N40" s="1">
        <f t="shared" ref="N40:N41" si="21">I40*K40</f>
        <v>200</v>
      </c>
      <c r="O40" s="1">
        <f t="shared" ref="O40:O41" si="22">K40*100%</f>
        <v>1</v>
      </c>
      <c r="P40" s="1">
        <f t="shared" ref="P40:P41" si="23">I40*O40</f>
        <v>200</v>
      </c>
    </row>
    <row r="41" spans="1:16" s="10" customFormat="1" ht="61.5" customHeight="1" x14ac:dyDescent="0.35">
      <c r="A41" s="1">
        <v>3</v>
      </c>
      <c r="B41" s="5" t="s">
        <v>118</v>
      </c>
      <c r="C41" s="6" t="s">
        <v>26</v>
      </c>
      <c r="D41" s="6" t="s">
        <v>49</v>
      </c>
      <c r="E41" s="7" t="s">
        <v>98</v>
      </c>
      <c r="F41" s="1">
        <v>1</v>
      </c>
      <c r="G41" s="7" t="s">
        <v>73</v>
      </c>
      <c r="H41" s="1" t="s">
        <v>106</v>
      </c>
      <c r="I41" s="1">
        <v>100</v>
      </c>
      <c r="J41" s="1">
        <v>1</v>
      </c>
      <c r="K41" s="1">
        <f t="shared" si="18"/>
        <v>1</v>
      </c>
      <c r="L41" s="1">
        <f t="shared" si="19"/>
        <v>100</v>
      </c>
      <c r="M41" s="1">
        <f t="shared" si="20"/>
        <v>1</v>
      </c>
      <c r="N41" s="1">
        <f t="shared" si="21"/>
        <v>100</v>
      </c>
      <c r="O41" s="1">
        <f t="shared" si="22"/>
        <v>1</v>
      </c>
      <c r="P41" s="1">
        <f t="shared" si="23"/>
        <v>100</v>
      </c>
    </row>
    <row r="42" spans="1:16" ht="32" customHeight="1" x14ac:dyDescent="0.35">
      <c r="B42" s="27"/>
      <c r="C42" s="27"/>
      <c r="D42" s="27"/>
      <c r="E42" s="27"/>
      <c r="F42" s="27"/>
      <c r="G42" s="27"/>
      <c r="H42" s="27"/>
      <c r="I42" s="27"/>
      <c r="J42" s="27"/>
      <c r="K42" s="27"/>
      <c r="L42" s="27"/>
      <c r="M42" s="27"/>
      <c r="N42" s="27"/>
      <c r="O42" s="27"/>
      <c r="P42" s="27"/>
    </row>
    <row r="43" spans="1:16" ht="109.5" customHeight="1" x14ac:dyDescent="0.35">
      <c r="A43" s="35" t="s">
        <v>142</v>
      </c>
      <c r="B43" s="28"/>
      <c r="C43" s="28"/>
      <c r="G43" s="36" t="s">
        <v>143</v>
      </c>
      <c r="H43" s="29"/>
      <c r="I43" s="29"/>
      <c r="J43" s="29"/>
      <c r="K43" s="29"/>
      <c r="L43" s="29"/>
      <c r="M43" s="29"/>
      <c r="N43" s="29"/>
      <c r="O43" s="29"/>
      <c r="P43" s="29"/>
    </row>
  </sheetData>
  <mergeCells count="30">
    <mergeCell ref="B32:P32"/>
    <mergeCell ref="B36:P36"/>
    <mergeCell ref="B38:P38"/>
    <mergeCell ref="B42:P42"/>
    <mergeCell ref="A43:C43"/>
    <mergeCell ref="G43:P43"/>
    <mergeCell ref="B8:P8"/>
    <mergeCell ref="B9:P9"/>
    <mergeCell ref="B22:P22"/>
    <mergeCell ref="B25:P25"/>
    <mergeCell ref="B29:P29"/>
    <mergeCell ref="A3:P3"/>
    <mergeCell ref="A4:P4"/>
    <mergeCell ref="A5:A6"/>
    <mergeCell ref="B5:B6"/>
    <mergeCell ref="C5:C6"/>
    <mergeCell ref="D5:D6"/>
    <mergeCell ref="E5:E6"/>
    <mergeCell ref="F5:F6"/>
    <mergeCell ref="G5:G6"/>
    <mergeCell ref="H5:H6"/>
    <mergeCell ref="I5:I6"/>
    <mergeCell ref="J5:J6"/>
    <mergeCell ref="K5:L5"/>
    <mergeCell ref="M5:N5"/>
    <mergeCell ref="O5:P5"/>
    <mergeCell ref="A1:B1"/>
    <mergeCell ref="D1:P1"/>
    <mergeCell ref="A2:B2"/>
    <mergeCell ref="D2:P2"/>
  </mergeCells>
  <phoneticPr fontId="16" type="noConversion"/>
  <conditionalFormatting sqref="C11:C12 C14">
    <cfRule type="dataBar" priority="12">
      <dataBar>
        <cfvo type="min"/>
        <cfvo type="max"/>
        <color rgb="FF638EC6"/>
      </dataBar>
      <extLst>
        <ext xmlns:x14="http://schemas.microsoft.com/office/spreadsheetml/2009/9/main" uri="{B025F937-C7B1-47D3-B67F-A62EFF666E3E}">
          <x14:id>{EAD85A6D-819D-48FC-9570-C4DEF82377B6}</x14:id>
        </ext>
      </extLst>
    </cfRule>
  </conditionalFormatting>
  <conditionalFormatting sqref="C18">
    <cfRule type="dataBar" priority="9">
      <dataBar>
        <cfvo type="min"/>
        <cfvo type="max"/>
        <color rgb="FF638EC6"/>
      </dataBar>
      <extLst>
        <ext xmlns:x14="http://schemas.microsoft.com/office/spreadsheetml/2009/9/main" uri="{B025F937-C7B1-47D3-B67F-A62EFF666E3E}">
          <x14:id>{D92C398D-A345-45C0-B483-ADB4BE506440}</x14:id>
        </ext>
      </extLst>
    </cfRule>
  </conditionalFormatting>
  <conditionalFormatting sqref="C19:C20">
    <cfRule type="dataBar" priority="8">
      <dataBar>
        <cfvo type="min"/>
        <cfvo type="max"/>
        <color rgb="FF638EC6"/>
      </dataBar>
      <extLst>
        <ext xmlns:x14="http://schemas.microsoft.com/office/spreadsheetml/2009/9/main" uri="{B025F937-C7B1-47D3-B67F-A62EFF666E3E}">
          <x14:id>{33F3B362-25DF-4DB5-A35A-D6E8FF8A203B}</x14:id>
        </ext>
      </extLst>
    </cfRule>
  </conditionalFormatting>
  <conditionalFormatting sqref="C22:C27">
    <cfRule type="dataBar" priority="13">
      <dataBar>
        <cfvo type="min"/>
        <cfvo type="max"/>
        <color rgb="FF638EC6"/>
      </dataBar>
      <extLst>
        <ext xmlns:x14="http://schemas.microsoft.com/office/spreadsheetml/2009/9/main" uri="{B025F937-C7B1-47D3-B67F-A62EFF666E3E}">
          <x14:id>{74B4FC22-E8A5-4237-9DAD-2447A1A2EA43}</x14:id>
        </ext>
      </extLst>
    </cfRule>
  </conditionalFormatting>
  <conditionalFormatting sqref="C29:C32">
    <cfRule type="dataBar" priority="14">
      <dataBar>
        <cfvo type="min"/>
        <cfvo type="max"/>
        <color rgb="FF638EC6"/>
      </dataBar>
      <extLst>
        <ext xmlns:x14="http://schemas.microsoft.com/office/spreadsheetml/2009/9/main" uri="{B025F937-C7B1-47D3-B67F-A62EFF666E3E}">
          <x14:id>{C4FB60FA-A2F5-495B-ACD4-EF32C3BB4D97}</x14:id>
        </ext>
      </extLst>
    </cfRule>
  </conditionalFormatting>
  <conditionalFormatting sqref="C34:C35">
    <cfRule type="dataBar" priority="5">
      <dataBar>
        <cfvo type="min"/>
        <cfvo type="max"/>
        <color rgb="FF638EC6"/>
      </dataBar>
      <extLst>
        <ext xmlns:x14="http://schemas.microsoft.com/office/spreadsheetml/2009/9/main" uri="{B025F937-C7B1-47D3-B67F-A62EFF666E3E}">
          <x14:id>{D38A9963-4256-4310-851B-4BB8194E1A32}</x14:id>
        </ext>
      </extLst>
    </cfRule>
  </conditionalFormatting>
  <conditionalFormatting sqref="C37:C38">
    <cfRule type="dataBar" priority="15">
      <dataBar>
        <cfvo type="min"/>
        <cfvo type="max"/>
        <color rgb="FF638EC6"/>
      </dataBar>
      <extLst>
        <ext xmlns:x14="http://schemas.microsoft.com/office/spreadsheetml/2009/9/main" uri="{B025F937-C7B1-47D3-B67F-A62EFF666E3E}">
          <x14:id>{8B805C2C-8059-4DB9-A6EE-B0E35312971B}</x14:id>
        </ext>
      </extLst>
    </cfRule>
  </conditionalFormatting>
  <conditionalFormatting sqref="C41">
    <cfRule type="dataBar" priority="1">
      <dataBar>
        <cfvo type="min"/>
        <cfvo type="max"/>
        <color rgb="FF638EC6"/>
      </dataBar>
      <extLst>
        <ext xmlns:x14="http://schemas.microsoft.com/office/spreadsheetml/2009/9/main" uri="{B025F937-C7B1-47D3-B67F-A62EFF666E3E}">
          <x14:id>{42C2ED51-5A5C-4B03-B655-DAB712762CAF}</x14:id>
        </ext>
      </extLst>
    </cfRule>
  </conditionalFormatting>
  <dataValidations count="5">
    <dataValidation type="list" allowBlank="1" showInputMessage="1" sqref="D37:D38 D34:D35 D22:D27 D11:D12 D14 D41 D29:D32 D18:D20" xr:uid="{00000000-0002-0000-0000-000000000000}">
      <formula1>"Phòng QLĐT&amp;BĐCL,Phòng TH-HC&amp;QT,Phòng QLKHCN&amp;HTPT,Phòng TC-KT,Phòng  TCCB&amp;CTHSSV,Khoa Sư phạm,Khoa CKHCB,Khoa KT&amp;NL,Khoa Y – Dược,Khoa ĐT&amp;SHLX,Khoa KT&amp;CN"</formula1>
      <formula2>0</formula2>
    </dataValidation>
    <dataValidation type="list" allowBlank="1" showInputMessage="1" sqref="C37:C38 C34:C35 C22:C27 C11:C12 C14 C41 C29:C32 C18:C20" xr:uid="{00000000-0002-0000-0000-000001000000}">
      <formula1>"Hiệu trưởng,PHT Nguyễn Trung Hiếu,PHT Huỳnh Văn Chung,PHT Dương Văn Anh Dũng,Bí thư Đảng uỷ,Phó Bí thư Đảng uỷ,Uỷ viên BTV,Chủ tịch Công đoàn,Bí thư ĐTN,Chủ tịch HSV"</formula1>
      <formula2>0</formula2>
    </dataValidation>
    <dataValidation type="list" allowBlank="1" showInputMessage="1" sqref="E37:E38 E34:E35 E22:E27 E10:E12 E14 E41 E16 E29:E32 E18:E19" xr:uid="{00000000-0002-0000-00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formula2>0</formula2>
    </dataValidation>
    <dataValidation type="list" allowBlank="1" showInputMessage="1" sqref="G37:G38 G34:G35 G22:G27 G11:G12 G14 G41 G29:G32 G18:G19" xr:uid="{00000000-0002-0000-0000-000003000000}">
      <formula1>"Thấp,Trung bình,Cao,Khó và phức tạp"</formula1>
      <formula2>0</formula2>
    </dataValidation>
    <dataValidation allowBlank="1" showInputMessage="1" sqref="K22:P28 I29:P32 H39:H40 H37:P38 H10:H35 I18:J19 I11:J12 I14:J14 I22:J27 I34:J35 H41:J41" xr:uid="{00000000-0002-0000-0000-000004000000}">
      <formula1>0</formula1>
      <formula2>0</formula2>
    </dataValidation>
  </dataValidations>
  <pageMargins left="0.31527777777777799" right="0.31527777777777799" top="0.39374999999999999" bottom="0.39374999999999999" header="0.511811023622047" footer="0.511811023622047"/>
  <pageSetup paperSize="9" scale="50"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EAD85A6D-819D-48FC-9570-C4DEF82377B6}">
            <x14:dataBar axisPosition="none">
              <x14:cfvo type="min"/>
              <x14:cfvo type="max"/>
              <x14:negativeFillColor rgb="FF638EC6"/>
            </x14:dataBar>
          </x14:cfRule>
          <xm:sqref>C11:C12 C14</xm:sqref>
        </x14:conditionalFormatting>
        <x14:conditionalFormatting xmlns:xm="http://schemas.microsoft.com/office/excel/2006/main">
          <x14:cfRule type="dataBar" id="{D92C398D-A345-45C0-B483-ADB4BE506440}">
            <x14:dataBar axisPosition="none">
              <x14:cfvo type="min"/>
              <x14:cfvo type="max"/>
              <x14:negativeFillColor rgb="FF638EC6"/>
            </x14:dataBar>
          </x14:cfRule>
          <xm:sqref>C18</xm:sqref>
        </x14:conditionalFormatting>
        <x14:conditionalFormatting xmlns:xm="http://schemas.microsoft.com/office/excel/2006/main">
          <x14:cfRule type="dataBar" id="{33F3B362-25DF-4DB5-A35A-D6E8FF8A203B}">
            <x14:dataBar axisPosition="none">
              <x14:cfvo type="min"/>
              <x14:cfvo type="max"/>
              <x14:negativeFillColor rgb="FF638EC6"/>
            </x14:dataBar>
          </x14:cfRule>
          <xm:sqref>C19:C20</xm:sqref>
        </x14:conditionalFormatting>
        <x14:conditionalFormatting xmlns:xm="http://schemas.microsoft.com/office/excel/2006/main">
          <x14:cfRule type="dataBar" id="{74B4FC22-E8A5-4237-9DAD-2447A1A2EA43}">
            <x14:dataBar axisPosition="none">
              <x14:cfvo type="min"/>
              <x14:cfvo type="max"/>
              <x14:negativeFillColor rgb="FF638EC6"/>
            </x14:dataBar>
          </x14:cfRule>
          <xm:sqref>C22:C27</xm:sqref>
        </x14:conditionalFormatting>
        <x14:conditionalFormatting xmlns:xm="http://schemas.microsoft.com/office/excel/2006/main">
          <x14:cfRule type="dataBar" id="{C4FB60FA-A2F5-495B-ACD4-EF32C3BB4D97}">
            <x14:dataBar axisPosition="none">
              <x14:cfvo type="min"/>
              <x14:cfvo type="max"/>
              <x14:negativeFillColor rgb="FF638EC6"/>
            </x14:dataBar>
          </x14:cfRule>
          <xm:sqref>C29:C32</xm:sqref>
        </x14:conditionalFormatting>
        <x14:conditionalFormatting xmlns:xm="http://schemas.microsoft.com/office/excel/2006/main">
          <x14:cfRule type="dataBar" id="{D38A9963-4256-4310-851B-4BB8194E1A32}">
            <x14:dataBar axisPosition="none">
              <x14:cfvo type="min"/>
              <x14:cfvo type="max"/>
              <x14:negativeFillColor rgb="FF638EC6"/>
            </x14:dataBar>
          </x14:cfRule>
          <xm:sqref>C34:C35</xm:sqref>
        </x14:conditionalFormatting>
        <x14:conditionalFormatting xmlns:xm="http://schemas.microsoft.com/office/excel/2006/main">
          <x14:cfRule type="dataBar" id="{8B805C2C-8059-4DB9-A6EE-B0E35312971B}">
            <x14:dataBar axisPosition="none">
              <x14:cfvo type="min"/>
              <x14:cfvo type="max"/>
              <x14:negativeFillColor rgb="FF638EC6"/>
            </x14:dataBar>
          </x14:cfRule>
          <xm:sqref>C37:C38</xm:sqref>
        </x14:conditionalFormatting>
        <x14:conditionalFormatting xmlns:xm="http://schemas.microsoft.com/office/excel/2006/main">
          <x14:cfRule type="dataBar" id="{42C2ED51-5A5C-4B03-B655-DAB712762CAF}">
            <x14:dataBar axisPosition="none">
              <x14:cfvo type="min"/>
              <x14:cfvo type="max"/>
              <x14:negativeFillColor rgb="FF638EC6"/>
            </x14:dataBar>
          </x14:cfRule>
          <xm:sqref>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BC tháng</vt:lpstr>
      <vt:lpstr>'Mẫu BC tháng'!Print_Area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Quang Phuc</dc:creator>
  <dc:description/>
  <cp:lastModifiedBy>Trần Quang Huy</cp:lastModifiedBy>
  <cp:revision>0</cp:revision>
  <cp:lastPrinted>2026-06-25T01:37:08Z</cp:lastPrinted>
  <dcterms:created xsi:type="dcterms:W3CDTF">2026-05-27T07:08:41Z</dcterms:created>
  <dcterms:modified xsi:type="dcterms:W3CDTF">2026-08-14T08:04:51Z</dcterms:modified>
  <dc:language>en-US</dc:language>
</cp:coreProperties>
</file>