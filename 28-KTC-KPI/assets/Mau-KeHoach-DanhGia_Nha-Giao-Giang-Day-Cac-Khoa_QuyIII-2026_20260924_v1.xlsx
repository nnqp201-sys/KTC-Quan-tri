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MAUPHIEU_QUY III\"/>
    </mc:Choice>
  </mc:AlternateContent>
  <xr:revisionPtr revIDLastSave="0" documentId="13_ncr:1_{35D3E990-DA59-4705-A616-919098672119}" xr6:coauthVersionLast="47" xr6:coauthVersionMax="47" xr10:uidLastSave="{00000000-0000-0000-0000-000000000000}"/>
  <bookViews>
    <workbookView xWindow="-120" yWindow="-120" windowWidth="20730" windowHeight="11160" tabRatio="500" xr2:uid="{00000000-000D-0000-FFFF-FFFF00000000}"/>
  </bookViews>
  <sheets>
    <sheet name="Ke Hoach" sheetId="1" r:id="rId1"/>
    <sheet name="KPI" sheetId="2" r:id="rId2"/>
    <sheet name="Danh Gia" sheetId="3" r:id="rId3"/>
  </sheets>
  <definedNames>
    <definedName name="_xlnm.Print_Area" localSheetId="2">'Danh Gia'!$A$5:$H$90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Q30" i="2"/>
  <c r="O113" i="2"/>
  <c r="Q92" i="2"/>
  <c r="O92" i="2"/>
  <c r="M92" i="2"/>
  <c r="F61" i="3"/>
  <c r="E36" i="3"/>
  <c r="D36" i="3"/>
  <c r="E31" i="3"/>
  <c r="D31" i="3"/>
  <c r="E20" i="3"/>
  <c r="E40" i="3" s="1"/>
  <c r="D20" i="3"/>
  <c r="D40" i="3" s="1"/>
  <c r="F62" i="3" s="1"/>
  <c r="O133" i="2"/>
  <c r="J133" i="2"/>
  <c r="I133" i="2"/>
  <c r="Q133" i="2" s="1"/>
  <c r="H133" i="2"/>
  <c r="G133" i="2"/>
  <c r="M133" i="2" s="1"/>
  <c r="B133" i="2"/>
  <c r="O132" i="2"/>
  <c r="J132" i="2"/>
  <c r="I132" i="2"/>
  <c r="Q132" i="2" s="1"/>
  <c r="H132" i="2"/>
  <c r="G132" i="2"/>
  <c r="M132" i="2" s="1"/>
  <c r="B132" i="2"/>
  <c r="O131" i="2"/>
  <c r="J131" i="2"/>
  <c r="I131" i="2"/>
  <c r="Q131" i="2" s="1"/>
  <c r="H131" i="2"/>
  <c r="G131" i="2"/>
  <c r="M131" i="2" s="1"/>
  <c r="B131" i="2"/>
  <c r="O130" i="2"/>
  <c r="J130" i="2"/>
  <c r="I130" i="2"/>
  <c r="Q130" i="2" s="1"/>
  <c r="H130" i="2"/>
  <c r="G130" i="2"/>
  <c r="M130" i="2" s="1"/>
  <c r="B130" i="2"/>
  <c r="O129" i="2"/>
  <c r="J129" i="2"/>
  <c r="I129" i="2"/>
  <c r="Q129" i="2" s="1"/>
  <c r="H129" i="2"/>
  <c r="G129" i="2"/>
  <c r="M129" i="2" s="1"/>
  <c r="B129" i="2"/>
  <c r="O128" i="2"/>
  <c r="J128" i="2"/>
  <c r="I128" i="2"/>
  <c r="Q128" i="2" s="1"/>
  <c r="H128" i="2"/>
  <c r="G128" i="2"/>
  <c r="M128" i="2" s="1"/>
  <c r="B128" i="2"/>
  <c r="O127" i="2"/>
  <c r="J127" i="2"/>
  <c r="I127" i="2"/>
  <c r="Q127" i="2" s="1"/>
  <c r="H127" i="2"/>
  <c r="G127" i="2"/>
  <c r="M127" i="2" s="1"/>
  <c r="B127" i="2"/>
  <c r="O126" i="2"/>
  <c r="J126" i="2"/>
  <c r="I126" i="2"/>
  <c r="Q126" i="2" s="1"/>
  <c r="H126" i="2"/>
  <c r="G126" i="2"/>
  <c r="M126" i="2" s="1"/>
  <c r="B126" i="2"/>
  <c r="O125" i="2"/>
  <c r="J125" i="2"/>
  <c r="I125" i="2"/>
  <c r="Q125" i="2" s="1"/>
  <c r="H125" i="2"/>
  <c r="G125" i="2"/>
  <c r="M125" i="2" s="1"/>
  <c r="B125" i="2"/>
  <c r="O124" i="2"/>
  <c r="J124" i="2"/>
  <c r="I124" i="2"/>
  <c r="Q124" i="2" s="1"/>
  <c r="H124" i="2"/>
  <c r="G124" i="2"/>
  <c r="M124" i="2" s="1"/>
  <c r="B124" i="2"/>
  <c r="O123" i="2"/>
  <c r="J123" i="2"/>
  <c r="I123" i="2"/>
  <c r="Q123" i="2" s="1"/>
  <c r="H123" i="2"/>
  <c r="G123" i="2"/>
  <c r="M123" i="2" s="1"/>
  <c r="B123" i="2"/>
  <c r="O122" i="2"/>
  <c r="J122" i="2"/>
  <c r="I122" i="2"/>
  <c r="Q122" i="2" s="1"/>
  <c r="H122" i="2"/>
  <c r="G122" i="2"/>
  <c r="M122" i="2" s="1"/>
  <c r="B122" i="2"/>
  <c r="O121" i="2"/>
  <c r="J121" i="2"/>
  <c r="I121" i="2"/>
  <c r="Q121" i="2" s="1"/>
  <c r="H121" i="2"/>
  <c r="G121" i="2"/>
  <c r="M121" i="2" s="1"/>
  <c r="B121" i="2"/>
  <c r="O120" i="2"/>
  <c r="J120" i="2"/>
  <c r="I120" i="2"/>
  <c r="Q120" i="2" s="1"/>
  <c r="H120" i="2"/>
  <c r="G120" i="2"/>
  <c r="M120" i="2" s="1"/>
  <c r="B120" i="2"/>
  <c r="O119" i="2"/>
  <c r="J119" i="2"/>
  <c r="I119" i="2"/>
  <c r="Q119" i="2" s="1"/>
  <c r="H119" i="2"/>
  <c r="G119" i="2"/>
  <c r="M119" i="2" s="1"/>
  <c r="B119" i="2"/>
  <c r="O118" i="2"/>
  <c r="J118" i="2"/>
  <c r="I118" i="2"/>
  <c r="Q118" i="2" s="1"/>
  <c r="H118" i="2"/>
  <c r="G118" i="2"/>
  <c r="M118" i="2" s="1"/>
  <c r="B118" i="2"/>
  <c r="O117" i="2"/>
  <c r="J117" i="2"/>
  <c r="I117" i="2"/>
  <c r="Q117" i="2" s="1"/>
  <c r="H117" i="2"/>
  <c r="G117" i="2"/>
  <c r="M117" i="2" s="1"/>
  <c r="B117" i="2"/>
  <c r="O116" i="2"/>
  <c r="J116" i="2"/>
  <c r="I116" i="2"/>
  <c r="Q116" i="2" s="1"/>
  <c r="H116" i="2"/>
  <c r="G116" i="2"/>
  <c r="M116" i="2" s="1"/>
  <c r="B116" i="2"/>
  <c r="O115" i="2"/>
  <c r="J115" i="2"/>
  <c r="I115" i="2"/>
  <c r="Q115" i="2" s="1"/>
  <c r="H115" i="2"/>
  <c r="G115" i="2"/>
  <c r="M115" i="2" s="1"/>
  <c r="B115" i="2"/>
  <c r="O114" i="2"/>
  <c r="J114" i="2"/>
  <c r="J113" i="2" s="1"/>
  <c r="C59" i="3" s="1"/>
  <c r="I114" i="2"/>
  <c r="Q114" i="2" s="1"/>
  <c r="H114" i="2"/>
  <c r="G114" i="2"/>
  <c r="M114" i="2" s="1"/>
  <c r="M113" i="2" s="1"/>
  <c r="R113" i="2" s="1"/>
  <c r="D59" i="3" s="1"/>
  <c r="B114" i="2"/>
  <c r="Q113" i="2"/>
  <c r="I112" i="2"/>
  <c r="O112" i="2" s="1"/>
  <c r="H112" i="2"/>
  <c r="G112" i="2"/>
  <c r="J112" i="2" s="1"/>
  <c r="B112" i="2"/>
  <c r="I111" i="2"/>
  <c r="O111" i="2" s="1"/>
  <c r="H111" i="2"/>
  <c r="G111" i="2"/>
  <c r="J111" i="2" s="1"/>
  <c r="B111" i="2"/>
  <c r="I110" i="2"/>
  <c r="O110" i="2" s="1"/>
  <c r="H110" i="2"/>
  <c r="G110" i="2"/>
  <c r="J110" i="2" s="1"/>
  <c r="B110" i="2"/>
  <c r="I109" i="2"/>
  <c r="O109" i="2" s="1"/>
  <c r="H109" i="2"/>
  <c r="G109" i="2"/>
  <c r="J109" i="2" s="1"/>
  <c r="B109" i="2"/>
  <c r="I108" i="2"/>
  <c r="O108" i="2" s="1"/>
  <c r="H108" i="2"/>
  <c r="G108" i="2"/>
  <c r="J108" i="2" s="1"/>
  <c r="B108" i="2"/>
  <c r="I107" i="2"/>
  <c r="O107" i="2" s="1"/>
  <c r="H107" i="2"/>
  <c r="G107" i="2"/>
  <c r="J107" i="2" s="1"/>
  <c r="B107" i="2"/>
  <c r="I106" i="2"/>
  <c r="O106" i="2" s="1"/>
  <c r="H106" i="2"/>
  <c r="G106" i="2"/>
  <c r="J106" i="2" s="1"/>
  <c r="B106" i="2"/>
  <c r="I105" i="2"/>
  <c r="O105" i="2" s="1"/>
  <c r="H105" i="2"/>
  <c r="G105" i="2"/>
  <c r="J105" i="2" s="1"/>
  <c r="B105" i="2"/>
  <c r="I104" i="2"/>
  <c r="O104" i="2" s="1"/>
  <c r="H104" i="2"/>
  <c r="G104" i="2"/>
  <c r="J104" i="2" s="1"/>
  <c r="B104" i="2"/>
  <c r="I103" i="2"/>
  <c r="O103" i="2" s="1"/>
  <c r="H103" i="2"/>
  <c r="G103" i="2"/>
  <c r="J103" i="2" s="1"/>
  <c r="B103" i="2"/>
  <c r="I102" i="2"/>
  <c r="O102" i="2" s="1"/>
  <c r="H102" i="2"/>
  <c r="G102" i="2"/>
  <c r="J102" i="2" s="1"/>
  <c r="B102" i="2"/>
  <c r="I101" i="2"/>
  <c r="O101" i="2" s="1"/>
  <c r="H101" i="2"/>
  <c r="G101" i="2"/>
  <c r="J101" i="2" s="1"/>
  <c r="B101" i="2"/>
  <c r="I100" i="2"/>
  <c r="O100" i="2" s="1"/>
  <c r="H100" i="2"/>
  <c r="G100" i="2"/>
  <c r="J100" i="2" s="1"/>
  <c r="B100" i="2"/>
  <c r="Q99" i="2"/>
  <c r="J99" i="2"/>
  <c r="I99" i="2"/>
  <c r="O99" i="2" s="1"/>
  <c r="H99" i="2"/>
  <c r="G99" i="2"/>
  <c r="M99" i="2" s="1"/>
  <c r="B99" i="2"/>
  <c r="O98" i="2"/>
  <c r="J98" i="2"/>
  <c r="I98" i="2"/>
  <c r="Q98" i="2" s="1"/>
  <c r="H98" i="2"/>
  <c r="G98" i="2"/>
  <c r="M98" i="2" s="1"/>
  <c r="B98" i="2"/>
  <c r="O97" i="2"/>
  <c r="J97" i="2"/>
  <c r="I97" i="2"/>
  <c r="Q97" i="2" s="1"/>
  <c r="H97" i="2"/>
  <c r="G97" i="2"/>
  <c r="M97" i="2" s="1"/>
  <c r="B97" i="2"/>
  <c r="O96" i="2"/>
  <c r="J96" i="2"/>
  <c r="I96" i="2"/>
  <c r="Q96" i="2" s="1"/>
  <c r="H96" i="2"/>
  <c r="G96" i="2"/>
  <c r="M96" i="2" s="1"/>
  <c r="B96" i="2"/>
  <c r="O95" i="2"/>
  <c r="J95" i="2"/>
  <c r="I95" i="2"/>
  <c r="Q95" i="2" s="1"/>
  <c r="H95" i="2"/>
  <c r="G95" i="2"/>
  <c r="M95" i="2" s="1"/>
  <c r="B95" i="2"/>
  <c r="O94" i="2"/>
  <c r="J94" i="2"/>
  <c r="I94" i="2"/>
  <c r="Q94" i="2" s="1"/>
  <c r="H94" i="2"/>
  <c r="G94" i="2"/>
  <c r="M94" i="2" s="1"/>
  <c r="B94" i="2"/>
  <c r="O93" i="2"/>
  <c r="J93" i="2"/>
  <c r="J92" i="2" s="1"/>
  <c r="C57" i="3" s="1"/>
  <c r="I93" i="2"/>
  <c r="Q93" i="2" s="1"/>
  <c r="H93" i="2"/>
  <c r="G93" i="2"/>
  <c r="M93" i="2" s="1"/>
  <c r="B93" i="2"/>
  <c r="I91" i="2"/>
  <c r="O91" i="2" s="1"/>
  <c r="H91" i="2"/>
  <c r="G91" i="2"/>
  <c r="J91" i="2" s="1"/>
  <c r="B91" i="2"/>
  <c r="I90" i="2"/>
  <c r="O90" i="2" s="1"/>
  <c r="H90" i="2"/>
  <c r="G90" i="2"/>
  <c r="J90" i="2" s="1"/>
  <c r="B90" i="2"/>
  <c r="I89" i="2"/>
  <c r="O89" i="2" s="1"/>
  <c r="H89" i="2"/>
  <c r="G89" i="2"/>
  <c r="J89" i="2" s="1"/>
  <c r="B89" i="2"/>
  <c r="I88" i="2"/>
  <c r="O88" i="2" s="1"/>
  <c r="H88" i="2"/>
  <c r="G88" i="2"/>
  <c r="J88" i="2" s="1"/>
  <c r="B88" i="2"/>
  <c r="I87" i="2"/>
  <c r="O87" i="2" s="1"/>
  <c r="H87" i="2"/>
  <c r="G87" i="2"/>
  <c r="J87" i="2" s="1"/>
  <c r="B87" i="2"/>
  <c r="I86" i="2"/>
  <c r="O86" i="2" s="1"/>
  <c r="H86" i="2"/>
  <c r="G86" i="2"/>
  <c r="J86" i="2" s="1"/>
  <c r="B86" i="2"/>
  <c r="I85" i="2"/>
  <c r="O85" i="2" s="1"/>
  <c r="H85" i="2"/>
  <c r="G85" i="2"/>
  <c r="J85" i="2" s="1"/>
  <c r="B85" i="2"/>
  <c r="I84" i="2"/>
  <c r="O84" i="2" s="1"/>
  <c r="H84" i="2"/>
  <c r="G84" i="2"/>
  <c r="J84" i="2" s="1"/>
  <c r="B84" i="2"/>
  <c r="I83" i="2"/>
  <c r="O83" i="2" s="1"/>
  <c r="H83" i="2"/>
  <c r="G83" i="2"/>
  <c r="J83" i="2" s="1"/>
  <c r="B83" i="2"/>
  <c r="I82" i="2"/>
  <c r="O82" i="2" s="1"/>
  <c r="H82" i="2"/>
  <c r="G82" i="2"/>
  <c r="J82" i="2" s="1"/>
  <c r="B82" i="2"/>
  <c r="I81" i="2"/>
  <c r="O81" i="2" s="1"/>
  <c r="H81" i="2"/>
  <c r="G81" i="2"/>
  <c r="J81" i="2" s="1"/>
  <c r="B81" i="2"/>
  <c r="I80" i="2"/>
  <c r="O80" i="2" s="1"/>
  <c r="H80" i="2"/>
  <c r="G80" i="2"/>
  <c r="J80" i="2" s="1"/>
  <c r="B80" i="2"/>
  <c r="I79" i="2"/>
  <c r="O79" i="2" s="1"/>
  <c r="H79" i="2"/>
  <c r="G79" i="2"/>
  <c r="J79" i="2" s="1"/>
  <c r="B79" i="2"/>
  <c r="I78" i="2"/>
  <c r="O78" i="2" s="1"/>
  <c r="H78" i="2"/>
  <c r="G78" i="2"/>
  <c r="J78" i="2" s="1"/>
  <c r="B78" i="2"/>
  <c r="I77" i="2"/>
  <c r="O77" i="2" s="1"/>
  <c r="H77" i="2"/>
  <c r="G77" i="2"/>
  <c r="J77" i="2" s="1"/>
  <c r="B77" i="2"/>
  <c r="I76" i="2"/>
  <c r="O76" i="2" s="1"/>
  <c r="H76" i="2"/>
  <c r="G76" i="2"/>
  <c r="J76" i="2" s="1"/>
  <c r="B76" i="2"/>
  <c r="I75" i="2"/>
  <c r="O75" i="2" s="1"/>
  <c r="H75" i="2"/>
  <c r="G75" i="2"/>
  <c r="J75" i="2" s="1"/>
  <c r="B75" i="2"/>
  <c r="I74" i="2"/>
  <c r="O74" i="2" s="1"/>
  <c r="H74" i="2"/>
  <c r="G74" i="2"/>
  <c r="J74" i="2" s="1"/>
  <c r="B74" i="2"/>
  <c r="I73" i="2"/>
  <c r="O73" i="2" s="1"/>
  <c r="H73" i="2"/>
  <c r="G73" i="2"/>
  <c r="J73" i="2" s="1"/>
  <c r="B73" i="2"/>
  <c r="I72" i="2"/>
  <c r="O72" i="2" s="1"/>
  <c r="O71" i="2" s="1"/>
  <c r="H72" i="2"/>
  <c r="G72" i="2"/>
  <c r="J72" i="2" s="1"/>
  <c r="J71" i="2" s="1"/>
  <c r="C55" i="3" s="1"/>
  <c r="B72" i="2"/>
  <c r="O70" i="2"/>
  <c r="J70" i="2"/>
  <c r="I70" i="2"/>
  <c r="Q70" i="2" s="1"/>
  <c r="H70" i="2"/>
  <c r="G70" i="2"/>
  <c r="M70" i="2" s="1"/>
  <c r="B70" i="2"/>
  <c r="O69" i="2"/>
  <c r="J69" i="2"/>
  <c r="I69" i="2"/>
  <c r="Q69" i="2" s="1"/>
  <c r="H69" i="2"/>
  <c r="G69" i="2"/>
  <c r="M69" i="2" s="1"/>
  <c r="B69" i="2"/>
  <c r="O68" i="2"/>
  <c r="J68" i="2"/>
  <c r="I68" i="2"/>
  <c r="Q68" i="2" s="1"/>
  <c r="H68" i="2"/>
  <c r="G68" i="2"/>
  <c r="M68" i="2" s="1"/>
  <c r="B68" i="2"/>
  <c r="O67" i="2"/>
  <c r="J67" i="2"/>
  <c r="I67" i="2"/>
  <c r="Q67" i="2" s="1"/>
  <c r="H67" i="2"/>
  <c r="G67" i="2"/>
  <c r="M67" i="2" s="1"/>
  <c r="B67" i="2"/>
  <c r="O66" i="2"/>
  <c r="J66" i="2"/>
  <c r="I66" i="2"/>
  <c r="Q66" i="2" s="1"/>
  <c r="H66" i="2"/>
  <c r="G66" i="2"/>
  <c r="M66" i="2" s="1"/>
  <c r="B66" i="2"/>
  <c r="O65" i="2"/>
  <c r="J65" i="2"/>
  <c r="I65" i="2"/>
  <c r="Q65" i="2" s="1"/>
  <c r="H65" i="2"/>
  <c r="G65" i="2"/>
  <c r="M65" i="2" s="1"/>
  <c r="B65" i="2"/>
  <c r="O64" i="2"/>
  <c r="J64" i="2"/>
  <c r="I64" i="2"/>
  <c r="Q64" i="2" s="1"/>
  <c r="H64" i="2"/>
  <c r="G64" i="2"/>
  <c r="M64" i="2" s="1"/>
  <c r="B64" i="2"/>
  <c r="O63" i="2"/>
  <c r="J63" i="2"/>
  <c r="I63" i="2"/>
  <c r="Q63" i="2" s="1"/>
  <c r="H63" i="2"/>
  <c r="G63" i="2"/>
  <c r="M63" i="2" s="1"/>
  <c r="B63" i="2"/>
  <c r="O62" i="2"/>
  <c r="J62" i="2"/>
  <c r="I62" i="2"/>
  <c r="Q62" i="2" s="1"/>
  <c r="H62" i="2"/>
  <c r="G62" i="2"/>
  <c r="M62" i="2" s="1"/>
  <c r="B62" i="2"/>
  <c r="O61" i="2"/>
  <c r="J61" i="2"/>
  <c r="I61" i="2"/>
  <c r="Q61" i="2" s="1"/>
  <c r="H61" i="2"/>
  <c r="G61" i="2"/>
  <c r="M61" i="2" s="1"/>
  <c r="B61" i="2"/>
  <c r="O60" i="2"/>
  <c r="J60" i="2"/>
  <c r="I60" i="2"/>
  <c r="Q60" i="2" s="1"/>
  <c r="H60" i="2"/>
  <c r="G60" i="2"/>
  <c r="M60" i="2" s="1"/>
  <c r="B60" i="2"/>
  <c r="O59" i="2"/>
  <c r="J59" i="2"/>
  <c r="I59" i="2"/>
  <c r="Q59" i="2" s="1"/>
  <c r="H59" i="2"/>
  <c r="G59" i="2"/>
  <c r="M59" i="2" s="1"/>
  <c r="B59" i="2"/>
  <c r="O58" i="2"/>
  <c r="J58" i="2"/>
  <c r="I58" i="2"/>
  <c r="Q58" i="2" s="1"/>
  <c r="H58" i="2"/>
  <c r="G58" i="2"/>
  <c r="M58" i="2" s="1"/>
  <c r="B58" i="2"/>
  <c r="O57" i="2"/>
  <c r="J57" i="2"/>
  <c r="I57" i="2"/>
  <c r="Q57" i="2" s="1"/>
  <c r="H57" i="2"/>
  <c r="G57" i="2"/>
  <c r="M57" i="2" s="1"/>
  <c r="B57" i="2"/>
  <c r="O56" i="2"/>
  <c r="J56" i="2"/>
  <c r="I56" i="2"/>
  <c r="Q56" i="2" s="1"/>
  <c r="H56" i="2"/>
  <c r="G56" i="2"/>
  <c r="M56" i="2" s="1"/>
  <c r="B56" i="2"/>
  <c r="O55" i="2"/>
  <c r="J55" i="2"/>
  <c r="I55" i="2"/>
  <c r="Q55" i="2" s="1"/>
  <c r="H55" i="2"/>
  <c r="G55" i="2"/>
  <c r="M55" i="2" s="1"/>
  <c r="B55" i="2"/>
  <c r="O54" i="2"/>
  <c r="J54" i="2"/>
  <c r="I54" i="2"/>
  <c r="Q54" i="2" s="1"/>
  <c r="H54" i="2"/>
  <c r="G54" i="2"/>
  <c r="M54" i="2" s="1"/>
  <c r="B54" i="2"/>
  <c r="O53" i="2"/>
  <c r="J53" i="2"/>
  <c r="I53" i="2"/>
  <c r="Q53" i="2" s="1"/>
  <c r="H53" i="2"/>
  <c r="G53" i="2"/>
  <c r="M53" i="2" s="1"/>
  <c r="B53" i="2"/>
  <c r="O52" i="2"/>
  <c r="J52" i="2"/>
  <c r="I52" i="2"/>
  <c r="Q52" i="2" s="1"/>
  <c r="H52" i="2"/>
  <c r="G52" i="2"/>
  <c r="M52" i="2" s="1"/>
  <c r="B52" i="2"/>
  <c r="O51" i="2"/>
  <c r="O50" i="2" s="1"/>
  <c r="J51" i="2"/>
  <c r="J50" i="2" s="1"/>
  <c r="C52" i="3" s="1"/>
  <c r="I51" i="2"/>
  <c r="Q51" i="2" s="1"/>
  <c r="Q50" i="2" s="1"/>
  <c r="H51" i="2"/>
  <c r="G51" i="2"/>
  <c r="M51" i="2" s="1"/>
  <c r="M50" i="2" s="1"/>
  <c r="R50" i="2" s="1"/>
  <c r="D52" i="3" s="1"/>
  <c r="B51" i="2"/>
  <c r="I49" i="2"/>
  <c r="O49" i="2" s="1"/>
  <c r="H49" i="2"/>
  <c r="G49" i="2"/>
  <c r="J49" i="2" s="1"/>
  <c r="B49" i="2"/>
  <c r="I48" i="2"/>
  <c r="O48" i="2" s="1"/>
  <c r="H48" i="2"/>
  <c r="G48" i="2"/>
  <c r="J48" i="2" s="1"/>
  <c r="B48" i="2"/>
  <c r="O47" i="2"/>
  <c r="J47" i="2"/>
  <c r="I47" i="2"/>
  <c r="H47" i="2"/>
  <c r="G47" i="2"/>
  <c r="M47" i="2" s="1"/>
  <c r="B47" i="2"/>
  <c r="I46" i="2"/>
  <c r="O46" i="2" s="1"/>
  <c r="H46" i="2"/>
  <c r="G46" i="2"/>
  <c r="J46" i="2" s="1"/>
  <c r="B46" i="2"/>
  <c r="I45" i="2"/>
  <c r="O45" i="2" s="1"/>
  <c r="H45" i="2"/>
  <c r="G45" i="2"/>
  <c r="J45" i="2" s="1"/>
  <c r="B45" i="2"/>
  <c r="I44" i="2"/>
  <c r="O44" i="2" s="1"/>
  <c r="H44" i="2"/>
  <c r="G44" i="2"/>
  <c r="J44" i="2" s="1"/>
  <c r="B44" i="2"/>
  <c r="O43" i="2"/>
  <c r="J43" i="2"/>
  <c r="I43" i="2"/>
  <c r="H43" i="2"/>
  <c r="G43" i="2"/>
  <c r="M43" i="2" s="1"/>
  <c r="B43" i="2"/>
  <c r="I42" i="2"/>
  <c r="O42" i="2" s="1"/>
  <c r="H42" i="2"/>
  <c r="G42" i="2"/>
  <c r="J42" i="2" s="1"/>
  <c r="B42" i="2"/>
  <c r="O41" i="2"/>
  <c r="J41" i="2"/>
  <c r="I41" i="2"/>
  <c r="H41" i="2"/>
  <c r="G41" i="2"/>
  <c r="M41" i="2" s="1"/>
  <c r="B41" i="2"/>
  <c r="I40" i="2"/>
  <c r="O40" i="2" s="1"/>
  <c r="H40" i="2"/>
  <c r="G40" i="2"/>
  <c r="J40" i="2" s="1"/>
  <c r="B40" i="2"/>
  <c r="O39" i="2"/>
  <c r="J39" i="2"/>
  <c r="I39" i="2"/>
  <c r="H39" i="2"/>
  <c r="G39" i="2"/>
  <c r="M39" i="2" s="1"/>
  <c r="B39" i="2"/>
  <c r="I38" i="2"/>
  <c r="O38" i="2" s="1"/>
  <c r="H38" i="2"/>
  <c r="G38" i="2"/>
  <c r="B38" i="2"/>
  <c r="O37" i="2"/>
  <c r="J37" i="2"/>
  <c r="I37" i="2"/>
  <c r="H37" i="2"/>
  <c r="G37" i="2"/>
  <c r="M37" i="2" s="1"/>
  <c r="B37" i="2"/>
  <c r="M36" i="2"/>
  <c r="I36" i="2"/>
  <c r="O36" i="2" s="1"/>
  <c r="H36" i="2"/>
  <c r="G36" i="2"/>
  <c r="J36" i="2" s="1"/>
  <c r="B36" i="2"/>
  <c r="O35" i="2"/>
  <c r="J35" i="2"/>
  <c r="I35" i="2"/>
  <c r="H35" i="2"/>
  <c r="G35" i="2"/>
  <c r="M35" i="2" s="1"/>
  <c r="B35" i="2"/>
  <c r="I34" i="2"/>
  <c r="O34" i="2" s="1"/>
  <c r="H34" i="2"/>
  <c r="G34" i="2"/>
  <c r="J34" i="2" s="1"/>
  <c r="B34" i="2"/>
  <c r="O33" i="2"/>
  <c r="J33" i="2"/>
  <c r="I33" i="2"/>
  <c r="H33" i="2"/>
  <c r="G33" i="2"/>
  <c r="M33" i="2" s="1"/>
  <c r="B33" i="2"/>
  <c r="M32" i="2"/>
  <c r="I32" i="2"/>
  <c r="O32" i="2" s="1"/>
  <c r="H32" i="2"/>
  <c r="G32" i="2"/>
  <c r="J32" i="2" s="1"/>
  <c r="B32" i="2"/>
  <c r="M31" i="2"/>
  <c r="I31" i="2"/>
  <c r="O31" i="2" s="1"/>
  <c r="H31" i="2"/>
  <c r="G31" i="2"/>
  <c r="J31" i="2" s="1"/>
  <c r="B31" i="2"/>
  <c r="M30" i="2"/>
  <c r="I30" i="2"/>
  <c r="O30" i="2" s="1"/>
  <c r="H30" i="2"/>
  <c r="G30" i="2"/>
  <c r="J30" i="2" s="1"/>
  <c r="B30" i="2"/>
  <c r="O29" i="2"/>
  <c r="O28" i="2"/>
  <c r="J28" i="2"/>
  <c r="I28" i="2"/>
  <c r="Q28" i="2" s="1"/>
  <c r="H28" i="2"/>
  <c r="G28" i="2"/>
  <c r="M28" i="2" s="1"/>
  <c r="B28" i="2"/>
  <c r="O27" i="2"/>
  <c r="J27" i="2"/>
  <c r="I27" i="2"/>
  <c r="Q27" i="2" s="1"/>
  <c r="H27" i="2"/>
  <c r="G27" i="2"/>
  <c r="M27" i="2" s="1"/>
  <c r="B27" i="2"/>
  <c r="O26" i="2"/>
  <c r="J26" i="2"/>
  <c r="I26" i="2"/>
  <c r="Q26" i="2" s="1"/>
  <c r="H26" i="2"/>
  <c r="G26" i="2"/>
  <c r="M26" i="2" s="1"/>
  <c r="B26" i="2"/>
  <c r="O25" i="2"/>
  <c r="J25" i="2"/>
  <c r="I25" i="2"/>
  <c r="Q25" i="2" s="1"/>
  <c r="H25" i="2"/>
  <c r="G25" i="2"/>
  <c r="M25" i="2" s="1"/>
  <c r="B25" i="2"/>
  <c r="O24" i="2"/>
  <c r="J24" i="2"/>
  <c r="I24" i="2"/>
  <c r="Q24" i="2" s="1"/>
  <c r="H24" i="2"/>
  <c r="G24" i="2"/>
  <c r="M24" i="2" s="1"/>
  <c r="B24" i="2"/>
  <c r="I23" i="2"/>
  <c r="Q23" i="2" s="1"/>
  <c r="H23" i="2"/>
  <c r="G23" i="2"/>
  <c r="M23" i="2" s="1"/>
  <c r="B23" i="2"/>
  <c r="I22" i="2"/>
  <c r="O22" i="2" s="1"/>
  <c r="H22" i="2"/>
  <c r="G22" i="2"/>
  <c r="J22" i="2" s="1"/>
  <c r="B22" i="2"/>
  <c r="I21" i="2"/>
  <c r="O21" i="2" s="1"/>
  <c r="H21" i="2"/>
  <c r="G21" i="2"/>
  <c r="J21" i="2" s="1"/>
  <c r="B21" i="2"/>
  <c r="Q20" i="2"/>
  <c r="I20" i="2"/>
  <c r="O20" i="2" s="1"/>
  <c r="H20" i="2"/>
  <c r="G20" i="2"/>
  <c r="J20" i="2" s="1"/>
  <c r="B20" i="2"/>
  <c r="I19" i="2"/>
  <c r="O19" i="2" s="1"/>
  <c r="H19" i="2"/>
  <c r="G19" i="2"/>
  <c r="J19" i="2" s="1"/>
  <c r="B19" i="2"/>
  <c r="Q18" i="2"/>
  <c r="I18" i="2"/>
  <c r="O18" i="2" s="1"/>
  <c r="H18" i="2"/>
  <c r="G18" i="2"/>
  <c r="J18" i="2" s="1"/>
  <c r="B18" i="2"/>
  <c r="I17" i="2"/>
  <c r="O17" i="2" s="1"/>
  <c r="H17" i="2"/>
  <c r="G17" i="2"/>
  <c r="J17" i="2" s="1"/>
  <c r="B17" i="2"/>
  <c r="I16" i="2"/>
  <c r="O16" i="2" s="1"/>
  <c r="H16" i="2"/>
  <c r="G16" i="2"/>
  <c r="J16" i="2" s="1"/>
  <c r="B16" i="2"/>
  <c r="M15" i="2"/>
  <c r="I15" i="2"/>
  <c r="O15" i="2" s="1"/>
  <c r="H15" i="2"/>
  <c r="G15" i="2"/>
  <c r="J15" i="2" s="1"/>
  <c r="B15" i="2"/>
  <c r="I14" i="2"/>
  <c r="O14" i="2" s="1"/>
  <c r="H14" i="2"/>
  <c r="G14" i="2"/>
  <c r="J14" i="2" s="1"/>
  <c r="B14" i="2"/>
  <c r="I13" i="2"/>
  <c r="O13" i="2" s="1"/>
  <c r="H13" i="2"/>
  <c r="G13" i="2"/>
  <c r="J13" i="2" s="1"/>
  <c r="B13" i="2"/>
  <c r="I12" i="2"/>
  <c r="O12" i="2" s="1"/>
  <c r="H12" i="2"/>
  <c r="G12" i="2"/>
  <c r="J12" i="2" s="1"/>
  <c r="B12" i="2"/>
  <c r="Q11" i="2"/>
  <c r="I11" i="2"/>
  <c r="O11" i="2" s="1"/>
  <c r="H11" i="2"/>
  <c r="G11" i="2"/>
  <c r="J11" i="2" s="1"/>
  <c r="B11" i="2"/>
  <c r="I10" i="2"/>
  <c r="O10" i="2" s="1"/>
  <c r="H10" i="2"/>
  <c r="G10" i="2"/>
  <c r="J10" i="2" s="1"/>
  <c r="B10" i="2"/>
  <c r="Q9" i="2"/>
  <c r="I9" i="2"/>
  <c r="O9" i="2" s="1"/>
  <c r="H9" i="2"/>
  <c r="G9" i="2"/>
  <c r="J9" i="2" s="1"/>
  <c r="B9" i="2"/>
  <c r="E59" i="3" l="1"/>
  <c r="G59" i="3" s="1"/>
  <c r="M9" i="2"/>
  <c r="M10" i="2"/>
  <c r="Q10" i="2"/>
  <c r="Q8" i="2" s="1"/>
  <c r="M11" i="2"/>
  <c r="M12" i="2"/>
  <c r="Q12" i="2"/>
  <c r="M13" i="2"/>
  <c r="Q13" i="2"/>
  <c r="M14" i="2"/>
  <c r="Q14" i="2"/>
  <c r="Q15" i="2"/>
  <c r="M16" i="2"/>
  <c r="Q16" i="2"/>
  <c r="M17" i="2"/>
  <c r="Q17" i="2"/>
  <c r="M18" i="2"/>
  <c r="M19" i="2"/>
  <c r="Q19" i="2"/>
  <c r="M20" i="2"/>
  <c r="M21" i="2"/>
  <c r="Q21" i="2"/>
  <c r="M22" i="2"/>
  <c r="Q22" i="2"/>
  <c r="O23" i="2"/>
  <c r="O8" i="2" s="1"/>
  <c r="J38" i="2"/>
  <c r="J29" i="2" s="1"/>
  <c r="C49" i="3" s="1"/>
  <c r="M38" i="2"/>
  <c r="J23" i="2"/>
  <c r="J8" i="2" s="1"/>
  <c r="C43" i="3" s="1"/>
  <c r="M34" i="2"/>
  <c r="M29" i="2" s="1"/>
  <c r="E52" i="3"/>
  <c r="G52" i="3" s="1"/>
  <c r="M40" i="2"/>
  <c r="M42" i="2"/>
  <c r="M44" i="2"/>
  <c r="M45" i="2"/>
  <c r="M46" i="2"/>
  <c r="M48" i="2"/>
  <c r="M49" i="2"/>
  <c r="M72" i="2"/>
  <c r="Q72" i="2"/>
  <c r="M73" i="2"/>
  <c r="Q73" i="2"/>
  <c r="M74" i="2"/>
  <c r="Q74" i="2"/>
  <c r="M75" i="2"/>
  <c r="Q75" i="2"/>
  <c r="M76" i="2"/>
  <c r="Q76" i="2"/>
  <c r="M77" i="2"/>
  <c r="Q77" i="2"/>
  <c r="M78" i="2"/>
  <c r="Q78" i="2"/>
  <c r="M79" i="2"/>
  <c r="Q79" i="2"/>
  <c r="M80" i="2"/>
  <c r="Q80" i="2"/>
  <c r="M81" i="2"/>
  <c r="Q81" i="2"/>
  <c r="M82" i="2"/>
  <c r="Q82" i="2"/>
  <c r="M83" i="2"/>
  <c r="Q83" i="2"/>
  <c r="M84" i="2"/>
  <c r="Q84" i="2"/>
  <c r="M85" i="2"/>
  <c r="Q85" i="2"/>
  <c r="M86" i="2"/>
  <c r="Q86" i="2"/>
  <c r="M87" i="2"/>
  <c r="Q87" i="2"/>
  <c r="M88" i="2"/>
  <c r="Q88" i="2"/>
  <c r="M89" i="2"/>
  <c r="Q89" i="2"/>
  <c r="M90" i="2"/>
  <c r="Q90" i="2"/>
  <c r="M91" i="2"/>
  <c r="Q91" i="2"/>
  <c r="Q100" i="2"/>
  <c r="Q101" i="2"/>
  <c r="Q102" i="2"/>
  <c r="Q103" i="2"/>
  <c r="Q104" i="2"/>
  <c r="Q105" i="2"/>
  <c r="Q106" i="2"/>
  <c r="Q107" i="2"/>
  <c r="Q108" i="2"/>
  <c r="Q109" i="2"/>
  <c r="Q110" i="2"/>
  <c r="Q111" i="2"/>
  <c r="Q112" i="2"/>
  <c r="M100" i="2"/>
  <c r="M101" i="2"/>
  <c r="M102" i="2"/>
  <c r="M103" i="2"/>
  <c r="M104" i="2"/>
  <c r="M105" i="2"/>
  <c r="M106" i="2"/>
  <c r="M107" i="2"/>
  <c r="M108" i="2"/>
  <c r="M109" i="2"/>
  <c r="M110" i="2"/>
  <c r="M111" i="2"/>
  <c r="M112" i="2"/>
  <c r="R92" i="2" l="1"/>
  <c r="D57" i="3" s="1"/>
  <c r="E57" i="3" s="1"/>
  <c r="G57" i="3" s="1"/>
  <c r="Q71" i="2"/>
  <c r="M71" i="2"/>
  <c r="R71" i="2" s="1"/>
  <c r="D55" i="3" s="1"/>
  <c r="E55" i="3" s="1"/>
  <c r="G55" i="3" s="1"/>
  <c r="Q29" i="2"/>
  <c r="R29" i="2" s="1"/>
  <c r="D49" i="3" s="1"/>
  <c r="E49" i="3" s="1"/>
  <c r="G49" i="3" s="1"/>
  <c r="M8" i="2"/>
  <c r="R8" i="2" s="1"/>
  <c r="D43" i="3" s="1"/>
  <c r="E43" i="3" s="1"/>
  <c r="G43" i="3" s="1"/>
  <c r="G61" i="3" l="1"/>
  <c r="G62" i="3" s="1"/>
</calcChain>
</file>

<file path=xl/sharedStrings.xml><?xml version="1.0" encoding="utf-8"?>
<sst xmlns="http://schemas.openxmlformats.org/spreadsheetml/2006/main" count="458" uniqueCount="192">
  <si>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</si>
  <si>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</si>
  <si>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</si>
  <si>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</si>
  <si>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</si>
  <si>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</si>
  <si>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</si>
  <si>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</si>
  <si>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</si>
  <si>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</si>
  <si>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</si>
  <si>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</si>
  <si>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</si>
  <si>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</si>
  <si>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</si>
  <si>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</si>
  <si>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</si>
  <si>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</si>
  <si>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</si>
  <si>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</si>
  <si>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</si>
  <si>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</si>
  <si>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</si>
  <si>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</si>
  <si>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</si>
  <si>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</si>
  <si>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</si>
  <si>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</si>
  <si>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</si>
  <si>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</si>
  <si>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</si>
  <si>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</si>
  <si>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</si>
  <si>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</si>
  <si>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</si>
  <si>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</si>
  <si>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</si>
  <si>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</si>
  <si>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</si>
  <si>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</si>
  <si>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</si>
  <si>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</si>
  <si>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</si>
  <si>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</si>
  <si>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</si>
  <si>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</si>
  <si>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</si>
  <si>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</si>
  <si>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</si>
  <si>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</si>
  <si>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</si>
  <si>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</si>
  <si>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</si>
  <si>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</si>
  <si>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</si>
  <si>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</si>
  <si>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</si>
  <si>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</si>
  <si>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</si>
  <si>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</si>
  <si>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</si>
  <si>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</si>
  <si>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</si>
  <si>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</si>
  <si>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</si>
  <si>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</si>
  <si>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</si>
  <si>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</si>
  <si>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</si>
  <si>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</si>
  <si>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</si>
  <si>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</si>
  <si>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</si>
  <si>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</si>
  <si>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</si>
  <si>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</si>
  <si>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</si>
  <si>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</si>
  <si>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</si>
  <si>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</si>
  <si>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</si>
  <si>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</si>
  <si>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</si>
  <si>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</si>
  <si>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</si>
  <si>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</si>
  <si>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</si>
  <si>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Nhập tỷ lệ % mức độ đáp ứng</t>
  </si>
  <si>
    <t xml:space="preserve">Trục (1) Thực hiện mục tiêu phát triển Kinh tế - xã hội và nhiệm vụ chính trị được giao </t>
  </si>
  <si>
    <t>Phụ lục V</t>
  </si>
  <si>
    <t xml:space="preserve">MẪU BẢN TỰ ĐÁNH GIÁ, XẾP LOẠI CÁ NHÂN QUÝ …. NĂM 2026 ĐỐI VỚI NHÀ GIÁO </t>
  </si>
  <si>
    <t xml:space="preserve"> TRỰC TIẾP GIẢNG DẠY THUỘC BIÊN CHẾ CÁC KHOA CỦA TRƯỜNG CAO ĐẲNG KON TUM</t>
  </si>
  <si>
    <t>UBND TỈNH QUẢNG NGÃI</t>
  </si>
  <si>
    <t>CỘNG HÒA XÃ HỘI CHỦ NGHĨA VIỆT NAM</t>
  </si>
  <si>
    <t>TRƯỜNG CAO ĐẲNG KON TUM</t>
  </si>
  <si>
    <t>Độc lập - Tự do - Hạnh Phúc</t>
  </si>
  <si>
    <t>BẢNG TỰ ĐÁNH GIÁ, XẾP LOẠI CÁ NHÂN</t>
  </si>
  <si>
    <t>Quý: …. Năm: ….</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</si>
  <si>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</si>
  <si>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</si>
  <si>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</si>
  <si>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</si>
  <si>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</si>
  <si>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</si>
  <si>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</si>
  <si>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</si>
  <si>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</si>
  <si>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</si>
  <si>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</si>
  <si>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</si>
  <si>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</si>
  <si>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a)</t>
  </si>
  <si>
    <t>Chấp hành đường lối, chủ trương của Đảng, chính sách, pháp luật của Nhà nước và quy định của cơ quan, tổ chức, đơn vị.</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</si>
  <si>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</si>
  <si>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</si>
  <si>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</si>
  <si>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</si>
  <si>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</si>
  <si>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</si>
  <si>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</si>
  <si>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</si>
  <si>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</si>
  <si>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</si>
  <si>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</si>
  <si>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</si>
  <si>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</si>
  <si>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</si>
  <si>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</si>
  <si>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</si>
  <si>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</si>
  <si>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</si>
  <si>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</si>
  <si>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</si>
  <si>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</si>
  <si>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</si>
  <si>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</si>
  <si>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</si>
  <si>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</si>
  <si>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</si>
  <si>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</si>
  <si>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 nhóm A</t>
  </si>
  <si>
    <t>KẾT QUẢ THỰC HIỆN NHIỆM VỤ ĐƯỢC GIAO (70 ĐIỂM) - Đề nghị đề xuất mức điểm tối đa đối với các nhiệm vụ trục chính
(Lưu ý: Đối với viên chức không giữ chức vụ quản lý, 06 trục kết quả chỉ mang tính chất tham chiếu khi phù hợp, không bắt buộc áp dụng đủ cả 06 trục - Điều 12.2 Quy chế; đơn vị có thể điều chỉnh trọng số các trục 2-6 cho phù hợp với thực tế nhiệm vụ được giao.)</t>
  </si>
  <si>
    <t>Tiêu chí/Nội dung</t>
  </si>
  <si>
    <t>Mục tiêu, nhiệm vụ đề ra</t>
  </si>
  <si>
    <t>Kết quả sản phẩm thực tế</t>
  </si>
  <si>
    <t>Điểm KPI (%)</t>
  </si>
  <si>
    <t>Điểm đạt (= Điểm KPI x Điểm tối đa)</t>
  </si>
  <si>
    <t>Thực hiện nhiệm vụ giảng dạy theo kế hoạch</t>
  </si>
  <si>
    <t>Bảo đảm chất lượng giảng dạy, hồ sơ chuyên môn; tham gia công tác kiểm định chương trình đào tạo, kiểm định chất lượng cơ sở giáo dục nghề nghiệp</t>
  </si>
  <si>
    <t>Hướng dẫn thực tập, thực hành, thi tay nghề; giáo dục, quản lý và hỗ trợ học sinh, sinh viên</t>
  </si>
  <si>
    <t>Thực hiện các nhiệm vụ chuyên môn và nhiệm vụ khác được giao (xây dựng, cập nhật chương trình, giáo trình; dự giờ, trao đổi chuyên môn nghiệp vụ; coi thi, chấm bài, ra đề, ngân hàng đề; tham gia hội nghị, hội thảo khác của Trường, khoa…)</t>
  </si>
  <si>
    <t>Tham gia thực hành, thực tập tại cơ quan chuyên môn, doanh nghiệp trong nước, nâng cao kỹ năng thực hành và tiếp cận công nghệ mới; phối hợp kết nối doanh nghiệp phục vụ đào tạo, thực hành, thực tập, hội thảo chuyên môn cho HSSV và nhà giáo.</t>
  </si>
  <si>
    <t>Tham gia xây dựng, góp ý chương trình đào tạo, giáo trình, học liệu; xây dựng, góp ý hoàn thiện các văn bản của nhà trường, phòng, khoa; tham gia hội đồng chuyên môn; tham gia các cuộc kiểm tra hoặc phục vụ công tác kiểm tra,…</t>
  </si>
  <si>
    <t>Tham gia các Hội đồng: Giám khảo, đánh giá chương trình đào tạo,...; thực hiện công tác quản lý đào tạo, kiểm tra, đánh giá theo phân công.</t>
  </si>
  <si>
    <t>Trục (3) - Thúc đẩy phát triển khoa học, công nghệ, đổi mới sáng tạo và chuyển đổi số.</t>
  </si>
  <si>
    <t>Thực hiện nghiên cứu khoa học, sáng kiến kinh nghiệm; ứng dụng CNTT, AI trong giảng dạy, kiểm tra, đánh giá người học; xây dựng học liệu số, bài giảng điện tử; thiết kế, cải tiến thiết bị đào tạo và đồ dùng dạy học; tham gia xây dựng phòng học chuyên môn; hội thi thiết bị đào tạo tự làm, hội thi sáng tạo kỹ thuật; tham gia các hoạt động đổi mới sáng tạo;...</t>
  </si>
  <si>
    <t>Hỗ trợ HSSV tham gia khởi nghiệp; báo cáo chuyên đề tại các hội nghị, hội thảo khoa học; …</t>
  </si>
  <si>
    <t>Trục (4) - Xây dựng đảng và hệ thống chính trị trong sạch, vững mạnh; giữ gìn đoàn kết, thống nhất nội bộ; phòng, chống tham nhũng, lãng phí, tiêu cực.</t>
  </si>
  <si>
    <t>Chấp hành chủ trương của Đảng, chính sách pháp luật của Nhà nước; tham gia sinh hoạt Đảng (nếu có); thực hiện đạo đức nghề nghiệp; giữ gìn đoàn kết nội bộ; thực hành tiết kiệm, chống lãng phí; chấp hành kỷ luật, kỷ cương hành chính; tham gia giám sát các hoạt động của nhà trường; tham gia bồi dưỡng nâng cao trình độ chuyên môn, nghiệp vụ, lý luận chính trị theo kế hoạch của đơn vị; góp ý hoàn thiện văn bản các cấp về phòng, chống tham nhũng, lãng phí, tiêu cực;...</t>
  </si>
  <si>
    <t>Trục (5) - Phát triển văn hóa, con người, bảo đảm an sinh xã hội, nâng cao đời sống Nhân dân</t>
  </si>
  <si>
    <t>Xây dựng môi trường giáo dục lành mạnh, thân thiện; tham gia các hoạt động văn hóa, văn nghệ, thể dục thể thao, đền ơn đáp nghĩa và phong trào đoàn thể; chăm lo đời sống vật chất, tinh thần, thực hiện đầy đủ chế độ, chính sách phúc lợi cho bản thân và đồng nghiệp,…</t>
  </si>
  <si>
    <t>Tham gia lực lượng tự vệ cơ quan (nếu có); chấp hành các quy định về quốc phòng, an ninh, bảo vệ bí mật nhà nước; tham gia công tác phòng cháy, chữa cháy; chủ động đấu tranh với luận điệu sai trái, xuyên tạc; tham gia các hoạt động đối ngoại, hội nhập quốc tế (đón tiếp đoàn khách quốc tế, chuyên gia nước ngoài, hội thảo quốc tế) khi được phân công.</t>
  </si>
  <si>
    <t>Tổng điểm nhóm B</t>
  </si>
  <si>
    <t>Tổng điểm A + B</t>
  </si>
  <si>
    <t>II.</t>
  </si>
  <si>
    <t>Điều kiện bắt buộc kèm theo mức xếp loại</t>
  </si>
  <si>
    <t>Điều kiện bắt buộc</t>
  </si>
  <si>
    <t>Kết quả thực hiện</t>
  </si>
  <si>
    <t>Bảng kiểm thực hiện nhiệm vụ bảo đảm sĩ số học sinh, sinh viên từ đầu đến cuối khoá học - Qúy …</t>
  </si>
  <si>
    <t>Đạt/Không đạt</t>
  </si>
  <si>
    <t>Tỷ lệ giờ giảng dạy trực tiếp so với định mức giờ giảng</t>
  </si>
  <si>
    <t>…. %</t>
  </si>
  <si>
    <t>Bảo đảm định mức tối thiểu số giờ nghiên cứu khoa học</t>
  </si>
  <si>
    <t>Có / Không</t>
  </si>
  <si>
    <t>Không áp dụng đối với nhà giáo thuộc tiêu chuẩn trình độ sơ cấp (Điều 19.1.a Quy chế)</t>
  </si>
  <si>
    <t>Hoàn thành 100% định mức các nhiệm vụ khác của nhà giáo (học tập bồi dưỡng, thực tập doanh nghiệp,…)</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</si>
  <si>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</si>
  <si>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tốt nhiệm vụ từ 70–&lt;90 điểm; bảng kiểm sĩ số HSSV "Đạt" trong quý nếu đánh giá quý và "Đạt" mọi quý nếu đánh giá năm; đạt 100% định mức giờ giảng trực tiếp và định mức tối thiểu giờ NCKH, học tập bồi dưỡng, thực tập doanh nghiệp, ...
+ Hoàn thành nhiệm vụ từ 50–&lt;70 điểm; bảng kiểm sĩ số HSSV "Đạt" trong quý nếu đánh giá quý và "Đạt" mọi quý nếu đánh giá năm; đạt &gt;=50% định mức giờ giảng trực tiếp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</si>
  <si>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</si>
  <si>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</si>
  <si>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</si>
  <si>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</si>
  <si>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</si>
  <si>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</si>
  <si>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</si>
  <si>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</si>
  <si>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</si>
  <si>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TẬP THỂ LÃNH ĐẠO TRƯỜNG</t>
  </si>
  <si>
    <t>HIỆU TRƯỞNG</t>
  </si>
  <si>
    <t>(Ký, ghi rõ họ tên và đóng dấu)</t>
  </si>
  <si>
    <t>Phụ lục I</t>
  </si>
  <si>
    <t>KẾ HOẠCH THỰC HIỆN NHIỆM VỤ CÔNG TÁC QUÝ III NĂM 2026 VÀ DANH MỤC SẢN PHẨM/ CÔNG VIỆC CỦA CÁ NHÂN VIÊN CHỨC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</si>
</sst>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37" x14ac:knownFonts="1">
    <font>
      <sz val="11"/>
      <name val="Calibri"/>
      <charset val="1"/>
    </font>
    <font>
      <b/>
      <sz val="12"/>
      <name val="Times New Roman"/>
      <charset val="1"/>
    </font>
    <font>
      <b/>
      <sz val="14"/>
      <name val="Times New Roman"/>
      <charset val="1"/>
    </font>
    <font>
      <sz val="14"/>
      <name val="Times New Roman"/>
      <charset val="1"/>
    </font>
    <font>
      <sz val="12"/>
      <name val="Times New Roman"/>
      <charset val="1"/>
    </font>
    <font>
      <sz val="11"/>
      <name val="Times New Roman"/>
      <charset val="1"/>
    </font>
    <font>
      <sz val="11"/>
      <name val="Calibri"/>
      <family val="2"/>
      <charset val="1"/>
    </font>
    <font>
      <sz val="12"/>
      <name val="Times New Roman"/>
      <family val="1"/>
      <charset val="1"/>
    </font>
    <font>
      <sz val="10"/>
      <name val="Times New Roman"/>
      <charset val="1"/>
    </font>
    <font>
      <i/>
      <sz val="14"/>
      <name val="Times New Roman"/>
      <charset val="1"/>
    </font>
    <font>
      <b/>
      <sz val="13"/>
      <name val="Times New Roman"/>
      <charset val="1"/>
    </font>
    <font>
      <sz val="13"/>
      <name val="Calibri"/>
      <charset val="1"/>
    </font>
    <font>
      <sz val="13"/>
      <color rgb="FFFF0000"/>
      <name val="Times New Roman"/>
      <charset val="1"/>
    </font>
    <font>
      <sz val="10"/>
      <color rgb="FFFF0000"/>
      <name val="Times New Roman"/>
      <charset val="1"/>
    </font>
    <font>
      <sz val="13"/>
      <name val="Times New Roman"/>
      <charset val="1"/>
    </font>
    <font>
      <b/>
      <sz val="13"/>
      <name val="Calibri"/>
      <charset val="1"/>
    </font>
    <font>
      <sz val="13"/>
      <name val="Times New Roman"/>
      <family val="1"/>
      <charset val="1"/>
    </font>
    <font>
      <sz val="13"/>
      <color rgb="FFFF0000"/>
      <name val="Times New Roman"/>
      <family val="1"/>
      <charset val="1"/>
    </font>
    <font>
      <b/>
      <sz val="13"/>
      <color rgb="FFFF0000"/>
      <name val="Times New Roman"/>
      <charset val="1"/>
    </font>
    <font>
      <b/>
      <sz val="14"/>
      <color theme="1"/>
      <name val="Times New Roman"/>
      <family val="1"/>
      <charset val="1"/>
    </font>
    <font>
      <b/>
      <sz val="13"/>
      <color theme="1"/>
      <name val="Times New Roman"/>
      <family val="1"/>
      <charset val="1"/>
    </font>
    <font>
      <sz val="13"/>
      <color rgb="FF000000"/>
      <name val="Times New Roman"/>
      <family val="1"/>
      <charset val="1"/>
    </font>
    <font>
      <b/>
      <sz val="13"/>
      <color rgb="FF000000"/>
      <name val="Times New Roman"/>
      <family val="1"/>
      <charset val="1"/>
    </font>
    <font>
      <b/>
      <sz val="14"/>
      <color rgb="FF000000"/>
      <name val="Times New Roman"/>
      <family val="1"/>
      <charset val="1"/>
    </font>
    <font>
      <b/>
      <sz val="12"/>
      <name val="Times New Roman"/>
      <family val="1"/>
      <charset val="1"/>
    </font>
    <font>
      <i/>
      <sz val="12"/>
      <name val="Times New Roman"/>
      <family val="1"/>
      <charset val="1"/>
    </font>
    <font>
      <sz val="11"/>
      <color theme="1"/>
      <name val="Calibri"/>
      <family val="2"/>
      <charset val="1"/>
    </font>
    <font>
      <b/>
      <i/>
      <sz val="12"/>
      <name val="Times New Roman"/>
      <family val="1"/>
      <charset val="1"/>
    </font>
    <font>
      <sz val="12"/>
      <color theme="1"/>
      <name val="Times New Roman"/>
      <family val="1"/>
      <charset val="1"/>
    </font>
    <font>
      <sz val="11"/>
      <color theme="1"/>
      <name val="Times New Roman"/>
      <family val="1"/>
      <charset val="1"/>
    </font>
    <font>
      <b/>
      <sz val="12"/>
      <color theme="1"/>
      <name val="Times New Roman"/>
      <family val="1"/>
      <charset val="1"/>
    </font>
    <font>
      <sz val="10"/>
      <color theme="1"/>
      <name val="Times New Roman"/>
      <family val="1"/>
      <charset val="1"/>
    </font>
    <font>
      <sz val="11"/>
      <name val="Times New Roman"/>
      <family val="1"/>
      <charset val="1"/>
    </font>
    <font>
      <b/>
      <sz val="14"/>
      <name val="Times New Roman"/>
      <family val="1"/>
      <charset val="1"/>
    </font>
    <font>
      <i/>
      <sz val="12"/>
      <color theme="1"/>
      <name val="Times New Roman"/>
      <family val="1"/>
      <charset val="1"/>
    </font>
    <font>
      <i/>
      <sz val="14"/>
      <name val="Times New Roman"/>
      <family val="1"/>
      <charset val="1"/>
    </font>
    <font>
      <sz val="14"/>
      <name val="Times New Roman"/>
      <family val="1"/>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4">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xf numFmtId="0" fontId="4" fillId="0" borderId="4"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wrapText="1"/>
    </xf>
    <xf numFmtId="0" fontId="7" fillId="0" borderId="1" xfId="0" applyFont="1" applyBorder="1" applyAlignment="1">
      <alignment horizontal="left" vertical="center" wrapText="1"/>
    </xf>
    <xf numFmtId="0" fontId="5" fillId="0" borderId="1" xfId="0" applyFont="1" applyBorder="1"/>
    <xf numFmtId="0" fontId="8"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xf numFmtId="0" fontId="5" fillId="0" borderId="0" xfId="0" applyFont="1"/>
    <xf numFmtId="0" fontId="10" fillId="0" borderId="1" xfId="0" applyFont="1" applyBorder="1" applyAlignment="1">
      <alignment horizontal="center" vertical="center" wrapText="1"/>
    </xf>
    <xf numFmtId="2" fontId="10" fillId="0" borderId="1" xfId="0" applyNumberFormat="1" applyFont="1" applyBorder="1" applyAlignment="1">
      <alignment horizontal="center" vertical="center" wrapText="1"/>
    </xf>
    <xf numFmtId="2" fontId="10" fillId="2" borderId="1" xfId="0" applyNumberFormat="1" applyFont="1" applyFill="1" applyBorder="1" applyAlignment="1">
      <alignment horizontal="center" vertical="center" wrapText="1"/>
    </xf>
    <xf numFmtId="2" fontId="10" fillId="2" borderId="2" xfId="0"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1" fillId="0" borderId="0" xfId="0" applyFont="1"/>
    <xf numFmtId="0" fontId="11" fillId="0" borderId="5" xfId="0" applyFont="1" applyBorder="1" applyAlignment="1">
      <alignment wrapText="1"/>
    </xf>
    <xf numFmtId="0" fontId="11" fillId="0" borderId="5" xfId="0" applyFont="1" applyBorder="1"/>
    <xf numFmtId="0" fontId="11" fillId="0" borderId="6" xfId="0" applyFont="1" applyBorder="1"/>
    <xf numFmtId="0" fontId="0" fillId="0" borderId="1" xfId="0" applyBorder="1"/>
    <xf numFmtId="0" fontId="12" fillId="0" borderId="7" xfId="0" applyFont="1" applyBorder="1" applyAlignment="1">
      <alignment wrapText="1"/>
    </xf>
    <xf numFmtId="0" fontId="12" fillId="0" borderId="6" xfId="0" applyFont="1" applyBorder="1" applyAlignment="1">
      <alignment wrapText="1"/>
    </xf>
    <xf numFmtId="0" fontId="11" fillId="0" borderId="1" xfId="0" applyFont="1" applyBorder="1" applyAlignment="1">
      <alignment wrapText="1"/>
    </xf>
    <xf numFmtId="0" fontId="10" fillId="0" borderId="1" xfId="0" applyFont="1" applyBorder="1" applyAlignment="1">
      <alignment vertical="center" wrapText="1"/>
    </xf>
    <xf numFmtId="0" fontId="11" fillId="0" borderId="6" xfId="0" applyFont="1" applyBorder="1" applyAlignment="1">
      <alignment wrapText="1"/>
    </xf>
    <xf numFmtId="0" fontId="10" fillId="3" borderId="0" xfId="0" applyFont="1" applyFill="1" applyAlignment="1">
      <alignment horizontal="center" vertical="center" wrapText="1"/>
    </xf>
    <xf numFmtId="0" fontId="10" fillId="3" borderId="1" xfId="0" applyFont="1" applyFill="1" applyBorder="1" applyAlignment="1">
      <alignment vertical="center" wrapText="1"/>
    </xf>
    <xf numFmtId="0" fontId="14" fillId="3" borderId="0" xfId="0" applyFont="1" applyFill="1"/>
    <xf numFmtId="0" fontId="11" fillId="3" borderId="5" xfId="0" applyFont="1" applyFill="1" applyBorder="1"/>
    <xf numFmtId="0" fontId="11" fillId="3" borderId="5" xfId="0" applyFont="1" applyFill="1" applyBorder="1" applyAlignment="1">
      <alignment wrapText="1"/>
    </xf>
    <xf numFmtId="0" fontId="15" fillId="3" borderId="5" xfId="0" applyFont="1" applyFill="1" applyBorder="1" applyAlignment="1">
      <alignment horizontal="center" vertical="center"/>
    </xf>
    <xf numFmtId="2" fontId="15" fillId="3" borderId="5" xfId="0" applyNumberFormat="1" applyFont="1" applyFill="1" applyBorder="1" applyAlignment="1">
      <alignment horizontal="center" vertical="center"/>
    </xf>
    <xf numFmtId="0" fontId="15" fillId="3" borderId="5" xfId="0" applyFont="1" applyFill="1" applyBorder="1" applyAlignment="1">
      <alignment horizontal="center" vertical="center"/>
    </xf>
    <xf numFmtId="0" fontId="15" fillId="3" borderId="8" xfId="0" applyFont="1" applyFill="1" applyBorder="1" applyAlignment="1">
      <alignment horizontal="center" vertical="center"/>
    </xf>
    <xf numFmtId="0" fontId="16"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2" fillId="0" borderId="1" xfId="0" applyFont="1" applyBorder="1" applyAlignment="1">
      <alignment horizontal="center" vertical="center"/>
    </xf>
    <xf numFmtId="2" fontId="14" fillId="2" borderId="5" xfId="0" applyNumberFormat="1" applyFont="1" applyFill="1" applyBorder="1" applyAlignment="1">
      <alignment horizontal="center" vertical="center" wrapText="1"/>
    </xf>
    <xf numFmtId="2" fontId="12" fillId="0" borderId="6"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2" fontId="14" fillId="2" borderId="1"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7" fillId="0" borderId="1" xfId="0" applyFont="1" applyBorder="1" applyAlignment="1">
      <alignment horizontal="center" vertical="center"/>
    </xf>
    <xf numFmtId="0" fontId="14" fillId="0" borderId="1" xfId="0" applyFont="1" applyBorder="1" applyAlignment="1">
      <alignment wrapText="1"/>
    </xf>
    <xf numFmtId="2" fontId="12" fillId="0" borderId="3" xfId="0" applyNumberFormat="1"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vertical="center" wrapText="1"/>
    </xf>
    <xf numFmtId="0" fontId="14" fillId="0" borderId="1" xfId="0" applyFont="1" applyBorder="1" applyAlignment="1">
      <alignment horizontal="center"/>
    </xf>
    <xf numFmtId="0" fontId="14" fillId="0" borderId="1" xfId="0" applyFont="1" applyBorder="1" applyAlignment="1">
      <alignment horizontal="center" wrapText="1"/>
    </xf>
    <xf numFmtId="0" fontId="14" fillId="0" borderId="5" xfId="0" applyFont="1" applyBorder="1" applyAlignment="1">
      <alignment wrapText="1"/>
    </xf>
    <xf numFmtId="0" fontId="17"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vertical="center" wrapText="1"/>
    </xf>
    <xf numFmtId="0" fontId="14" fillId="3" borderId="8" xfId="0" applyFont="1" applyFill="1" applyBorder="1" applyAlignment="1">
      <alignment horizontal="center" vertical="center" wrapText="1"/>
    </xf>
    <xf numFmtId="0" fontId="14" fillId="3" borderId="2" xfId="0" applyFont="1" applyFill="1" applyBorder="1" applyAlignment="1">
      <alignment horizontal="center" vertical="center" wrapText="1"/>
    </xf>
    <xf numFmtId="164" fontId="14" fillId="3" borderId="2"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2"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5" xfId="0" applyFont="1" applyFill="1" applyBorder="1" applyAlignment="1">
      <alignment horizontal="center" vertical="center"/>
    </xf>
    <xf numFmtId="0" fontId="16" fillId="0" borderId="3" xfId="0" applyFont="1" applyBorder="1" applyAlignment="1">
      <alignment horizontal="center" vertical="center" wrapText="1"/>
    </xf>
    <xf numFmtId="0" fontId="14" fillId="0" borderId="1" xfId="0" applyFont="1" applyBorder="1" applyAlignment="1">
      <alignment horizontal="left" vertical="center" wrapText="1"/>
    </xf>
    <xf numFmtId="0" fontId="12" fillId="0" borderId="1" xfId="0" applyFont="1" applyBorder="1" applyAlignment="1">
      <alignment horizontal="center" vertical="center" wrapText="1"/>
    </xf>
    <xf numFmtId="2" fontId="12" fillId="0" borderId="5" xfId="0" applyNumberFormat="1" applyFont="1" applyBorder="1" applyAlignment="1">
      <alignment horizontal="center" vertical="center" wrapText="1"/>
    </xf>
    <xf numFmtId="2" fontId="12" fillId="0" borderId="1" xfId="0" applyNumberFormat="1" applyFont="1" applyBorder="1" applyAlignment="1">
      <alignment horizontal="left" vertical="center" wrapText="1"/>
    </xf>
    <xf numFmtId="0" fontId="14" fillId="0" borderId="3" xfId="0" applyFont="1" applyBorder="1" applyAlignment="1">
      <alignment horizontal="left" vertical="center" wrapText="1"/>
    </xf>
    <xf numFmtId="0" fontId="14" fillId="3" borderId="1" xfId="0" applyFont="1" applyFill="1" applyBorder="1" applyAlignment="1">
      <alignment horizontal="center" vertical="center" wrapText="1"/>
    </xf>
    <xf numFmtId="164" fontId="14" fillId="3" borderId="1" xfId="0"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10"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xf>
    <xf numFmtId="2" fontId="10" fillId="3" borderId="2" xfId="0" applyNumberFormat="1"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pplyAlignment="1">
      <alignment horizontal="center" vertical="center"/>
    </xf>
    <xf numFmtId="2"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10" fillId="3" borderId="8" xfId="0" applyFont="1" applyFill="1" applyBorder="1" applyAlignment="1">
      <alignment horizontal="center" vertical="center" wrapText="1"/>
    </xf>
    <xf numFmtId="0" fontId="10" fillId="3" borderId="8" xfId="0" applyFont="1" applyFill="1" applyBorder="1" applyAlignment="1">
      <alignment vertical="center" wrapText="1"/>
    </xf>
    <xf numFmtId="164" fontId="14" fillId="3" borderId="8" xfId="0" applyNumberFormat="1" applyFont="1" applyFill="1" applyBorder="1" applyAlignment="1">
      <alignment horizontal="center" vertical="center" wrapText="1"/>
    </xf>
    <xf numFmtId="0" fontId="10" fillId="3" borderId="8" xfId="0" applyFont="1" applyFill="1" applyBorder="1" applyAlignment="1">
      <alignment horizontal="center" vertical="center"/>
    </xf>
    <xf numFmtId="2" fontId="10" fillId="3" borderId="8" xfId="0" applyNumberFormat="1" applyFont="1" applyFill="1" applyBorder="1" applyAlignment="1">
      <alignment horizontal="center" vertical="center"/>
    </xf>
    <xf numFmtId="0" fontId="10" fillId="3" borderId="8"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5" xfId="0" applyFont="1" applyFill="1" applyBorder="1" applyAlignment="1">
      <alignment vertical="center" wrapText="1"/>
    </xf>
    <xf numFmtId="0" fontId="14" fillId="3" borderId="9" xfId="0" applyFont="1" applyFill="1" applyBorder="1" applyAlignment="1">
      <alignment horizontal="center" vertical="center" wrapText="1"/>
    </xf>
    <xf numFmtId="0" fontId="14" fillId="3" borderId="5" xfId="0" applyFont="1" applyFill="1" applyBorder="1" applyAlignment="1">
      <alignment horizontal="center" vertical="center" wrapText="1"/>
    </xf>
    <xf numFmtId="164" fontId="14" fillId="3" borderId="5" xfId="0" applyNumberFormat="1" applyFont="1" applyFill="1" applyBorder="1" applyAlignment="1">
      <alignment horizontal="center" vertical="center" wrapText="1"/>
    </xf>
    <xf numFmtId="0" fontId="10" fillId="3" borderId="5" xfId="0" applyFont="1" applyFill="1" applyBorder="1" applyAlignment="1">
      <alignment horizontal="center" vertical="center"/>
    </xf>
    <xf numFmtId="0" fontId="16" fillId="0" borderId="2" xfId="0" applyFont="1" applyBorder="1" applyAlignment="1">
      <alignment horizontal="center" vertical="center" wrapText="1"/>
    </xf>
    <xf numFmtId="164" fontId="4"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 fontId="12" fillId="0" borderId="10" xfId="0" applyNumberFormat="1" applyFont="1" applyBorder="1" applyAlignment="1">
      <alignment horizontal="center" vertical="center" wrapText="1"/>
    </xf>
    <xf numFmtId="0" fontId="10" fillId="0" borderId="11" xfId="0" applyFont="1" applyBorder="1" applyAlignment="1">
      <alignment vertical="center" wrapText="1"/>
    </xf>
    <xf numFmtId="1" fontId="12" fillId="0" borderId="3" xfId="0" applyNumberFormat="1" applyFont="1" applyBorder="1" applyAlignment="1">
      <alignment horizontal="center" vertical="center" wrapText="1"/>
    </xf>
    <xf numFmtId="0" fontId="10" fillId="0" borderId="4" xfId="0" applyFont="1" applyBorder="1" applyAlignment="1">
      <alignment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7" fillId="0" borderId="0" xfId="0" applyFont="1" applyAlignment="1">
      <alignment horizontal="left" vertical="center"/>
    </xf>
    <xf numFmtId="0" fontId="24" fillId="0" borderId="1" xfId="0" applyFont="1" applyBorder="1" applyAlignment="1">
      <alignment horizontal="center" vertical="center" wrapText="1"/>
    </xf>
    <xf numFmtId="0" fontId="24" fillId="0" borderId="1" xfId="0" applyFont="1" applyBorder="1" applyAlignment="1">
      <alignment horizontal="justify" vertical="center" wrapText="1"/>
    </xf>
    <xf numFmtId="0" fontId="24" fillId="0" borderId="1" xfId="0" applyFont="1" applyBorder="1" applyAlignment="1" applyProtection="1">
      <alignment horizontal="center" vertical="center"/>
      <protection hidden="1"/>
    </xf>
    <xf numFmtId="2" fontId="24" fillId="0" borderId="1" xfId="0" applyNumberFormat="1" applyFont="1" applyBorder="1" applyAlignment="1">
      <alignment horizontal="center" vertical="center" wrapText="1"/>
    </xf>
    <xf numFmtId="0" fontId="7" fillId="0" borderId="1" xfId="0" applyFont="1" applyBorder="1" applyAlignment="1" applyProtection="1">
      <alignment horizontal="center" vertical="center"/>
      <protection hidden="1"/>
    </xf>
    <xf numFmtId="165" fontId="7" fillId="0" borderId="1" xfId="0" applyNumberFormat="1" applyFont="1" applyBorder="1" applyAlignment="1">
      <alignment horizontal="center" vertical="center" wrapText="1"/>
    </xf>
    <xf numFmtId="0" fontId="26" fillId="0" borderId="0" xfId="0" applyFont="1" applyAlignment="1">
      <alignment wrapText="1"/>
    </xf>
    <xf numFmtId="0" fontId="2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8" fillId="0" borderId="1" xfId="0" applyFont="1" applyBorder="1" applyAlignment="1">
      <alignment vertical="center" wrapText="1"/>
    </xf>
    <xf numFmtId="0" fontId="28" fillId="0" borderId="1" xfId="0" applyFont="1" applyBorder="1" applyAlignment="1">
      <alignment wrapText="1"/>
    </xf>
    <xf numFmtId="0" fontId="7" fillId="0" borderId="1" xfId="0" applyFont="1" applyBorder="1" applyAlignment="1">
      <alignment vertical="center" wrapText="1"/>
    </xf>
    <xf numFmtId="0" fontId="25" fillId="0" borderId="1" xfId="0" applyFont="1" applyBorder="1" applyAlignment="1">
      <alignment vertical="center" wrapText="1"/>
    </xf>
    <xf numFmtId="0" fontId="7" fillId="0" borderId="1" xfId="0" applyFont="1" applyBorder="1" applyAlignment="1">
      <alignment horizontal="justify" vertical="center" wrapText="1"/>
    </xf>
    <xf numFmtId="0" fontId="28" fillId="0" borderId="1" xfId="0" applyFont="1" applyBorder="1" applyAlignment="1">
      <alignment horizontal="justify" vertical="center" wrapText="1"/>
    </xf>
    <xf numFmtId="0" fontId="28" fillId="0" borderId="1" xfId="0" applyFont="1" applyBorder="1" applyAlignment="1">
      <alignment horizontal="justify" wrapText="1"/>
    </xf>
    <xf numFmtId="0" fontId="24" fillId="0" borderId="1" xfId="0" applyFont="1" applyBorder="1" applyAlignment="1">
      <alignment vertical="center" wrapText="1"/>
    </xf>
    <xf numFmtId="0" fontId="27" fillId="0" borderId="1" xfId="0" applyFont="1" applyBorder="1" applyAlignment="1">
      <alignment vertical="center" wrapText="1"/>
    </xf>
    <xf numFmtId="0" fontId="29" fillId="0" borderId="1" xfId="0" applyFont="1" applyBorder="1" applyAlignment="1">
      <alignment horizontal="justify" wrapText="1"/>
    </xf>
    <xf numFmtId="0" fontId="7" fillId="0" borderId="1" xfId="0" applyFont="1" applyBorder="1" applyAlignment="1">
      <alignment vertical="top" wrapText="1"/>
    </xf>
    <xf numFmtId="0" fontId="24" fillId="0" borderId="1" xfId="0" applyFont="1" applyBorder="1" applyAlignment="1">
      <alignment horizontal="center" vertical="center"/>
    </xf>
    <xf numFmtId="0" fontId="30" fillId="0" borderId="0" xfId="0" applyFont="1" applyAlignment="1">
      <alignment horizontal="center"/>
    </xf>
    <xf numFmtId="0" fontId="31" fillId="0" borderId="0" xfId="0" applyFont="1" applyAlignment="1">
      <alignment horizontal="center" wrapText="1"/>
    </xf>
    <xf numFmtId="0" fontId="7" fillId="0" borderId="1" xfId="0" applyFont="1" applyBorder="1"/>
    <xf numFmtId="0" fontId="24" fillId="0" borderId="1" xfId="0" applyFont="1" applyBorder="1"/>
    <xf numFmtId="0" fontId="24" fillId="0" borderId="1" xfId="0" applyFont="1" applyBorder="1" applyAlignment="1">
      <alignment vertical="center"/>
    </xf>
    <xf numFmtId="2" fontId="1" fillId="0" borderId="1" xfId="0" applyNumberFormat="1" applyFont="1" applyBorder="1" applyAlignment="1">
      <alignment horizontal="center" vertical="center" wrapText="1"/>
    </xf>
    <xf numFmtId="0" fontId="24" fillId="0" borderId="0" xfId="0" applyFont="1" applyAlignment="1">
      <alignment wrapText="1"/>
    </xf>
    <xf numFmtId="0" fontId="32" fillId="0" borderId="1" xfId="0" applyFont="1" applyBorder="1" applyAlignment="1">
      <alignment horizontal="center" vertical="top" wrapText="1"/>
    </xf>
    <xf numFmtId="0" fontId="32" fillId="0" borderId="0" xfId="0" applyFont="1" applyAlignment="1">
      <alignment vertical="top" wrapText="1"/>
    </xf>
    <xf numFmtId="0" fontId="1" fillId="0" borderId="0" xfId="0" applyFont="1" applyAlignment="1">
      <alignment wrapText="1"/>
    </xf>
    <xf numFmtId="0" fontId="30"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30" fillId="0" borderId="0" xfId="0" applyFont="1" applyAlignment="1">
      <alignment horizontal="center" vertical="center"/>
    </xf>
    <xf numFmtId="0" fontId="7" fillId="0" borderId="0" xfId="0" applyFont="1"/>
    <xf numFmtId="0" fontId="33" fillId="0" borderId="0" xfId="0" applyFont="1" applyAlignment="1">
      <alignment vertical="center" wrapText="1"/>
    </xf>
    <xf numFmtId="0" fontId="34" fillId="0" borderId="0" xfId="0" applyFont="1" applyAlignment="1">
      <alignment horizontal="center" vertical="center"/>
    </xf>
    <xf numFmtId="0" fontId="35" fillId="0" borderId="0" xfId="0" applyFont="1" applyAlignment="1">
      <alignment vertical="center"/>
    </xf>
    <xf numFmtId="0" fontId="36" fillId="0" borderId="0" xfId="0" applyFont="1"/>
    <xf numFmtId="0" fontId="24" fillId="0" borderId="0" xfId="0" applyFont="1" applyAlignment="1">
      <alignment horizontal="center" vertical="center"/>
    </xf>
    <xf numFmtId="0" fontId="24" fillId="0" borderId="0" xfId="0" applyFont="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32" fillId="0" borderId="0" xfId="0" applyFont="1"/>
    <xf numFmtId="0" fontId="27" fillId="0" borderId="0" xfId="0" applyFont="1" applyAlignment="1">
      <alignment vertical="center" wrapText="1"/>
    </xf>
    <xf numFmtId="0" fontId="24" fillId="0" borderId="0" xfId="0" applyFont="1"/>
    <xf numFmtId="0" fontId="2" fillId="0" borderId="0" xfId="0" applyFont="1" applyBorder="1" applyAlignment="1">
      <alignment horizontal="center" vertical="center" wrapText="1"/>
    </xf>
    <xf numFmtId="0" fontId="5" fillId="0" borderId="0" xfId="0" applyFont="1" applyBorder="1" applyAlignment="1">
      <alignment horizontal="center" wrapText="1"/>
    </xf>
    <xf numFmtId="0" fontId="2" fillId="0" borderId="0" xfId="0" applyFont="1" applyBorder="1" applyAlignment="1">
      <alignment horizontal="center" vertical="center"/>
    </xf>
    <xf numFmtId="0" fontId="5" fillId="0" borderId="0" xfId="0" applyFont="1" applyBorder="1" applyAlignment="1">
      <alignment horizontal="left" vertical="top" wrapText="1"/>
    </xf>
    <xf numFmtId="0" fontId="1" fillId="0" borderId="1" xfId="0" applyFont="1" applyBorder="1" applyAlignment="1">
      <alignment horizontal="left" vertical="center" wrapText="1"/>
    </xf>
    <xf numFmtId="0" fontId="9" fillId="0" borderId="0" xfId="0" applyFont="1" applyBorder="1" applyAlignment="1">
      <alignment horizontal="center" vertical="center"/>
    </xf>
    <xf numFmtId="0" fontId="2" fillId="0" borderId="0" xfId="0" applyFont="1" applyBorder="1" applyAlignment="1">
      <alignment horizontal="center" vertical="top" wrapText="1"/>
    </xf>
    <xf numFmtId="0" fontId="9" fillId="0" borderId="0" xfId="0" applyFont="1" applyBorder="1" applyAlignment="1">
      <alignment horizontal="center" vertical="center" wrapText="1"/>
    </xf>
    <xf numFmtId="0" fontId="9" fillId="0" borderId="0" xfId="0" applyFont="1" applyBorder="1" applyAlignment="1">
      <alignment horizontal="center" vertical="top" wrapText="1"/>
    </xf>
    <xf numFmtId="0" fontId="1" fillId="0" borderId="5" xfId="0" applyFont="1" applyBorder="1" applyAlignment="1">
      <alignment horizontal="left"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horizontal="left" vertical="center"/>
    </xf>
    <xf numFmtId="0" fontId="1" fillId="0" borderId="0" xfId="0" applyFont="1" applyBorder="1" applyAlignment="1">
      <alignment horizontal="center" wrapText="1"/>
    </xf>
    <xf numFmtId="2" fontId="10" fillId="0" borderId="1" xfId="0" applyNumberFormat="1" applyFont="1" applyBorder="1" applyAlignment="1">
      <alignment horizontal="center" vertical="center" wrapText="1"/>
    </xf>
    <xf numFmtId="0" fontId="13" fillId="0" borderId="1" xfId="0" applyFont="1" applyBorder="1" applyAlignment="1">
      <alignment vertical="top" wrapText="1"/>
    </xf>
    <xf numFmtId="0" fontId="10" fillId="0" borderId="0" xfId="0" applyFont="1" applyBorder="1" applyAlignment="1">
      <alignment horizontal="center" wrapText="1"/>
    </xf>
    <xf numFmtId="0" fontId="10" fillId="0" borderId="0" xfId="0" applyFont="1" applyBorder="1" applyAlignment="1">
      <alignment horizontal="center" vertical="center" wrapText="1"/>
    </xf>
    <xf numFmtId="0" fontId="10" fillId="0" borderId="1" xfId="0" applyFont="1" applyBorder="1" applyAlignment="1">
      <alignment horizontal="center" vertical="center" wrapText="1"/>
    </xf>
    <xf numFmtId="0" fontId="24" fillId="0" borderId="0" xfId="0" applyFont="1" applyBorder="1" applyAlignment="1">
      <alignment horizontal="center" wrapText="1"/>
    </xf>
    <xf numFmtId="0" fontId="25" fillId="0" borderId="0" xfId="0" applyFont="1" applyBorder="1" applyAlignment="1">
      <alignment horizontal="center" wrapText="1"/>
    </xf>
    <xf numFmtId="0" fontId="30" fillId="0" borderId="0" xfId="0" applyFont="1" applyBorder="1" applyAlignment="1">
      <alignment horizontal="left" vertical="center" wrapText="1"/>
    </xf>
    <xf numFmtId="0" fontId="25" fillId="0" borderId="0" xfId="0" applyFont="1" applyBorder="1" applyAlignment="1">
      <alignment horizontal="left" vertical="center" wrapText="1"/>
    </xf>
    <xf numFmtId="0" fontId="24" fillId="0" borderId="0" xfId="0" applyFont="1" applyBorder="1" applyAlignment="1">
      <alignment horizontal="center" vertical="center" wrapText="1"/>
    </xf>
    <xf numFmtId="0" fontId="25" fillId="0" borderId="0" xfId="0" applyFont="1" applyBorder="1" applyAlignment="1">
      <alignment horizontal="center" vertical="center"/>
    </xf>
    <xf numFmtId="0" fontId="32" fillId="0" borderId="1" xfId="0" applyFont="1" applyBorder="1" applyAlignment="1">
      <alignment horizontal="center" vertical="top" wrapText="1"/>
    </xf>
    <xf numFmtId="0" fontId="32" fillId="0" borderId="1" xfId="0" applyFont="1" applyBorder="1" applyAlignment="1">
      <alignment horizontal="center" vertical="top"/>
    </xf>
    <xf numFmtId="0" fontId="7" fillId="0" borderId="1" xfId="0" applyFont="1" applyBorder="1" applyAlignment="1" applyProtection="1">
      <alignment horizontal="left" vertical="center" wrapText="1"/>
      <protection locked="0" hidden="1"/>
    </xf>
    <xf numFmtId="0" fontId="24" fillId="0" borderId="1" xfId="0" applyFont="1" applyBorder="1" applyAlignment="1">
      <alignment horizontal="justify" vertical="center" wrapText="1"/>
    </xf>
    <xf numFmtId="0" fontId="24" fillId="0" borderId="0" xfId="0" applyFont="1" applyBorder="1" applyAlignment="1">
      <alignment horizontal="center"/>
    </xf>
    <xf numFmtId="0" fontId="24" fillId="0" borderId="0" xfId="0" applyFont="1" applyBorder="1" applyAlignment="1">
      <alignment horizontal="left" wrapText="1"/>
    </xf>
    <xf numFmtId="0" fontId="24" fillId="0" borderId="1" xfId="0" applyFont="1" applyBorder="1" applyAlignment="1">
      <alignment horizontal="center" vertical="center" wrapText="1"/>
    </xf>
    <xf numFmtId="0" fontId="24" fillId="0" borderId="1" xfId="0" applyFont="1" applyBorder="1" applyAlignment="1" applyProtection="1">
      <alignment horizontal="left" vertical="center" wrapText="1"/>
      <protection hidden="1"/>
    </xf>
    <xf numFmtId="0" fontId="7" fillId="0" borderId="1" xfId="0" applyFont="1" applyBorder="1" applyAlignment="1" applyProtection="1">
      <alignment vertical="top" wrapText="1"/>
      <protection hidden="1"/>
    </xf>
    <xf numFmtId="0" fontId="24" fillId="0" borderId="3" xfId="0" applyFont="1" applyBorder="1" applyAlignment="1" applyProtection="1">
      <alignment horizontal="left" vertical="center" wrapText="1"/>
      <protection hidden="1"/>
    </xf>
    <xf numFmtId="0" fontId="7" fillId="0" borderId="1" xfId="0" applyFont="1" applyBorder="1" applyAlignment="1">
      <alignment horizontal="left" vertical="center" wrapText="1"/>
    </xf>
    <xf numFmtId="49" fontId="24" fillId="0" borderId="1" xfId="0" applyNumberFormat="1" applyFont="1" applyBorder="1" applyAlignment="1" applyProtection="1">
      <alignment horizontal="center" vertical="center"/>
      <protection hidden="1"/>
    </xf>
    <xf numFmtId="0" fontId="25" fillId="0" borderId="1" xfId="0" applyFont="1" applyBorder="1" applyAlignment="1" applyProtection="1">
      <alignment horizontal="left" vertical="top" wrapText="1"/>
      <protection locked="0" hidden="1"/>
    </xf>
    <xf numFmtId="0" fontId="7" fillId="0" borderId="0" xfId="0" applyFont="1" applyBorder="1" applyAlignment="1">
      <alignment horizontal="left" vertical="center" wrapText="1"/>
    </xf>
    <xf numFmtId="0" fontId="7" fillId="0" borderId="0" xfId="0" applyFont="1" applyBorder="1" applyAlignment="1">
      <alignment horizontal="left" vertical="center"/>
    </xf>
    <xf numFmtId="0" fontId="22" fillId="0" borderId="0" xfId="0" applyFont="1" applyBorder="1" applyAlignment="1">
      <alignment horizontal="center" vertical="center" wrapText="1"/>
    </xf>
    <xf numFmtId="0" fontId="20" fillId="0" borderId="0" xfId="0" applyFont="1" applyBorder="1" applyAlignment="1">
      <alignment horizontal="center" vertical="center"/>
    </xf>
    <xf numFmtId="0" fontId="23" fillId="0" borderId="0" xfId="0" applyFont="1" applyBorder="1" applyAlignment="1">
      <alignment horizontal="center" vertical="center" wrapText="1"/>
    </xf>
    <xf numFmtId="0" fontId="23" fillId="0" borderId="0" xfId="0" applyFont="1" applyBorder="1" applyAlignment="1">
      <alignment horizontal="center" vertical="center"/>
    </xf>
    <xf numFmtId="0" fontId="19" fillId="0" borderId="0" xfId="0" applyFont="1" applyBorder="1" applyAlignment="1">
      <alignment horizontal="center" vertical="center" wrapText="1"/>
    </xf>
    <xf numFmtId="0" fontId="21"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tabSelected="1" topLeftCell="A12" zoomScaleNormal="100" workbookViewId="0">
      <selection activeCell="A3" sqref="A3"/>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81" t="s">
        <v>190</v>
      </c>
      <c r="B1" s="181"/>
      <c r="C1" s="181"/>
      <c r="D1" s="181"/>
      <c r="E1" s="181"/>
      <c r="F1" s="181"/>
      <c r="G1" s="181"/>
      <c r="H1" s="181"/>
      <c r="I1" s="181"/>
      <c r="J1" s="181"/>
    </row>
    <row r="2" spans="1:10" ht="45" customHeight="1" x14ac:dyDescent="0.25">
      <c r="A2" s="168" t="s">
        <v>191</v>
      </c>
      <c r="B2" s="168"/>
      <c r="C2" s="168"/>
      <c r="D2" s="168"/>
      <c r="E2" s="168"/>
      <c r="F2" s="168"/>
      <c r="G2" s="168"/>
      <c r="H2" s="168"/>
      <c r="I2" s="168"/>
      <c r="J2" s="168"/>
    </row>
    <row r="3" spans="1:10" ht="13.5" customHeight="1" x14ac:dyDescent="0.25">
      <c r="A3" s="1"/>
      <c r="B3" s="1"/>
      <c r="C3" s="1"/>
      <c r="D3" s="1"/>
      <c r="E3" s="1"/>
      <c r="F3" s="1"/>
      <c r="G3" s="1"/>
      <c r="H3" s="1"/>
      <c r="I3" s="1"/>
      <c r="J3" s="1"/>
    </row>
    <row r="4" spans="1:10" ht="25.5" customHeight="1" x14ac:dyDescent="0.25">
      <c r="A4" s="1"/>
      <c r="B4" s="178" t="s">
        <v>0</v>
      </c>
      <c r="C4" s="178"/>
      <c r="D4" s="178"/>
      <c r="E4" s="178"/>
      <c r="F4" s="178"/>
      <c r="G4" s="178"/>
      <c r="H4" s="178"/>
      <c r="I4" s="178"/>
      <c r="J4" s="178"/>
    </row>
    <row r="5" spans="1:10" ht="24" customHeight="1" x14ac:dyDescent="0.25">
      <c r="A5" s="1"/>
      <c r="B5" s="178" t="s">
        <v>1</v>
      </c>
      <c r="C5" s="178"/>
      <c r="D5" s="178"/>
      <c r="E5" s="178"/>
      <c r="F5" s="178"/>
      <c r="G5" s="178"/>
      <c r="H5" s="178"/>
      <c r="I5" s="178"/>
      <c r="J5" s="178"/>
    </row>
    <row r="6" spans="1:10" ht="24" customHeight="1" x14ac:dyDescent="0.25">
      <c r="A6" s="1"/>
      <c r="B6" s="178" t="s">
        <v>2</v>
      </c>
      <c r="C6" s="178"/>
      <c r="D6" s="178"/>
      <c r="E6" s="178"/>
      <c r="F6" s="178"/>
      <c r="G6" s="178"/>
      <c r="H6" s="178"/>
      <c r="I6" s="178"/>
      <c r="J6" s="178"/>
    </row>
    <row r="7" spans="1:10" ht="24.75" customHeight="1" x14ac:dyDescent="0.25">
      <c r="A7" s="1"/>
      <c r="B7" s="178" t="s">
        <v>3</v>
      </c>
      <c r="C7" s="178"/>
      <c r="D7" s="178"/>
      <c r="E7" s="178"/>
      <c r="F7" s="178"/>
      <c r="G7" s="178"/>
      <c r="H7" s="178"/>
      <c r="I7" s="178"/>
      <c r="J7" s="178"/>
    </row>
    <row r="8" spans="1:10" ht="22.5" customHeight="1" x14ac:dyDescent="0.25">
      <c r="A8" s="1"/>
      <c r="B8" s="179" t="s">
        <v>4</v>
      </c>
      <c r="C8" s="179"/>
      <c r="D8" s="179"/>
      <c r="E8" s="179"/>
      <c r="F8" s="179"/>
      <c r="G8" s="179"/>
      <c r="H8" s="179"/>
      <c r="I8" s="179"/>
      <c r="J8" s="179"/>
    </row>
    <row r="9" spans="1:10" ht="16.5" customHeight="1" x14ac:dyDescent="0.25">
      <c r="A9" s="1"/>
      <c r="B9" s="2"/>
      <c r="C9" s="2"/>
      <c r="D9" s="2"/>
      <c r="E9" s="2"/>
      <c r="F9" s="2"/>
      <c r="G9" s="2"/>
      <c r="H9" s="2"/>
      <c r="I9" s="2"/>
      <c r="J9" s="2"/>
    </row>
    <row r="10" spans="1:10" ht="63" customHeight="1" x14ac:dyDescent="0.25">
      <c r="A10" s="3" t="s">
        <v>5</v>
      </c>
      <c r="B10" s="3" t="s">
        <v>6</v>
      </c>
      <c r="C10" s="3" t="s">
        <v>7</v>
      </c>
      <c r="D10" s="3" t="s">
        <v>8</v>
      </c>
      <c r="E10" s="3" t="s">
        <v>9</v>
      </c>
      <c r="F10" s="3" t="s">
        <v>10</v>
      </c>
      <c r="G10" s="3" t="s">
        <v>11</v>
      </c>
      <c r="H10" s="3" t="s">
        <v>12</v>
      </c>
      <c r="I10" s="3" t="s">
        <v>13</v>
      </c>
      <c r="J10" s="3" t="s">
        <v>14</v>
      </c>
    </row>
    <row r="11" spans="1:10" ht="23.25" customHeight="1" x14ac:dyDescent="0.25">
      <c r="A11" s="3" t="s">
        <v>15</v>
      </c>
      <c r="B11" s="3" t="s">
        <v>16</v>
      </c>
      <c r="C11" s="3" t="s">
        <v>17</v>
      </c>
      <c r="D11" s="3" t="s">
        <v>18</v>
      </c>
      <c r="E11" s="3" t="s">
        <v>19</v>
      </c>
      <c r="F11" s="3" t="s">
        <v>20</v>
      </c>
      <c r="G11" s="3" t="s">
        <v>21</v>
      </c>
      <c r="H11" s="3" t="s">
        <v>22</v>
      </c>
      <c r="I11" s="3" t="s">
        <v>23</v>
      </c>
      <c r="J11" s="3" t="s">
        <v>24</v>
      </c>
    </row>
    <row r="12" spans="1:10" ht="22.5" customHeight="1" x14ac:dyDescent="0.25">
      <c r="A12" s="3" t="s">
        <v>25</v>
      </c>
      <c r="B12" s="172" t="s">
        <v>26</v>
      </c>
      <c r="C12" s="172"/>
      <c r="D12" s="172"/>
      <c r="E12" s="172"/>
      <c r="F12" s="172"/>
      <c r="G12" s="172"/>
      <c r="H12" s="172"/>
      <c r="I12" s="172"/>
      <c r="J12" s="172"/>
    </row>
    <row r="13" spans="1:10" ht="27" customHeight="1" x14ac:dyDescent="0.25">
      <c r="A13" s="5" t="s">
        <v>27</v>
      </c>
      <c r="B13" s="172" t="s">
        <v>28</v>
      </c>
      <c r="C13" s="172"/>
      <c r="D13" s="172"/>
      <c r="E13" s="172"/>
      <c r="F13" s="172"/>
      <c r="G13" s="172"/>
      <c r="H13" s="172"/>
      <c r="I13" s="172"/>
      <c r="J13" s="172"/>
    </row>
    <row r="14" spans="1:10" ht="75" customHeight="1" x14ac:dyDescent="0.25">
      <c r="A14" s="6" t="s">
        <v>29</v>
      </c>
      <c r="B14" s="7" t="s">
        <v>30</v>
      </c>
      <c r="C14" s="8" t="s">
        <v>31</v>
      </c>
      <c r="D14" s="8" t="s">
        <v>32</v>
      </c>
      <c r="E14" s="8" t="s">
        <v>33</v>
      </c>
      <c r="F14" s="6">
        <v>5</v>
      </c>
      <c r="G14" s="9">
        <v>46266</v>
      </c>
      <c r="H14" s="10">
        <v>100</v>
      </c>
      <c r="I14" s="8">
        <v>1</v>
      </c>
      <c r="J14" s="11"/>
    </row>
    <row r="15" spans="1:10" ht="72" customHeight="1" x14ac:dyDescent="0.25">
      <c r="A15" s="6" t="s">
        <v>34</v>
      </c>
      <c r="B15" s="7"/>
      <c r="C15" s="8"/>
      <c r="D15" s="8"/>
      <c r="E15" s="8"/>
      <c r="F15" s="6"/>
      <c r="G15" s="9"/>
      <c r="H15" s="10"/>
      <c r="I15" s="8"/>
      <c r="J15" s="11"/>
    </row>
    <row r="16" spans="1:10" ht="78.75" customHeight="1" x14ac:dyDescent="0.25">
      <c r="A16" s="6" t="s">
        <v>35</v>
      </c>
      <c r="B16" s="7"/>
      <c r="C16" s="8"/>
      <c r="D16" s="8"/>
      <c r="E16" s="8"/>
      <c r="F16" s="6"/>
      <c r="G16" s="6"/>
      <c r="H16" s="6"/>
      <c r="I16" s="6"/>
      <c r="J16" s="11"/>
    </row>
    <row r="17" spans="1:10" ht="19.5" customHeight="1" x14ac:dyDescent="0.25">
      <c r="A17" s="6" t="s">
        <v>36</v>
      </c>
      <c r="B17" s="7"/>
      <c r="C17" s="8"/>
      <c r="D17" s="8"/>
      <c r="E17" s="8"/>
      <c r="F17" s="6"/>
      <c r="G17" s="6"/>
      <c r="H17" s="6"/>
      <c r="I17" s="6"/>
      <c r="J17" s="11"/>
    </row>
    <row r="18" spans="1:10" ht="19.5" customHeight="1" x14ac:dyDescent="0.25">
      <c r="A18" s="6" t="s">
        <v>37</v>
      </c>
      <c r="B18" s="7"/>
      <c r="C18" s="8"/>
      <c r="D18" s="8"/>
      <c r="E18" s="8"/>
      <c r="F18" s="6"/>
      <c r="G18" s="6"/>
      <c r="H18" s="6"/>
      <c r="I18" s="6"/>
      <c r="J18" s="11"/>
    </row>
    <row r="19" spans="1:10" ht="19.5" customHeight="1" x14ac:dyDescent="0.25">
      <c r="A19" s="6" t="s">
        <v>38</v>
      </c>
      <c r="B19" s="7"/>
      <c r="C19" s="8"/>
      <c r="D19" s="8"/>
      <c r="E19" s="8"/>
      <c r="F19" s="6"/>
      <c r="G19" s="6"/>
      <c r="H19" s="6"/>
      <c r="I19" s="6"/>
      <c r="J19" s="11"/>
    </row>
    <row r="20" spans="1:10" ht="19.5" customHeight="1" x14ac:dyDescent="0.25">
      <c r="A20" s="6" t="s">
        <v>39</v>
      </c>
      <c r="B20" s="7"/>
      <c r="C20" s="8"/>
      <c r="D20" s="8"/>
      <c r="E20" s="8"/>
      <c r="F20" s="6"/>
      <c r="G20" s="6"/>
      <c r="H20" s="6"/>
      <c r="I20" s="6"/>
      <c r="J20" s="11"/>
    </row>
    <row r="21" spans="1:10" ht="19.5" customHeight="1" x14ac:dyDescent="0.25">
      <c r="A21" s="6" t="s">
        <v>40</v>
      </c>
      <c r="B21" s="7"/>
      <c r="C21" s="8"/>
      <c r="D21" s="8"/>
      <c r="E21" s="8"/>
      <c r="F21" s="6"/>
      <c r="G21" s="6"/>
      <c r="H21" s="6"/>
      <c r="I21" s="6"/>
      <c r="J21" s="11"/>
    </row>
    <row r="22" spans="1:10" ht="19.5" customHeight="1" x14ac:dyDescent="0.25">
      <c r="A22" s="6" t="s">
        <v>41</v>
      </c>
      <c r="B22" s="7"/>
      <c r="C22" s="8"/>
      <c r="D22" s="8"/>
      <c r="E22" s="8"/>
      <c r="F22" s="6"/>
      <c r="G22" s="6"/>
      <c r="H22" s="6"/>
      <c r="I22" s="6"/>
      <c r="J22" s="11"/>
    </row>
    <row r="23" spans="1:10" ht="19.5" customHeight="1" x14ac:dyDescent="0.25">
      <c r="A23" s="6" t="s">
        <v>42</v>
      </c>
      <c r="B23" s="7"/>
      <c r="C23" s="8"/>
      <c r="D23" s="8"/>
      <c r="E23" s="8"/>
      <c r="F23" s="6"/>
      <c r="G23" s="6"/>
      <c r="H23" s="6"/>
      <c r="I23" s="6"/>
      <c r="J23" s="11"/>
    </row>
    <row r="24" spans="1:10" ht="19.5" customHeight="1" x14ac:dyDescent="0.25">
      <c r="A24" s="6" t="s">
        <v>43</v>
      </c>
      <c r="B24" s="7"/>
      <c r="C24" s="8"/>
      <c r="D24" s="8"/>
      <c r="E24" s="8"/>
      <c r="F24" s="6"/>
      <c r="G24" s="6"/>
      <c r="H24" s="6"/>
      <c r="I24" s="6"/>
      <c r="J24" s="11"/>
    </row>
    <row r="25" spans="1:10" ht="19.5" customHeight="1" x14ac:dyDescent="0.25">
      <c r="A25" s="6" t="s">
        <v>44</v>
      </c>
      <c r="B25" s="7"/>
      <c r="C25" s="8"/>
      <c r="D25" s="8"/>
      <c r="E25" s="8"/>
      <c r="F25" s="6"/>
      <c r="G25" s="6"/>
      <c r="H25" s="6"/>
      <c r="I25" s="6"/>
      <c r="J25" s="11"/>
    </row>
    <row r="26" spans="1:10" ht="19.5" customHeight="1" x14ac:dyDescent="0.25">
      <c r="A26" s="6" t="s">
        <v>45</v>
      </c>
      <c r="B26" s="7"/>
      <c r="C26" s="8"/>
      <c r="D26" s="8"/>
      <c r="E26" s="8"/>
      <c r="F26" s="6"/>
      <c r="G26" s="6"/>
      <c r="H26" s="6"/>
      <c r="I26" s="6"/>
      <c r="J26" s="11"/>
    </row>
    <row r="27" spans="1:10" ht="19.5" customHeight="1" x14ac:dyDescent="0.25">
      <c r="A27" s="6" t="s">
        <v>46</v>
      </c>
      <c r="B27" s="7"/>
      <c r="C27" s="8"/>
      <c r="D27" s="8"/>
      <c r="E27" s="8"/>
      <c r="F27" s="6"/>
      <c r="G27" s="6"/>
      <c r="H27" s="6"/>
      <c r="I27" s="6"/>
      <c r="J27" s="11"/>
    </row>
    <row r="28" spans="1:10" ht="19.5" customHeight="1" x14ac:dyDescent="0.25">
      <c r="A28" s="6" t="s">
        <v>47</v>
      </c>
      <c r="B28" s="7"/>
      <c r="C28" s="8"/>
      <c r="D28" s="8"/>
      <c r="E28" s="8"/>
      <c r="F28" s="6"/>
      <c r="G28" s="6"/>
      <c r="H28" s="6"/>
      <c r="I28" s="6"/>
      <c r="J28" s="11"/>
    </row>
    <row r="29" spans="1:10" ht="19.5" customHeight="1" x14ac:dyDescent="0.25">
      <c r="A29" s="6" t="s">
        <v>48</v>
      </c>
      <c r="B29" s="7"/>
      <c r="C29" s="8"/>
      <c r="D29" s="8"/>
      <c r="E29" s="8"/>
      <c r="F29" s="6"/>
      <c r="G29" s="6"/>
      <c r="H29" s="6"/>
      <c r="I29" s="6"/>
      <c r="J29" s="11"/>
    </row>
    <row r="30" spans="1:10" ht="19.5" customHeight="1" x14ac:dyDescent="0.25">
      <c r="A30" s="6" t="s">
        <v>49</v>
      </c>
      <c r="B30" s="7"/>
      <c r="C30" s="8"/>
      <c r="D30" s="8"/>
      <c r="E30" s="8"/>
      <c r="F30" s="6"/>
      <c r="G30" s="6"/>
      <c r="H30" s="6"/>
      <c r="I30" s="6"/>
      <c r="J30" s="11"/>
    </row>
    <row r="31" spans="1:10" ht="19.5" customHeight="1" x14ac:dyDescent="0.25">
      <c r="A31" s="6" t="s">
        <v>50</v>
      </c>
      <c r="B31" s="7"/>
      <c r="C31" s="8"/>
      <c r="D31" s="8"/>
      <c r="E31" s="8"/>
      <c r="F31" s="6"/>
      <c r="G31" s="6"/>
      <c r="H31" s="6"/>
      <c r="I31" s="6"/>
      <c r="J31" s="11"/>
    </row>
    <row r="32" spans="1:10" ht="19.5" customHeight="1" x14ac:dyDescent="0.25">
      <c r="A32" s="6" t="s">
        <v>51</v>
      </c>
      <c r="B32" s="7"/>
      <c r="C32" s="8"/>
      <c r="D32" s="8"/>
      <c r="E32" s="8"/>
      <c r="F32" s="6"/>
      <c r="G32" s="6"/>
      <c r="H32" s="6"/>
      <c r="I32" s="6"/>
      <c r="J32" s="11"/>
    </row>
    <row r="33" spans="1:10" ht="19.5" customHeight="1" x14ac:dyDescent="0.25">
      <c r="A33" s="6" t="s">
        <v>52</v>
      </c>
      <c r="B33" s="7"/>
      <c r="C33" s="8"/>
      <c r="D33" s="8"/>
      <c r="E33" s="8"/>
      <c r="F33" s="6"/>
      <c r="G33" s="6"/>
      <c r="H33" s="6"/>
      <c r="I33" s="6"/>
      <c r="J33" s="11"/>
    </row>
    <row r="34" spans="1:10" ht="31.5" customHeight="1" x14ac:dyDescent="0.25">
      <c r="A34" s="5" t="s">
        <v>53</v>
      </c>
      <c r="B34" s="180" t="s">
        <v>54</v>
      </c>
      <c r="C34" s="180"/>
      <c r="D34" s="180"/>
      <c r="E34" s="180"/>
      <c r="F34" s="180"/>
      <c r="G34" s="180"/>
      <c r="H34" s="180"/>
      <c r="I34" s="180"/>
      <c r="J34" s="180"/>
    </row>
    <row r="35" spans="1:10" ht="72" customHeight="1" x14ac:dyDescent="0.25">
      <c r="A35" s="6" t="s">
        <v>29</v>
      </c>
      <c r="B35" s="12"/>
      <c r="C35" s="8"/>
      <c r="D35" s="8"/>
      <c r="E35" s="6"/>
      <c r="F35" s="6"/>
      <c r="G35" s="6"/>
      <c r="H35" s="8"/>
      <c r="I35" s="8"/>
      <c r="J35" s="11"/>
    </row>
    <row r="36" spans="1:10" ht="72" customHeight="1" x14ac:dyDescent="0.25">
      <c r="A36" s="6" t="s">
        <v>34</v>
      </c>
      <c r="B36" s="13"/>
      <c r="C36" s="8"/>
      <c r="D36" s="8"/>
      <c r="E36" s="6"/>
      <c r="F36" s="6"/>
      <c r="G36" s="6"/>
      <c r="H36" s="8"/>
      <c r="I36" s="8"/>
      <c r="J36" s="11"/>
    </row>
    <row r="37" spans="1:10" ht="30" customHeight="1" x14ac:dyDescent="0.25">
      <c r="A37" s="14" t="s">
        <v>35</v>
      </c>
      <c r="B37" s="15"/>
      <c r="C37" s="16"/>
      <c r="D37" s="8"/>
      <c r="E37" s="6"/>
      <c r="F37" s="6"/>
      <c r="G37" s="17"/>
      <c r="H37" s="8"/>
      <c r="I37" s="8"/>
      <c r="J37" s="11"/>
    </row>
    <row r="38" spans="1:10" ht="30" customHeight="1" x14ac:dyDescent="0.25">
      <c r="A38" s="14" t="s">
        <v>36</v>
      </c>
      <c r="B38" s="15"/>
      <c r="C38" s="16"/>
      <c r="D38" s="8"/>
      <c r="E38" s="6"/>
      <c r="F38" s="6"/>
      <c r="G38" s="17"/>
      <c r="H38" s="8"/>
      <c r="I38" s="8"/>
      <c r="J38" s="11"/>
    </row>
    <row r="39" spans="1:10" ht="30" customHeight="1" x14ac:dyDescent="0.25">
      <c r="A39" s="14" t="s">
        <v>37</v>
      </c>
      <c r="B39" s="15"/>
      <c r="C39" s="16"/>
      <c r="D39" s="8"/>
      <c r="E39" s="6"/>
      <c r="F39" s="6"/>
      <c r="G39" s="17"/>
      <c r="H39" s="8"/>
      <c r="I39" s="8"/>
      <c r="J39" s="11"/>
    </row>
    <row r="40" spans="1:10" ht="30" customHeight="1" x14ac:dyDescent="0.25">
      <c r="A40" s="14" t="s">
        <v>38</v>
      </c>
      <c r="B40" s="15"/>
      <c r="C40" s="16"/>
      <c r="D40" s="8"/>
      <c r="E40" s="6"/>
      <c r="F40" s="6"/>
      <c r="G40" s="17"/>
      <c r="H40" s="8"/>
      <c r="I40" s="8"/>
      <c r="J40" s="11"/>
    </row>
    <row r="41" spans="1:10" ht="30" customHeight="1" x14ac:dyDescent="0.25">
      <c r="A41" s="14" t="s">
        <v>39</v>
      </c>
      <c r="B41" s="15"/>
      <c r="C41" s="16"/>
      <c r="D41" s="8"/>
      <c r="E41" s="6"/>
      <c r="F41" s="6"/>
      <c r="G41" s="17"/>
      <c r="H41" s="8"/>
      <c r="I41" s="8"/>
      <c r="J41" s="11"/>
    </row>
    <row r="42" spans="1:10" ht="30" customHeight="1" x14ac:dyDescent="0.25">
      <c r="A42" s="14" t="s">
        <v>40</v>
      </c>
      <c r="B42" s="15"/>
      <c r="C42" s="16"/>
      <c r="D42" s="8"/>
      <c r="E42" s="6"/>
      <c r="F42" s="6"/>
      <c r="G42" s="17"/>
      <c r="H42" s="8"/>
      <c r="I42" s="8"/>
      <c r="J42" s="11"/>
    </row>
    <row r="43" spans="1:10" ht="30" customHeight="1" x14ac:dyDescent="0.25">
      <c r="A43" s="14" t="s">
        <v>41</v>
      </c>
      <c r="B43" s="15"/>
      <c r="C43" s="16"/>
      <c r="D43" s="8"/>
      <c r="E43" s="6"/>
      <c r="F43" s="6"/>
      <c r="G43" s="17"/>
      <c r="H43" s="8"/>
      <c r="I43" s="8"/>
      <c r="J43" s="11"/>
    </row>
    <row r="44" spans="1:10" ht="30" customHeight="1" x14ac:dyDescent="0.25">
      <c r="A44" s="14" t="s">
        <v>42</v>
      </c>
      <c r="B44" s="15"/>
      <c r="C44" s="16"/>
      <c r="D44" s="8"/>
      <c r="E44" s="6"/>
      <c r="F44" s="6"/>
      <c r="G44" s="17"/>
      <c r="H44" s="8"/>
      <c r="I44" s="8"/>
      <c r="J44" s="11"/>
    </row>
    <row r="45" spans="1:10" ht="30" customHeight="1" x14ac:dyDescent="0.25">
      <c r="A45" s="14" t="s">
        <v>43</v>
      </c>
      <c r="B45" s="15"/>
      <c r="C45" s="16"/>
      <c r="D45" s="8"/>
      <c r="E45" s="6"/>
      <c r="F45" s="6"/>
      <c r="G45" s="17"/>
      <c r="H45" s="8"/>
      <c r="I45" s="8"/>
      <c r="J45" s="11"/>
    </row>
    <row r="46" spans="1:10" ht="30" customHeight="1" x14ac:dyDescent="0.25">
      <c r="A46" s="14" t="s">
        <v>44</v>
      </c>
      <c r="B46" s="15"/>
      <c r="C46" s="16"/>
      <c r="D46" s="8"/>
      <c r="E46" s="6"/>
      <c r="F46" s="6"/>
      <c r="G46" s="17"/>
      <c r="H46" s="8"/>
      <c r="I46" s="8"/>
      <c r="J46" s="11"/>
    </row>
    <row r="47" spans="1:10" ht="30" customHeight="1" x14ac:dyDescent="0.25">
      <c r="A47" s="14" t="s">
        <v>45</v>
      </c>
      <c r="B47" s="15"/>
      <c r="C47" s="16"/>
      <c r="D47" s="8"/>
      <c r="E47" s="6"/>
      <c r="F47" s="6"/>
      <c r="G47" s="17"/>
      <c r="H47" s="8"/>
      <c r="I47" s="8"/>
      <c r="J47" s="11"/>
    </row>
    <row r="48" spans="1:10" ht="30" customHeight="1" x14ac:dyDescent="0.25">
      <c r="A48" s="14" t="s">
        <v>46</v>
      </c>
      <c r="B48" s="15"/>
      <c r="C48" s="16"/>
      <c r="D48" s="8"/>
      <c r="E48" s="6"/>
      <c r="F48" s="6"/>
      <c r="G48" s="17"/>
      <c r="H48" s="8"/>
      <c r="I48" s="8"/>
      <c r="J48" s="11"/>
    </row>
    <row r="49" spans="1:10" ht="30" customHeight="1" x14ac:dyDescent="0.25">
      <c r="A49" s="14" t="s">
        <v>47</v>
      </c>
      <c r="B49" s="15"/>
      <c r="C49" s="16"/>
      <c r="D49" s="8"/>
      <c r="E49" s="6"/>
      <c r="F49" s="6"/>
      <c r="G49" s="17"/>
      <c r="H49" s="8"/>
      <c r="I49" s="8"/>
      <c r="J49" s="11"/>
    </row>
    <row r="50" spans="1:10" ht="30" customHeight="1" x14ac:dyDescent="0.25">
      <c r="A50" s="14" t="s">
        <v>48</v>
      </c>
      <c r="B50" s="15"/>
      <c r="C50" s="16"/>
      <c r="D50" s="8"/>
      <c r="E50" s="6"/>
      <c r="F50" s="6"/>
      <c r="G50" s="17"/>
      <c r="H50" s="8"/>
      <c r="I50" s="8"/>
      <c r="J50" s="11"/>
    </row>
    <row r="51" spans="1:10" ht="30" customHeight="1" x14ac:dyDescent="0.25">
      <c r="A51" s="14" t="s">
        <v>49</v>
      </c>
      <c r="B51" s="15"/>
      <c r="C51" s="16"/>
      <c r="D51" s="8"/>
      <c r="E51" s="6"/>
      <c r="F51" s="6"/>
      <c r="G51" s="17"/>
      <c r="H51" s="8"/>
      <c r="I51" s="8"/>
      <c r="J51" s="11"/>
    </row>
    <row r="52" spans="1:10" ht="30" customHeight="1" x14ac:dyDescent="0.25">
      <c r="A52" s="14" t="s">
        <v>50</v>
      </c>
      <c r="B52" s="15"/>
      <c r="C52" s="16"/>
      <c r="D52" s="8"/>
      <c r="E52" s="6"/>
      <c r="F52" s="6"/>
      <c r="G52" s="17"/>
      <c r="H52" s="8"/>
      <c r="I52" s="8"/>
      <c r="J52" s="11"/>
    </row>
    <row r="53" spans="1:10" ht="30" customHeight="1" x14ac:dyDescent="0.25">
      <c r="A53" s="14" t="s">
        <v>51</v>
      </c>
      <c r="B53" s="15"/>
      <c r="C53" s="16"/>
      <c r="D53" s="8"/>
      <c r="E53" s="6"/>
      <c r="F53" s="6"/>
      <c r="G53" s="17"/>
      <c r="H53" s="8"/>
      <c r="I53" s="8"/>
      <c r="J53" s="11"/>
    </row>
    <row r="54" spans="1:10" ht="30" customHeight="1" x14ac:dyDescent="0.25">
      <c r="A54" s="14" t="s">
        <v>52</v>
      </c>
      <c r="B54" s="15"/>
      <c r="C54" s="16"/>
      <c r="D54" s="8"/>
      <c r="E54" s="8"/>
      <c r="F54" s="6"/>
      <c r="G54" s="17"/>
      <c r="H54" s="6"/>
      <c r="I54" s="6"/>
      <c r="J54" s="18"/>
    </row>
    <row r="55" spans="1:10" ht="33.75" customHeight="1" x14ac:dyDescent="0.25">
      <c r="A55" s="5" t="s">
        <v>55</v>
      </c>
      <c r="B55" s="177" t="s">
        <v>56</v>
      </c>
      <c r="C55" s="177"/>
      <c r="D55" s="177"/>
      <c r="E55" s="177"/>
      <c r="F55" s="177"/>
      <c r="G55" s="177"/>
      <c r="H55" s="177"/>
      <c r="I55" s="177"/>
      <c r="J55" s="177"/>
    </row>
    <row r="56" spans="1:10" ht="108.75" customHeight="1" x14ac:dyDescent="0.25">
      <c r="A56" s="6" t="s">
        <v>29</v>
      </c>
      <c r="B56" s="7"/>
      <c r="C56" s="8"/>
      <c r="D56" s="8"/>
      <c r="E56" s="6"/>
      <c r="F56" s="6"/>
      <c r="G56" s="6"/>
      <c r="H56" s="8"/>
      <c r="I56" s="8"/>
      <c r="J56" s="11"/>
    </row>
    <row r="57" spans="1:10" ht="30" customHeight="1" x14ac:dyDescent="0.25">
      <c r="A57" s="6" t="s">
        <v>34</v>
      </c>
      <c r="B57" s="19"/>
      <c r="C57" s="8"/>
      <c r="D57" s="8"/>
      <c r="E57" s="6"/>
      <c r="F57" s="6"/>
      <c r="G57" s="17"/>
      <c r="H57" s="8"/>
      <c r="I57" s="8"/>
      <c r="J57" s="11"/>
    </row>
    <row r="58" spans="1:10" ht="30" customHeight="1" x14ac:dyDescent="0.25">
      <c r="A58" s="6" t="s">
        <v>35</v>
      </c>
      <c r="B58" s="19"/>
      <c r="C58" s="8"/>
      <c r="D58" s="8"/>
      <c r="E58" s="6"/>
      <c r="F58" s="6"/>
      <c r="G58" s="17"/>
      <c r="H58" s="8"/>
      <c r="I58" s="8"/>
      <c r="J58" s="11"/>
    </row>
    <row r="59" spans="1:10" ht="30" customHeight="1" x14ac:dyDescent="0.25">
      <c r="A59" s="6" t="s">
        <v>36</v>
      </c>
      <c r="B59" s="19"/>
      <c r="C59" s="8"/>
      <c r="D59" s="8"/>
      <c r="E59" s="6"/>
      <c r="F59" s="6"/>
      <c r="G59" s="17"/>
      <c r="H59" s="8"/>
      <c r="I59" s="8"/>
      <c r="J59" s="11"/>
    </row>
    <row r="60" spans="1:10" ht="30" customHeight="1" x14ac:dyDescent="0.25">
      <c r="A60" s="6" t="s">
        <v>37</v>
      </c>
      <c r="B60" s="19"/>
      <c r="C60" s="8"/>
      <c r="D60" s="8"/>
      <c r="E60" s="6"/>
      <c r="F60" s="6"/>
      <c r="G60" s="17"/>
      <c r="H60" s="8"/>
      <c r="I60" s="8"/>
      <c r="J60" s="11"/>
    </row>
    <row r="61" spans="1:10" ht="30" customHeight="1" x14ac:dyDescent="0.25">
      <c r="A61" s="6" t="s">
        <v>38</v>
      </c>
      <c r="B61" s="19"/>
      <c r="C61" s="8"/>
      <c r="D61" s="8"/>
      <c r="E61" s="6"/>
      <c r="F61" s="6"/>
      <c r="G61" s="17"/>
      <c r="H61" s="8"/>
      <c r="I61" s="8"/>
      <c r="J61" s="11"/>
    </row>
    <row r="62" spans="1:10" ht="30" customHeight="1" x14ac:dyDescent="0.25">
      <c r="A62" s="6" t="s">
        <v>39</v>
      </c>
      <c r="B62" s="19"/>
      <c r="C62" s="8"/>
      <c r="D62" s="8"/>
      <c r="E62" s="6"/>
      <c r="F62" s="6"/>
      <c r="G62" s="17"/>
      <c r="H62" s="8"/>
      <c r="I62" s="8"/>
      <c r="J62" s="11"/>
    </row>
    <row r="63" spans="1:10" ht="30" customHeight="1" x14ac:dyDescent="0.25">
      <c r="A63" s="6" t="s">
        <v>40</v>
      </c>
      <c r="B63" s="19"/>
      <c r="C63" s="8"/>
      <c r="D63" s="8"/>
      <c r="E63" s="6"/>
      <c r="F63" s="6"/>
      <c r="G63" s="17"/>
      <c r="H63" s="8"/>
      <c r="I63" s="8"/>
      <c r="J63" s="11"/>
    </row>
    <row r="64" spans="1:10" ht="30" customHeight="1" x14ac:dyDescent="0.25">
      <c r="A64" s="6" t="s">
        <v>41</v>
      </c>
      <c r="B64" s="19"/>
      <c r="C64" s="8"/>
      <c r="D64" s="8"/>
      <c r="E64" s="6"/>
      <c r="F64" s="6"/>
      <c r="G64" s="17"/>
      <c r="H64" s="8"/>
      <c r="I64" s="8"/>
      <c r="J64" s="11"/>
    </row>
    <row r="65" spans="1:10" ht="30" customHeight="1" x14ac:dyDescent="0.25">
      <c r="A65" s="6" t="s">
        <v>42</v>
      </c>
      <c r="B65" s="19"/>
      <c r="C65" s="8"/>
      <c r="D65" s="8"/>
      <c r="E65" s="6"/>
      <c r="F65" s="6"/>
      <c r="G65" s="17"/>
      <c r="H65" s="8"/>
      <c r="I65" s="8"/>
      <c r="J65" s="11"/>
    </row>
    <row r="66" spans="1:10" ht="30" customHeight="1" x14ac:dyDescent="0.25">
      <c r="A66" s="6" t="s">
        <v>43</v>
      </c>
      <c r="B66" s="19"/>
      <c r="C66" s="8"/>
      <c r="D66" s="8"/>
      <c r="E66" s="6"/>
      <c r="F66" s="6"/>
      <c r="G66" s="17"/>
      <c r="H66" s="8"/>
      <c r="I66" s="8"/>
      <c r="J66" s="11"/>
    </row>
    <row r="67" spans="1:10" ht="30" customHeight="1" x14ac:dyDescent="0.25">
      <c r="A67" s="6" t="s">
        <v>44</v>
      </c>
      <c r="B67" s="19"/>
      <c r="C67" s="8"/>
      <c r="D67" s="8"/>
      <c r="E67" s="6"/>
      <c r="F67" s="6"/>
      <c r="G67" s="17"/>
      <c r="H67" s="8"/>
      <c r="I67" s="8"/>
      <c r="J67" s="11"/>
    </row>
    <row r="68" spans="1:10" ht="30" customHeight="1" x14ac:dyDescent="0.25">
      <c r="A68" s="6" t="s">
        <v>45</v>
      </c>
      <c r="B68" s="19"/>
      <c r="C68" s="8"/>
      <c r="D68" s="8"/>
      <c r="E68" s="6"/>
      <c r="F68" s="6"/>
      <c r="G68" s="17"/>
      <c r="H68" s="8"/>
      <c r="I68" s="8"/>
      <c r="J68" s="11"/>
    </row>
    <row r="69" spans="1:10" ht="30" customHeight="1" x14ac:dyDescent="0.25">
      <c r="A69" s="6" t="s">
        <v>46</v>
      </c>
      <c r="B69" s="19"/>
      <c r="C69" s="8"/>
      <c r="D69" s="8"/>
      <c r="E69" s="6"/>
      <c r="F69" s="6"/>
      <c r="G69" s="17"/>
      <c r="H69" s="8"/>
      <c r="I69" s="8"/>
      <c r="J69" s="11"/>
    </row>
    <row r="70" spans="1:10" ht="30" customHeight="1" x14ac:dyDescent="0.25">
      <c r="A70" s="6" t="s">
        <v>47</v>
      </c>
      <c r="B70" s="19"/>
      <c r="C70" s="8"/>
      <c r="D70" s="8"/>
      <c r="E70" s="6"/>
      <c r="F70" s="6"/>
      <c r="G70" s="17"/>
      <c r="H70" s="8"/>
      <c r="I70" s="8"/>
      <c r="J70" s="11"/>
    </row>
    <row r="71" spans="1:10" ht="30" customHeight="1" x14ac:dyDescent="0.25">
      <c r="A71" s="6" t="s">
        <v>48</v>
      </c>
      <c r="B71" s="19"/>
      <c r="C71" s="8"/>
      <c r="D71" s="8"/>
      <c r="E71" s="6"/>
      <c r="F71" s="6"/>
      <c r="G71" s="17"/>
      <c r="H71" s="8"/>
      <c r="I71" s="8"/>
      <c r="J71" s="11"/>
    </row>
    <row r="72" spans="1:10" ht="30" customHeight="1" x14ac:dyDescent="0.25">
      <c r="A72" s="6" t="s">
        <v>49</v>
      </c>
      <c r="B72" s="19"/>
      <c r="C72" s="8"/>
      <c r="D72" s="8"/>
      <c r="E72" s="6"/>
      <c r="F72" s="6"/>
      <c r="G72" s="17"/>
      <c r="H72" s="8"/>
      <c r="I72" s="8"/>
      <c r="J72" s="11"/>
    </row>
    <row r="73" spans="1:10" ht="30" customHeight="1" x14ac:dyDescent="0.25">
      <c r="A73" s="6" t="s">
        <v>50</v>
      </c>
      <c r="B73" s="19"/>
      <c r="C73" s="8"/>
      <c r="D73" s="8"/>
      <c r="E73" s="6"/>
      <c r="F73" s="6"/>
      <c r="G73" s="17"/>
      <c r="H73" s="8"/>
      <c r="I73" s="8"/>
      <c r="J73" s="11"/>
    </row>
    <row r="74" spans="1:10" ht="30" customHeight="1" x14ac:dyDescent="0.25">
      <c r="A74" s="6" t="s">
        <v>51</v>
      </c>
      <c r="B74" s="19"/>
      <c r="C74" s="8"/>
      <c r="D74" s="8"/>
      <c r="E74" s="6"/>
      <c r="F74" s="6"/>
      <c r="G74" s="17"/>
      <c r="H74" s="8"/>
      <c r="I74" s="8"/>
      <c r="J74" s="11"/>
    </row>
    <row r="75" spans="1:10" ht="30" customHeight="1" x14ac:dyDescent="0.25">
      <c r="A75" s="6" t="s">
        <v>52</v>
      </c>
      <c r="B75" s="19"/>
      <c r="C75" s="8"/>
      <c r="D75" s="8"/>
      <c r="E75" s="6"/>
      <c r="F75" s="6"/>
      <c r="G75" s="17"/>
      <c r="H75" s="8"/>
      <c r="I75" s="8"/>
      <c r="J75" s="11"/>
    </row>
    <row r="76" spans="1:10" ht="52.5" customHeight="1" x14ac:dyDescent="0.25">
      <c r="A76" s="5" t="s">
        <v>57</v>
      </c>
      <c r="B76" s="172" t="s">
        <v>58</v>
      </c>
      <c r="C76" s="172"/>
      <c r="D76" s="172"/>
      <c r="E76" s="172"/>
      <c r="F76" s="172"/>
      <c r="G76" s="172"/>
      <c r="H76" s="172"/>
      <c r="I76" s="172"/>
      <c r="J76" s="172"/>
    </row>
    <row r="77" spans="1:10" ht="30" customHeight="1" x14ac:dyDescent="0.25">
      <c r="A77" s="6" t="s">
        <v>29</v>
      </c>
      <c r="B77" s="19"/>
      <c r="C77" s="8"/>
      <c r="D77" s="8"/>
      <c r="E77" s="8"/>
      <c r="F77" s="6"/>
      <c r="G77" s="6"/>
      <c r="H77" s="8"/>
      <c r="I77" s="8"/>
      <c r="J77" s="11"/>
    </row>
    <row r="78" spans="1:10" ht="30" customHeight="1" x14ac:dyDescent="0.25">
      <c r="A78" s="6" t="s">
        <v>34</v>
      </c>
      <c r="B78" s="19"/>
      <c r="C78" s="8"/>
      <c r="D78" s="8"/>
      <c r="E78" s="8"/>
      <c r="F78" s="6"/>
      <c r="G78" s="17"/>
      <c r="H78" s="8"/>
      <c r="I78" s="8"/>
      <c r="J78" s="11"/>
    </row>
    <row r="79" spans="1:10" ht="30" customHeight="1" x14ac:dyDescent="0.25">
      <c r="A79" s="6" t="s">
        <v>35</v>
      </c>
      <c r="B79" s="19"/>
      <c r="C79" s="8"/>
      <c r="D79" s="8"/>
      <c r="E79" s="8"/>
      <c r="F79" s="6"/>
      <c r="G79" s="17"/>
      <c r="H79" s="8"/>
      <c r="I79" s="8"/>
      <c r="J79" s="11"/>
    </row>
    <row r="80" spans="1:10" ht="30" customHeight="1" x14ac:dyDescent="0.25">
      <c r="A80" s="6" t="s">
        <v>36</v>
      </c>
      <c r="B80" s="19"/>
      <c r="C80" s="8"/>
      <c r="D80" s="8"/>
      <c r="E80" s="8"/>
      <c r="F80" s="6"/>
      <c r="G80" s="17"/>
      <c r="H80" s="8"/>
      <c r="I80" s="8"/>
      <c r="J80" s="11"/>
    </row>
    <row r="81" spans="1:10" ht="30" customHeight="1" x14ac:dyDescent="0.25">
      <c r="A81" s="6" t="s">
        <v>37</v>
      </c>
      <c r="B81" s="19"/>
      <c r="C81" s="8"/>
      <c r="D81" s="8"/>
      <c r="E81" s="8"/>
      <c r="F81" s="6"/>
      <c r="G81" s="17"/>
      <c r="H81" s="8"/>
      <c r="I81" s="8"/>
      <c r="J81" s="11"/>
    </row>
    <row r="82" spans="1:10" ht="30" customHeight="1" x14ac:dyDescent="0.25">
      <c r="A82" s="6" t="s">
        <v>38</v>
      </c>
      <c r="B82" s="19"/>
      <c r="C82" s="8"/>
      <c r="D82" s="8"/>
      <c r="E82" s="8"/>
      <c r="F82" s="6"/>
      <c r="G82" s="17"/>
      <c r="H82" s="8"/>
      <c r="I82" s="8"/>
      <c r="J82" s="11"/>
    </row>
    <row r="83" spans="1:10" ht="30" customHeight="1" x14ac:dyDescent="0.25">
      <c r="A83" s="6" t="s">
        <v>39</v>
      </c>
      <c r="B83" s="19"/>
      <c r="C83" s="8"/>
      <c r="D83" s="8"/>
      <c r="E83" s="8"/>
      <c r="F83" s="6"/>
      <c r="G83" s="17"/>
      <c r="H83" s="8"/>
      <c r="I83" s="8"/>
      <c r="J83" s="11"/>
    </row>
    <row r="84" spans="1:10" ht="30" customHeight="1" x14ac:dyDescent="0.25">
      <c r="A84" s="6" t="s">
        <v>40</v>
      </c>
      <c r="B84" s="19"/>
      <c r="C84" s="8"/>
      <c r="D84" s="8"/>
      <c r="E84" s="8"/>
      <c r="F84" s="6"/>
      <c r="G84" s="17"/>
      <c r="H84" s="8"/>
      <c r="I84" s="8"/>
      <c r="J84" s="11"/>
    </row>
    <row r="85" spans="1:10" ht="30" customHeight="1" x14ac:dyDescent="0.25">
      <c r="A85" s="6" t="s">
        <v>41</v>
      </c>
      <c r="B85" s="19"/>
      <c r="C85" s="8"/>
      <c r="D85" s="8"/>
      <c r="E85" s="8"/>
      <c r="F85" s="6"/>
      <c r="G85" s="17"/>
      <c r="H85" s="8"/>
      <c r="I85" s="8"/>
      <c r="J85" s="11"/>
    </row>
    <row r="86" spans="1:10" ht="30" customHeight="1" x14ac:dyDescent="0.25">
      <c r="A86" s="6" t="s">
        <v>42</v>
      </c>
      <c r="B86" s="19"/>
      <c r="C86" s="8"/>
      <c r="D86" s="8"/>
      <c r="E86" s="8"/>
      <c r="F86" s="6"/>
      <c r="G86" s="17"/>
      <c r="H86" s="8"/>
      <c r="I86" s="8"/>
      <c r="J86" s="11"/>
    </row>
    <row r="87" spans="1:10" ht="30" customHeight="1" x14ac:dyDescent="0.25">
      <c r="A87" s="6" t="s">
        <v>43</v>
      </c>
      <c r="B87" s="19"/>
      <c r="C87" s="8"/>
      <c r="D87" s="8"/>
      <c r="E87" s="8"/>
      <c r="F87" s="6"/>
      <c r="G87" s="17"/>
      <c r="H87" s="8"/>
      <c r="I87" s="8"/>
      <c r="J87" s="11"/>
    </row>
    <row r="88" spans="1:10" ht="30" customHeight="1" x14ac:dyDescent="0.25">
      <c r="A88" s="6" t="s">
        <v>44</v>
      </c>
      <c r="B88" s="19"/>
      <c r="C88" s="8"/>
      <c r="D88" s="8"/>
      <c r="E88" s="8"/>
      <c r="F88" s="6"/>
      <c r="G88" s="17"/>
      <c r="H88" s="8"/>
      <c r="I88" s="8"/>
      <c r="J88" s="11"/>
    </row>
    <row r="89" spans="1:10" ht="30" customHeight="1" x14ac:dyDescent="0.25">
      <c r="A89" s="6" t="s">
        <v>45</v>
      </c>
      <c r="B89" s="19"/>
      <c r="C89" s="8"/>
      <c r="D89" s="8"/>
      <c r="E89" s="8"/>
      <c r="F89" s="6"/>
      <c r="G89" s="17"/>
      <c r="H89" s="8"/>
      <c r="I89" s="8"/>
      <c r="J89" s="11"/>
    </row>
    <row r="90" spans="1:10" ht="30" customHeight="1" x14ac:dyDescent="0.25">
      <c r="A90" s="6" t="s">
        <v>46</v>
      </c>
      <c r="B90" s="19"/>
      <c r="C90" s="8"/>
      <c r="D90" s="8"/>
      <c r="E90" s="8"/>
      <c r="F90" s="6"/>
      <c r="G90" s="17"/>
      <c r="H90" s="8"/>
      <c r="I90" s="8"/>
      <c r="J90" s="11"/>
    </row>
    <row r="91" spans="1:10" ht="30" customHeight="1" x14ac:dyDescent="0.25">
      <c r="A91" s="6" t="s">
        <v>47</v>
      </c>
      <c r="B91" s="19"/>
      <c r="C91" s="8"/>
      <c r="D91" s="8"/>
      <c r="E91" s="8"/>
      <c r="F91" s="6"/>
      <c r="G91" s="17"/>
      <c r="H91" s="8"/>
      <c r="I91" s="8"/>
      <c r="J91" s="11"/>
    </row>
    <row r="92" spans="1:10" ht="30" customHeight="1" x14ac:dyDescent="0.25">
      <c r="A92" s="6" t="s">
        <v>48</v>
      </c>
      <c r="B92" s="19"/>
      <c r="C92" s="8"/>
      <c r="D92" s="8"/>
      <c r="E92" s="8"/>
      <c r="F92" s="6"/>
      <c r="G92" s="17"/>
      <c r="H92" s="8"/>
      <c r="I92" s="8"/>
      <c r="J92" s="11"/>
    </row>
    <row r="93" spans="1:10" ht="30" customHeight="1" x14ac:dyDescent="0.25">
      <c r="A93" s="6" t="s">
        <v>49</v>
      </c>
      <c r="B93" s="19"/>
      <c r="C93" s="8"/>
      <c r="D93" s="8"/>
      <c r="E93" s="8"/>
      <c r="F93" s="6"/>
      <c r="G93" s="17"/>
      <c r="H93" s="8"/>
      <c r="I93" s="8"/>
      <c r="J93" s="11"/>
    </row>
    <row r="94" spans="1:10" ht="30" customHeight="1" x14ac:dyDescent="0.25">
      <c r="A94" s="6" t="s">
        <v>50</v>
      </c>
      <c r="B94" s="19"/>
      <c r="C94" s="8"/>
      <c r="D94" s="8"/>
      <c r="E94" s="8"/>
      <c r="F94" s="6"/>
      <c r="G94" s="17"/>
      <c r="H94" s="8"/>
      <c r="I94" s="8"/>
      <c r="J94" s="11"/>
    </row>
    <row r="95" spans="1:10" ht="30" customHeight="1" x14ac:dyDescent="0.25">
      <c r="A95" s="6" t="s">
        <v>51</v>
      </c>
      <c r="B95" s="19"/>
      <c r="C95" s="8"/>
      <c r="D95" s="8"/>
      <c r="E95" s="8"/>
      <c r="F95" s="6"/>
      <c r="G95" s="17"/>
      <c r="H95" s="8"/>
      <c r="I95" s="8"/>
      <c r="J95" s="11"/>
    </row>
    <row r="96" spans="1:10" ht="30" customHeight="1" x14ac:dyDescent="0.25">
      <c r="A96" s="6" t="s">
        <v>52</v>
      </c>
      <c r="B96" s="19"/>
      <c r="C96" s="8"/>
      <c r="D96" s="8"/>
      <c r="E96" s="8"/>
      <c r="F96" s="6"/>
      <c r="G96" s="17"/>
      <c r="H96" s="8"/>
      <c r="I96" s="8"/>
      <c r="J96" s="11"/>
    </row>
    <row r="97" spans="1:10" ht="34.5" customHeight="1" x14ac:dyDescent="0.25">
      <c r="A97" s="5" t="s">
        <v>59</v>
      </c>
      <c r="B97" s="172" t="s">
        <v>60</v>
      </c>
      <c r="C97" s="172"/>
      <c r="D97" s="172"/>
      <c r="E97" s="172"/>
      <c r="F97" s="172"/>
      <c r="G97" s="172"/>
      <c r="H97" s="172"/>
      <c r="I97" s="172"/>
      <c r="J97" s="172"/>
    </row>
    <row r="98" spans="1:10" ht="60" customHeight="1" x14ac:dyDescent="0.25">
      <c r="A98" s="17" t="s">
        <v>29</v>
      </c>
      <c r="B98" s="7"/>
      <c r="C98" s="8"/>
      <c r="D98" s="8"/>
      <c r="E98" s="8"/>
      <c r="F98" s="6"/>
      <c r="G98" s="6"/>
      <c r="H98" s="8"/>
      <c r="I98" s="8"/>
      <c r="J98" s="11"/>
    </row>
    <row r="99" spans="1:10" ht="30" customHeight="1" x14ac:dyDescent="0.25">
      <c r="A99" s="17" t="s">
        <v>34</v>
      </c>
      <c r="B99" s="19"/>
      <c r="C99" s="8"/>
      <c r="D99" s="8"/>
      <c r="E99" s="8"/>
      <c r="F99" s="6"/>
      <c r="G99" s="17"/>
      <c r="H99" s="8"/>
      <c r="I99" s="8"/>
      <c r="J99" s="11"/>
    </row>
    <row r="100" spans="1:10" ht="30" customHeight="1" x14ac:dyDescent="0.25">
      <c r="A100" s="17" t="s">
        <v>35</v>
      </c>
      <c r="B100" s="19"/>
      <c r="C100" s="8"/>
      <c r="D100" s="8"/>
      <c r="E100" s="8"/>
      <c r="F100" s="6"/>
      <c r="G100" s="17"/>
      <c r="H100" s="8"/>
      <c r="I100" s="8"/>
      <c r="J100" s="11"/>
    </row>
    <row r="101" spans="1:10" ht="30" customHeight="1" x14ac:dyDescent="0.25">
      <c r="A101" s="17" t="s">
        <v>36</v>
      </c>
      <c r="B101" s="19"/>
      <c r="C101" s="8"/>
      <c r="D101" s="8"/>
      <c r="E101" s="8"/>
      <c r="F101" s="6"/>
      <c r="G101" s="17"/>
      <c r="H101" s="8"/>
      <c r="I101" s="8"/>
      <c r="J101" s="11"/>
    </row>
    <row r="102" spans="1:10" ht="30" customHeight="1" x14ac:dyDescent="0.25">
      <c r="A102" s="17" t="s">
        <v>37</v>
      </c>
      <c r="B102" s="19"/>
      <c r="C102" s="8"/>
      <c r="D102" s="8"/>
      <c r="E102" s="8"/>
      <c r="F102" s="6"/>
      <c r="G102" s="17"/>
      <c r="H102" s="8"/>
      <c r="I102" s="8"/>
      <c r="J102" s="11"/>
    </row>
    <row r="103" spans="1:10" ht="30" customHeight="1" x14ac:dyDescent="0.25">
      <c r="A103" s="17" t="s">
        <v>38</v>
      </c>
      <c r="B103" s="19"/>
      <c r="C103" s="8"/>
      <c r="D103" s="8"/>
      <c r="E103" s="8"/>
      <c r="F103" s="6"/>
      <c r="G103" s="17"/>
      <c r="H103" s="8"/>
      <c r="I103" s="8"/>
      <c r="J103" s="11"/>
    </row>
    <row r="104" spans="1:10" ht="30" customHeight="1" x14ac:dyDescent="0.25">
      <c r="A104" s="17" t="s">
        <v>39</v>
      </c>
      <c r="B104" s="19"/>
      <c r="C104" s="8"/>
      <c r="D104" s="8"/>
      <c r="E104" s="8"/>
      <c r="F104" s="6"/>
      <c r="G104" s="17"/>
      <c r="H104" s="8"/>
      <c r="I104" s="8"/>
      <c r="J104" s="11"/>
    </row>
    <row r="105" spans="1:10" ht="30" customHeight="1" x14ac:dyDescent="0.25">
      <c r="A105" s="17" t="s">
        <v>40</v>
      </c>
      <c r="B105" s="19"/>
      <c r="C105" s="8"/>
      <c r="D105" s="8"/>
      <c r="E105" s="8"/>
      <c r="F105" s="6"/>
      <c r="G105" s="17"/>
      <c r="H105" s="8"/>
      <c r="I105" s="8"/>
      <c r="J105" s="11"/>
    </row>
    <row r="106" spans="1:10" ht="30" customHeight="1" x14ac:dyDescent="0.25">
      <c r="A106" s="17" t="s">
        <v>41</v>
      </c>
      <c r="B106" s="19"/>
      <c r="C106" s="8"/>
      <c r="D106" s="8"/>
      <c r="E106" s="8"/>
      <c r="F106" s="6"/>
      <c r="G106" s="17"/>
      <c r="H106" s="8"/>
      <c r="I106" s="8"/>
      <c r="J106" s="11"/>
    </row>
    <row r="107" spans="1:10" ht="30" customHeight="1" x14ac:dyDescent="0.25">
      <c r="A107" s="17" t="s">
        <v>42</v>
      </c>
      <c r="B107" s="19"/>
      <c r="C107" s="8"/>
      <c r="D107" s="8"/>
      <c r="E107" s="8"/>
      <c r="F107" s="6"/>
      <c r="G107" s="17"/>
      <c r="H107" s="8"/>
      <c r="I107" s="8"/>
      <c r="J107" s="11"/>
    </row>
    <row r="108" spans="1:10" ht="30" customHeight="1" x14ac:dyDescent="0.25">
      <c r="A108" s="17" t="s">
        <v>43</v>
      </c>
      <c r="B108" s="19"/>
      <c r="C108" s="8"/>
      <c r="D108" s="8"/>
      <c r="E108" s="8"/>
      <c r="F108" s="6"/>
      <c r="G108" s="17"/>
      <c r="H108" s="8"/>
      <c r="I108" s="8"/>
      <c r="J108" s="11"/>
    </row>
    <row r="109" spans="1:10" ht="30" customHeight="1" x14ac:dyDescent="0.25">
      <c r="A109" s="17" t="s">
        <v>44</v>
      </c>
      <c r="B109" s="19"/>
      <c r="C109" s="8"/>
      <c r="D109" s="8"/>
      <c r="E109" s="8"/>
      <c r="F109" s="6"/>
      <c r="G109" s="17"/>
      <c r="H109" s="8"/>
      <c r="I109" s="8"/>
      <c r="J109" s="11"/>
    </row>
    <row r="110" spans="1:10" ht="30" customHeight="1" x14ac:dyDescent="0.25">
      <c r="A110" s="17" t="s">
        <v>45</v>
      </c>
      <c r="B110" s="19"/>
      <c r="C110" s="8"/>
      <c r="D110" s="8"/>
      <c r="E110" s="8"/>
      <c r="F110" s="6"/>
      <c r="G110" s="17"/>
      <c r="H110" s="8"/>
      <c r="I110" s="8"/>
      <c r="J110" s="11"/>
    </row>
    <row r="111" spans="1:10" ht="30" customHeight="1" x14ac:dyDescent="0.25">
      <c r="A111" s="17" t="s">
        <v>46</v>
      </c>
      <c r="B111" s="19"/>
      <c r="C111" s="8"/>
      <c r="D111" s="8"/>
      <c r="E111" s="8"/>
      <c r="F111" s="6"/>
      <c r="G111" s="17"/>
      <c r="H111" s="8"/>
      <c r="I111" s="8"/>
      <c r="J111" s="11"/>
    </row>
    <row r="112" spans="1:10" ht="30" customHeight="1" x14ac:dyDescent="0.25">
      <c r="A112" s="17" t="s">
        <v>47</v>
      </c>
      <c r="B112" s="19"/>
      <c r="C112" s="8"/>
      <c r="D112" s="8"/>
      <c r="E112" s="8"/>
      <c r="F112" s="6"/>
      <c r="G112" s="17"/>
      <c r="H112" s="8"/>
      <c r="I112" s="8"/>
      <c r="J112" s="11"/>
    </row>
    <row r="113" spans="1:10" ht="30" customHeight="1" x14ac:dyDescent="0.25">
      <c r="A113" s="17" t="s">
        <v>48</v>
      </c>
      <c r="B113" s="19"/>
      <c r="C113" s="8"/>
      <c r="D113" s="8"/>
      <c r="E113" s="8"/>
      <c r="F113" s="6"/>
      <c r="G113" s="17"/>
      <c r="H113" s="8"/>
      <c r="I113" s="8"/>
      <c r="J113" s="11"/>
    </row>
    <row r="114" spans="1:10" ht="30" customHeight="1" x14ac:dyDescent="0.25">
      <c r="A114" s="17" t="s">
        <v>49</v>
      </c>
      <c r="B114" s="19"/>
      <c r="C114" s="8"/>
      <c r="D114" s="8"/>
      <c r="E114" s="8"/>
      <c r="F114" s="6"/>
      <c r="G114" s="17"/>
      <c r="H114" s="8"/>
      <c r="I114" s="8"/>
      <c r="J114" s="11"/>
    </row>
    <row r="115" spans="1:10" ht="30" customHeight="1" x14ac:dyDescent="0.25">
      <c r="A115" s="17" t="s">
        <v>50</v>
      </c>
      <c r="B115" s="19"/>
      <c r="C115" s="4"/>
      <c r="D115" s="4"/>
      <c r="E115" s="4"/>
      <c r="F115" s="4"/>
      <c r="G115" s="17"/>
      <c r="H115" s="4"/>
      <c r="I115" s="4"/>
      <c r="J115" s="4"/>
    </row>
    <row r="116" spans="1:10" ht="30" customHeight="1" x14ac:dyDescent="0.25">
      <c r="A116" s="17" t="s">
        <v>51</v>
      </c>
      <c r="B116" s="19"/>
      <c r="C116" s="4"/>
      <c r="D116" s="4"/>
      <c r="E116" s="4"/>
      <c r="F116" s="4"/>
      <c r="G116" s="17"/>
      <c r="H116" s="4"/>
      <c r="I116" s="4"/>
      <c r="J116" s="4"/>
    </row>
    <row r="117" spans="1:10" ht="30" customHeight="1" x14ac:dyDescent="0.25">
      <c r="A117" s="17" t="s">
        <v>52</v>
      </c>
      <c r="B117" s="19"/>
      <c r="C117" s="20"/>
      <c r="D117" s="20"/>
      <c r="E117" s="20"/>
      <c r="F117" s="20"/>
      <c r="G117" s="17"/>
      <c r="H117" s="20"/>
      <c r="I117" s="20"/>
      <c r="J117" s="20"/>
    </row>
    <row r="118" spans="1:10" ht="36" customHeight="1" x14ac:dyDescent="0.25">
      <c r="A118" s="5" t="s">
        <v>61</v>
      </c>
      <c r="B118" s="172" t="s">
        <v>62</v>
      </c>
      <c r="C118" s="172"/>
      <c r="D118" s="172"/>
      <c r="E118" s="172"/>
      <c r="F118" s="172"/>
      <c r="G118" s="172"/>
      <c r="H118" s="172"/>
      <c r="I118" s="172"/>
      <c r="J118" s="172"/>
    </row>
    <row r="119" spans="1:10" ht="30" customHeight="1" x14ac:dyDescent="0.25">
      <c r="A119" s="17" t="s">
        <v>29</v>
      </c>
      <c r="B119" s="6"/>
      <c r="C119" s="6"/>
      <c r="D119" s="6"/>
      <c r="E119" s="6"/>
      <c r="F119" s="6"/>
      <c r="G119" s="6"/>
      <c r="H119" s="6"/>
      <c r="I119" s="6"/>
      <c r="J119" s="6"/>
    </row>
    <row r="120" spans="1:10" ht="30" customHeight="1" x14ac:dyDescent="0.25">
      <c r="A120" s="17" t="s">
        <v>34</v>
      </c>
      <c r="B120" s="17"/>
      <c r="C120" s="6"/>
      <c r="D120" s="6"/>
      <c r="E120" s="6"/>
      <c r="F120" s="6"/>
      <c r="G120" s="17"/>
      <c r="H120" s="6"/>
      <c r="J120" s="6"/>
    </row>
    <row r="121" spans="1:10" ht="30" customHeight="1" x14ac:dyDescent="0.25">
      <c r="A121" s="17" t="s">
        <v>35</v>
      </c>
      <c r="B121" s="17"/>
      <c r="C121" s="6"/>
      <c r="D121" s="6"/>
      <c r="E121" s="6"/>
      <c r="F121" s="6"/>
      <c r="G121" s="17"/>
      <c r="H121" s="6"/>
      <c r="I121" s="6"/>
      <c r="J121" s="6"/>
    </row>
    <row r="122" spans="1:10" ht="30" customHeight="1" x14ac:dyDescent="0.25">
      <c r="A122" s="17" t="s">
        <v>36</v>
      </c>
      <c r="B122" s="17"/>
      <c r="C122" s="6"/>
      <c r="D122" s="6"/>
      <c r="E122" s="6"/>
      <c r="F122" s="6"/>
      <c r="G122" s="17"/>
      <c r="H122" s="6"/>
      <c r="I122" s="6"/>
      <c r="J122" s="6"/>
    </row>
    <row r="123" spans="1:10" ht="30" customHeight="1" x14ac:dyDescent="0.25">
      <c r="A123" s="17" t="s">
        <v>37</v>
      </c>
      <c r="B123" s="17"/>
      <c r="C123" s="6"/>
      <c r="D123" s="6"/>
      <c r="E123" s="6"/>
      <c r="F123" s="6"/>
      <c r="G123" s="17"/>
      <c r="H123" s="6"/>
      <c r="I123" s="6"/>
      <c r="J123" s="6"/>
    </row>
    <row r="124" spans="1:10" ht="30" customHeight="1" x14ac:dyDescent="0.25">
      <c r="A124" s="17" t="s">
        <v>38</v>
      </c>
      <c r="B124" s="17"/>
      <c r="C124" s="6"/>
      <c r="D124" s="6"/>
      <c r="E124" s="6"/>
      <c r="F124" s="6"/>
      <c r="G124" s="17"/>
      <c r="H124" s="6"/>
      <c r="I124" s="6"/>
      <c r="J124" s="6"/>
    </row>
    <row r="125" spans="1:10" ht="30" customHeight="1" x14ac:dyDescent="0.25">
      <c r="A125" s="17" t="s">
        <v>39</v>
      </c>
      <c r="B125" s="17"/>
      <c r="C125" s="6"/>
      <c r="D125" s="6"/>
      <c r="E125" s="6"/>
      <c r="F125" s="6"/>
      <c r="G125" s="17"/>
      <c r="H125" s="6"/>
      <c r="I125" s="6"/>
      <c r="J125" s="6"/>
    </row>
    <row r="126" spans="1:10" ht="30" customHeight="1" x14ac:dyDescent="0.25">
      <c r="A126" s="17" t="s">
        <v>40</v>
      </c>
      <c r="B126" s="17"/>
      <c r="C126" s="6"/>
      <c r="D126" s="6"/>
      <c r="E126" s="6"/>
      <c r="F126" s="6"/>
      <c r="G126" s="17"/>
      <c r="H126" s="6"/>
      <c r="I126" s="6"/>
      <c r="J126" s="6"/>
    </row>
    <row r="127" spans="1:10" ht="30" customHeight="1" x14ac:dyDescent="0.25">
      <c r="A127" s="17" t="s">
        <v>41</v>
      </c>
      <c r="B127" s="17"/>
      <c r="C127" s="6"/>
      <c r="D127" s="6"/>
      <c r="E127" s="6"/>
      <c r="F127" s="6"/>
      <c r="G127" s="17"/>
      <c r="H127" s="6"/>
      <c r="I127" s="6"/>
      <c r="J127" s="6"/>
    </row>
    <row r="128" spans="1:10" ht="30" customHeight="1" x14ac:dyDescent="0.25">
      <c r="A128" s="17" t="s">
        <v>42</v>
      </c>
      <c r="B128" s="17"/>
      <c r="C128" s="6"/>
      <c r="D128" s="6"/>
      <c r="E128" s="6"/>
      <c r="F128" s="6"/>
      <c r="G128" s="17"/>
      <c r="H128" s="6"/>
      <c r="I128" s="6"/>
      <c r="J128" s="6"/>
    </row>
    <row r="129" spans="1:10" ht="30" customHeight="1" x14ac:dyDescent="0.25">
      <c r="A129" s="17" t="s">
        <v>43</v>
      </c>
      <c r="B129" s="17"/>
      <c r="C129" s="6"/>
      <c r="D129" s="6"/>
      <c r="E129" s="6"/>
      <c r="F129" s="6"/>
      <c r="G129" s="17"/>
      <c r="H129" s="6"/>
      <c r="I129" s="6"/>
      <c r="J129" s="6"/>
    </row>
    <row r="130" spans="1:10" ht="30" customHeight="1" x14ac:dyDescent="0.25">
      <c r="A130" s="17" t="s">
        <v>44</v>
      </c>
      <c r="B130" s="17"/>
      <c r="C130" s="6"/>
      <c r="D130" s="6"/>
      <c r="E130" s="6"/>
      <c r="F130" s="6"/>
      <c r="G130" s="17"/>
      <c r="H130" s="6"/>
      <c r="I130" s="6"/>
      <c r="J130" s="6"/>
    </row>
    <row r="131" spans="1:10" ht="30" customHeight="1" x14ac:dyDescent="0.25">
      <c r="A131" s="17" t="s">
        <v>45</v>
      </c>
      <c r="B131" s="17"/>
      <c r="C131" s="6"/>
      <c r="D131" s="6"/>
      <c r="E131" s="6"/>
      <c r="F131" s="6"/>
      <c r="G131" s="17"/>
      <c r="H131" s="6"/>
      <c r="I131" s="6"/>
      <c r="J131" s="6"/>
    </row>
    <row r="132" spans="1:10" ht="30" customHeight="1" x14ac:dyDescent="0.25">
      <c r="A132" s="17" t="s">
        <v>46</v>
      </c>
      <c r="B132" s="17"/>
      <c r="C132" s="6"/>
      <c r="D132" s="6"/>
      <c r="E132" s="6"/>
      <c r="F132" s="6"/>
      <c r="G132" s="17"/>
      <c r="H132" s="6"/>
      <c r="I132" s="6"/>
      <c r="J132" s="6"/>
    </row>
    <row r="133" spans="1:10" ht="30" customHeight="1" x14ac:dyDescent="0.25">
      <c r="A133" s="17" t="s">
        <v>47</v>
      </c>
      <c r="B133" s="17"/>
      <c r="C133" s="6"/>
      <c r="D133" s="6"/>
      <c r="E133" s="6"/>
      <c r="F133" s="6"/>
      <c r="G133" s="17"/>
      <c r="H133" s="6"/>
      <c r="I133" s="6"/>
      <c r="J133" s="6"/>
    </row>
    <row r="134" spans="1:10" ht="30" customHeight="1" x14ac:dyDescent="0.25">
      <c r="A134" s="17" t="s">
        <v>48</v>
      </c>
      <c r="B134" s="17"/>
      <c r="C134" s="6"/>
      <c r="D134" s="6"/>
      <c r="E134" s="6"/>
      <c r="F134" s="6"/>
      <c r="G134" s="17"/>
      <c r="H134" s="6"/>
      <c r="I134" s="6"/>
      <c r="J134" s="6"/>
    </row>
    <row r="135" spans="1:10" ht="30" customHeight="1" x14ac:dyDescent="0.25">
      <c r="A135" s="17" t="s">
        <v>49</v>
      </c>
      <c r="B135" s="17"/>
      <c r="C135" s="6"/>
      <c r="D135" s="6"/>
      <c r="E135" s="6"/>
      <c r="F135" s="6"/>
      <c r="G135" s="17"/>
      <c r="H135" s="6"/>
      <c r="I135" s="6"/>
      <c r="J135" s="6"/>
    </row>
    <row r="136" spans="1:10" ht="30" customHeight="1" x14ac:dyDescent="0.25">
      <c r="A136" s="17" t="s">
        <v>50</v>
      </c>
      <c r="B136" s="17"/>
      <c r="C136" s="6"/>
      <c r="D136" s="6"/>
      <c r="E136" s="6"/>
      <c r="F136" s="6"/>
      <c r="G136" s="17"/>
      <c r="H136" s="6"/>
      <c r="I136" s="6"/>
      <c r="J136" s="6"/>
    </row>
    <row r="137" spans="1:10" ht="30" customHeight="1" x14ac:dyDescent="0.25">
      <c r="A137" s="17" t="s">
        <v>51</v>
      </c>
      <c r="B137" s="17"/>
      <c r="C137" s="6"/>
      <c r="D137" s="6"/>
      <c r="E137" s="6"/>
      <c r="F137" s="6"/>
      <c r="G137" s="17"/>
      <c r="H137" s="6"/>
      <c r="I137" s="6"/>
      <c r="J137" s="6"/>
    </row>
    <row r="138" spans="1:10" ht="30" customHeight="1" x14ac:dyDescent="0.25">
      <c r="A138" s="17" t="s">
        <v>52</v>
      </c>
      <c r="B138" s="17"/>
      <c r="C138" s="8"/>
      <c r="D138" s="8"/>
      <c r="E138" s="8"/>
      <c r="F138" s="6"/>
      <c r="G138" s="17"/>
      <c r="H138" s="6"/>
      <c r="I138" s="6"/>
      <c r="J138" s="11"/>
    </row>
    <row r="139" spans="1:10" ht="33" customHeight="1" x14ac:dyDescent="0.25">
      <c r="A139" s="3" t="s">
        <v>63</v>
      </c>
      <c r="B139" s="172" t="s">
        <v>64</v>
      </c>
      <c r="C139" s="172"/>
      <c r="D139" s="172"/>
      <c r="E139" s="172"/>
      <c r="F139" s="172"/>
      <c r="G139" s="172"/>
      <c r="H139" s="172"/>
      <c r="I139" s="172"/>
      <c r="J139" s="172"/>
    </row>
    <row r="140" spans="1:10" ht="35.25" customHeight="1" x14ac:dyDescent="0.25">
      <c r="A140" s="3" t="s">
        <v>65</v>
      </c>
      <c r="B140" s="172" t="s">
        <v>66</v>
      </c>
      <c r="C140" s="172"/>
      <c r="D140" s="172"/>
      <c r="E140" s="172"/>
      <c r="F140" s="172"/>
      <c r="G140" s="172"/>
      <c r="H140" s="172"/>
      <c r="I140" s="172"/>
      <c r="J140" s="172"/>
    </row>
    <row r="141" spans="1:10" ht="15.75" customHeight="1" x14ac:dyDescent="0.25">
      <c r="A141" s="8">
        <v>1</v>
      </c>
      <c r="B141" s="7"/>
      <c r="C141" s="8"/>
      <c r="D141" s="8"/>
      <c r="E141" s="8"/>
      <c r="F141" s="8"/>
      <c r="G141" s="8"/>
      <c r="H141" s="10"/>
      <c r="I141" s="8"/>
      <c r="J141" s="21"/>
    </row>
    <row r="142" spans="1:10" ht="15.75" customHeight="1" x14ac:dyDescent="0.25">
      <c r="A142" s="8">
        <v>2</v>
      </c>
      <c r="B142" s="22"/>
      <c r="C142" s="8"/>
      <c r="D142" s="8"/>
      <c r="E142" s="6"/>
      <c r="F142" s="6"/>
      <c r="G142" s="9"/>
      <c r="H142" s="8"/>
      <c r="I142" s="8"/>
      <c r="J142" s="11"/>
    </row>
    <row r="143" spans="1:10" ht="15.75" customHeight="1" x14ac:dyDescent="0.25">
      <c r="A143" s="23"/>
      <c r="B143" s="24"/>
      <c r="C143" s="24"/>
      <c r="D143" s="24"/>
      <c r="E143" s="24"/>
      <c r="F143" s="24"/>
      <c r="G143" s="24"/>
      <c r="H143" s="25"/>
      <c r="I143" s="25"/>
      <c r="J143" s="25"/>
    </row>
    <row r="144" spans="1:10" ht="15.75" customHeight="1" x14ac:dyDescent="0.25">
      <c r="A144" s="26"/>
      <c r="B144" s="26"/>
      <c r="C144" s="26"/>
      <c r="D144" s="26"/>
      <c r="E144" s="173" t="s">
        <v>67</v>
      </c>
      <c r="F144" s="173"/>
      <c r="G144" s="173"/>
      <c r="H144" s="173"/>
      <c r="I144" s="173"/>
      <c r="J144" s="173"/>
    </row>
    <row r="145" spans="1:10" ht="15.75" customHeight="1" x14ac:dyDescent="0.25">
      <c r="A145" s="168" t="s">
        <v>68</v>
      </c>
      <c r="B145" s="168"/>
      <c r="C145" s="168"/>
      <c r="D145" s="168"/>
      <c r="E145" s="174" t="s">
        <v>69</v>
      </c>
      <c r="F145" s="174"/>
      <c r="G145" s="174"/>
      <c r="H145" s="174"/>
      <c r="I145" s="174"/>
      <c r="J145" s="174"/>
    </row>
    <row r="146" spans="1:10" ht="20.25" customHeight="1" x14ac:dyDescent="0.25">
      <c r="A146" s="175" t="s">
        <v>70</v>
      </c>
      <c r="B146" s="175"/>
      <c r="C146" s="175"/>
      <c r="D146" s="175"/>
      <c r="E146" s="176" t="s">
        <v>70</v>
      </c>
      <c r="F146" s="176"/>
      <c r="G146" s="176"/>
      <c r="H146" s="176"/>
      <c r="I146" s="176"/>
      <c r="J146" s="176"/>
    </row>
    <row r="147" spans="1:10" ht="15.75" customHeight="1" x14ac:dyDescent="0.25">
      <c r="A147" s="168"/>
      <c r="B147" s="168"/>
      <c r="C147" s="168"/>
      <c r="D147" s="168"/>
      <c r="E147" s="169"/>
      <c r="F147" s="169"/>
      <c r="G147" s="169"/>
      <c r="H147" s="169"/>
      <c r="I147" s="169"/>
      <c r="J147" s="169"/>
    </row>
    <row r="148" spans="1:10" ht="29.25" customHeight="1" x14ac:dyDescent="0.25">
      <c r="A148" s="170"/>
      <c r="B148" s="170"/>
      <c r="C148" s="170"/>
      <c r="D148" s="170"/>
      <c r="E148" s="170"/>
      <c r="F148" s="170"/>
      <c r="G148" s="170"/>
      <c r="H148" s="170"/>
      <c r="I148" s="170"/>
      <c r="J148" s="170"/>
    </row>
    <row r="149" spans="1:10" ht="15.75" customHeight="1" x14ac:dyDescent="0.25">
      <c r="A149" s="23"/>
      <c r="B149" s="24"/>
      <c r="C149" s="24"/>
      <c r="D149" s="24"/>
      <c r="E149" s="24"/>
      <c r="F149" s="24"/>
      <c r="G149" s="24"/>
      <c r="H149" s="25"/>
      <c r="I149" s="25"/>
      <c r="J149" s="25"/>
    </row>
    <row r="150" spans="1:10" ht="96" customHeight="1" x14ac:dyDescent="0.25">
      <c r="A150" s="171" t="s">
        <v>71</v>
      </c>
      <c r="B150" s="171"/>
      <c r="C150" s="171"/>
      <c r="D150" s="171"/>
      <c r="E150" s="171"/>
      <c r="F150" s="171"/>
      <c r="G150" s="171"/>
      <c r="H150" s="171"/>
      <c r="I150" s="171"/>
      <c r="J150" s="26"/>
    </row>
    <row r="151" spans="1:10" ht="15.75" customHeight="1" x14ac:dyDescent="0.25">
      <c r="A151" s="26"/>
      <c r="B151" s="26"/>
      <c r="C151" s="26"/>
      <c r="D151" s="26"/>
      <c r="E151" s="26"/>
      <c r="F151" s="26"/>
      <c r="G151" s="26"/>
      <c r="H151" s="26"/>
      <c r="I151" s="26"/>
      <c r="J151" s="26"/>
    </row>
    <row r="152" spans="1:10" ht="15.75" hidden="1" customHeight="1" x14ac:dyDescent="0.25">
      <c r="A152" s="26"/>
      <c r="B152" s="26"/>
      <c r="C152" s="26"/>
      <c r="D152" s="26"/>
      <c r="E152" s="26"/>
      <c r="F152" s="26"/>
      <c r="G152" s="26"/>
      <c r="H152" s="26"/>
      <c r="I152" s="26"/>
      <c r="J152" s="26"/>
    </row>
    <row r="153" spans="1:10" ht="15.75" hidden="1" customHeight="1" x14ac:dyDescent="0.25">
      <c r="A153" s="26"/>
      <c r="B153" s="26"/>
      <c r="C153" s="26"/>
      <c r="D153" s="26"/>
      <c r="E153" s="26"/>
      <c r="F153" s="26"/>
      <c r="G153" s="26"/>
      <c r="H153" s="26"/>
      <c r="I153" s="26"/>
      <c r="J153" s="26"/>
    </row>
    <row r="154" spans="1:10" ht="15.75" customHeight="1" x14ac:dyDescent="0.25">
      <c r="A154" s="26"/>
      <c r="B154" s="26"/>
      <c r="C154" s="26"/>
      <c r="D154" s="26"/>
      <c r="E154" s="26"/>
      <c r="F154" s="26"/>
      <c r="G154" s="26"/>
      <c r="H154" s="26"/>
      <c r="I154" s="26"/>
      <c r="J154" s="26"/>
    </row>
    <row r="155" spans="1:10" ht="15.75" customHeight="1" x14ac:dyDescent="0.25">
      <c r="A155" s="26"/>
      <c r="B155" s="26"/>
      <c r="C155" s="26"/>
      <c r="D155" s="26"/>
      <c r="E155" s="26"/>
      <c r="F155" s="26"/>
      <c r="G155" s="26"/>
      <c r="H155" s="26"/>
      <c r="I155" s="26"/>
      <c r="J155" s="26"/>
    </row>
    <row r="156" spans="1:10" ht="15.75" customHeight="1" x14ac:dyDescent="0.25">
      <c r="A156" s="26"/>
      <c r="B156" s="26"/>
      <c r="C156" s="26"/>
      <c r="D156" s="26"/>
      <c r="E156" s="26"/>
      <c r="F156" s="26"/>
      <c r="G156" s="26"/>
      <c r="H156" s="26"/>
      <c r="I156" s="26"/>
      <c r="J156" s="26"/>
    </row>
    <row r="157" spans="1:10" ht="15.75" customHeight="1" x14ac:dyDescent="0.25">
      <c r="A157" s="26"/>
      <c r="B157" s="26"/>
      <c r="C157" s="26"/>
      <c r="D157" s="26"/>
      <c r="E157" s="26"/>
      <c r="F157" s="26"/>
      <c r="G157" s="26"/>
      <c r="H157" s="26"/>
      <c r="I157" s="26"/>
      <c r="J157" s="26"/>
    </row>
    <row r="158" spans="1:10" ht="15.75" customHeight="1" x14ac:dyDescent="0.25">
      <c r="A158" s="26"/>
      <c r="B158" s="26"/>
      <c r="C158" s="26"/>
      <c r="D158" s="26"/>
      <c r="E158" s="26"/>
      <c r="F158" s="26"/>
      <c r="G158" s="26"/>
      <c r="H158" s="26"/>
      <c r="I158" s="26"/>
      <c r="J158" s="26"/>
    </row>
    <row r="159" spans="1:10" ht="15.75" customHeight="1" x14ac:dyDescent="0.25">
      <c r="A159" s="26"/>
      <c r="B159" s="26"/>
      <c r="C159" s="26"/>
      <c r="D159" s="26"/>
      <c r="E159" s="26"/>
      <c r="F159" s="26"/>
      <c r="G159" s="26"/>
      <c r="H159" s="26"/>
      <c r="I159" s="26"/>
      <c r="J159" s="26"/>
    </row>
    <row r="160" spans="1:10" ht="15.75" customHeight="1" x14ac:dyDescent="0.25">
      <c r="A160" s="26"/>
      <c r="B160" s="26"/>
      <c r="C160" s="26"/>
      <c r="D160" s="26"/>
      <c r="E160" s="26"/>
      <c r="F160" s="26"/>
      <c r="G160" s="26"/>
      <c r="H160" s="26"/>
      <c r="I160" s="26"/>
      <c r="J160" s="26"/>
    </row>
    <row r="161" spans="1:10" ht="15.75" customHeight="1" x14ac:dyDescent="0.25">
      <c r="A161" s="26"/>
      <c r="B161" s="26"/>
      <c r="C161" s="26"/>
      <c r="D161" s="26"/>
      <c r="E161" s="26"/>
      <c r="F161" s="26"/>
      <c r="G161" s="26"/>
      <c r="H161" s="26"/>
      <c r="I161" s="26"/>
      <c r="J161" s="26"/>
    </row>
    <row r="162" spans="1:10" ht="15.75" customHeight="1" x14ac:dyDescent="0.25">
      <c r="A162" s="26"/>
      <c r="B162" s="26"/>
      <c r="C162" s="26"/>
      <c r="D162" s="26"/>
      <c r="E162" s="26"/>
      <c r="F162" s="26"/>
      <c r="G162" s="26"/>
      <c r="H162" s="26"/>
      <c r="I162" s="26"/>
      <c r="J162" s="26"/>
    </row>
    <row r="163" spans="1:10" ht="15.75" customHeight="1" x14ac:dyDescent="0.25">
      <c r="A163" s="26"/>
      <c r="B163" s="26"/>
      <c r="C163" s="26"/>
      <c r="D163" s="26"/>
      <c r="E163" s="26"/>
      <c r="F163" s="26"/>
      <c r="G163" s="26"/>
      <c r="H163" s="26"/>
      <c r="I163" s="26"/>
      <c r="J163" s="26"/>
    </row>
    <row r="164" spans="1:10" ht="15.75" customHeight="1" x14ac:dyDescent="0.25">
      <c r="A164" s="26"/>
      <c r="B164" s="26"/>
      <c r="C164" s="26"/>
      <c r="D164" s="26"/>
      <c r="E164" s="26"/>
      <c r="F164" s="26"/>
      <c r="G164" s="26"/>
      <c r="H164" s="26"/>
      <c r="I164" s="26"/>
      <c r="J164" s="26"/>
    </row>
    <row r="165" spans="1:10" ht="15.75" customHeight="1" x14ac:dyDescent="0.25">
      <c r="A165" s="26"/>
      <c r="B165" s="26"/>
      <c r="C165" s="26"/>
      <c r="D165" s="26"/>
      <c r="E165" s="26"/>
      <c r="F165" s="26"/>
      <c r="G165" s="26"/>
      <c r="H165" s="26"/>
      <c r="I165" s="26"/>
      <c r="J165" s="26"/>
    </row>
    <row r="166" spans="1:10" ht="15.75" customHeight="1" x14ac:dyDescent="0.25">
      <c r="A166" s="26"/>
      <c r="B166" s="26"/>
      <c r="C166" s="26"/>
      <c r="D166" s="26"/>
      <c r="E166" s="26"/>
      <c r="F166" s="26"/>
      <c r="G166" s="26"/>
      <c r="H166" s="26"/>
      <c r="I166" s="26"/>
      <c r="J166" s="26"/>
    </row>
    <row r="167" spans="1:10" ht="15.75" customHeight="1" x14ac:dyDescent="0.25">
      <c r="A167" s="26"/>
      <c r="B167" s="26"/>
      <c r="C167" s="26"/>
      <c r="D167" s="26"/>
      <c r="E167" s="26"/>
      <c r="F167" s="26"/>
      <c r="G167" s="26"/>
      <c r="H167" s="26"/>
      <c r="I167" s="26"/>
      <c r="J167" s="26"/>
    </row>
    <row r="168" spans="1:10" ht="15.75" customHeight="1" x14ac:dyDescent="0.25">
      <c r="A168" s="26"/>
      <c r="B168" s="26"/>
      <c r="C168" s="26"/>
      <c r="D168" s="26"/>
      <c r="E168" s="26"/>
      <c r="F168" s="26"/>
      <c r="G168" s="26"/>
      <c r="H168" s="26"/>
      <c r="I168" s="26"/>
      <c r="J168" s="26"/>
    </row>
    <row r="169" spans="1:10" ht="15.75" customHeight="1" x14ac:dyDescent="0.25">
      <c r="A169" s="26"/>
      <c r="B169" s="26"/>
      <c r="C169" s="26"/>
      <c r="D169" s="26"/>
      <c r="E169" s="26"/>
      <c r="F169" s="26"/>
      <c r="G169" s="26"/>
      <c r="H169" s="26"/>
      <c r="I169" s="26"/>
      <c r="J169" s="26"/>
    </row>
    <row r="170" spans="1:10" ht="15.75" customHeight="1" x14ac:dyDescent="0.25">
      <c r="A170" s="26"/>
      <c r="B170" s="26"/>
      <c r="C170" s="26"/>
      <c r="D170" s="26"/>
      <c r="E170" s="26"/>
      <c r="F170" s="26"/>
      <c r="G170" s="26"/>
      <c r="H170" s="26"/>
      <c r="I170" s="26"/>
      <c r="J170" s="26"/>
    </row>
    <row r="171" spans="1:10" ht="15.75" customHeight="1" x14ac:dyDescent="0.25">
      <c r="A171" s="26"/>
      <c r="B171" s="26"/>
      <c r="C171" s="26"/>
      <c r="D171" s="26"/>
      <c r="E171" s="26"/>
      <c r="F171" s="26"/>
      <c r="G171" s="26"/>
      <c r="H171" s="26"/>
      <c r="I171" s="26"/>
      <c r="J171" s="26"/>
    </row>
    <row r="172" spans="1:10" ht="15.75" customHeight="1" x14ac:dyDescent="0.25">
      <c r="A172" s="26"/>
      <c r="B172" s="26"/>
      <c r="C172" s="26"/>
      <c r="D172" s="26"/>
      <c r="E172" s="26"/>
      <c r="F172" s="26"/>
      <c r="G172" s="26"/>
      <c r="H172" s="26"/>
      <c r="I172" s="26"/>
      <c r="J172" s="26"/>
    </row>
    <row r="173" spans="1:10" ht="15.75" customHeight="1" x14ac:dyDescent="0.25">
      <c r="A173" s="26"/>
      <c r="B173" s="26"/>
      <c r="C173" s="26"/>
      <c r="D173" s="26"/>
      <c r="E173" s="26"/>
      <c r="F173" s="26"/>
      <c r="G173" s="26"/>
      <c r="H173" s="26"/>
      <c r="I173" s="26"/>
      <c r="J173" s="26"/>
    </row>
    <row r="174" spans="1:10" ht="15.75" customHeight="1" x14ac:dyDescent="0.25">
      <c r="A174" s="26"/>
      <c r="B174" s="26"/>
      <c r="C174" s="26"/>
      <c r="D174" s="26"/>
      <c r="E174" s="26"/>
      <c r="F174" s="26"/>
      <c r="G174" s="26"/>
      <c r="H174" s="26"/>
      <c r="I174" s="26"/>
      <c r="J174" s="26"/>
    </row>
    <row r="175" spans="1:10" ht="15.75" customHeight="1" x14ac:dyDescent="0.25">
      <c r="A175" s="26"/>
      <c r="B175" s="26"/>
      <c r="C175" s="26"/>
      <c r="D175" s="26"/>
      <c r="E175" s="26"/>
      <c r="F175" s="26"/>
      <c r="G175" s="26"/>
      <c r="H175" s="26"/>
      <c r="I175" s="26"/>
      <c r="J175" s="26"/>
    </row>
    <row r="176" spans="1:10" ht="15.75" customHeight="1" x14ac:dyDescent="0.25">
      <c r="A176" s="26"/>
      <c r="B176" s="26"/>
      <c r="C176" s="26"/>
      <c r="D176" s="26"/>
      <c r="E176" s="26"/>
      <c r="F176" s="26"/>
      <c r="G176" s="26"/>
      <c r="H176" s="26"/>
      <c r="I176" s="26"/>
      <c r="J176" s="26"/>
    </row>
    <row r="177" spans="1:10" ht="15.75" customHeight="1" x14ac:dyDescent="0.25">
      <c r="A177" s="26"/>
      <c r="B177" s="26"/>
      <c r="C177" s="26"/>
      <c r="D177" s="26"/>
      <c r="E177" s="26"/>
      <c r="F177" s="26"/>
      <c r="G177" s="26"/>
      <c r="H177" s="26"/>
      <c r="I177" s="26"/>
      <c r="J177" s="26"/>
    </row>
    <row r="178" spans="1:10" ht="15.75" customHeight="1" x14ac:dyDescent="0.25">
      <c r="A178" s="26"/>
      <c r="B178" s="26"/>
      <c r="C178" s="26"/>
      <c r="D178" s="26"/>
      <c r="E178" s="26"/>
      <c r="F178" s="26"/>
      <c r="G178" s="26"/>
      <c r="H178" s="26"/>
      <c r="I178" s="26"/>
      <c r="J178" s="26"/>
    </row>
    <row r="179" spans="1:10" ht="15.75" customHeight="1" x14ac:dyDescent="0.25">
      <c r="A179" s="26"/>
      <c r="B179" s="26"/>
      <c r="C179" s="26"/>
      <c r="D179" s="26"/>
      <c r="E179" s="26"/>
      <c r="F179" s="26"/>
      <c r="G179" s="26"/>
      <c r="H179" s="26"/>
      <c r="I179" s="26"/>
      <c r="J179" s="26"/>
    </row>
  </sheetData>
  <mergeCells count="26">
    <mergeCell ref="A1:J1"/>
    <mergeCell ref="A2:J2"/>
    <mergeCell ref="B4:J4"/>
    <mergeCell ref="B5:J5"/>
    <mergeCell ref="B6:J6"/>
    <mergeCell ref="B7:J7"/>
    <mergeCell ref="B8:J8"/>
    <mergeCell ref="B12:J12"/>
    <mergeCell ref="B13:J13"/>
    <mergeCell ref="B34:J34"/>
    <mergeCell ref="B55:J55"/>
    <mergeCell ref="B76:J76"/>
    <mergeCell ref="B97:J97"/>
    <mergeCell ref="B118:J118"/>
    <mergeCell ref="B139:J139"/>
    <mergeCell ref="B140:J140"/>
    <mergeCell ref="E144:J144"/>
    <mergeCell ref="A145:D145"/>
    <mergeCell ref="E145:J145"/>
    <mergeCell ref="A146:D146"/>
    <mergeCell ref="E146:J146"/>
    <mergeCell ref="A147:D147"/>
    <mergeCell ref="E147:J147"/>
    <mergeCell ref="A148:D148"/>
    <mergeCell ref="E148:J148"/>
    <mergeCell ref="A150:I150"/>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78"/>
  <sheetViews>
    <sheetView zoomScaleNormal="100" workbookViewId="0">
      <selection activeCell="Q52" sqref="Q52"/>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4" width="30" customWidth="1"/>
  </cols>
  <sheetData>
    <row r="1" spans="1:18" ht="15.75" customHeight="1" x14ac:dyDescent="0.25">
      <c r="A1" s="184" t="s">
        <v>72</v>
      </c>
      <c r="B1" s="184"/>
      <c r="C1" s="184"/>
      <c r="D1" s="184"/>
      <c r="E1" s="184"/>
      <c r="F1" s="184"/>
      <c r="G1" s="184"/>
      <c r="H1" s="184"/>
      <c r="I1" s="184"/>
      <c r="J1" s="184"/>
      <c r="K1" s="184"/>
      <c r="L1" s="184"/>
      <c r="M1" s="184"/>
      <c r="N1" s="184"/>
      <c r="O1" s="184"/>
      <c r="P1" s="184"/>
      <c r="Q1" s="184"/>
      <c r="R1" s="184"/>
    </row>
    <row r="2" spans="1:18" ht="29.25" customHeight="1" x14ac:dyDescent="0.25">
      <c r="A2" s="185" t="s">
        <v>73</v>
      </c>
      <c r="B2" s="185"/>
      <c r="C2" s="185"/>
      <c r="D2" s="185"/>
      <c r="E2" s="185"/>
      <c r="F2" s="185"/>
      <c r="G2" s="185"/>
      <c r="H2" s="185"/>
      <c r="I2" s="185"/>
      <c r="J2" s="185"/>
      <c r="K2" s="185"/>
      <c r="L2" s="185"/>
      <c r="M2" s="185"/>
      <c r="N2" s="185"/>
      <c r="O2" s="185"/>
      <c r="P2" s="185"/>
      <c r="Q2" s="185"/>
      <c r="R2" s="185"/>
    </row>
    <row r="3" spans="1:18" ht="15.75" customHeight="1" x14ac:dyDescent="0.25">
      <c r="A3" s="186" t="s">
        <v>5</v>
      </c>
      <c r="B3" s="186" t="s">
        <v>74</v>
      </c>
      <c r="C3" s="186"/>
      <c r="D3" s="186"/>
      <c r="E3" s="186"/>
      <c r="F3" s="186"/>
      <c r="G3" s="186"/>
      <c r="H3" s="186"/>
      <c r="I3" s="186"/>
      <c r="J3" s="186"/>
      <c r="K3" s="186" t="s">
        <v>75</v>
      </c>
      <c r="L3" s="186"/>
      <c r="M3" s="186"/>
      <c r="N3" s="186"/>
      <c r="O3" s="186"/>
      <c r="P3" s="186"/>
      <c r="Q3" s="186"/>
      <c r="R3" s="186" t="s">
        <v>14</v>
      </c>
    </row>
    <row r="4" spans="1:18" ht="15.75" customHeight="1" x14ac:dyDescent="0.25">
      <c r="A4" s="186"/>
      <c r="B4" s="186" t="s">
        <v>76</v>
      </c>
      <c r="C4" s="186" t="s">
        <v>77</v>
      </c>
      <c r="D4" s="186" t="s">
        <v>78</v>
      </c>
      <c r="E4" s="186" t="s">
        <v>79</v>
      </c>
      <c r="F4" s="186" t="s">
        <v>80</v>
      </c>
      <c r="G4" s="186" t="s">
        <v>10</v>
      </c>
      <c r="H4" s="186" t="s">
        <v>11</v>
      </c>
      <c r="I4" s="186" t="s">
        <v>13</v>
      </c>
      <c r="J4" s="186" t="s">
        <v>81</v>
      </c>
      <c r="K4" s="186" t="s">
        <v>9</v>
      </c>
      <c r="L4" s="182" t="s">
        <v>82</v>
      </c>
      <c r="M4" s="182"/>
      <c r="N4" s="182" t="s">
        <v>83</v>
      </c>
      <c r="O4" s="182"/>
      <c r="P4" s="182" t="s">
        <v>84</v>
      </c>
      <c r="Q4" s="182"/>
      <c r="R4" s="186"/>
    </row>
    <row r="5" spans="1:18" ht="66" customHeight="1" x14ac:dyDescent="0.25">
      <c r="A5" s="186"/>
      <c r="B5" s="186"/>
      <c r="C5" s="186"/>
      <c r="D5" s="186"/>
      <c r="E5" s="186"/>
      <c r="F5" s="186"/>
      <c r="G5" s="186"/>
      <c r="H5" s="186"/>
      <c r="I5" s="186"/>
      <c r="J5" s="186"/>
      <c r="K5" s="186"/>
      <c r="L5" s="28" t="s">
        <v>85</v>
      </c>
      <c r="M5" s="29" t="s">
        <v>86</v>
      </c>
      <c r="N5" s="28" t="s">
        <v>85</v>
      </c>
      <c r="O5" s="29" t="s">
        <v>86</v>
      </c>
      <c r="P5" s="28" t="s">
        <v>85</v>
      </c>
      <c r="Q5" s="30" t="s">
        <v>86</v>
      </c>
      <c r="R5" s="31"/>
    </row>
    <row r="6" spans="1:18" ht="33.75" customHeight="1" x14ac:dyDescent="0.3">
      <c r="A6" s="32"/>
      <c r="B6" s="32"/>
      <c r="C6" s="33"/>
      <c r="D6" s="34"/>
      <c r="E6" s="33"/>
      <c r="F6" s="34"/>
      <c r="G6" s="34"/>
      <c r="H6" s="34"/>
      <c r="I6" s="34"/>
      <c r="J6" s="35"/>
      <c r="K6" s="36"/>
      <c r="L6" s="37"/>
      <c r="M6" s="38"/>
      <c r="N6" s="183" t="s">
        <v>87</v>
      </c>
      <c r="O6" s="183"/>
      <c r="P6" s="183" t="s">
        <v>87</v>
      </c>
      <c r="Q6" s="183"/>
      <c r="R6" s="39"/>
    </row>
    <row r="7" spans="1:18" ht="49.5" customHeight="1" x14ac:dyDescent="0.3">
      <c r="A7" s="27" t="s">
        <v>25</v>
      </c>
      <c r="B7" s="40" t="s">
        <v>26</v>
      </c>
      <c r="C7" s="33"/>
      <c r="D7" s="34"/>
      <c r="E7" s="33"/>
      <c r="F7" s="34"/>
      <c r="G7" s="34"/>
      <c r="H7" s="34"/>
      <c r="I7" s="34"/>
      <c r="J7" s="34"/>
      <c r="K7" s="41"/>
      <c r="L7" s="41"/>
      <c r="M7" s="41"/>
      <c r="N7" s="41"/>
      <c r="O7" s="41"/>
      <c r="P7" s="41"/>
      <c r="Q7" s="41"/>
      <c r="R7" s="39"/>
    </row>
    <row r="8" spans="1:18" ht="49.5" customHeight="1" x14ac:dyDescent="0.3">
      <c r="A8" s="42" t="s">
        <v>27</v>
      </c>
      <c r="B8" s="43" t="s">
        <v>88</v>
      </c>
      <c r="C8" s="44"/>
      <c r="D8" s="45"/>
      <c r="E8" s="46"/>
      <c r="F8" s="45"/>
      <c r="G8" s="45"/>
      <c r="H8" s="45"/>
      <c r="I8" s="45"/>
      <c r="J8" s="47">
        <f>SUM(J9:J28)</f>
        <v>5</v>
      </c>
      <c r="K8" s="47"/>
      <c r="L8" s="47"/>
      <c r="M8" s="48">
        <f>SUM(M9:M28)</f>
        <v>4</v>
      </c>
      <c r="N8" s="49"/>
      <c r="O8" s="48">
        <f>SUM(O9:O28)</f>
        <v>4</v>
      </c>
      <c r="P8" s="50"/>
      <c r="Q8" s="48">
        <f>SUM(Q9:Q28)</f>
        <v>4</v>
      </c>
      <c r="R8" s="48">
        <f>(M8+O8+Q8)/3</f>
        <v>4</v>
      </c>
    </row>
    <row r="9" spans="1:18" ht="47.25" customHeight="1" x14ac:dyDescent="0.25">
      <c r="A9" s="51" t="s">
        <v>29</v>
      </c>
      <c r="B9" s="52" t="str">
        <f>'Ke Hoach'!B14</f>
        <v>Tổ chức thi và hoàn thiện hồ sơ lớp bồi dưỡng tiếng dân tộc thiểu số Bahnar khoá 1 năm 2026.</v>
      </c>
      <c r="C9" s="53"/>
      <c r="D9" s="53"/>
      <c r="E9" s="53"/>
      <c r="F9" s="53"/>
      <c r="G9" s="6">
        <f>'Ke Hoach'!F14</f>
        <v>5</v>
      </c>
      <c r="H9" s="9">
        <f>'Ke Hoach'!G14</f>
        <v>46266</v>
      </c>
      <c r="I9" s="53">
        <f>'Ke Hoach'!I14</f>
        <v>1</v>
      </c>
      <c r="J9" s="54">
        <f t="shared" ref="J9:J28" si="0">G9*I9</f>
        <v>5</v>
      </c>
      <c r="K9" s="53"/>
      <c r="L9" s="55">
        <v>4</v>
      </c>
      <c r="M9" s="56">
        <f t="shared" ref="M9:M28" si="1">IF(G9=0,0,MIN(L9,G9)*I9)</f>
        <v>4</v>
      </c>
      <c r="N9" s="57">
        <v>100</v>
      </c>
      <c r="O9" s="56">
        <f t="shared" ref="O9:O28" si="2">I9*L9*N9/100</f>
        <v>4</v>
      </c>
      <c r="P9" s="58">
        <v>100</v>
      </c>
      <c r="Q9" s="59">
        <f t="shared" ref="Q9:Q28" si="3">I9*L9*P9/100</f>
        <v>4</v>
      </c>
      <c r="R9" s="60"/>
    </row>
    <row r="10" spans="1:18" ht="31.5" customHeight="1" x14ac:dyDescent="0.25">
      <c r="A10" s="51" t="s">
        <v>34</v>
      </c>
      <c r="B10" s="52">
        <f>'Ke Hoach'!B15</f>
        <v>0</v>
      </c>
      <c r="C10" s="53"/>
      <c r="D10" s="53"/>
      <c r="E10" s="53"/>
      <c r="F10" s="53"/>
      <c r="G10" s="6">
        <f>'Ke Hoach'!F15</f>
        <v>0</v>
      </c>
      <c r="H10" s="9">
        <f>'Ke Hoach'!G15</f>
        <v>0</v>
      </c>
      <c r="I10" s="53">
        <f>'Ke Hoach'!I15</f>
        <v>0</v>
      </c>
      <c r="J10" s="54">
        <f t="shared" si="0"/>
        <v>0</v>
      </c>
      <c r="K10" s="53"/>
      <c r="L10" s="61"/>
      <c r="M10" s="56">
        <f t="shared" si="1"/>
        <v>0</v>
      </c>
      <c r="N10" s="57"/>
      <c r="O10" s="56">
        <f t="shared" si="2"/>
        <v>0</v>
      </c>
      <c r="P10" s="58"/>
      <c r="Q10" s="59">
        <f t="shared" si="3"/>
        <v>0</v>
      </c>
      <c r="R10" s="62"/>
    </row>
    <row r="11" spans="1:18" ht="31.5" customHeight="1" x14ac:dyDescent="0.25">
      <c r="A11" s="51" t="s">
        <v>35</v>
      </c>
      <c r="B11" s="52">
        <f>'Ke Hoach'!B16</f>
        <v>0</v>
      </c>
      <c r="C11" s="53"/>
      <c r="D11" s="53"/>
      <c r="E11" s="53"/>
      <c r="F11" s="53"/>
      <c r="G11" s="6">
        <f>'Ke Hoach'!F16</f>
        <v>0</v>
      </c>
      <c r="H11" s="9">
        <f>'Ke Hoach'!G16</f>
        <v>0</v>
      </c>
      <c r="I11" s="53">
        <f>'Ke Hoach'!I16</f>
        <v>0</v>
      </c>
      <c r="J11" s="54">
        <f t="shared" si="0"/>
        <v>0</v>
      </c>
      <c r="K11" s="53"/>
      <c r="L11" s="61"/>
      <c r="M11" s="56">
        <f t="shared" si="1"/>
        <v>0</v>
      </c>
      <c r="N11" s="63"/>
      <c r="O11" s="56">
        <f t="shared" si="2"/>
        <v>0</v>
      </c>
      <c r="P11" s="58"/>
      <c r="Q11" s="59">
        <f t="shared" si="3"/>
        <v>0</v>
      </c>
      <c r="R11" s="62"/>
    </row>
    <row r="12" spans="1:18" ht="16.5" customHeight="1" x14ac:dyDescent="0.25">
      <c r="A12" s="51" t="s">
        <v>36</v>
      </c>
      <c r="B12" s="52">
        <f>'Ke Hoach'!B17</f>
        <v>0</v>
      </c>
      <c r="C12" s="53"/>
      <c r="D12" s="53"/>
      <c r="E12" s="53"/>
      <c r="F12" s="53"/>
      <c r="G12" s="6">
        <f>'Ke Hoach'!F17</f>
        <v>0</v>
      </c>
      <c r="H12" s="9">
        <f>'Ke Hoach'!G17</f>
        <v>0</v>
      </c>
      <c r="I12" s="53">
        <f>'Ke Hoach'!I17</f>
        <v>0</v>
      </c>
      <c r="J12" s="54">
        <f t="shared" si="0"/>
        <v>0</v>
      </c>
      <c r="K12" s="53"/>
      <c r="L12" s="61"/>
      <c r="M12" s="56">
        <f t="shared" si="1"/>
        <v>0</v>
      </c>
      <c r="N12" s="63"/>
      <c r="O12" s="56">
        <f t="shared" si="2"/>
        <v>0</v>
      </c>
      <c r="P12" s="58"/>
      <c r="Q12" s="59">
        <f t="shared" si="3"/>
        <v>0</v>
      </c>
      <c r="R12" s="62"/>
    </row>
    <row r="13" spans="1:18" ht="16.5" customHeight="1" x14ac:dyDescent="0.25">
      <c r="A13" s="51" t="s">
        <v>37</v>
      </c>
      <c r="B13" s="52">
        <f>'Ke Hoach'!B18</f>
        <v>0</v>
      </c>
      <c r="C13" s="53"/>
      <c r="D13" s="53"/>
      <c r="E13" s="53"/>
      <c r="F13" s="53"/>
      <c r="G13" s="6">
        <f>'Ke Hoach'!F18</f>
        <v>0</v>
      </c>
      <c r="H13" s="9">
        <f>'Ke Hoach'!G18</f>
        <v>0</v>
      </c>
      <c r="I13" s="53">
        <f>'Ke Hoach'!I18</f>
        <v>0</v>
      </c>
      <c r="J13" s="54">
        <f t="shared" si="0"/>
        <v>0</v>
      </c>
      <c r="K13" s="53"/>
      <c r="L13" s="61"/>
      <c r="M13" s="56">
        <f t="shared" si="1"/>
        <v>0</v>
      </c>
      <c r="N13" s="63"/>
      <c r="O13" s="56">
        <f t="shared" si="2"/>
        <v>0</v>
      </c>
      <c r="P13" s="58"/>
      <c r="Q13" s="59">
        <f t="shared" si="3"/>
        <v>0</v>
      </c>
      <c r="R13" s="62"/>
    </row>
    <row r="14" spans="1:18" ht="16.5" customHeight="1" x14ac:dyDescent="0.25">
      <c r="A14" s="51" t="s">
        <v>38</v>
      </c>
      <c r="B14" s="52">
        <f>'Ke Hoach'!B19</f>
        <v>0</v>
      </c>
      <c r="C14" s="53"/>
      <c r="D14" s="53"/>
      <c r="E14" s="53"/>
      <c r="F14" s="53"/>
      <c r="G14" s="6">
        <f>'Ke Hoach'!F19</f>
        <v>0</v>
      </c>
      <c r="H14" s="9">
        <f>'Ke Hoach'!G19</f>
        <v>0</v>
      </c>
      <c r="I14" s="53">
        <f>'Ke Hoach'!I19</f>
        <v>0</v>
      </c>
      <c r="J14" s="54">
        <f t="shared" si="0"/>
        <v>0</v>
      </c>
      <c r="K14" s="53"/>
      <c r="L14" s="61"/>
      <c r="M14" s="56">
        <f t="shared" si="1"/>
        <v>0</v>
      </c>
      <c r="N14" s="63"/>
      <c r="O14" s="56">
        <f t="shared" si="2"/>
        <v>0</v>
      </c>
      <c r="P14" s="58"/>
      <c r="Q14" s="59">
        <f t="shared" si="3"/>
        <v>0</v>
      </c>
      <c r="R14" s="62"/>
    </row>
    <row r="15" spans="1:18" ht="16.5" customHeight="1" x14ac:dyDescent="0.25">
      <c r="A15" s="51" t="s">
        <v>39</v>
      </c>
      <c r="B15" s="52">
        <f>'Ke Hoach'!B20</f>
        <v>0</v>
      </c>
      <c r="C15" s="53"/>
      <c r="D15" s="53"/>
      <c r="E15" s="53"/>
      <c r="F15" s="53"/>
      <c r="G15" s="6">
        <f>'Ke Hoach'!F20</f>
        <v>0</v>
      </c>
      <c r="H15" s="9">
        <f>'Ke Hoach'!G20</f>
        <v>0</v>
      </c>
      <c r="I15" s="53">
        <f>'Ke Hoach'!I20</f>
        <v>0</v>
      </c>
      <c r="J15" s="54">
        <f t="shared" si="0"/>
        <v>0</v>
      </c>
      <c r="K15" s="53"/>
      <c r="L15" s="61"/>
      <c r="M15" s="56">
        <f t="shared" si="1"/>
        <v>0</v>
      </c>
      <c r="N15" s="63"/>
      <c r="O15" s="56">
        <f t="shared" si="2"/>
        <v>0</v>
      </c>
      <c r="P15" s="58"/>
      <c r="Q15" s="59">
        <f t="shared" si="3"/>
        <v>0</v>
      </c>
      <c r="R15" s="62"/>
    </row>
    <row r="16" spans="1:18" ht="16.5" customHeight="1" x14ac:dyDescent="0.25">
      <c r="A16" s="51" t="s">
        <v>40</v>
      </c>
      <c r="B16" s="52">
        <f>'Ke Hoach'!B21</f>
        <v>0</v>
      </c>
      <c r="C16" s="53"/>
      <c r="D16" s="53"/>
      <c r="E16" s="53"/>
      <c r="F16" s="53"/>
      <c r="G16" s="6">
        <f>'Ke Hoach'!F21</f>
        <v>0</v>
      </c>
      <c r="H16" s="9">
        <f>'Ke Hoach'!G21</f>
        <v>0</v>
      </c>
      <c r="I16" s="53">
        <f>'Ke Hoach'!I21</f>
        <v>0</v>
      </c>
      <c r="J16" s="54">
        <f t="shared" si="0"/>
        <v>0</v>
      </c>
      <c r="K16" s="53"/>
      <c r="L16" s="61"/>
      <c r="M16" s="56">
        <f t="shared" si="1"/>
        <v>0</v>
      </c>
      <c r="N16" s="63"/>
      <c r="O16" s="56">
        <f t="shared" si="2"/>
        <v>0</v>
      </c>
      <c r="P16" s="58"/>
      <c r="Q16" s="59">
        <f t="shared" si="3"/>
        <v>0</v>
      </c>
      <c r="R16" s="62"/>
    </row>
    <row r="17" spans="1:18" ht="16.5" customHeight="1" x14ac:dyDescent="0.25">
      <c r="A17" s="51" t="s">
        <v>41</v>
      </c>
      <c r="B17" s="52">
        <f>'Ke Hoach'!B22</f>
        <v>0</v>
      </c>
      <c r="C17" s="53"/>
      <c r="D17" s="64"/>
      <c r="E17" s="60"/>
      <c r="F17" s="53"/>
      <c r="G17" s="6">
        <f>'Ke Hoach'!F22</f>
        <v>0</v>
      </c>
      <c r="H17" s="9">
        <f>'Ke Hoach'!G22</f>
        <v>0</v>
      </c>
      <c r="I17" s="53">
        <f>'Ke Hoach'!I22</f>
        <v>0</v>
      </c>
      <c r="J17" s="54">
        <f t="shared" si="0"/>
        <v>0</v>
      </c>
      <c r="K17" s="53"/>
      <c r="L17" s="61"/>
      <c r="M17" s="56">
        <f t="shared" si="1"/>
        <v>0</v>
      </c>
      <c r="N17" s="58"/>
      <c r="O17" s="56">
        <f t="shared" si="2"/>
        <v>0</v>
      </c>
      <c r="P17" s="58"/>
      <c r="Q17" s="59">
        <f t="shared" si="3"/>
        <v>0</v>
      </c>
      <c r="R17" s="62"/>
    </row>
    <row r="18" spans="1:18" ht="16.5" customHeight="1" x14ac:dyDescent="0.25">
      <c r="A18" s="51" t="s">
        <v>42</v>
      </c>
      <c r="B18" s="52">
        <f>'Ke Hoach'!B23</f>
        <v>0</v>
      </c>
      <c r="C18" s="65"/>
      <c r="D18" s="66"/>
      <c r="E18" s="53"/>
      <c r="F18" s="53"/>
      <c r="G18" s="6">
        <f>'Ke Hoach'!F23</f>
        <v>0</v>
      </c>
      <c r="H18" s="9">
        <f>'Ke Hoach'!G23</f>
        <v>0</v>
      </c>
      <c r="I18" s="53">
        <f>'Ke Hoach'!I23</f>
        <v>0</v>
      </c>
      <c r="J18" s="54">
        <f t="shared" si="0"/>
        <v>0</v>
      </c>
      <c r="K18" s="53"/>
      <c r="L18" s="61"/>
      <c r="M18" s="56">
        <f t="shared" si="1"/>
        <v>0</v>
      </c>
      <c r="N18" s="58"/>
      <c r="O18" s="56">
        <f t="shared" si="2"/>
        <v>0</v>
      </c>
      <c r="P18" s="58"/>
      <c r="Q18" s="59">
        <f t="shared" si="3"/>
        <v>0</v>
      </c>
      <c r="R18" s="62"/>
    </row>
    <row r="19" spans="1:18" ht="16.5" customHeight="1" x14ac:dyDescent="0.25">
      <c r="A19" s="51" t="s">
        <v>43</v>
      </c>
      <c r="B19" s="52">
        <f>'Ke Hoach'!B24</f>
        <v>0</v>
      </c>
      <c r="C19" s="65"/>
      <c r="D19" s="66"/>
      <c r="E19" s="53"/>
      <c r="F19" s="53"/>
      <c r="G19" s="6">
        <f>'Ke Hoach'!F24</f>
        <v>0</v>
      </c>
      <c r="H19" s="9">
        <f>'Ke Hoach'!G24</f>
        <v>0</v>
      </c>
      <c r="I19" s="53">
        <f>'Ke Hoach'!I24</f>
        <v>0</v>
      </c>
      <c r="J19" s="54">
        <f t="shared" si="0"/>
        <v>0</v>
      </c>
      <c r="K19" s="53"/>
      <c r="L19" s="61"/>
      <c r="M19" s="56">
        <f t="shared" si="1"/>
        <v>0</v>
      </c>
      <c r="N19" s="58"/>
      <c r="O19" s="56">
        <f t="shared" si="2"/>
        <v>0</v>
      </c>
      <c r="P19" s="58"/>
      <c r="Q19" s="59">
        <f t="shared" si="3"/>
        <v>0</v>
      </c>
      <c r="R19" s="62"/>
    </row>
    <row r="20" spans="1:18" ht="16.5" customHeight="1" x14ac:dyDescent="0.25">
      <c r="A20" s="51" t="s">
        <v>44</v>
      </c>
      <c r="B20" s="52">
        <f>'Ke Hoach'!B25</f>
        <v>0</v>
      </c>
      <c r="C20" s="65"/>
      <c r="D20" s="66"/>
      <c r="E20" s="53"/>
      <c r="F20" s="53"/>
      <c r="G20" s="6">
        <f>'Ke Hoach'!F25</f>
        <v>0</v>
      </c>
      <c r="H20" s="9">
        <f>'Ke Hoach'!G25</f>
        <v>0</v>
      </c>
      <c r="I20" s="53">
        <f>'Ke Hoach'!I25</f>
        <v>0</v>
      </c>
      <c r="J20" s="54">
        <f t="shared" si="0"/>
        <v>0</v>
      </c>
      <c r="K20" s="53"/>
      <c r="L20" s="61"/>
      <c r="M20" s="56">
        <f t="shared" si="1"/>
        <v>0</v>
      </c>
      <c r="N20" s="58"/>
      <c r="O20" s="56">
        <f t="shared" si="2"/>
        <v>0</v>
      </c>
      <c r="P20" s="58"/>
      <c r="Q20" s="59">
        <f t="shared" si="3"/>
        <v>0</v>
      </c>
      <c r="R20" s="62"/>
    </row>
    <row r="21" spans="1:18" ht="16.5" customHeight="1" x14ac:dyDescent="0.25">
      <c r="A21" s="51" t="s">
        <v>45</v>
      </c>
      <c r="B21" s="52">
        <f>'Ke Hoach'!B26</f>
        <v>0</v>
      </c>
      <c r="C21" s="65"/>
      <c r="D21" s="66"/>
      <c r="E21" s="53"/>
      <c r="F21" s="53"/>
      <c r="G21" s="6">
        <f>'Ke Hoach'!F26</f>
        <v>0</v>
      </c>
      <c r="H21" s="9">
        <f>'Ke Hoach'!G26</f>
        <v>0</v>
      </c>
      <c r="I21" s="53">
        <f>'Ke Hoach'!I26</f>
        <v>0</v>
      </c>
      <c r="J21" s="54">
        <f t="shared" si="0"/>
        <v>0</v>
      </c>
      <c r="K21" s="53"/>
      <c r="L21" s="61"/>
      <c r="M21" s="56">
        <f t="shared" si="1"/>
        <v>0</v>
      </c>
      <c r="N21" s="58"/>
      <c r="O21" s="56">
        <f t="shared" si="2"/>
        <v>0</v>
      </c>
      <c r="P21" s="58"/>
      <c r="Q21" s="59">
        <f t="shared" si="3"/>
        <v>0</v>
      </c>
      <c r="R21" s="62"/>
    </row>
    <row r="22" spans="1:18" ht="16.5" customHeight="1" x14ac:dyDescent="0.25">
      <c r="A22" s="51" t="s">
        <v>46</v>
      </c>
      <c r="B22" s="52">
        <f>'Ke Hoach'!B27</f>
        <v>0</v>
      </c>
      <c r="C22" s="65"/>
      <c r="D22" s="66"/>
      <c r="E22" s="53"/>
      <c r="F22" s="53"/>
      <c r="G22" s="6">
        <f>'Ke Hoach'!F27</f>
        <v>0</v>
      </c>
      <c r="H22" s="9">
        <f>'Ke Hoach'!G27</f>
        <v>0</v>
      </c>
      <c r="I22" s="53">
        <f>'Ke Hoach'!I27</f>
        <v>0</v>
      </c>
      <c r="J22" s="54">
        <f t="shared" si="0"/>
        <v>0</v>
      </c>
      <c r="K22" s="53"/>
      <c r="L22" s="61"/>
      <c r="M22" s="56">
        <f t="shared" si="1"/>
        <v>0</v>
      </c>
      <c r="N22" s="58"/>
      <c r="O22" s="56">
        <f t="shared" si="2"/>
        <v>0</v>
      </c>
      <c r="P22" s="58"/>
      <c r="Q22" s="59">
        <f t="shared" si="3"/>
        <v>0</v>
      </c>
      <c r="R22" s="62"/>
    </row>
    <row r="23" spans="1:18" ht="16.5" customHeight="1" x14ac:dyDescent="0.25">
      <c r="A23" s="51" t="s">
        <v>47</v>
      </c>
      <c r="B23" s="52">
        <f>'Ke Hoach'!B28</f>
        <v>0</v>
      </c>
      <c r="C23" s="65"/>
      <c r="D23" s="66"/>
      <c r="E23" s="53"/>
      <c r="F23" s="53"/>
      <c r="G23" s="6">
        <f>'Ke Hoach'!F28</f>
        <v>0</v>
      </c>
      <c r="H23" s="9">
        <f>'Ke Hoach'!G28</f>
        <v>0</v>
      </c>
      <c r="I23" s="53">
        <f>'Ke Hoach'!I28</f>
        <v>0</v>
      </c>
      <c r="J23" s="54">
        <f t="shared" si="0"/>
        <v>0</v>
      </c>
      <c r="K23" s="53"/>
      <c r="L23" s="61"/>
      <c r="M23" s="56">
        <f t="shared" si="1"/>
        <v>0</v>
      </c>
      <c r="N23" s="58"/>
      <c r="O23" s="56">
        <f t="shared" si="2"/>
        <v>0</v>
      </c>
      <c r="P23" s="58"/>
      <c r="Q23" s="59">
        <f t="shared" si="3"/>
        <v>0</v>
      </c>
      <c r="R23" s="62"/>
    </row>
    <row r="24" spans="1:18" ht="16.5" customHeight="1" x14ac:dyDescent="0.25">
      <c r="A24" s="51" t="s">
        <v>48</v>
      </c>
      <c r="B24" s="52">
        <f>'Ke Hoach'!B29</f>
        <v>0</v>
      </c>
      <c r="C24" s="65"/>
      <c r="D24" s="67"/>
      <c r="E24" s="53"/>
      <c r="F24" s="53"/>
      <c r="G24" s="6">
        <f>'Ke Hoach'!F29</f>
        <v>0</v>
      </c>
      <c r="H24" s="9">
        <f>'Ke Hoach'!G29</f>
        <v>0</v>
      </c>
      <c r="I24" s="53">
        <f>'Ke Hoach'!I29</f>
        <v>0</v>
      </c>
      <c r="J24" s="54">
        <f t="shared" si="0"/>
        <v>0</v>
      </c>
      <c r="K24" s="53"/>
      <c r="L24" s="61"/>
      <c r="M24" s="56">
        <f t="shared" si="1"/>
        <v>0</v>
      </c>
      <c r="N24" s="58"/>
      <c r="O24" s="56">
        <f t="shared" si="2"/>
        <v>0</v>
      </c>
      <c r="P24" s="58"/>
      <c r="Q24" s="59">
        <f t="shared" si="3"/>
        <v>0</v>
      </c>
      <c r="R24" s="62"/>
    </row>
    <row r="25" spans="1:18" ht="16.5" customHeight="1" x14ac:dyDescent="0.25">
      <c r="A25" s="51" t="s">
        <v>49</v>
      </c>
      <c r="B25" s="52">
        <f>'Ke Hoach'!B30</f>
        <v>0</v>
      </c>
      <c r="C25" s="65"/>
      <c r="D25" s="67"/>
      <c r="E25" s="53"/>
      <c r="F25" s="53"/>
      <c r="G25" s="6">
        <f>'Ke Hoach'!F30</f>
        <v>0</v>
      </c>
      <c r="H25" s="9">
        <f>'Ke Hoach'!G30</f>
        <v>0</v>
      </c>
      <c r="I25" s="53">
        <f>'Ke Hoach'!I30</f>
        <v>0</v>
      </c>
      <c r="J25" s="54">
        <f t="shared" si="0"/>
        <v>0</v>
      </c>
      <c r="K25" s="53"/>
      <c r="L25" s="61"/>
      <c r="M25" s="56">
        <f t="shared" si="1"/>
        <v>0</v>
      </c>
      <c r="N25" s="58"/>
      <c r="O25" s="56">
        <f t="shared" si="2"/>
        <v>0</v>
      </c>
      <c r="P25" s="58"/>
      <c r="Q25" s="59">
        <f t="shared" si="3"/>
        <v>0</v>
      </c>
      <c r="R25" s="68"/>
    </row>
    <row r="26" spans="1:18" ht="15.75" customHeight="1" x14ac:dyDescent="0.25">
      <c r="A26" s="51" t="s">
        <v>50</v>
      </c>
      <c r="B26" s="52">
        <f>'Ke Hoach'!B31</f>
        <v>0</v>
      </c>
      <c r="C26" s="65"/>
      <c r="D26" s="67"/>
      <c r="E26" s="53"/>
      <c r="F26" s="53"/>
      <c r="G26" s="6">
        <f>'Ke Hoach'!F31</f>
        <v>0</v>
      </c>
      <c r="H26" s="9">
        <f>'Ke Hoach'!G31</f>
        <v>0</v>
      </c>
      <c r="I26" s="53">
        <f>'Ke Hoach'!I31</f>
        <v>0</v>
      </c>
      <c r="J26" s="54">
        <f t="shared" si="0"/>
        <v>0</v>
      </c>
      <c r="K26" s="53"/>
      <c r="L26" s="61"/>
      <c r="M26" s="56">
        <f t="shared" si="1"/>
        <v>0</v>
      </c>
      <c r="N26" s="58"/>
      <c r="O26" s="56">
        <f t="shared" si="2"/>
        <v>0</v>
      </c>
      <c r="P26" s="58"/>
      <c r="Q26" s="59">
        <f t="shared" si="3"/>
        <v>0</v>
      </c>
      <c r="R26" s="62"/>
    </row>
    <row r="27" spans="1:18" ht="15.75" customHeight="1" x14ac:dyDescent="0.25">
      <c r="A27" s="51" t="s">
        <v>51</v>
      </c>
      <c r="B27" s="52">
        <f>'Ke Hoach'!B32</f>
        <v>0</v>
      </c>
      <c r="C27" s="65"/>
      <c r="D27" s="67"/>
      <c r="E27" s="53"/>
      <c r="F27" s="53"/>
      <c r="G27" s="6">
        <f>'Ke Hoach'!F32</f>
        <v>0</v>
      </c>
      <c r="H27" s="9">
        <f>'Ke Hoach'!G32</f>
        <v>0</v>
      </c>
      <c r="I27" s="53">
        <f>'Ke Hoach'!I32</f>
        <v>0</v>
      </c>
      <c r="J27" s="54">
        <f t="shared" si="0"/>
        <v>0</v>
      </c>
      <c r="K27" s="53"/>
      <c r="L27" s="61"/>
      <c r="M27" s="56">
        <f t="shared" si="1"/>
        <v>0</v>
      </c>
      <c r="N27" s="58"/>
      <c r="O27" s="56">
        <f t="shared" si="2"/>
        <v>0</v>
      </c>
      <c r="P27" s="58"/>
      <c r="Q27" s="59">
        <f t="shared" si="3"/>
        <v>0</v>
      </c>
      <c r="R27" s="62"/>
    </row>
    <row r="28" spans="1:18" ht="15.75" customHeight="1" x14ac:dyDescent="0.25">
      <c r="A28" s="51" t="s">
        <v>52</v>
      </c>
      <c r="B28" s="52">
        <f>'Ke Hoach'!B33</f>
        <v>0</v>
      </c>
      <c r="C28" s="65"/>
      <c r="D28" s="67"/>
      <c r="E28" s="53"/>
      <c r="F28" s="53"/>
      <c r="G28" s="6">
        <f>'Ke Hoach'!F33</f>
        <v>0</v>
      </c>
      <c r="H28" s="9">
        <f>'Ke Hoach'!G33</f>
        <v>0</v>
      </c>
      <c r="I28" s="53">
        <f>'Ke Hoach'!I33</f>
        <v>0</v>
      </c>
      <c r="J28" s="54">
        <f t="shared" si="0"/>
        <v>0</v>
      </c>
      <c r="K28" s="53"/>
      <c r="L28" s="69"/>
      <c r="M28" s="56">
        <f t="shared" si="1"/>
        <v>0</v>
      </c>
      <c r="N28" s="58"/>
      <c r="O28" s="56">
        <f t="shared" si="2"/>
        <v>0</v>
      </c>
      <c r="P28" s="58"/>
      <c r="Q28" s="59">
        <f t="shared" si="3"/>
        <v>0</v>
      </c>
      <c r="R28" s="62"/>
    </row>
    <row r="29" spans="1:18" ht="15.75" customHeight="1" x14ac:dyDescent="0.25">
      <c r="A29" s="70" t="s">
        <v>53</v>
      </c>
      <c r="B29" s="71" t="s">
        <v>54</v>
      </c>
      <c r="C29" s="72"/>
      <c r="D29" s="72"/>
      <c r="E29" s="72"/>
      <c r="F29" s="73"/>
      <c r="G29" s="73"/>
      <c r="H29" s="74"/>
      <c r="I29" s="73"/>
      <c r="J29" s="75">
        <f>SUM(J30:J49)</f>
        <v>0</v>
      </c>
      <c r="K29" s="75"/>
      <c r="L29" s="75"/>
      <c r="M29" s="76">
        <f>SUM(M30:M49)</f>
        <v>0</v>
      </c>
      <c r="N29" s="77"/>
      <c r="O29" s="76">
        <f>SUM(O30:O49)</f>
        <v>0</v>
      </c>
      <c r="P29" s="78"/>
      <c r="Q29" s="76">
        <f>SUM(Q30:Q49)</f>
        <v>0</v>
      </c>
      <c r="R29" s="48">
        <f>(M29+O29+Q29)/3</f>
        <v>0</v>
      </c>
    </row>
    <row r="30" spans="1:18" ht="57.75" customHeight="1" x14ac:dyDescent="0.25">
      <c r="A30" s="79" t="s">
        <v>29</v>
      </c>
      <c r="B30" s="80">
        <f>'Ke Hoach'!B35</f>
        <v>0</v>
      </c>
      <c r="C30" s="80"/>
      <c r="D30" s="80"/>
      <c r="E30" s="80"/>
      <c r="F30" s="80"/>
      <c r="G30" s="53">
        <f>'Ke Hoach'!F35</f>
        <v>0</v>
      </c>
      <c r="H30" s="9">
        <f>'Ke Hoach'!G35</f>
        <v>0</v>
      </c>
      <c r="I30" s="53">
        <f>'Ke Hoach'!I35</f>
        <v>0</v>
      </c>
      <c r="J30" s="54">
        <f t="shared" ref="J30:J49" si="4">G30*I30</f>
        <v>0</v>
      </c>
      <c r="K30" s="80"/>
      <c r="L30" s="81"/>
      <c r="M30" s="56">
        <f t="shared" ref="M30:M49" si="5">IF(G30=0,0,MIN(L30,G30)*I30)</f>
        <v>0</v>
      </c>
      <c r="N30" s="57"/>
      <c r="O30" s="56">
        <f t="shared" ref="O30:O49" si="6">I30*L30*N30/100</f>
        <v>0</v>
      </c>
      <c r="P30" s="82"/>
      <c r="Q30" s="59">
        <f>I30*L30*P30/100</f>
        <v>0</v>
      </c>
      <c r="R30" s="80"/>
    </row>
    <row r="31" spans="1:18" ht="15.75" customHeight="1" x14ac:dyDescent="0.25">
      <c r="A31" s="79" t="s">
        <v>34</v>
      </c>
      <c r="B31" s="80">
        <f>'Ke Hoach'!B36</f>
        <v>0</v>
      </c>
      <c r="C31" s="80"/>
      <c r="D31" s="80"/>
      <c r="E31" s="80"/>
      <c r="F31" s="80"/>
      <c r="G31" s="53">
        <f>'Ke Hoach'!F36</f>
        <v>0</v>
      </c>
      <c r="H31" s="9">
        <f>'Ke Hoach'!G36</f>
        <v>0</v>
      </c>
      <c r="I31" s="53">
        <f>'Ke Hoach'!I36</f>
        <v>0</v>
      </c>
      <c r="J31" s="54">
        <f t="shared" si="4"/>
        <v>0</v>
      </c>
      <c r="K31" s="80"/>
      <c r="L31" s="81"/>
      <c r="M31" s="56">
        <f t="shared" si="5"/>
        <v>0</v>
      </c>
      <c r="N31" s="57"/>
      <c r="O31" s="56">
        <f t="shared" si="6"/>
        <v>0</v>
      </c>
      <c r="P31" s="58"/>
      <c r="Q31" s="59">
        <f t="shared" ref="Q31:Q49" si="7">I31*L31*P31/100</f>
        <v>0</v>
      </c>
      <c r="R31" s="80"/>
    </row>
    <row r="32" spans="1:18" ht="15.75" customHeight="1" x14ac:dyDescent="0.25">
      <c r="A32" s="79" t="s">
        <v>35</v>
      </c>
      <c r="B32" s="80">
        <f>'Ke Hoach'!B37</f>
        <v>0</v>
      </c>
      <c r="C32" s="80"/>
      <c r="D32" s="80"/>
      <c r="E32" s="80"/>
      <c r="F32" s="80"/>
      <c r="G32" s="53">
        <f>'Ke Hoach'!F37</f>
        <v>0</v>
      </c>
      <c r="H32" s="9">
        <f>'Ke Hoach'!G37</f>
        <v>0</v>
      </c>
      <c r="I32" s="53">
        <f>'Ke Hoach'!I37</f>
        <v>0</v>
      </c>
      <c r="J32" s="54">
        <f t="shared" si="4"/>
        <v>0</v>
      </c>
      <c r="K32" s="80"/>
      <c r="L32" s="81"/>
      <c r="M32" s="56">
        <f t="shared" si="5"/>
        <v>0</v>
      </c>
      <c r="N32" s="57"/>
      <c r="O32" s="56">
        <f t="shared" si="6"/>
        <v>0</v>
      </c>
      <c r="P32" s="63"/>
      <c r="Q32" s="59">
        <f t="shared" si="7"/>
        <v>0</v>
      </c>
      <c r="R32" s="80"/>
    </row>
    <row r="33" spans="1:18" ht="15.75" customHeight="1" x14ac:dyDescent="0.25">
      <c r="A33" s="79" t="s">
        <v>36</v>
      </c>
      <c r="B33" s="80">
        <f>'Ke Hoach'!B38</f>
        <v>0</v>
      </c>
      <c r="C33" s="80"/>
      <c r="D33" s="80"/>
      <c r="E33" s="80"/>
      <c r="F33" s="80"/>
      <c r="G33" s="53">
        <f>'Ke Hoach'!F38</f>
        <v>0</v>
      </c>
      <c r="H33" s="9">
        <f>'Ke Hoach'!G38</f>
        <v>0</v>
      </c>
      <c r="I33" s="53">
        <f>'Ke Hoach'!I38</f>
        <v>0</v>
      </c>
      <c r="J33" s="54">
        <f t="shared" si="4"/>
        <v>0</v>
      </c>
      <c r="K33" s="80"/>
      <c r="L33" s="81"/>
      <c r="M33" s="56">
        <f t="shared" si="5"/>
        <v>0</v>
      </c>
      <c r="N33" s="57"/>
      <c r="O33" s="56">
        <f t="shared" si="6"/>
        <v>0</v>
      </c>
      <c r="P33" s="63"/>
      <c r="Q33" s="59">
        <f t="shared" si="7"/>
        <v>0</v>
      </c>
      <c r="R33" s="80"/>
    </row>
    <row r="34" spans="1:18" ht="15.75" customHeight="1" x14ac:dyDescent="0.25">
      <c r="A34" s="79" t="s">
        <v>37</v>
      </c>
      <c r="B34" s="80">
        <f>'Ke Hoach'!B39</f>
        <v>0</v>
      </c>
      <c r="C34" s="80"/>
      <c r="D34" s="80"/>
      <c r="E34" s="80"/>
      <c r="F34" s="80"/>
      <c r="G34" s="53">
        <f>'Ke Hoach'!F39</f>
        <v>0</v>
      </c>
      <c r="H34" s="9">
        <f>'Ke Hoach'!G39</f>
        <v>0</v>
      </c>
      <c r="I34" s="53">
        <f>'Ke Hoach'!I39</f>
        <v>0</v>
      </c>
      <c r="J34" s="54">
        <f t="shared" si="4"/>
        <v>0</v>
      </c>
      <c r="K34" s="80"/>
      <c r="L34" s="81"/>
      <c r="M34" s="56">
        <f t="shared" si="5"/>
        <v>0</v>
      </c>
      <c r="N34" s="57"/>
      <c r="O34" s="56">
        <f t="shared" si="6"/>
        <v>0</v>
      </c>
      <c r="P34" s="63"/>
      <c r="Q34" s="59">
        <f t="shared" si="7"/>
        <v>0</v>
      </c>
      <c r="R34" s="80"/>
    </row>
    <row r="35" spans="1:18" ht="15.75" customHeight="1" x14ac:dyDescent="0.25">
      <c r="A35" s="79" t="s">
        <v>38</v>
      </c>
      <c r="B35" s="80">
        <f>'Ke Hoach'!B40</f>
        <v>0</v>
      </c>
      <c r="C35" s="80"/>
      <c r="D35" s="80"/>
      <c r="E35" s="80"/>
      <c r="F35" s="80"/>
      <c r="G35" s="53">
        <f>'Ke Hoach'!F40</f>
        <v>0</v>
      </c>
      <c r="H35" s="9">
        <f>'Ke Hoach'!G40</f>
        <v>0</v>
      </c>
      <c r="I35" s="53">
        <f>'Ke Hoach'!I40</f>
        <v>0</v>
      </c>
      <c r="J35" s="54">
        <f t="shared" si="4"/>
        <v>0</v>
      </c>
      <c r="K35" s="80"/>
      <c r="L35" s="81"/>
      <c r="M35" s="56">
        <f t="shared" si="5"/>
        <v>0</v>
      </c>
      <c r="N35" s="57"/>
      <c r="O35" s="56">
        <f t="shared" si="6"/>
        <v>0</v>
      </c>
      <c r="P35" s="63"/>
      <c r="Q35" s="59">
        <f t="shared" si="7"/>
        <v>0</v>
      </c>
      <c r="R35" s="80"/>
    </row>
    <row r="36" spans="1:18" ht="15.75" customHeight="1" x14ac:dyDescent="0.25">
      <c r="A36" s="79" t="s">
        <v>39</v>
      </c>
      <c r="B36" s="80">
        <f>'Ke Hoach'!B41</f>
        <v>0</v>
      </c>
      <c r="C36" s="80"/>
      <c r="D36" s="80"/>
      <c r="E36" s="80"/>
      <c r="F36" s="80"/>
      <c r="G36" s="53">
        <f>'Ke Hoach'!F41</f>
        <v>0</v>
      </c>
      <c r="H36" s="9">
        <f>'Ke Hoach'!G41</f>
        <v>0</v>
      </c>
      <c r="I36" s="53">
        <f>'Ke Hoach'!I41</f>
        <v>0</v>
      </c>
      <c r="J36" s="54">
        <f t="shared" si="4"/>
        <v>0</v>
      </c>
      <c r="K36" s="80"/>
      <c r="L36" s="81"/>
      <c r="M36" s="56">
        <f t="shared" si="5"/>
        <v>0</v>
      </c>
      <c r="N36" s="57"/>
      <c r="O36" s="56">
        <f t="shared" si="6"/>
        <v>0</v>
      </c>
      <c r="P36" s="63"/>
      <c r="Q36" s="59">
        <f t="shared" si="7"/>
        <v>0</v>
      </c>
      <c r="R36" s="80"/>
    </row>
    <row r="37" spans="1:18" ht="15.75" customHeight="1" x14ac:dyDescent="0.25">
      <c r="A37" s="79" t="s">
        <v>40</v>
      </c>
      <c r="B37" s="80">
        <f>'Ke Hoach'!B42</f>
        <v>0</v>
      </c>
      <c r="C37" s="80"/>
      <c r="D37" s="80"/>
      <c r="E37" s="80"/>
      <c r="F37" s="80"/>
      <c r="G37" s="53">
        <f>'Ke Hoach'!F42</f>
        <v>0</v>
      </c>
      <c r="H37" s="9">
        <f>'Ke Hoach'!G42</f>
        <v>0</v>
      </c>
      <c r="I37" s="53">
        <f>'Ke Hoach'!I42</f>
        <v>0</v>
      </c>
      <c r="J37" s="54">
        <f t="shared" si="4"/>
        <v>0</v>
      </c>
      <c r="K37" s="80"/>
      <c r="L37" s="81"/>
      <c r="M37" s="56">
        <f t="shared" si="5"/>
        <v>0</v>
      </c>
      <c r="N37" s="57"/>
      <c r="O37" s="56">
        <f t="shared" si="6"/>
        <v>0</v>
      </c>
      <c r="P37" s="63"/>
      <c r="Q37" s="59">
        <f t="shared" si="7"/>
        <v>0</v>
      </c>
      <c r="R37" s="80"/>
    </row>
    <row r="38" spans="1:18" ht="15.75" customHeight="1" x14ac:dyDescent="0.25">
      <c r="A38" s="79" t="s">
        <v>41</v>
      </c>
      <c r="B38" s="80">
        <f>'Ke Hoach'!B43</f>
        <v>0</v>
      </c>
      <c r="C38" s="80"/>
      <c r="D38" s="80"/>
      <c r="E38" s="80"/>
      <c r="F38" s="80"/>
      <c r="G38" s="53">
        <f>'Ke Hoach'!F43</f>
        <v>0</v>
      </c>
      <c r="H38" s="9">
        <f>'Ke Hoach'!G43</f>
        <v>0</v>
      </c>
      <c r="I38" s="53">
        <f>'Ke Hoach'!I43</f>
        <v>0</v>
      </c>
      <c r="J38" s="54">
        <f t="shared" si="4"/>
        <v>0</v>
      </c>
      <c r="K38" s="80"/>
      <c r="L38" s="81"/>
      <c r="M38" s="56">
        <f t="shared" si="5"/>
        <v>0</v>
      </c>
      <c r="N38" s="57"/>
      <c r="O38" s="56">
        <f t="shared" si="6"/>
        <v>0</v>
      </c>
      <c r="P38" s="63"/>
      <c r="Q38" s="59">
        <f t="shared" si="7"/>
        <v>0</v>
      </c>
      <c r="R38" s="80"/>
    </row>
    <row r="39" spans="1:18" ht="15.75" customHeight="1" x14ac:dyDescent="0.25">
      <c r="A39" s="79" t="s">
        <v>42</v>
      </c>
      <c r="B39" s="80">
        <f>'Ke Hoach'!B44</f>
        <v>0</v>
      </c>
      <c r="C39" s="80"/>
      <c r="D39" s="80"/>
      <c r="E39" s="80"/>
      <c r="F39" s="80"/>
      <c r="G39" s="53">
        <f>'Ke Hoach'!F44</f>
        <v>0</v>
      </c>
      <c r="H39" s="9">
        <f>'Ke Hoach'!G44</f>
        <v>0</v>
      </c>
      <c r="I39" s="53">
        <f>'Ke Hoach'!I44</f>
        <v>0</v>
      </c>
      <c r="J39" s="54">
        <f t="shared" si="4"/>
        <v>0</v>
      </c>
      <c r="K39" s="80"/>
      <c r="L39" s="81"/>
      <c r="M39" s="56">
        <f t="shared" si="5"/>
        <v>0</v>
      </c>
      <c r="N39" s="57"/>
      <c r="O39" s="56">
        <f t="shared" si="6"/>
        <v>0</v>
      </c>
      <c r="P39" s="63"/>
      <c r="Q39" s="59">
        <f t="shared" si="7"/>
        <v>0</v>
      </c>
      <c r="R39" s="80"/>
    </row>
    <row r="40" spans="1:18" ht="15.75" customHeight="1" x14ac:dyDescent="0.25">
      <c r="A40" s="79" t="s">
        <v>43</v>
      </c>
      <c r="B40" s="80">
        <f>'Ke Hoach'!B45</f>
        <v>0</v>
      </c>
      <c r="C40" s="80"/>
      <c r="D40" s="80"/>
      <c r="E40" s="80"/>
      <c r="F40" s="80"/>
      <c r="G40" s="53">
        <f>'Ke Hoach'!F45</f>
        <v>0</v>
      </c>
      <c r="H40" s="9">
        <f>'Ke Hoach'!G45</f>
        <v>0</v>
      </c>
      <c r="I40" s="53">
        <f>'Ke Hoach'!I45</f>
        <v>0</v>
      </c>
      <c r="J40" s="54">
        <f t="shared" si="4"/>
        <v>0</v>
      </c>
      <c r="K40" s="80"/>
      <c r="L40" s="81"/>
      <c r="M40" s="56">
        <f t="shared" si="5"/>
        <v>0</v>
      </c>
      <c r="N40" s="57"/>
      <c r="O40" s="56">
        <f t="shared" si="6"/>
        <v>0</v>
      </c>
      <c r="P40" s="63"/>
      <c r="Q40" s="59">
        <f t="shared" si="7"/>
        <v>0</v>
      </c>
      <c r="R40" s="80"/>
    </row>
    <row r="41" spans="1:18" ht="15.75" customHeight="1" x14ac:dyDescent="0.25">
      <c r="A41" s="79" t="s">
        <v>44</v>
      </c>
      <c r="B41" s="80">
        <f>'Ke Hoach'!B46</f>
        <v>0</v>
      </c>
      <c r="C41" s="80"/>
      <c r="D41" s="80"/>
      <c r="E41" s="80"/>
      <c r="F41" s="80"/>
      <c r="G41" s="53">
        <f>'Ke Hoach'!F46</f>
        <v>0</v>
      </c>
      <c r="H41" s="9">
        <f>'Ke Hoach'!G46</f>
        <v>0</v>
      </c>
      <c r="I41" s="53">
        <f>'Ke Hoach'!I46</f>
        <v>0</v>
      </c>
      <c r="J41" s="54">
        <f t="shared" si="4"/>
        <v>0</v>
      </c>
      <c r="K41" s="80"/>
      <c r="L41" s="81"/>
      <c r="M41" s="56">
        <f t="shared" si="5"/>
        <v>0</v>
      </c>
      <c r="N41" s="57"/>
      <c r="O41" s="56">
        <f t="shared" si="6"/>
        <v>0</v>
      </c>
      <c r="P41" s="63"/>
      <c r="Q41" s="59">
        <f t="shared" si="7"/>
        <v>0</v>
      </c>
      <c r="R41" s="80"/>
    </row>
    <row r="42" spans="1:18" ht="15.75" customHeight="1" x14ac:dyDescent="0.25">
      <c r="A42" s="79" t="s">
        <v>45</v>
      </c>
      <c r="B42" s="80">
        <f>'Ke Hoach'!B47</f>
        <v>0</v>
      </c>
      <c r="C42" s="80"/>
      <c r="D42" s="80"/>
      <c r="E42" s="80"/>
      <c r="F42" s="80"/>
      <c r="G42" s="53">
        <f>'Ke Hoach'!F47</f>
        <v>0</v>
      </c>
      <c r="H42" s="9">
        <f>'Ke Hoach'!G47</f>
        <v>0</v>
      </c>
      <c r="I42" s="53">
        <f>'Ke Hoach'!I47</f>
        <v>0</v>
      </c>
      <c r="J42" s="54">
        <f t="shared" si="4"/>
        <v>0</v>
      </c>
      <c r="K42" s="80"/>
      <c r="L42" s="81"/>
      <c r="M42" s="56">
        <f t="shared" si="5"/>
        <v>0</v>
      </c>
      <c r="N42" s="57"/>
      <c r="O42" s="56">
        <f t="shared" si="6"/>
        <v>0</v>
      </c>
      <c r="P42" s="63"/>
      <c r="Q42" s="59">
        <f t="shared" si="7"/>
        <v>0</v>
      </c>
      <c r="R42" s="80"/>
    </row>
    <row r="43" spans="1:18" ht="15.75" customHeight="1" x14ac:dyDescent="0.25">
      <c r="A43" s="79" t="s">
        <v>46</v>
      </c>
      <c r="B43" s="80">
        <f>'Ke Hoach'!B48</f>
        <v>0</v>
      </c>
      <c r="C43" s="80"/>
      <c r="D43" s="80"/>
      <c r="E43" s="80"/>
      <c r="F43" s="80"/>
      <c r="G43" s="53">
        <f>'Ke Hoach'!F48</f>
        <v>0</v>
      </c>
      <c r="H43" s="9">
        <f>'Ke Hoach'!G48</f>
        <v>0</v>
      </c>
      <c r="I43" s="53">
        <f>'Ke Hoach'!I48</f>
        <v>0</v>
      </c>
      <c r="J43" s="54">
        <f t="shared" si="4"/>
        <v>0</v>
      </c>
      <c r="K43" s="80"/>
      <c r="L43" s="81"/>
      <c r="M43" s="56">
        <f t="shared" si="5"/>
        <v>0</v>
      </c>
      <c r="N43" s="57"/>
      <c r="O43" s="56">
        <f t="shared" si="6"/>
        <v>0</v>
      </c>
      <c r="P43" s="63"/>
      <c r="Q43" s="59">
        <f t="shared" si="7"/>
        <v>0</v>
      </c>
      <c r="R43" s="80"/>
    </row>
    <row r="44" spans="1:18" ht="15.75" customHeight="1" x14ac:dyDescent="0.25">
      <c r="A44" s="79" t="s">
        <v>47</v>
      </c>
      <c r="B44" s="80">
        <f>'Ke Hoach'!B49</f>
        <v>0</v>
      </c>
      <c r="C44" s="80"/>
      <c r="D44" s="80"/>
      <c r="E44" s="80"/>
      <c r="F44" s="80"/>
      <c r="G44" s="53">
        <f>'Ke Hoach'!F49</f>
        <v>0</v>
      </c>
      <c r="H44" s="9">
        <f>'Ke Hoach'!G49</f>
        <v>0</v>
      </c>
      <c r="I44" s="53">
        <f>'Ke Hoach'!I49</f>
        <v>0</v>
      </c>
      <c r="J44" s="54">
        <f t="shared" si="4"/>
        <v>0</v>
      </c>
      <c r="K44" s="80"/>
      <c r="L44" s="81"/>
      <c r="M44" s="56">
        <f t="shared" si="5"/>
        <v>0</v>
      </c>
      <c r="N44" s="63"/>
      <c r="O44" s="56">
        <f t="shared" si="6"/>
        <v>0</v>
      </c>
      <c r="P44" s="63"/>
      <c r="Q44" s="59">
        <f t="shared" si="7"/>
        <v>0</v>
      </c>
      <c r="R44" s="80"/>
    </row>
    <row r="45" spans="1:18" ht="15.75" customHeight="1" x14ac:dyDescent="0.25">
      <c r="A45" s="79" t="s">
        <v>48</v>
      </c>
      <c r="B45" s="80">
        <f>'Ke Hoach'!B50</f>
        <v>0</v>
      </c>
      <c r="C45" s="80"/>
      <c r="D45" s="80"/>
      <c r="E45" s="80"/>
      <c r="F45" s="80"/>
      <c r="G45" s="53">
        <f>'Ke Hoach'!F50</f>
        <v>0</v>
      </c>
      <c r="H45" s="9">
        <f>'Ke Hoach'!G50</f>
        <v>0</v>
      </c>
      <c r="I45" s="53">
        <f>'Ke Hoach'!I50</f>
        <v>0</v>
      </c>
      <c r="J45" s="54">
        <f t="shared" si="4"/>
        <v>0</v>
      </c>
      <c r="K45" s="80"/>
      <c r="L45" s="81"/>
      <c r="M45" s="56">
        <f t="shared" si="5"/>
        <v>0</v>
      </c>
      <c r="N45" s="83"/>
      <c r="O45" s="56">
        <f t="shared" si="6"/>
        <v>0</v>
      </c>
      <c r="P45" s="83"/>
      <c r="Q45" s="59">
        <f t="shared" si="7"/>
        <v>0</v>
      </c>
      <c r="R45" s="80"/>
    </row>
    <row r="46" spans="1:18" ht="15.75" customHeight="1" x14ac:dyDescent="0.25">
      <c r="A46" s="79" t="s">
        <v>49</v>
      </c>
      <c r="B46" s="80">
        <f>'Ke Hoach'!B51</f>
        <v>0</v>
      </c>
      <c r="C46" s="84"/>
      <c r="D46" s="84"/>
      <c r="E46" s="84"/>
      <c r="F46" s="84"/>
      <c r="G46" s="53">
        <f>'Ke Hoach'!F51</f>
        <v>0</v>
      </c>
      <c r="H46" s="9">
        <f>'Ke Hoach'!G51</f>
        <v>0</v>
      </c>
      <c r="I46" s="53">
        <f>'Ke Hoach'!I51</f>
        <v>0</v>
      </c>
      <c r="J46" s="54">
        <f t="shared" si="4"/>
        <v>0</v>
      </c>
      <c r="K46" s="84"/>
      <c r="L46" s="81"/>
      <c r="M46" s="56">
        <f t="shared" si="5"/>
        <v>0</v>
      </c>
      <c r="N46" s="83"/>
      <c r="O46" s="56">
        <f t="shared" si="6"/>
        <v>0</v>
      </c>
      <c r="P46" s="83"/>
      <c r="Q46" s="59">
        <f t="shared" si="7"/>
        <v>0</v>
      </c>
      <c r="R46" s="80"/>
    </row>
    <row r="47" spans="1:18" ht="15.75" customHeight="1" x14ac:dyDescent="0.25">
      <c r="A47" s="79" t="s">
        <v>50</v>
      </c>
      <c r="B47" s="80">
        <f>'Ke Hoach'!B52</f>
        <v>0</v>
      </c>
      <c r="C47" s="84"/>
      <c r="D47" s="84"/>
      <c r="E47" s="84"/>
      <c r="F47" s="84"/>
      <c r="G47" s="53">
        <f>'Ke Hoach'!F52</f>
        <v>0</v>
      </c>
      <c r="H47" s="9">
        <f>'Ke Hoach'!G52</f>
        <v>0</v>
      </c>
      <c r="I47" s="53">
        <f>'Ke Hoach'!I52</f>
        <v>0</v>
      </c>
      <c r="J47" s="54">
        <f t="shared" si="4"/>
        <v>0</v>
      </c>
      <c r="K47" s="84"/>
      <c r="L47" s="81"/>
      <c r="M47" s="56">
        <f t="shared" si="5"/>
        <v>0</v>
      </c>
      <c r="N47" s="83"/>
      <c r="O47" s="56">
        <f t="shared" si="6"/>
        <v>0</v>
      </c>
      <c r="P47" s="83"/>
      <c r="Q47" s="59">
        <f t="shared" si="7"/>
        <v>0</v>
      </c>
      <c r="R47" s="80"/>
    </row>
    <row r="48" spans="1:18" ht="15.75" customHeight="1" x14ac:dyDescent="0.25">
      <c r="A48" s="79" t="s">
        <v>51</v>
      </c>
      <c r="B48" s="80">
        <f>'Ke Hoach'!B53</f>
        <v>0</v>
      </c>
      <c r="C48" s="65"/>
      <c r="D48" s="65"/>
      <c r="E48" s="65"/>
      <c r="F48" s="65"/>
      <c r="G48" s="53">
        <f>'Ke Hoach'!F53</f>
        <v>0</v>
      </c>
      <c r="H48" s="9">
        <f>'Ke Hoach'!G53</f>
        <v>0</v>
      </c>
      <c r="I48" s="53">
        <f>'Ke Hoach'!I53</f>
        <v>0</v>
      </c>
      <c r="J48" s="54">
        <f t="shared" si="4"/>
        <v>0</v>
      </c>
      <c r="K48" s="65"/>
      <c r="L48" s="81"/>
      <c r="M48" s="56">
        <f t="shared" si="5"/>
        <v>0</v>
      </c>
      <c r="N48" s="83"/>
      <c r="O48" s="56">
        <f t="shared" si="6"/>
        <v>0</v>
      </c>
      <c r="P48" s="83"/>
      <c r="Q48" s="59">
        <f t="shared" si="7"/>
        <v>0</v>
      </c>
      <c r="R48" s="80"/>
    </row>
    <row r="49" spans="1:18" ht="15.75" customHeight="1" x14ac:dyDescent="0.25">
      <c r="A49" s="79" t="s">
        <v>52</v>
      </c>
      <c r="B49" s="80">
        <f>'Ke Hoach'!B54</f>
        <v>0</v>
      </c>
      <c r="C49" s="65"/>
      <c r="D49" s="65"/>
      <c r="E49" s="65"/>
      <c r="F49" s="65"/>
      <c r="G49" s="53">
        <f>'Ke Hoach'!F54</f>
        <v>0</v>
      </c>
      <c r="H49" s="9">
        <f>'Ke Hoach'!G54</f>
        <v>0</v>
      </c>
      <c r="I49" s="53">
        <f>'Ke Hoach'!I54</f>
        <v>0</v>
      </c>
      <c r="J49" s="54">
        <f t="shared" si="4"/>
        <v>0</v>
      </c>
      <c r="K49" s="65"/>
      <c r="L49" s="81"/>
      <c r="M49" s="56">
        <f t="shared" si="5"/>
        <v>0</v>
      </c>
      <c r="N49" s="83"/>
      <c r="O49" s="56">
        <f t="shared" si="6"/>
        <v>0</v>
      </c>
      <c r="P49" s="83"/>
      <c r="Q49" s="59">
        <f t="shared" si="7"/>
        <v>0</v>
      </c>
      <c r="R49" s="80"/>
    </row>
    <row r="50" spans="1:18" ht="15.75" customHeight="1" x14ac:dyDescent="0.25">
      <c r="A50" s="70" t="s">
        <v>55</v>
      </c>
      <c r="B50" s="43" t="s">
        <v>56</v>
      </c>
      <c r="C50" s="85"/>
      <c r="D50" s="85"/>
      <c r="E50" s="85"/>
      <c r="F50" s="85"/>
      <c r="G50" s="85"/>
      <c r="H50" s="86"/>
      <c r="I50" s="85"/>
      <c r="J50" s="75">
        <f>SUM(J51:J70)</f>
        <v>0</v>
      </c>
      <c r="K50" s="75"/>
      <c r="L50" s="75"/>
      <c r="M50" s="75">
        <f>SUM(M51:M70)</f>
        <v>0</v>
      </c>
      <c r="N50" s="76"/>
      <c r="O50" s="76">
        <f>SUM(O51:O70)</f>
        <v>0</v>
      </c>
      <c r="P50" s="76"/>
      <c r="Q50" s="76">
        <f>SUM(Q51:Q70)</f>
        <v>0</v>
      </c>
      <c r="R50" s="47">
        <f>(M50+O50+Q50)/3</f>
        <v>0</v>
      </c>
    </row>
    <row r="51" spans="1:18" ht="64.5" customHeight="1" x14ac:dyDescent="0.25">
      <c r="A51" s="87" t="s">
        <v>29</v>
      </c>
      <c r="B51" s="80">
        <f>'Ke Hoach'!B56</f>
        <v>0</v>
      </c>
      <c r="C51" s="80"/>
      <c r="D51" s="80"/>
      <c r="E51" s="80"/>
      <c r="F51" s="80"/>
      <c r="G51" s="53">
        <f>'Ke Hoach'!F56</f>
        <v>0</v>
      </c>
      <c r="H51" s="9">
        <f>'Ke Hoach'!G56</f>
        <v>0</v>
      </c>
      <c r="I51" s="53">
        <f>'Ke Hoach'!I56</f>
        <v>0</v>
      </c>
      <c r="J51" s="54">
        <f t="shared" ref="J51:J70" si="8">G51*I51</f>
        <v>0</v>
      </c>
      <c r="K51" s="80"/>
      <c r="L51" s="81"/>
      <c r="M51" s="56">
        <f t="shared" ref="M51:M70" si="9">IF(G51=0,0,MIN(L51,G51)*I51)</f>
        <v>0</v>
      </c>
      <c r="N51" s="58"/>
      <c r="O51" s="56">
        <f t="shared" ref="O51:O70" si="10">I51*L51*N51/100</f>
        <v>0</v>
      </c>
      <c r="P51" s="58"/>
      <c r="Q51" s="59">
        <f t="shared" ref="Q51:Q70" si="11">I51*L51*P51/100</f>
        <v>0</v>
      </c>
      <c r="R51" s="80"/>
    </row>
    <row r="52" spans="1:18" ht="16.5" customHeight="1" x14ac:dyDescent="0.25">
      <c r="A52" s="87" t="s">
        <v>34</v>
      </c>
      <c r="B52" s="80">
        <f>'Ke Hoach'!B57</f>
        <v>0</v>
      </c>
      <c r="C52" s="80"/>
      <c r="D52" s="80"/>
      <c r="E52" s="80"/>
      <c r="F52" s="80"/>
      <c r="G52" s="53">
        <f>'Ke Hoach'!F57</f>
        <v>0</v>
      </c>
      <c r="H52" s="9">
        <f>'Ke Hoach'!G57</f>
        <v>0</v>
      </c>
      <c r="I52" s="53">
        <f>'Ke Hoach'!I57</f>
        <v>0</v>
      </c>
      <c r="J52" s="54">
        <f t="shared" si="8"/>
        <v>0</v>
      </c>
      <c r="K52" s="80"/>
      <c r="L52" s="81"/>
      <c r="M52" s="56">
        <f t="shared" si="9"/>
        <v>0</v>
      </c>
      <c r="N52" s="58"/>
      <c r="O52" s="56">
        <f t="shared" si="10"/>
        <v>0</v>
      </c>
      <c r="P52" s="58"/>
      <c r="Q52" s="59">
        <f t="shared" si="11"/>
        <v>0</v>
      </c>
      <c r="R52" s="80"/>
    </row>
    <row r="53" spans="1:18" ht="16.5" customHeight="1" x14ac:dyDescent="0.25">
      <c r="A53" s="87" t="s">
        <v>35</v>
      </c>
      <c r="B53" s="80">
        <f>'Ke Hoach'!B58</f>
        <v>0</v>
      </c>
      <c r="C53" s="80"/>
      <c r="D53" s="80"/>
      <c r="E53" s="80"/>
      <c r="F53" s="80"/>
      <c r="G53" s="53">
        <f>'Ke Hoach'!F58</f>
        <v>0</v>
      </c>
      <c r="H53" s="9">
        <f>'Ke Hoach'!G58</f>
        <v>0</v>
      </c>
      <c r="I53" s="53">
        <f>'Ke Hoach'!I58</f>
        <v>0</v>
      </c>
      <c r="J53" s="54">
        <f t="shared" si="8"/>
        <v>0</v>
      </c>
      <c r="K53" s="80"/>
      <c r="L53" s="81"/>
      <c r="M53" s="56">
        <f t="shared" si="9"/>
        <v>0</v>
      </c>
      <c r="N53" s="58"/>
      <c r="O53" s="56">
        <f t="shared" si="10"/>
        <v>0</v>
      </c>
      <c r="P53" s="58"/>
      <c r="Q53" s="59">
        <f t="shared" si="11"/>
        <v>0</v>
      </c>
      <c r="R53" s="80"/>
    </row>
    <row r="54" spans="1:18" ht="16.5" customHeight="1" x14ac:dyDescent="0.25">
      <c r="A54" s="87" t="s">
        <v>36</v>
      </c>
      <c r="B54" s="80">
        <f>'Ke Hoach'!B59</f>
        <v>0</v>
      </c>
      <c r="C54" s="80"/>
      <c r="D54" s="80"/>
      <c r="E54" s="80"/>
      <c r="F54" s="80"/>
      <c r="G54" s="53">
        <f>'Ke Hoach'!F59</f>
        <v>0</v>
      </c>
      <c r="H54" s="9">
        <f>'Ke Hoach'!G59</f>
        <v>0</v>
      </c>
      <c r="I54" s="53">
        <f>'Ke Hoach'!I59</f>
        <v>0</v>
      </c>
      <c r="J54" s="54">
        <f t="shared" si="8"/>
        <v>0</v>
      </c>
      <c r="K54" s="80"/>
      <c r="L54" s="81"/>
      <c r="M54" s="56">
        <f t="shared" si="9"/>
        <v>0</v>
      </c>
      <c r="N54" s="58"/>
      <c r="O54" s="56">
        <f t="shared" si="10"/>
        <v>0</v>
      </c>
      <c r="P54" s="58"/>
      <c r="Q54" s="59">
        <f t="shared" si="11"/>
        <v>0</v>
      </c>
      <c r="R54" s="80"/>
    </row>
    <row r="55" spans="1:18" ht="16.5" customHeight="1" x14ac:dyDescent="0.25">
      <c r="A55" s="87" t="s">
        <v>37</v>
      </c>
      <c r="B55" s="80">
        <f>'Ke Hoach'!B60</f>
        <v>0</v>
      </c>
      <c r="C55" s="80"/>
      <c r="D55" s="80"/>
      <c r="E55" s="80"/>
      <c r="F55" s="80"/>
      <c r="G55" s="53">
        <f>'Ke Hoach'!F60</f>
        <v>0</v>
      </c>
      <c r="H55" s="9">
        <f>'Ke Hoach'!G60</f>
        <v>0</v>
      </c>
      <c r="I55" s="53">
        <f>'Ke Hoach'!I60</f>
        <v>0</v>
      </c>
      <c r="J55" s="54">
        <f t="shared" si="8"/>
        <v>0</v>
      </c>
      <c r="K55" s="80"/>
      <c r="L55" s="81"/>
      <c r="M55" s="56">
        <f t="shared" si="9"/>
        <v>0</v>
      </c>
      <c r="N55" s="58"/>
      <c r="O55" s="56">
        <f t="shared" si="10"/>
        <v>0</v>
      </c>
      <c r="P55" s="58"/>
      <c r="Q55" s="59">
        <f t="shared" si="11"/>
        <v>0</v>
      </c>
      <c r="R55" s="80"/>
    </row>
    <row r="56" spans="1:18" ht="16.5" customHeight="1" x14ac:dyDescent="0.25">
      <c r="A56" s="87" t="s">
        <v>38</v>
      </c>
      <c r="B56" s="80">
        <f>'Ke Hoach'!B61</f>
        <v>0</v>
      </c>
      <c r="C56" s="80"/>
      <c r="D56" s="80"/>
      <c r="E56" s="80"/>
      <c r="F56" s="80"/>
      <c r="G56" s="53">
        <f>'Ke Hoach'!F61</f>
        <v>0</v>
      </c>
      <c r="H56" s="9">
        <f>'Ke Hoach'!G61</f>
        <v>0</v>
      </c>
      <c r="I56" s="53">
        <f>'Ke Hoach'!I61</f>
        <v>0</v>
      </c>
      <c r="J56" s="54">
        <f t="shared" si="8"/>
        <v>0</v>
      </c>
      <c r="K56" s="80"/>
      <c r="L56" s="81"/>
      <c r="M56" s="56">
        <f t="shared" si="9"/>
        <v>0</v>
      </c>
      <c r="N56" s="58"/>
      <c r="O56" s="56">
        <f t="shared" si="10"/>
        <v>0</v>
      </c>
      <c r="P56" s="58"/>
      <c r="Q56" s="59">
        <f t="shared" si="11"/>
        <v>0</v>
      </c>
      <c r="R56" s="80"/>
    </row>
    <row r="57" spans="1:18" ht="16.5" customHeight="1" x14ac:dyDescent="0.25">
      <c r="A57" s="87" t="s">
        <v>39</v>
      </c>
      <c r="B57" s="80">
        <f>'Ke Hoach'!B62</f>
        <v>0</v>
      </c>
      <c r="C57" s="80"/>
      <c r="D57" s="80"/>
      <c r="E57" s="80"/>
      <c r="F57" s="80"/>
      <c r="G57" s="53">
        <f>'Ke Hoach'!F62</f>
        <v>0</v>
      </c>
      <c r="H57" s="9">
        <f>'Ke Hoach'!G62</f>
        <v>0</v>
      </c>
      <c r="I57" s="53">
        <f>'Ke Hoach'!I62</f>
        <v>0</v>
      </c>
      <c r="J57" s="54">
        <f t="shared" si="8"/>
        <v>0</v>
      </c>
      <c r="K57" s="80"/>
      <c r="L57" s="81"/>
      <c r="M57" s="56">
        <f t="shared" si="9"/>
        <v>0</v>
      </c>
      <c r="N57" s="58"/>
      <c r="O57" s="56">
        <f t="shared" si="10"/>
        <v>0</v>
      </c>
      <c r="P57" s="58"/>
      <c r="Q57" s="59">
        <f t="shared" si="11"/>
        <v>0</v>
      </c>
      <c r="R57" s="80"/>
    </row>
    <row r="58" spans="1:18" ht="16.5" customHeight="1" x14ac:dyDescent="0.25">
      <c r="A58" s="87" t="s">
        <v>40</v>
      </c>
      <c r="B58" s="80">
        <f>'Ke Hoach'!B63</f>
        <v>0</v>
      </c>
      <c r="C58" s="80"/>
      <c r="D58" s="80"/>
      <c r="E58" s="80"/>
      <c r="F58" s="80"/>
      <c r="G58" s="53">
        <f>'Ke Hoach'!F63</f>
        <v>0</v>
      </c>
      <c r="H58" s="9">
        <f>'Ke Hoach'!G63</f>
        <v>0</v>
      </c>
      <c r="I58" s="53">
        <f>'Ke Hoach'!I63</f>
        <v>0</v>
      </c>
      <c r="J58" s="54">
        <f t="shared" si="8"/>
        <v>0</v>
      </c>
      <c r="K58" s="80"/>
      <c r="L58" s="81"/>
      <c r="M58" s="56">
        <f t="shared" si="9"/>
        <v>0</v>
      </c>
      <c r="N58" s="58"/>
      <c r="O58" s="56">
        <f t="shared" si="10"/>
        <v>0</v>
      </c>
      <c r="P58" s="58"/>
      <c r="Q58" s="59">
        <f t="shared" si="11"/>
        <v>0</v>
      </c>
      <c r="R58" s="80"/>
    </row>
    <row r="59" spans="1:18" ht="16.5" customHeight="1" x14ac:dyDescent="0.25">
      <c r="A59" s="87" t="s">
        <v>41</v>
      </c>
      <c r="B59" s="80">
        <f>'Ke Hoach'!B64</f>
        <v>0</v>
      </c>
      <c r="C59" s="80"/>
      <c r="D59" s="80"/>
      <c r="E59" s="80"/>
      <c r="F59" s="80"/>
      <c r="G59" s="53">
        <f>'Ke Hoach'!F64</f>
        <v>0</v>
      </c>
      <c r="H59" s="9">
        <f>'Ke Hoach'!G64</f>
        <v>0</v>
      </c>
      <c r="I59" s="53">
        <f>'Ke Hoach'!I64</f>
        <v>0</v>
      </c>
      <c r="J59" s="54">
        <f t="shared" si="8"/>
        <v>0</v>
      </c>
      <c r="K59" s="80"/>
      <c r="L59" s="81"/>
      <c r="M59" s="56">
        <f t="shared" si="9"/>
        <v>0</v>
      </c>
      <c r="N59" s="58"/>
      <c r="O59" s="56">
        <f t="shared" si="10"/>
        <v>0</v>
      </c>
      <c r="P59" s="58"/>
      <c r="Q59" s="59">
        <f t="shared" si="11"/>
        <v>0</v>
      </c>
      <c r="R59" s="80"/>
    </row>
    <row r="60" spans="1:18" ht="16.5" customHeight="1" x14ac:dyDescent="0.25">
      <c r="A60" s="87" t="s">
        <v>42</v>
      </c>
      <c r="B60" s="80">
        <f>'Ke Hoach'!B65</f>
        <v>0</v>
      </c>
      <c r="C60" s="80"/>
      <c r="D60" s="80"/>
      <c r="E60" s="80"/>
      <c r="F60" s="80"/>
      <c r="G60" s="53">
        <f>'Ke Hoach'!F65</f>
        <v>0</v>
      </c>
      <c r="H60" s="9">
        <f>'Ke Hoach'!G65</f>
        <v>0</v>
      </c>
      <c r="I60" s="53">
        <f>'Ke Hoach'!I65</f>
        <v>0</v>
      </c>
      <c r="J60" s="54">
        <f t="shared" si="8"/>
        <v>0</v>
      </c>
      <c r="K60" s="80"/>
      <c r="L60" s="81"/>
      <c r="M60" s="56">
        <f t="shared" si="9"/>
        <v>0</v>
      </c>
      <c r="N60" s="58"/>
      <c r="O60" s="56">
        <f t="shared" si="10"/>
        <v>0</v>
      </c>
      <c r="P60" s="58"/>
      <c r="Q60" s="59">
        <f t="shared" si="11"/>
        <v>0</v>
      </c>
      <c r="R60" s="80"/>
    </row>
    <row r="61" spans="1:18" ht="16.5" customHeight="1" x14ac:dyDescent="0.25">
      <c r="A61" s="87" t="s">
        <v>43</v>
      </c>
      <c r="B61" s="80">
        <f>'Ke Hoach'!B66</f>
        <v>0</v>
      </c>
      <c r="C61" s="80"/>
      <c r="D61" s="80"/>
      <c r="E61" s="80"/>
      <c r="F61" s="80"/>
      <c r="G61" s="53">
        <f>'Ke Hoach'!F66</f>
        <v>0</v>
      </c>
      <c r="H61" s="9">
        <f>'Ke Hoach'!G66</f>
        <v>0</v>
      </c>
      <c r="I61" s="53">
        <f>'Ke Hoach'!I66</f>
        <v>0</v>
      </c>
      <c r="J61" s="54">
        <f t="shared" si="8"/>
        <v>0</v>
      </c>
      <c r="K61" s="80"/>
      <c r="L61" s="81"/>
      <c r="M61" s="56">
        <f t="shared" si="9"/>
        <v>0</v>
      </c>
      <c r="N61" s="58"/>
      <c r="O61" s="56">
        <f t="shared" si="10"/>
        <v>0</v>
      </c>
      <c r="P61" s="58"/>
      <c r="Q61" s="59">
        <f t="shared" si="11"/>
        <v>0</v>
      </c>
      <c r="R61" s="80"/>
    </row>
    <row r="62" spans="1:18" ht="16.5" customHeight="1" x14ac:dyDescent="0.25">
      <c r="A62" s="87" t="s">
        <v>44</v>
      </c>
      <c r="B62" s="80">
        <f>'Ke Hoach'!B67</f>
        <v>0</v>
      </c>
      <c r="C62" s="80"/>
      <c r="D62" s="80"/>
      <c r="E62" s="80"/>
      <c r="F62" s="80"/>
      <c r="G62" s="53">
        <f>'Ke Hoach'!F67</f>
        <v>0</v>
      </c>
      <c r="H62" s="9">
        <f>'Ke Hoach'!G67</f>
        <v>0</v>
      </c>
      <c r="I62" s="53">
        <f>'Ke Hoach'!I67</f>
        <v>0</v>
      </c>
      <c r="J62" s="54">
        <f t="shared" si="8"/>
        <v>0</v>
      </c>
      <c r="K62" s="80"/>
      <c r="L62" s="81"/>
      <c r="M62" s="56">
        <f t="shared" si="9"/>
        <v>0</v>
      </c>
      <c r="N62" s="58"/>
      <c r="O62" s="56">
        <f t="shared" si="10"/>
        <v>0</v>
      </c>
      <c r="P62" s="58"/>
      <c r="Q62" s="59">
        <f t="shared" si="11"/>
        <v>0</v>
      </c>
      <c r="R62" s="80"/>
    </row>
    <row r="63" spans="1:18" ht="16.5" customHeight="1" x14ac:dyDescent="0.25">
      <c r="A63" s="87" t="s">
        <v>45</v>
      </c>
      <c r="B63" s="80">
        <f>'Ke Hoach'!B68</f>
        <v>0</v>
      </c>
      <c r="C63" s="80"/>
      <c r="D63" s="80"/>
      <c r="E63" s="80"/>
      <c r="F63" s="80"/>
      <c r="G63" s="53">
        <f>'Ke Hoach'!F68</f>
        <v>0</v>
      </c>
      <c r="H63" s="9">
        <f>'Ke Hoach'!G68</f>
        <v>0</v>
      </c>
      <c r="I63" s="53">
        <f>'Ke Hoach'!I68</f>
        <v>0</v>
      </c>
      <c r="J63" s="54">
        <f t="shared" si="8"/>
        <v>0</v>
      </c>
      <c r="K63" s="80"/>
      <c r="L63" s="81"/>
      <c r="M63" s="56">
        <f t="shared" si="9"/>
        <v>0</v>
      </c>
      <c r="N63" s="58"/>
      <c r="O63" s="56">
        <f t="shared" si="10"/>
        <v>0</v>
      </c>
      <c r="P63" s="58"/>
      <c r="Q63" s="59">
        <f t="shared" si="11"/>
        <v>0</v>
      </c>
      <c r="R63" s="80"/>
    </row>
    <row r="64" spans="1:18" ht="16.5" customHeight="1" x14ac:dyDescent="0.25">
      <c r="A64" s="87" t="s">
        <v>46</v>
      </c>
      <c r="B64" s="80">
        <f>'Ke Hoach'!B69</f>
        <v>0</v>
      </c>
      <c r="C64" s="80"/>
      <c r="D64" s="80"/>
      <c r="E64" s="80"/>
      <c r="F64" s="80"/>
      <c r="G64" s="53">
        <f>'Ke Hoach'!F69</f>
        <v>0</v>
      </c>
      <c r="H64" s="9">
        <f>'Ke Hoach'!G69</f>
        <v>0</v>
      </c>
      <c r="I64" s="53">
        <f>'Ke Hoach'!I69</f>
        <v>0</v>
      </c>
      <c r="J64" s="54">
        <f t="shared" si="8"/>
        <v>0</v>
      </c>
      <c r="K64" s="80"/>
      <c r="L64" s="81"/>
      <c r="M64" s="56">
        <f t="shared" si="9"/>
        <v>0</v>
      </c>
      <c r="N64" s="58"/>
      <c r="O64" s="56">
        <f t="shared" si="10"/>
        <v>0</v>
      </c>
      <c r="P64" s="58"/>
      <c r="Q64" s="59">
        <f t="shared" si="11"/>
        <v>0</v>
      </c>
      <c r="R64" s="80"/>
    </row>
    <row r="65" spans="1:18" ht="16.5" customHeight="1" x14ac:dyDescent="0.25">
      <c r="A65" s="87" t="s">
        <v>47</v>
      </c>
      <c r="B65" s="80">
        <f>'Ke Hoach'!B70</f>
        <v>0</v>
      </c>
      <c r="C65" s="80"/>
      <c r="D65" s="80"/>
      <c r="E65" s="80"/>
      <c r="F65" s="80"/>
      <c r="G65" s="53">
        <f>'Ke Hoach'!F70</f>
        <v>0</v>
      </c>
      <c r="H65" s="9">
        <f>'Ke Hoach'!G70</f>
        <v>0</v>
      </c>
      <c r="I65" s="53">
        <f>'Ke Hoach'!I70</f>
        <v>0</v>
      </c>
      <c r="J65" s="54">
        <f t="shared" si="8"/>
        <v>0</v>
      </c>
      <c r="K65" s="80"/>
      <c r="L65" s="81"/>
      <c r="M65" s="56">
        <f t="shared" si="9"/>
        <v>0</v>
      </c>
      <c r="N65" s="58"/>
      <c r="O65" s="56">
        <f t="shared" si="10"/>
        <v>0</v>
      </c>
      <c r="P65" s="58"/>
      <c r="Q65" s="59">
        <f t="shared" si="11"/>
        <v>0</v>
      </c>
      <c r="R65" s="80"/>
    </row>
    <row r="66" spans="1:18" ht="16.5" customHeight="1" x14ac:dyDescent="0.25">
      <c r="A66" s="87" t="s">
        <v>48</v>
      </c>
      <c r="B66" s="80">
        <f>'Ke Hoach'!B71</f>
        <v>0</v>
      </c>
      <c r="C66" s="80"/>
      <c r="D66" s="80"/>
      <c r="E66" s="80"/>
      <c r="F66" s="80"/>
      <c r="G66" s="53">
        <f>'Ke Hoach'!F71</f>
        <v>0</v>
      </c>
      <c r="H66" s="9">
        <f>'Ke Hoach'!G71</f>
        <v>0</v>
      </c>
      <c r="I66" s="53">
        <f>'Ke Hoach'!I71</f>
        <v>0</v>
      </c>
      <c r="J66" s="54">
        <f t="shared" si="8"/>
        <v>0</v>
      </c>
      <c r="K66" s="80"/>
      <c r="L66" s="81"/>
      <c r="M66" s="56">
        <f t="shared" si="9"/>
        <v>0</v>
      </c>
      <c r="N66" s="58"/>
      <c r="O66" s="56">
        <f t="shared" si="10"/>
        <v>0</v>
      </c>
      <c r="P66" s="58"/>
      <c r="Q66" s="59">
        <f t="shared" si="11"/>
        <v>0</v>
      </c>
      <c r="R66" s="80"/>
    </row>
    <row r="67" spans="1:18" ht="16.5" customHeight="1" x14ac:dyDescent="0.25">
      <c r="A67" s="87" t="s">
        <v>49</v>
      </c>
      <c r="B67" s="80">
        <f>'Ke Hoach'!B72</f>
        <v>0</v>
      </c>
      <c r="C67" s="80"/>
      <c r="D67" s="80"/>
      <c r="E67" s="80"/>
      <c r="F67" s="80"/>
      <c r="G67" s="53">
        <f>'Ke Hoach'!F72</f>
        <v>0</v>
      </c>
      <c r="H67" s="9">
        <f>'Ke Hoach'!G72</f>
        <v>0</v>
      </c>
      <c r="I67" s="53">
        <f>'Ke Hoach'!I72</f>
        <v>0</v>
      </c>
      <c r="J67" s="54">
        <f t="shared" si="8"/>
        <v>0</v>
      </c>
      <c r="K67" s="80"/>
      <c r="L67" s="81"/>
      <c r="M67" s="56">
        <f t="shared" si="9"/>
        <v>0</v>
      </c>
      <c r="N67" s="58"/>
      <c r="O67" s="56">
        <f t="shared" si="10"/>
        <v>0</v>
      </c>
      <c r="P67" s="58"/>
      <c r="Q67" s="59">
        <f t="shared" si="11"/>
        <v>0</v>
      </c>
      <c r="R67" s="80"/>
    </row>
    <row r="68" spans="1:18" ht="16.5" customHeight="1" x14ac:dyDescent="0.25">
      <c r="A68" s="87" t="s">
        <v>50</v>
      </c>
      <c r="B68" s="80">
        <f>'Ke Hoach'!B73</f>
        <v>0</v>
      </c>
      <c r="C68" s="80"/>
      <c r="D68" s="80"/>
      <c r="E68" s="80"/>
      <c r="F68" s="80"/>
      <c r="G68" s="53">
        <f>'Ke Hoach'!F73</f>
        <v>0</v>
      </c>
      <c r="H68" s="9">
        <f>'Ke Hoach'!G73</f>
        <v>0</v>
      </c>
      <c r="I68" s="53">
        <f>'Ke Hoach'!I73</f>
        <v>0</v>
      </c>
      <c r="J68" s="54">
        <f t="shared" si="8"/>
        <v>0</v>
      </c>
      <c r="K68" s="80"/>
      <c r="L68" s="81"/>
      <c r="M68" s="56">
        <f t="shared" si="9"/>
        <v>0</v>
      </c>
      <c r="N68" s="58"/>
      <c r="O68" s="56">
        <f t="shared" si="10"/>
        <v>0</v>
      </c>
      <c r="P68" s="58"/>
      <c r="Q68" s="59">
        <f t="shared" si="11"/>
        <v>0</v>
      </c>
      <c r="R68" s="80"/>
    </row>
    <row r="69" spans="1:18" ht="16.5" customHeight="1" x14ac:dyDescent="0.25">
      <c r="A69" s="87" t="s">
        <v>51</v>
      </c>
      <c r="B69" s="80">
        <f>'Ke Hoach'!B74</f>
        <v>0</v>
      </c>
      <c r="C69" s="80"/>
      <c r="D69" s="80"/>
      <c r="E69" s="80"/>
      <c r="F69" s="80"/>
      <c r="G69" s="53">
        <f>'Ke Hoach'!F74</f>
        <v>0</v>
      </c>
      <c r="H69" s="9">
        <f>'Ke Hoach'!G74</f>
        <v>0</v>
      </c>
      <c r="I69" s="53">
        <f>'Ke Hoach'!I74</f>
        <v>0</v>
      </c>
      <c r="J69" s="54">
        <f t="shared" si="8"/>
        <v>0</v>
      </c>
      <c r="K69" s="80"/>
      <c r="L69" s="81"/>
      <c r="M69" s="56">
        <f t="shared" si="9"/>
        <v>0</v>
      </c>
      <c r="N69" s="58"/>
      <c r="O69" s="56">
        <f t="shared" si="10"/>
        <v>0</v>
      </c>
      <c r="P69" s="58"/>
      <c r="Q69" s="59">
        <f t="shared" si="11"/>
        <v>0</v>
      </c>
      <c r="R69" s="80"/>
    </row>
    <row r="70" spans="1:18" ht="16.5" customHeight="1" x14ac:dyDescent="0.25">
      <c r="A70" s="87" t="s">
        <v>52</v>
      </c>
      <c r="B70" s="80">
        <f>'Ke Hoach'!B75</f>
        <v>0</v>
      </c>
      <c r="C70" s="80"/>
      <c r="D70" s="80"/>
      <c r="E70" s="80"/>
      <c r="F70" s="80"/>
      <c r="G70" s="53">
        <f>'Ke Hoach'!F75</f>
        <v>0</v>
      </c>
      <c r="H70" s="9">
        <f>'Ke Hoach'!G75</f>
        <v>0</v>
      </c>
      <c r="I70" s="53">
        <f>'Ke Hoach'!I75</f>
        <v>0</v>
      </c>
      <c r="J70" s="54">
        <f t="shared" si="8"/>
        <v>0</v>
      </c>
      <c r="K70" s="80"/>
      <c r="L70" s="81"/>
      <c r="M70" s="56">
        <f t="shared" si="9"/>
        <v>0</v>
      </c>
      <c r="N70" s="58"/>
      <c r="O70" s="56">
        <f t="shared" si="10"/>
        <v>0</v>
      </c>
      <c r="P70" s="58"/>
      <c r="Q70" s="59">
        <f t="shared" si="11"/>
        <v>0</v>
      </c>
      <c r="R70" s="80"/>
    </row>
    <row r="71" spans="1:18" ht="15.75" customHeight="1" x14ac:dyDescent="0.25">
      <c r="A71" s="88" t="s">
        <v>57</v>
      </c>
      <c r="B71" s="71" t="s">
        <v>58</v>
      </c>
      <c r="C71" s="73"/>
      <c r="D71" s="73"/>
      <c r="E71" s="73"/>
      <c r="F71" s="73"/>
      <c r="G71" s="73"/>
      <c r="H71" s="74"/>
      <c r="I71" s="73"/>
      <c r="J71" s="89">
        <f>SUM(J72:J91)</f>
        <v>0</v>
      </c>
      <c r="K71" s="89"/>
      <c r="L71" s="89"/>
      <c r="M71" s="89">
        <f>SUM(M72:M91)</f>
        <v>0</v>
      </c>
      <c r="N71" s="90"/>
      <c r="O71" s="91">
        <f>SUM(O72:O91)</f>
        <v>0</v>
      </c>
      <c r="P71" s="90"/>
      <c r="Q71" s="91">
        <f>SUM(Q72:Q91)</f>
        <v>0</v>
      </c>
      <c r="R71" s="48">
        <f>(M71+O71+Q71)/3</f>
        <v>0</v>
      </c>
    </row>
    <row r="72" spans="1:18" ht="15.75" customHeight="1" x14ac:dyDescent="0.25">
      <c r="A72" s="87" t="s">
        <v>29</v>
      </c>
      <c r="B72" s="40">
        <f>'Ke Hoach'!B77</f>
        <v>0</v>
      </c>
      <c r="C72" s="53"/>
      <c r="D72" s="53"/>
      <c r="E72" s="53"/>
      <c r="F72" s="53"/>
      <c r="G72" s="53">
        <f>'Ke Hoach'!F77</f>
        <v>0</v>
      </c>
      <c r="H72" s="9">
        <f>'Ke Hoach'!G77</f>
        <v>0</v>
      </c>
      <c r="I72" s="53">
        <f>'Ke Hoach'!I77</f>
        <v>0</v>
      </c>
      <c r="J72" s="54">
        <f t="shared" ref="J72:J91" si="12">G72*I72</f>
        <v>0</v>
      </c>
      <c r="K72" s="92"/>
      <c r="L72" s="93"/>
      <c r="M72" s="56">
        <f t="shared" ref="M72:M91" si="13">IF(G72=0,0,MIN(L72,G72)*I72)</f>
        <v>0</v>
      </c>
      <c r="N72" s="94"/>
      <c r="O72" s="56">
        <f t="shared" ref="O72:O91" si="14">I72*L72*N72/100</f>
        <v>0</v>
      </c>
      <c r="P72" s="94"/>
      <c r="Q72" s="59">
        <f t="shared" ref="Q72:Q91" si="15">I72*L72*P72/100</f>
        <v>0</v>
      </c>
      <c r="R72" s="92"/>
    </row>
    <row r="73" spans="1:18" ht="15.75" customHeight="1" x14ac:dyDescent="0.25">
      <c r="A73" s="87" t="s">
        <v>34</v>
      </c>
      <c r="B73" s="40">
        <f>'Ke Hoach'!B78</f>
        <v>0</v>
      </c>
      <c r="C73" s="53"/>
      <c r="D73" s="53"/>
      <c r="E73" s="53"/>
      <c r="F73" s="53"/>
      <c r="G73" s="53">
        <f>'Ke Hoach'!F78</f>
        <v>0</v>
      </c>
      <c r="H73" s="9">
        <f>'Ke Hoach'!G78</f>
        <v>0</v>
      </c>
      <c r="I73" s="53">
        <f>'Ke Hoach'!I78</f>
        <v>0</v>
      </c>
      <c r="J73" s="54">
        <f t="shared" si="12"/>
        <v>0</v>
      </c>
      <c r="K73" s="92"/>
      <c r="L73" s="93"/>
      <c r="M73" s="56">
        <f t="shared" si="13"/>
        <v>0</v>
      </c>
      <c r="N73" s="94"/>
      <c r="O73" s="56">
        <f t="shared" si="14"/>
        <v>0</v>
      </c>
      <c r="P73" s="94"/>
      <c r="Q73" s="59">
        <f t="shared" si="15"/>
        <v>0</v>
      </c>
      <c r="R73" s="92"/>
    </row>
    <row r="74" spans="1:18" ht="15.75" customHeight="1" x14ac:dyDescent="0.25">
      <c r="A74" s="87" t="s">
        <v>35</v>
      </c>
      <c r="B74" s="40">
        <f>'Ke Hoach'!B79</f>
        <v>0</v>
      </c>
      <c r="C74" s="53"/>
      <c r="D74" s="53"/>
      <c r="E74" s="53"/>
      <c r="F74" s="53"/>
      <c r="G74" s="53">
        <f>'Ke Hoach'!F79</f>
        <v>0</v>
      </c>
      <c r="H74" s="9">
        <f>'Ke Hoach'!G79</f>
        <v>0</v>
      </c>
      <c r="I74" s="53">
        <f>'Ke Hoach'!I79</f>
        <v>0</v>
      </c>
      <c r="J74" s="54">
        <f t="shared" si="12"/>
        <v>0</v>
      </c>
      <c r="K74" s="92"/>
      <c r="L74" s="93"/>
      <c r="M74" s="56">
        <f t="shared" si="13"/>
        <v>0</v>
      </c>
      <c r="N74" s="94"/>
      <c r="O74" s="56">
        <f t="shared" si="14"/>
        <v>0</v>
      </c>
      <c r="P74" s="94"/>
      <c r="Q74" s="59">
        <f t="shared" si="15"/>
        <v>0</v>
      </c>
      <c r="R74" s="92"/>
    </row>
    <row r="75" spans="1:18" ht="15.75" customHeight="1" x14ac:dyDescent="0.25">
      <c r="A75" s="87" t="s">
        <v>36</v>
      </c>
      <c r="B75" s="40">
        <f>'Ke Hoach'!B80</f>
        <v>0</v>
      </c>
      <c r="C75" s="53"/>
      <c r="D75" s="53"/>
      <c r="E75" s="53"/>
      <c r="F75" s="53"/>
      <c r="G75" s="53">
        <f>'Ke Hoach'!F80</f>
        <v>0</v>
      </c>
      <c r="H75" s="9">
        <f>'Ke Hoach'!G80</f>
        <v>0</v>
      </c>
      <c r="I75" s="53">
        <f>'Ke Hoach'!I80</f>
        <v>0</v>
      </c>
      <c r="J75" s="54">
        <f t="shared" si="12"/>
        <v>0</v>
      </c>
      <c r="K75" s="92"/>
      <c r="L75" s="93"/>
      <c r="M75" s="56">
        <f t="shared" si="13"/>
        <v>0</v>
      </c>
      <c r="N75" s="94"/>
      <c r="O75" s="56">
        <f t="shared" si="14"/>
        <v>0</v>
      </c>
      <c r="P75" s="94"/>
      <c r="Q75" s="59">
        <f t="shared" si="15"/>
        <v>0</v>
      </c>
      <c r="R75" s="92"/>
    </row>
    <row r="76" spans="1:18" ht="15.75" customHeight="1" x14ac:dyDescent="0.25">
      <c r="A76" s="87" t="s">
        <v>37</v>
      </c>
      <c r="B76" s="40">
        <f>'Ke Hoach'!B81</f>
        <v>0</v>
      </c>
      <c r="C76" s="53"/>
      <c r="D76" s="53"/>
      <c r="E76" s="53"/>
      <c r="F76" s="53"/>
      <c r="G76" s="53">
        <f>'Ke Hoach'!F81</f>
        <v>0</v>
      </c>
      <c r="H76" s="9">
        <f>'Ke Hoach'!G81</f>
        <v>0</v>
      </c>
      <c r="I76" s="53">
        <f>'Ke Hoach'!I81</f>
        <v>0</v>
      </c>
      <c r="J76" s="54">
        <f t="shared" si="12"/>
        <v>0</v>
      </c>
      <c r="K76" s="92"/>
      <c r="L76" s="93"/>
      <c r="M76" s="56">
        <f t="shared" si="13"/>
        <v>0</v>
      </c>
      <c r="N76" s="94"/>
      <c r="O76" s="56">
        <f t="shared" si="14"/>
        <v>0</v>
      </c>
      <c r="P76" s="94"/>
      <c r="Q76" s="59">
        <f t="shared" si="15"/>
        <v>0</v>
      </c>
      <c r="R76" s="92"/>
    </row>
    <row r="77" spans="1:18" ht="15.75" customHeight="1" x14ac:dyDescent="0.25">
      <c r="A77" s="87" t="s">
        <v>38</v>
      </c>
      <c r="B77" s="40">
        <f>'Ke Hoach'!B82</f>
        <v>0</v>
      </c>
      <c r="C77" s="53"/>
      <c r="D77" s="53"/>
      <c r="E77" s="53"/>
      <c r="F77" s="53"/>
      <c r="G77" s="53">
        <f>'Ke Hoach'!F82</f>
        <v>0</v>
      </c>
      <c r="H77" s="9">
        <f>'Ke Hoach'!G82</f>
        <v>0</v>
      </c>
      <c r="I77" s="53">
        <f>'Ke Hoach'!I82</f>
        <v>0</v>
      </c>
      <c r="J77" s="54">
        <f t="shared" si="12"/>
        <v>0</v>
      </c>
      <c r="K77" s="92"/>
      <c r="L77" s="93"/>
      <c r="M77" s="56">
        <f t="shared" si="13"/>
        <v>0</v>
      </c>
      <c r="N77" s="94"/>
      <c r="O77" s="56">
        <f t="shared" si="14"/>
        <v>0</v>
      </c>
      <c r="P77" s="94"/>
      <c r="Q77" s="59">
        <f t="shared" si="15"/>
        <v>0</v>
      </c>
      <c r="R77" s="92"/>
    </row>
    <row r="78" spans="1:18" ht="15.75" customHeight="1" x14ac:dyDescent="0.25">
      <c r="A78" s="87" t="s">
        <v>39</v>
      </c>
      <c r="B78" s="40">
        <f>'Ke Hoach'!B83</f>
        <v>0</v>
      </c>
      <c r="C78" s="53"/>
      <c r="D78" s="53"/>
      <c r="E78" s="53"/>
      <c r="F78" s="53"/>
      <c r="G78" s="53">
        <f>'Ke Hoach'!F83</f>
        <v>0</v>
      </c>
      <c r="H78" s="9">
        <f>'Ke Hoach'!G83</f>
        <v>0</v>
      </c>
      <c r="I78" s="53">
        <f>'Ke Hoach'!I83</f>
        <v>0</v>
      </c>
      <c r="J78" s="54">
        <f t="shared" si="12"/>
        <v>0</v>
      </c>
      <c r="K78" s="92"/>
      <c r="L78" s="93"/>
      <c r="M78" s="56">
        <f t="shared" si="13"/>
        <v>0</v>
      </c>
      <c r="N78" s="94"/>
      <c r="O78" s="56">
        <f t="shared" si="14"/>
        <v>0</v>
      </c>
      <c r="P78" s="94"/>
      <c r="Q78" s="59">
        <f t="shared" si="15"/>
        <v>0</v>
      </c>
      <c r="R78" s="92"/>
    </row>
    <row r="79" spans="1:18" ht="15.75" customHeight="1" x14ac:dyDescent="0.25">
      <c r="A79" s="87" t="s">
        <v>40</v>
      </c>
      <c r="B79" s="40">
        <f>'Ke Hoach'!B84</f>
        <v>0</v>
      </c>
      <c r="C79" s="53"/>
      <c r="D79" s="53"/>
      <c r="E79" s="53"/>
      <c r="F79" s="53"/>
      <c r="G79" s="53">
        <f>'Ke Hoach'!F84</f>
        <v>0</v>
      </c>
      <c r="H79" s="9">
        <f>'Ke Hoach'!G84</f>
        <v>0</v>
      </c>
      <c r="I79" s="53">
        <f>'Ke Hoach'!I84</f>
        <v>0</v>
      </c>
      <c r="J79" s="54">
        <f t="shared" si="12"/>
        <v>0</v>
      </c>
      <c r="K79" s="92"/>
      <c r="L79" s="93"/>
      <c r="M79" s="56">
        <f t="shared" si="13"/>
        <v>0</v>
      </c>
      <c r="N79" s="94"/>
      <c r="O79" s="56">
        <f t="shared" si="14"/>
        <v>0</v>
      </c>
      <c r="P79" s="94"/>
      <c r="Q79" s="59">
        <f t="shared" si="15"/>
        <v>0</v>
      </c>
      <c r="R79" s="92"/>
    </row>
    <row r="80" spans="1:18" ht="15.75" customHeight="1" x14ac:dyDescent="0.25">
      <c r="A80" s="87" t="s">
        <v>41</v>
      </c>
      <c r="B80" s="40">
        <f>'Ke Hoach'!B85</f>
        <v>0</v>
      </c>
      <c r="C80" s="53"/>
      <c r="D80" s="53"/>
      <c r="E80" s="53"/>
      <c r="F80" s="53"/>
      <c r="G80" s="53">
        <f>'Ke Hoach'!F85</f>
        <v>0</v>
      </c>
      <c r="H80" s="9">
        <f>'Ke Hoach'!G85</f>
        <v>0</v>
      </c>
      <c r="I80" s="53">
        <f>'Ke Hoach'!I85</f>
        <v>0</v>
      </c>
      <c r="J80" s="54">
        <f t="shared" si="12"/>
        <v>0</v>
      </c>
      <c r="K80" s="92"/>
      <c r="L80" s="93"/>
      <c r="M80" s="56">
        <f t="shared" si="13"/>
        <v>0</v>
      </c>
      <c r="N80" s="94"/>
      <c r="O80" s="56">
        <f t="shared" si="14"/>
        <v>0</v>
      </c>
      <c r="P80" s="94"/>
      <c r="Q80" s="59">
        <f t="shared" si="15"/>
        <v>0</v>
      </c>
      <c r="R80" s="92"/>
    </row>
    <row r="81" spans="1:18" ht="15.75" customHeight="1" x14ac:dyDescent="0.25">
      <c r="A81" s="87" t="s">
        <v>42</v>
      </c>
      <c r="B81" s="40">
        <f>'Ke Hoach'!B86</f>
        <v>0</v>
      </c>
      <c r="C81" s="53"/>
      <c r="D81" s="53"/>
      <c r="E81" s="53"/>
      <c r="F81" s="53"/>
      <c r="G81" s="53">
        <f>'Ke Hoach'!F86</f>
        <v>0</v>
      </c>
      <c r="H81" s="9">
        <f>'Ke Hoach'!G86</f>
        <v>0</v>
      </c>
      <c r="I81" s="53">
        <f>'Ke Hoach'!I86</f>
        <v>0</v>
      </c>
      <c r="J81" s="54">
        <f t="shared" si="12"/>
        <v>0</v>
      </c>
      <c r="K81" s="92"/>
      <c r="L81" s="93"/>
      <c r="M81" s="56">
        <f t="shared" si="13"/>
        <v>0</v>
      </c>
      <c r="N81" s="94"/>
      <c r="O81" s="56">
        <f t="shared" si="14"/>
        <v>0</v>
      </c>
      <c r="P81" s="94"/>
      <c r="Q81" s="59">
        <f t="shared" si="15"/>
        <v>0</v>
      </c>
      <c r="R81" s="92"/>
    </row>
    <row r="82" spans="1:18" ht="15.75" customHeight="1" x14ac:dyDescent="0.25">
      <c r="A82" s="87" t="s">
        <v>43</v>
      </c>
      <c r="B82" s="40">
        <f>'Ke Hoach'!B87</f>
        <v>0</v>
      </c>
      <c r="C82" s="53"/>
      <c r="D82" s="53"/>
      <c r="E82" s="53"/>
      <c r="F82" s="53"/>
      <c r="G82" s="53">
        <f>'Ke Hoach'!F87</f>
        <v>0</v>
      </c>
      <c r="H82" s="9">
        <f>'Ke Hoach'!G87</f>
        <v>0</v>
      </c>
      <c r="I82" s="53">
        <f>'Ke Hoach'!I87</f>
        <v>0</v>
      </c>
      <c r="J82" s="54">
        <f t="shared" si="12"/>
        <v>0</v>
      </c>
      <c r="K82" s="92"/>
      <c r="L82" s="93"/>
      <c r="M82" s="56">
        <f t="shared" si="13"/>
        <v>0</v>
      </c>
      <c r="N82" s="94"/>
      <c r="O82" s="56">
        <f t="shared" si="14"/>
        <v>0</v>
      </c>
      <c r="P82" s="94"/>
      <c r="Q82" s="59">
        <f t="shared" si="15"/>
        <v>0</v>
      </c>
      <c r="R82" s="92"/>
    </row>
    <row r="83" spans="1:18" ht="15.75" customHeight="1" x14ac:dyDescent="0.25">
      <c r="A83" s="87" t="s">
        <v>44</v>
      </c>
      <c r="B83" s="40">
        <f>'Ke Hoach'!B88</f>
        <v>0</v>
      </c>
      <c r="C83" s="53"/>
      <c r="D83" s="53"/>
      <c r="E83" s="53"/>
      <c r="F83" s="53"/>
      <c r="G83" s="53">
        <f>'Ke Hoach'!F88</f>
        <v>0</v>
      </c>
      <c r="H83" s="9">
        <f>'Ke Hoach'!G88</f>
        <v>0</v>
      </c>
      <c r="I83" s="53">
        <f>'Ke Hoach'!I88</f>
        <v>0</v>
      </c>
      <c r="J83" s="54">
        <f t="shared" si="12"/>
        <v>0</v>
      </c>
      <c r="K83" s="92"/>
      <c r="L83" s="93"/>
      <c r="M83" s="56">
        <f t="shared" si="13"/>
        <v>0</v>
      </c>
      <c r="N83" s="94"/>
      <c r="O83" s="56">
        <f t="shared" si="14"/>
        <v>0</v>
      </c>
      <c r="P83" s="94"/>
      <c r="Q83" s="59">
        <f t="shared" si="15"/>
        <v>0</v>
      </c>
      <c r="R83" s="92"/>
    </row>
    <row r="84" spans="1:18" ht="15.75" customHeight="1" x14ac:dyDescent="0.25">
      <c r="A84" s="87" t="s">
        <v>45</v>
      </c>
      <c r="B84" s="40">
        <f>'Ke Hoach'!B89</f>
        <v>0</v>
      </c>
      <c r="C84" s="53"/>
      <c r="D84" s="53"/>
      <c r="E84" s="53"/>
      <c r="F84" s="53"/>
      <c r="G84" s="53">
        <f>'Ke Hoach'!F89</f>
        <v>0</v>
      </c>
      <c r="H84" s="9">
        <f>'Ke Hoach'!G89</f>
        <v>0</v>
      </c>
      <c r="I84" s="53">
        <f>'Ke Hoach'!I89</f>
        <v>0</v>
      </c>
      <c r="J84" s="54">
        <f t="shared" si="12"/>
        <v>0</v>
      </c>
      <c r="K84" s="92"/>
      <c r="L84" s="93"/>
      <c r="M84" s="56">
        <f t="shared" si="13"/>
        <v>0</v>
      </c>
      <c r="N84" s="94"/>
      <c r="O84" s="56">
        <f t="shared" si="14"/>
        <v>0</v>
      </c>
      <c r="P84" s="94"/>
      <c r="Q84" s="59">
        <f t="shared" si="15"/>
        <v>0</v>
      </c>
      <c r="R84" s="92"/>
    </row>
    <row r="85" spans="1:18" ht="15.75" customHeight="1" x14ac:dyDescent="0.25">
      <c r="A85" s="87" t="s">
        <v>46</v>
      </c>
      <c r="B85" s="40">
        <f>'Ke Hoach'!B90</f>
        <v>0</v>
      </c>
      <c r="C85" s="53"/>
      <c r="D85" s="53"/>
      <c r="E85" s="53"/>
      <c r="F85" s="53"/>
      <c r="G85" s="53">
        <f>'Ke Hoach'!F90</f>
        <v>0</v>
      </c>
      <c r="H85" s="9">
        <f>'Ke Hoach'!G90</f>
        <v>0</v>
      </c>
      <c r="I85" s="53">
        <f>'Ke Hoach'!I90</f>
        <v>0</v>
      </c>
      <c r="J85" s="54">
        <f t="shared" si="12"/>
        <v>0</v>
      </c>
      <c r="K85" s="92"/>
      <c r="L85" s="93"/>
      <c r="M85" s="56">
        <f t="shared" si="13"/>
        <v>0</v>
      </c>
      <c r="N85" s="94"/>
      <c r="O85" s="56">
        <f t="shared" si="14"/>
        <v>0</v>
      </c>
      <c r="P85" s="94"/>
      <c r="Q85" s="59">
        <f t="shared" si="15"/>
        <v>0</v>
      </c>
      <c r="R85" s="92"/>
    </row>
    <row r="86" spans="1:18" ht="15.75" customHeight="1" x14ac:dyDescent="0.25">
      <c r="A86" s="87" t="s">
        <v>47</v>
      </c>
      <c r="B86" s="40">
        <f>'Ke Hoach'!B91</f>
        <v>0</v>
      </c>
      <c r="C86" s="53"/>
      <c r="D86" s="53"/>
      <c r="E86" s="53"/>
      <c r="F86" s="53"/>
      <c r="G86" s="53">
        <f>'Ke Hoach'!F91</f>
        <v>0</v>
      </c>
      <c r="H86" s="9">
        <f>'Ke Hoach'!G91</f>
        <v>0</v>
      </c>
      <c r="I86" s="53">
        <f>'Ke Hoach'!I91</f>
        <v>0</v>
      </c>
      <c r="J86" s="54">
        <f t="shared" si="12"/>
        <v>0</v>
      </c>
      <c r="K86" s="92"/>
      <c r="L86" s="93"/>
      <c r="M86" s="56">
        <f t="shared" si="13"/>
        <v>0</v>
      </c>
      <c r="N86" s="94"/>
      <c r="O86" s="56">
        <f t="shared" si="14"/>
        <v>0</v>
      </c>
      <c r="P86" s="94"/>
      <c r="Q86" s="59">
        <f t="shared" si="15"/>
        <v>0</v>
      </c>
      <c r="R86" s="92"/>
    </row>
    <row r="87" spans="1:18" ht="15.75" customHeight="1" x14ac:dyDescent="0.25">
      <c r="A87" s="87" t="s">
        <v>48</v>
      </c>
      <c r="B87" s="40">
        <f>'Ke Hoach'!B92</f>
        <v>0</v>
      </c>
      <c r="C87" s="53"/>
      <c r="D87" s="53"/>
      <c r="E87" s="53"/>
      <c r="F87" s="53"/>
      <c r="G87" s="53">
        <f>'Ke Hoach'!F92</f>
        <v>0</v>
      </c>
      <c r="H87" s="9">
        <f>'Ke Hoach'!G92</f>
        <v>0</v>
      </c>
      <c r="I87" s="53">
        <f>'Ke Hoach'!I92</f>
        <v>0</v>
      </c>
      <c r="J87" s="54">
        <f t="shared" si="12"/>
        <v>0</v>
      </c>
      <c r="K87" s="92"/>
      <c r="L87" s="93"/>
      <c r="M87" s="56">
        <f t="shared" si="13"/>
        <v>0</v>
      </c>
      <c r="N87" s="94"/>
      <c r="O87" s="56">
        <f t="shared" si="14"/>
        <v>0</v>
      </c>
      <c r="P87" s="94"/>
      <c r="Q87" s="59">
        <f t="shared" si="15"/>
        <v>0</v>
      </c>
      <c r="R87" s="92"/>
    </row>
    <row r="88" spans="1:18" ht="15.75" customHeight="1" x14ac:dyDescent="0.25">
      <c r="A88" s="87" t="s">
        <v>49</v>
      </c>
      <c r="B88" s="40">
        <f>'Ke Hoach'!B93</f>
        <v>0</v>
      </c>
      <c r="C88" s="53"/>
      <c r="D88" s="53"/>
      <c r="E88" s="53"/>
      <c r="F88" s="53"/>
      <c r="G88" s="53">
        <f>'Ke Hoach'!F93</f>
        <v>0</v>
      </c>
      <c r="H88" s="9">
        <f>'Ke Hoach'!G93</f>
        <v>0</v>
      </c>
      <c r="I88" s="53">
        <f>'Ke Hoach'!I93</f>
        <v>0</v>
      </c>
      <c r="J88" s="54">
        <f t="shared" si="12"/>
        <v>0</v>
      </c>
      <c r="K88" s="92"/>
      <c r="L88" s="93"/>
      <c r="M88" s="56">
        <f t="shared" si="13"/>
        <v>0</v>
      </c>
      <c r="N88" s="94"/>
      <c r="O88" s="56">
        <f t="shared" si="14"/>
        <v>0</v>
      </c>
      <c r="P88" s="94"/>
      <c r="Q88" s="59">
        <f t="shared" si="15"/>
        <v>0</v>
      </c>
      <c r="R88" s="92"/>
    </row>
    <row r="89" spans="1:18" ht="15.75" customHeight="1" x14ac:dyDescent="0.25">
      <c r="A89" s="87" t="s">
        <v>50</v>
      </c>
      <c r="B89" s="40">
        <f>'Ke Hoach'!B94</f>
        <v>0</v>
      </c>
      <c r="C89" s="53"/>
      <c r="D89" s="53"/>
      <c r="E89" s="53"/>
      <c r="F89" s="53"/>
      <c r="G89" s="53">
        <f>'Ke Hoach'!F94</f>
        <v>0</v>
      </c>
      <c r="H89" s="9">
        <f>'Ke Hoach'!G94</f>
        <v>0</v>
      </c>
      <c r="I89" s="53">
        <f>'Ke Hoach'!I94</f>
        <v>0</v>
      </c>
      <c r="J89" s="54">
        <f t="shared" si="12"/>
        <v>0</v>
      </c>
      <c r="K89" s="92"/>
      <c r="L89" s="93"/>
      <c r="M89" s="56">
        <f t="shared" si="13"/>
        <v>0</v>
      </c>
      <c r="N89" s="94"/>
      <c r="O89" s="56">
        <f t="shared" si="14"/>
        <v>0</v>
      </c>
      <c r="P89" s="94"/>
      <c r="Q89" s="59">
        <f t="shared" si="15"/>
        <v>0</v>
      </c>
      <c r="R89" s="92"/>
    </row>
    <row r="90" spans="1:18" ht="15.75" customHeight="1" x14ac:dyDescent="0.25">
      <c r="A90" s="87" t="s">
        <v>51</v>
      </c>
      <c r="B90" s="40">
        <f>'Ke Hoach'!B95</f>
        <v>0</v>
      </c>
      <c r="C90" s="53"/>
      <c r="D90" s="53"/>
      <c r="E90" s="53"/>
      <c r="F90" s="53"/>
      <c r="G90" s="53">
        <f>'Ke Hoach'!F95</f>
        <v>0</v>
      </c>
      <c r="H90" s="9">
        <f>'Ke Hoach'!G95</f>
        <v>0</v>
      </c>
      <c r="I90" s="53">
        <f>'Ke Hoach'!I95</f>
        <v>0</v>
      </c>
      <c r="J90" s="54">
        <f t="shared" si="12"/>
        <v>0</v>
      </c>
      <c r="K90" s="92"/>
      <c r="L90" s="93"/>
      <c r="M90" s="56">
        <f t="shared" si="13"/>
        <v>0</v>
      </c>
      <c r="N90" s="94"/>
      <c r="O90" s="56">
        <f t="shared" si="14"/>
        <v>0</v>
      </c>
      <c r="P90" s="94"/>
      <c r="Q90" s="59">
        <f t="shared" si="15"/>
        <v>0</v>
      </c>
      <c r="R90" s="92"/>
    </row>
    <row r="91" spans="1:18" ht="15.75" customHeight="1" x14ac:dyDescent="0.25">
      <c r="A91" s="87" t="s">
        <v>52</v>
      </c>
      <c r="B91" s="40">
        <f>'Ke Hoach'!B96</f>
        <v>0</v>
      </c>
      <c r="C91" s="53"/>
      <c r="D91" s="53"/>
      <c r="E91" s="53"/>
      <c r="F91" s="53"/>
      <c r="G91" s="53">
        <f>'Ke Hoach'!F96</f>
        <v>0</v>
      </c>
      <c r="H91" s="9">
        <f>'Ke Hoach'!G96</f>
        <v>0</v>
      </c>
      <c r="I91" s="53">
        <f>'Ke Hoach'!I96</f>
        <v>0</v>
      </c>
      <c r="J91" s="54">
        <f t="shared" si="12"/>
        <v>0</v>
      </c>
      <c r="K91" s="95"/>
      <c r="L91" s="58"/>
      <c r="M91" s="56">
        <f t="shared" si="13"/>
        <v>0</v>
      </c>
      <c r="N91" s="94"/>
      <c r="O91" s="56">
        <f t="shared" si="14"/>
        <v>0</v>
      </c>
      <c r="P91" s="94"/>
      <c r="Q91" s="59">
        <f t="shared" si="15"/>
        <v>0</v>
      </c>
      <c r="R91" s="40"/>
    </row>
    <row r="92" spans="1:18" ht="15.75" customHeight="1" x14ac:dyDescent="0.25">
      <c r="A92" s="96" t="s">
        <v>59</v>
      </c>
      <c r="B92" s="97" t="s">
        <v>60</v>
      </c>
      <c r="C92" s="72"/>
      <c r="D92" s="72"/>
      <c r="E92" s="72"/>
      <c r="F92" s="72"/>
      <c r="G92" s="72"/>
      <c r="H92" s="98"/>
      <c r="I92" s="72"/>
      <c r="J92" s="99">
        <f>SUM(J93:J112)</f>
        <v>0</v>
      </c>
      <c r="K92" s="99"/>
      <c r="L92" s="99"/>
      <c r="M92" s="100">
        <f>SUM(M93:M112)</f>
        <v>0</v>
      </c>
      <c r="N92" s="101"/>
      <c r="O92" s="56">
        <f>SUM(O93:O112)</f>
        <v>0</v>
      </c>
      <c r="P92" s="101"/>
      <c r="Q92" s="100">
        <f>SUM(Q93:Q112)</f>
        <v>0</v>
      </c>
      <c r="R92" s="47">
        <f>(M92+O92+Q92)/3</f>
        <v>0</v>
      </c>
    </row>
    <row r="93" spans="1:18" ht="58.5" customHeight="1" x14ac:dyDescent="0.25">
      <c r="A93" s="87" t="s">
        <v>29</v>
      </c>
      <c r="B93" s="95">
        <f>'Ke Hoach'!B98</f>
        <v>0</v>
      </c>
      <c r="C93" s="53"/>
      <c r="D93" s="53"/>
      <c r="E93" s="53"/>
      <c r="F93" s="53"/>
      <c r="G93" s="53">
        <f>'Ke Hoach'!F98</f>
        <v>0</v>
      </c>
      <c r="H93" s="9">
        <f>'Ke Hoach'!G98</f>
        <v>0</v>
      </c>
      <c r="I93" s="53">
        <f>'Ke Hoach'!I98</f>
        <v>0</v>
      </c>
      <c r="J93" s="54">
        <f t="shared" ref="J93:J112" si="16">G93*I93</f>
        <v>0</v>
      </c>
      <c r="K93" s="92"/>
      <c r="L93" s="55"/>
      <c r="M93" s="56">
        <f t="shared" ref="M93:M112" si="17">IF(G93=0,0,MIN(L93,G93)*I93)</f>
        <v>0</v>
      </c>
      <c r="N93" s="94"/>
      <c r="O93" s="56">
        <f t="shared" ref="O93:O112" si="18">I93*L93*N93/100</f>
        <v>0</v>
      </c>
      <c r="P93" s="94"/>
      <c r="Q93" s="59">
        <f t="shared" ref="Q93:Q112" si="19">I93*L93*P93/100</f>
        <v>0</v>
      </c>
      <c r="R93" s="40"/>
    </row>
    <row r="94" spans="1:18" ht="16.5" customHeight="1" x14ac:dyDescent="0.25">
      <c r="A94" s="87" t="s">
        <v>34</v>
      </c>
      <c r="B94" s="95">
        <f>'Ke Hoach'!B99</f>
        <v>0</v>
      </c>
      <c r="C94" s="53"/>
      <c r="D94" s="53"/>
      <c r="E94" s="53"/>
      <c r="F94" s="53"/>
      <c r="G94" s="53">
        <f>'Ke Hoach'!F99</f>
        <v>0</v>
      </c>
      <c r="H94" s="9">
        <f>'Ke Hoach'!G99</f>
        <v>0</v>
      </c>
      <c r="I94" s="53">
        <f>'Ke Hoach'!I99</f>
        <v>0</v>
      </c>
      <c r="J94" s="54">
        <f t="shared" si="16"/>
        <v>0</v>
      </c>
      <c r="K94" s="92"/>
      <c r="L94" s="55"/>
      <c r="M94" s="56">
        <f t="shared" si="17"/>
        <v>0</v>
      </c>
      <c r="N94" s="94"/>
      <c r="O94" s="56">
        <f t="shared" si="18"/>
        <v>0</v>
      </c>
      <c r="P94" s="94"/>
      <c r="Q94" s="59">
        <f t="shared" si="19"/>
        <v>0</v>
      </c>
      <c r="R94" s="40"/>
    </row>
    <row r="95" spans="1:18" ht="16.5" customHeight="1" x14ac:dyDescent="0.25">
      <c r="A95" s="87" t="s">
        <v>35</v>
      </c>
      <c r="B95" s="95">
        <f>'Ke Hoach'!B100</f>
        <v>0</v>
      </c>
      <c r="C95" s="53"/>
      <c r="D95" s="53"/>
      <c r="E95" s="53"/>
      <c r="F95" s="53"/>
      <c r="G95" s="53">
        <f>'Ke Hoach'!F100</f>
        <v>0</v>
      </c>
      <c r="H95" s="9">
        <f>'Ke Hoach'!G100</f>
        <v>0</v>
      </c>
      <c r="I95" s="53">
        <f>'Ke Hoach'!I100</f>
        <v>0</v>
      </c>
      <c r="J95" s="54">
        <f t="shared" si="16"/>
        <v>0</v>
      </c>
      <c r="K95" s="92"/>
      <c r="L95" s="55"/>
      <c r="M95" s="56">
        <f t="shared" si="17"/>
        <v>0</v>
      </c>
      <c r="N95" s="94"/>
      <c r="O95" s="56">
        <f t="shared" si="18"/>
        <v>0</v>
      </c>
      <c r="P95" s="94"/>
      <c r="Q95" s="59">
        <f t="shared" si="19"/>
        <v>0</v>
      </c>
      <c r="R95" s="40"/>
    </row>
    <row r="96" spans="1:18" ht="16.5" customHeight="1" x14ac:dyDescent="0.25">
      <c r="A96" s="87" t="s">
        <v>36</v>
      </c>
      <c r="B96" s="95">
        <f>'Ke Hoach'!B101</f>
        <v>0</v>
      </c>
      <c r="C96" s="53"/>
      <c r="D96" s="53"/>
      <c r="E96" s="53"/>
      <c r="F96" s="53"/>
      <c r="G96" s="53">
        <f>'Ke Hoach'!F101</f>
        <v>0</v>
      </c>
      <c r="H96" s="9">
        <f>'Ke Hoach'!G101</f>
        <v>0</v>
      </c>
      <c r="I96" s="53">
        <f>'Ke Hoach'!I101</f>
        <v>0</v>
      </c>
      <c r="J96" s="54">
        <f t="shared" si="16"/>
        <v>0</v>
      </c>
      <c r="K96" s="92"/>
      <c r="L96" s="55"/>
      <c r="M96" s="56">
        <f t="shared" si="17"/>
        <v>0</v>
      </c>
      <c r="N96" s="94"/>
      <c r="O96" s="56">
        <f t="shared" si="18"/>
        <v>0</v>
      </c>
      <c r="P96" s="94"/>
      <c r="Q96" s="59">
        <f t="shared" si="19"/>
        <v>0</v>
      </c>
      <c r="R96" s="40"/>
    </row>
    <row r="97" spans="1:18" ht="16.5" customHeight="1" x14ac:dyDescent="0.25">
      <c r="A97" s="87" t="s">
        <v>37</v>
      </c>
      <c r="B97" s="95">
        <f>'Ke Hoach'!B102</f>
        <v>0</v>
      </c>
      <c r="C97" s="53"/>
      <c r="D97" s="53"/>
      <c r="E97" s="53"/>
      <c r="F97" s="53"/>
      <c r="G97" s="53">
        <f>'Ke Hoach'!F102</f>
        <v>0</v>
      </c>
      <c r="H97" s="9">
        <f>'Ke Hoach'!G102</f>
        <v>0</v>
      </c>
      <c r="I97" s="53">
        <f>'Ke Hoach'!I102</f>
        <v>0</v>
      </c>
      <c r="J97" s="54">
        <f t="shared" si="16"/>
        <v>0</v>
      </c>
      <c r="K97" s="92"/>
      <c r="L97" s="55"/>
      <c r="M97" s="56">
        <f t="shared" si="17"/>
        <v>0</v>
      </c>
      <c r="N97" s="94"/>
      <c r="O97" s="56">
        <f t="shared" si="18"/>
        <v>0</v>
      </c>
      <c r="P97" s="94"/>
      <c r="Q97" s="59">
        <f t="shared" si="19"/>
        <v>0</v>
      </c>
      <c r="R97" s="40"/>
    </row>
    <row r="98" spans="1:18" ht="16.5" customHeight="1" x14ac:dyDescent="0.25">
      <c r="A98" s="87" t="s">
        <v>38</v>
      </c>
      <c r="B98" s="95">
        <f>'Ke Hoach'!B103</f>
        <v>0</v>
      </c>
      <c r="C98" s="53"/>
      <c r="D98" s="53"/>
      <c r="E98" s="53"/>
      <c r="F98" s="53"/>
      <c r="G98" s="53">
        <f>'Ke Hoach'!F103</f>
        <v>0</v>
      </c>
      <c r="H98" s="9">
        <f>'Ke Hoach'!G103</f>
        <v>0</v>
      </c>
      <c r="I98" s="53">
        <f>'Ke Hoach'!I103</f>
        <v>0</v>
      </c>
      <c r="J98" s="54">
        <f t="shared" si="16"/>
        <v>0</v>
      </c>
      <c r="K98" s="92"/>
      <c r="L98" s="55"/>
      <c r="M98" s="56">
        <f t="shared" si="17"/>
        <v>0</v>
      </c>
      <c r="N98" s="94"/>
      <c r="O98" s="56">
        <f t="shared" si="18"/>
        <v>0</v>
      </c>
      <c r="P98" s="94"/>
      <c r="Q98" s="59">
        <f t="shared" si="19"/>
        <v>0</v>
      </c>
      <c r="R98" s="40"/>
    </row>
    <row r="99" spans="1:18" ht="16.5" customHeight="1" x14ac:dyDescent="0.25">
      <c r="A99" s="87" t="s">
        <v>39</v>
      </c>
      <c r="B99" s="95">
        <f>'Ke Hoach'!B104</f>
        <v>0</v>
      </c>
      <c r="C99" s="53"/>
      <c r="D99" s="53"/>
      <c r="E99" s="53"/>
      <c r="F99" s="53"/>
      <c r="G99" s="53">
        <f>'Ke Hoach'!F104</f>
        <v>0</v>
      </c>
      <c r="H99" s="9">
        <f>'Ke Hoach'!G104</f>
        <v>0</v>
      </c>
      <c r="I99" s="53">
        <f>'Ke Hoach'!I104</f>
        <v>0</v>
      </c>
      <c r="J99" s="54">
        <f t="shared" si="16"/>
        <v>0</v>
      </c>
      <c r="K99" s="92"/>
      <c r="L99" s="55"/>
      <c r="M99" s="56">
        <f t="shared" si="17"/>
        <v>0</v>
      </c>
      <c r="N99" s="94"/>
      <c r="O99" s="56">
        <f t="shared" si="18"/>
        <v>0</v>
      </c>
      <c r="P99" s="94"/>
      <c r="Q99" s="59">
        <f t="shared" si="19"/>
        <v>0</v>
      </c>
      <c r="R99" s="40"/>
    </row>
    <row r="100" spans="1:18" ht="16.5" customHeight="1" x14ac:dyDescent="0.25">
      <c r="A100" s="87" t="s">
        <v>40</v>
      </c>
      <c r="B100" s="95">
        <f>'Ke Hoach'!B105</f>
        <v>0</v>
      </c>
      <c r="C100" s="53"/>
      <c r="D100" s="53"/>
      <c r="E100" s="53"/>
      <c r="F100" s="53"/>
      <c r="G100" s="53">
        <f>'Ke Hoach'!F105</f>
        <v>0</v>
      </c>
      <c r="H100" s="9">
        <f>'Ke Hoach'!G105</f>
        <v>0</v>
      </c>
      <c r="I100" s="53">
        <f>'Ke Hoach'!I105</f>
        <v>0</v>
      </c>
      <c r="J100" s="54">
        <f t="shared" si="16"/>
        <v>0</v>
      </c>
      <c r="K100" s="92"/>
      <c r="L100" s="55"/>
      <c r="M100" s="56">
        <f t="shared" si="17"/>
        <v>0</v>
      </c>
      <c r="N100" s="94"/>
      <c r="O100" s="56">
        <f t="shared" si="18"/>
        <v>0</v>
      </c>
      <c r="P100" s="94"/>
      <c r="Q100" s="59">
        <f t="shared" si="19"/>
        <v>0</v>
      </c>
      <c r="R100" s="40"/>
    </row>
    <row r="101" spans="1:18" ht="16.5" customHeight="1" x14ac:dyDescent="0.25">
      <c r="A101" s="87" t="s">
        <v>41</v>
      </c>
      <c r="B101" s="95">
        <f>'Ke Hoach'!B106</f>
        <v>0</v>
      </c>
      <c r="C101" s="53"/>
      <c r="D101" s="53"/>
      <c r="E101" s="53"/>
      <c r="F101" s="53"/>
      <c r="G101" s="53">
        <f>'Ke Hoach'!F106</f>
        <v>0</v>
      </c>
      <c r="H101" s="9">
        <f>'Ke Hoach'!G106</f>
        <v>0</v>
      </c>
      <c r="I101" s="53">
        <f>'Ke Hoach'!I106</f>
        <v>0</v>
      </c>
      <c r="J101" s="54">
        <f t="shared" si="16"/>
        <v>0</v>
      </c>
      <c r="K101" s="92"/>
      <c r="L101" s="55"/>
      <c r="M101" s="56">
        <f t="shared" si="17"/>
        <v>0</v>
      </c>
      <c r="N101" s="94"/>
      <c r="O101" s="56">
        <f t="shared" si="18"/>
        <v>0</v>
      </c>
      <c r="P101" s="94"/>
      <c r="Q101" s="59">
        <f t="shared" si="19"/>
        <v>0</v>
      </c>
      <c r="R101" s="40"/>
    </row>
    <row r="102" spans="1:18" ht="16.5" customHeight="1" x14ac:dyDescent="0.25">
      <c r="A102" s="87" t="s">
        <v>42</v>
      </c>
      <c r="B102" s="95">
        <f>'Ke Hoach'!B107</f>
        <v>0</v>
      </c>
      <c r="C102" s="53"/>
      <c r="D102" s="53"/>
      <c r="E102" s="53"/>
      <c r="F102" s="53"/>
      <c r="G102" s="53">
        <f>'Ke Hoach'!F107</f>
        <v>0</v>
      </c>
      <c r="H102" s="9">
        <f>'Ke Hoach'!G107</f>
        <v>0</v>
      </c>
      <c r="I102" s="53">
        <f>'Ke Hoach'!I107</f>
        <v>0</v>
      </c>
      <c r="J102" s="54">
        <f t="shared" si="16"/>
        <v>0</v>
      </c>
      <c r="K102" s="92"/>
      <c r="L102" s="55"/>
      <c r="M102" s="56">
        <f t="shared" si="17"/>
        <v>0</v>
      </c>
      <c r="N102" s="94"/>
      <c r="O102" s="56">
        <f t="shared" si="18"/>
        <v>0</v>
      </c>
      <c r="P102" s="94"/>
      <c r="Q102" s="59">
        <f t="shared" si="19"/>
        <v>0</v>
      </c>
      <c r="R102" s="40"/>
    </row>
    <row r="103" spans="1:18" ht="16.5" customHeight="1" x14ac:dyDescent="0.25">
      <c r="A103" s="87" t="s">
        <v>43</v>
      </c>
      <c r="B103" s="95">
        <f>'Ke Hoach'!B108</f>
        <v>0</v>
      </c>
      <c r="C103" s="53"/>
      <c r="D103" s="53"/>
      <c r="E103" s="53"/>
      <c r="F103" s="53"/>
      <c r="G103" s="53">
        <f>'Ke Hoach'!F108</f>
        <v>0</v>
      </c>
      <c r="H103" s="9">
        <f>'Ke Hoach'!G108</f>
        <v>0</v>
      </c>
      <c r="I103" s="53">
        <f>'Ke Hoach'!I108</f>
        <v>0</v>
      </c>
      <c r="J103" s="54">
        <f t="shared" si="16"/>
        <v>0</v>
      </c>
      <c r="K103" s="92"/>
      <c r="L103" s="55"/>
      <c r="M103" s="56">
        <f t="shared" si="17"/>
        <v>0</v>
      </c>
      <c r="N103" s="94"/>
      <c r="O103" s="56">
        <f t="shared" si="18"/>
        <v>0</v>
      </c>
      <c r="P103" s="94"/>
      <c r="Q103" s="59">
        <f t="shared" si="19"/>
        <v>0</v>
      </c>
      <c r="R103" s="40"/>
    </row>
    <row r="104" spans="1:18" ht="16.5" customHeight="1" x14ac:dyDescent="0.25">
      <c r="A104" s="87" t="s">
        <v>44</v>
      </c>
      <c r="B104" s="95">
        <f>'Ke Hoach'!B109</f>
        <v>0</v>
      </c>
      <c r="C104" s="53"/>
      <c r="D104" s="53"/>
      <c r="E104" s="53"/>
      <c r="F104" s="53"/>
      <c r="G104" s="53">
        <f>'Ke Hoach'!F109</f>
        <v>0</v>
      </c>
      <c r="H104" s="9">
        <f>'Ke Hoach'!G109</f>
        <v>0</v>
      </c>
      <c r="I104" s="53">
        <f>'Ke Hoach'!I109</f>
        <v>0</v>
      </c>
      <c r="J104" s="54">
        <f t="shared" si="16"/>
        <v>0</v>
      </c>
      <c r="K104" s="92"/>
      <c r="L104" s="55"/>
      <c r="M104" s="56">
        <f t="shared" si="17"/>
        <v>0</v>
      </c>
      <c r="N104" s="94"/>
      <c r="O104" s="56">
        <f t="shared" si="18"/>
        <v>0</v>
      </c>
      <c r="P104" s="94"/>
      <c r="Q104" s="59">
        <f t="shared" si="19"/>
        <v>0</v>
      </c>
      <c r="R104" s="40"/>
    </row>
    <row r="105" spans="1:18" ht="16.5" customHeight="1" x14ac:dyDescent="0.25">
      <c r="A105" s="87" t="s">
        <v>45</v>
      </c>
      <c r="B105" s="95">
        <f>'Ke Hoach'!B110</f>
        <v>0</v>
      </c>
      <c r="C105" s="53"/>
      <c r="D105" s="53"/>
      <c r="E105" s="53"/>
      <c r="F105" s="53"/>
      <c r="G105" s="53">
        <f>'Ke Hoach'!F110</f>
        <v>0</v>
      </c>
      <c r="H105" s="9">
        <f>'Ke Hoach'!G110</f>
        <v>0</v>
      </c>
      <c r="I105" s="53">
        <f>'Ke Hoach'!I110</f>
        <v>0</v>
      </c>
      <c r="J105" s="54">
        <f t="shared" si="16"/>
        <v>0</v>
      </c>
      <c r="K105" s="92"/>
      <c r="L105" s="55"/>
      <c r="M105" s="56">
        <f t="shared" si="17"/>
        <v>0</v>
      </c>
      <c r="N105" s="94"/>
      <c r="O105" s="56">
        <f t="shared" si="18"/>
        <v>0</v>
      </c>
      <c r="P105" s="94"/>
      <c r="Q105" s="59">
        <f t="shared" si="19"/>
        <v>0</v>
      </c>
      <c r="R105" s="40"/>
    </row>
    <row r="106" spans="1:18" ht="16.5" customHeight="1" x14ac:dyDescent="0.25">
      <c r="A106" s="87" t="s">
        <v>46</v>
      </c>
      <c r="B106" s="95">
        <f>'Ke Hoach'!B111</f>
        <v>0</v>
      </c>
      <c r="C106" s="53"/>
      <c r="D106" s="53"/>
      <c r="E106" s="53"/>
      <c r="F106" s="53"/>
      <c r="G106" s="53">
        <f>'Ke Hoach'!F111</f>
        <v>0</v>
      </c>
      <c r="H106" s="9">
        <f>'Ke Hoach'!G111</f>
        <v>0</v>
      </c>
      <c r="I106" s="53">
        <f>'Ke Hoach'!I111</f>
        <v>0</v>
      </c>
      <c r="J106" s="54">
        <f t="shared" si="16"/>
        <v>0</v>
      </c>
      <c r="K106" s="92"/>
      <c r="L106" s="55"/>
      <c r="M106" s="56">
        <f t="shared" si="17"/>
        <v>0</v>
      </c>
      <c r="N106" s="94"/>
      <c r="O106" s="56">
        <f t="shared" si="18"/>
        <v>0</v>
      </c>
      <c r="P106" s="94"/>
      <c r="Q106" s="59">
        <f t="shared" si="19"/>
        <v>0</v>
      </c>
      <c r="R106" s="40"/>
    </row>
    <row r="107" spans="1:18" ht="16.5" customHeight="1" x14ac:dyDescent="0.25">
      <c r="A107" s="87" t="s">
        <v>47</v>
      </c>
      <c r="B107" s="95">
        <f>'Ke Hoach'!B112</f>
        <v>0</v>
      </c>
      <c r="C107" s="53"/>
      <c r="D107" s="53"/>
      <c r="E107" s="53"/>
      <c r="F107" s="53"/>
      <c r="G107" s="53">
        <f>'Ke Hoach'!F112</f>
        <v>0</v>
      </c>
      <c r="H107" s="9">
        <f>'Ke Hoach'!G112</f>
        <v>0</v>
      </c>
      <c r="I107" s="53">
        <f>'Ke Hoach'!I112</f>
        <v>0</v>
      </c>
      <c r="J107" s="54">
        <f t="shared" si="16"/>
        <v>0</v>
      </c>
      <c r="K107" s="92"/>
      <c r="L107" s="55"/>
      <c r="M107" s="56">
        <f t="shared" si="17"/>
        <v>0</v>
      </c>
      <c r="N107" s="94"/>
      <c r="O107" s="56">
        <f t="shared" si="18"/>
        <v>0</v>
      </c>
      <c r="P107" s="94"/>
      <c r="Q107" s="59">
        <f t="shared" si="19"/>
        <v>0</v>
      </c>
      <c r="R107" s="40"/>
    </row>
    <row r="108" spans="1:18" ht="16.5" customHeight="1" x14ac:dyDescent="0.25">
      <c r="A108" s="87" t="s">
        <v>48</v>
      </c>
      <c r="B108" s="95">
        <f>'Ke Hoach'!B113</f>
        <v>0</v>
      </c>
      <c r="C108" s="53"/>
      <c r="D108" s="53"/>
      <c r="E108" s="53"/>
      <c r="F108" s="53"/>
      <c r="G108" s="53">
        <f>'Ke Hoach'!F113</f>
        <v>0</v>
      </c>
      <c r="H108" s="9">
        <f>'Ke Hoach'!G113</f>
        <v>0</v>
      </c>
      <c r="I108" s="53">
        <f>'Ke Hoach'!I113</f>
        <v>0</v>
      </c>
      <c r="J108" s="54">
        <f t="shared" si="16"/>
        <v>0</v>
      </c>
      <c r="K108" s="92"/>
      <c r="L108" s="55"/>
      <c r="M108" s="56">
        <f t="shared" si="17"/>
        <v>0</v>
      </c>
      <c r="N108" s="94"/>
      <c r="O108" s="56">
        <f t="shared" si="18"/>
        <v>0</v>
      </c>
      <c r="P108" s="94"/>
      <c r="Q108" s="59">
        <f t="shared" si="19"/>
        <v>0</v>
      </c>
      <c r="R108" s="40"/>
    </row>
    <row r="109" spans="1:18" ht="16.5" customHeight="1" x14ac:dyDescent="0.25">
      <c r="A109" s="87" t="s">
        <v>49</v>
      </c>
      <c r="B109" s="95">
        <f>'Ke Hoach'!B114</f>
        <v>0</v>
      </c>
      <c r="C109" s="53"/>
      <c r="D109" s="53"/>
      <c r="E109" s="53"/>
      <c r="F109" s="53"/>
      <c r="G109" s="53">
        <f>'Ke Hoach'!F114</f>
        <v>0</v>
      </c>
      <c r="H109" s="9">
        <f>'Ke Hoach'!G114</f>
        <v>0</v>
      </c>
      <c r="I109" s="53">
        <f>'Ke Hoach'!I114</f>
        <v>0</v>
      </c>
      <c r="J109" s="54">
        <f t="shared" si="16"/>
        <v>0</v>
      </c>
      <c r="K109" s="92"/>
      <c r="L109" s="55"/>
      <c r="M109" s="56">
        <f t="shared" si="17"/>
        <v>0</v>
      </c>
      <c r="N109" s="94"/>
      <c r="O109" s="56">
        <f t="shared" si="18"/>
        <v>0</v>
      </c>
      <c r="P109" s="94"/>
      <c r="Q109" s="59">
        <f t="shared" si="19"/>
        <v>0</v>
      </c>
      <c r="R109" s="40"/>
    </row>
    <row r="110" spans="1:18" ht="16.5" customHeight="1" x14ac:dyDescent="0.25">
      <c r="A110" s="87" t="s">
        <v>50</v>
      </c>
      <c r="B110" s="95">
        <f>'Ke Hoach'!B115</f>
        <v>0</v>
      </c>
      <c r="C110" s="53"/>
      <c r="D110" s="53"/>
      <c r="E110" s="53"/>
      <c r="F110" s="53"/>
      <c r="G110" s="53">
        <f>'Ke Hoach'!F115</f>
        <v>0</v>
      </c>
      <c r="H110" s="9">
        <f>'Ke Hoach'!G115</f>
        <v>0</v>
      </c>
      <c r="I110" s="53">
        <f>'Ke Hoach'!I115</f>
        <v>0</v>
      </c>
      <c r="J110" s="54">
        <f t="shared" si="16"/>
        <v>0</v>
      </c>
      <c r="K110" s="92"/>
      <c r="L110" s="55"/>
      <c r="M110" s="56">
        <f t="shared" si="17"/>
        <v>0</v>
      </c>
      <c r="N110" s="94"/>
      <c r="O110" s="56">
        <f t="shared" si="18"/>
        <v>0</v>
      </c>
      <c r="P110" s="94"/>
      <c r="Q110" s="59">
        <f t="shared" si="19"/>
        <v>0</v>
      </c>
      <c r="R110" s="40"/>
    </row>
    <row r="111" spans="1:18" ht="16.5" customHeight="1" x14ac:dyDescent="0.25">
      <c r="A111" s="87" t="s">
        <v>51</v>
      </c>
      <c r="B111" s="95">
        <f>'Ke Hoach'!B116</f>
        <v>0</v>
      </c>
      <c r="C111" s="53"/>
      <c r="D111" s="53"/>
      <c r="E111" s="53"/>
      <c r="F111" s="53"/>
      <c r="G111" s="53">
        <f>'Ke Hoach'!F116</f>
        <v>0</v>
      </c>
      <c r="H111" s="9">
        <f>'Ke Hoach'!G116</f>
        <v>0</v>
      </c>
      <c r="I111" s="53">
        <f>'Ke Hoach'!I116</f>
        <v>0</v>
      </c>
      <c r="J111" s="54">
        <f t="shared" si="16"/>
        <v>0</v>
      </c>
      <c r="K111" s="92"/>
      <c r="L111" s="55"/>
      <c r="M111" s="56">
        <f t="shared" si="17"/>
        <v>0</v>
      </c>
      <c r="N111" s="94"/>
      <c r="O111" s="56">
        <f t="shared" si="18"/>
        <v>0</v>
      </c>
      <c r="P111" s="94"/>
      <c r="Q111" s="59">
        <f t="shared" si="19"/>
        <v>0</v>
      </c>
      <c r="R111" s="40"/>
    </row>
    <row r="112" spans="1:18" ht="16.5" customHeight="1" x14ac:dyDescent="0.25">
      <c r="A112" s="87" t="s">
        <v>52</v>
      </c>
      <c r="B112" s="95">
        <f>'Ke Hoach'!B117</f>
        <v>0</v>
      </c>
      <c r="C112" s="53"/>
      <c r="D112" s="53"/>
      <c r="E112" s="53"/>
      <c r="F112" s="53"/>
      <c r="G112" s="53">
        <f>'Ke Hoach'!F117</f>
        <v>0</v>
      </c>
      <c r="H112" s="9">
        <f>'Ke Hoach'!G117</f>
        <v>0</v>
      </c>
      <c r="I112" s="53">
        <f>'Ke Hoach'!I117</f>
        <v>0</v>
      </c>
      <c r="J112" s="54">
        <f t="shared" si="16"/>
        <v>0</v>
      </c>
      <c r="K112" s="92"/>
      <c r="L112" s="55"/>
      <c r="M112" s="56">
        <f t="shared" si="17"/>
        <v>0</v>
      </c>
      <c r="N112" s="94"/>
      <c r="O112" s="56">
        <f t="shared" si="18"/>
        <v>0</v>
      </c>
      <c r="P112" s="94"/>
      <c r="Q112" s="59">
        <f t="shared" si="19"/>
        <v>0</v>
      </c>
      <c r="R112" s="40"/>
    </row>
    <row r="113" spans="1:18" ht="15.75" customHeight="1" x14ac:dyDescent="0.25">
      <c r="A113" s="102" t="s">
        <v>61</v>
      </c>
      <c r="B113" s="103" t="s">
        <v>62</v>
      </c>
      <c r="C113" s="104"/>
      <c r="D113" s="72"/>
      <c r="E113" s="72"/>
      <c r="F113" s="105"/>
      <c r="G113" s="105"/>
      <c r="H113" s="106"/>
      <c r="I113" s="105"/>
      <c r="J113" s="107">
        <f>SUM(J114:J133)</f>
        <v>0</v>
      </c>
      <c r="K113" s="107"/>
      <c r="L113" s="107"/>
      <c r="M113" s="100">
        <f>SUM(M114:M133)</f>
        <v>0</v>
      </c>
      <c r="N113" s="101"/>
      <c r="O113" s="100">
        <f>SUM(O114:O133)</f>
        <v>0</v>
      </c>
      <c r="P113" s="101"/>
      <c r="Q113" s="100">
        <f>SUM(Q114:Q133)</f>
        <v>0</v>
      </c>
      <c r="R113" s="48">
        <f>(M113+O113+Q113)/3</f>
        <v>0</v>
      </c>
    </row>
    <row r="114" spans="1:18" ht="15.75" customHeight="1" x14ac:dyDescent="0.25">
      <c r="A114" s="108" t="s">
        <v>29</v>
      </c>
      <c r="B114" s="95">
        <f>'Ke Hoach'!B119</f>
        <v>0</v>
      </c>
      <c r="C114" s="53"/>
      <c r="D114" s="53"/>
      <c r="E114" s="53"/>
      <c r="F114" s="60"/>
      <c r="G114" s="60">
        <f>'Ke Hoach'!F119</f>
        <v>0</v>
      </c>
      <c r="H114" s="109">
        <f>'Ke Hoach'!G119</f>
        <v>0</v>
      </c>
      <c r="I114" s="60">
        <f>'Ke Hoach'!I119</f>
        <v>0</v>
      </c>
      <c r="J114" s="110">
        <f t="shared" ref="J114:J133" si="20">G114*I114</f>
        <v>0</v>
      </c>
      <c r="K114" s="60"/>
      <c r="L114" s="111"/>
      <c r="M114" s="56">
        <f t="shared" ref="M114:M133" si="21">IF(G114=0,0,MIN(L114,G114)*I114)</f>
        <v>0</v>
      </c>
      <c r="N114" s="58"/>
      <c r="O114" s="59">
        <f t="shared" ref="O114:O133" si="22">I114*L114*N114/100</f>
        <v>0</v>
      </c>
      <c r="P114" s="58"/>
      <c r="Q114" s="59">
        <f t="shared" ref="Q114:Q133" si="23">I114*L114*P114/100</f>
        <v>0</v>
      </c>
      <c r="R114" s="112"/>
    </row>
    <row r="115" spans="1:18" ht="15.75" customHeight="1" x14ac:dyDescent="0.25">
      <c r="A115" s="108" t="s">
        <v>34</v>
      </c>
      <c r="B115" s="95">
        <f>'Ke Hoach'!B120</f>
        <v>0</v>
      </c>
      <c r="C115" s="53"/>
      <c r="D115" s="53"/>
      <c r="E115" s="53"/>
      <c r="F115" s="60"/>
      <c r="G115" s="60">
        <f>'Ke Hoach'!F120</f>
        <v>0</v>
      </c>
      <c r="H115" s="109">
        <f>'Ke Hoach'!G120</f>
        <v>0</v>
      </c>
      <c r="I115" s="60">
        <f>'Ke Hoach'!I120</f>
        <v>0</v>
      </c>
      <c r="J115" s="110">
        <f t="shared" si="20"/>
        <v>0</v>
      </c>
      <c r="K115" s="60"/>
      <c r="L115" s="111"/>
      <c r="M115" s="56">
        <f t="shared" si="21"/>
        <v>0</v>
      </c>
      <c r="N115" s="58"/>
      <c r="O115" s="59">
        <f t="shared" si="22"/>
        <v>0</v>
      </c>
      <c r="P115" s="58"/>
      <c r="Q115" s="59">
        <f t="shared" si="23"/>
        <v>0</v>
      </c>
      <c r="R115" s="112"/>
    </row>
    <row r="116" spans="1:18" ht="15.75" customHeight="1" x14ac:dyDescent="0.25">
      <c r="A116" s="108" t="s">
        <v>35</v>
      </c>
      <c r="B116" s="95">
        <f>'Ke Hoach'!B121</f>
        <v>0</v>
      </c>
      <c r="C116" s="53"/>
      <c r="D116" s="53"/>
      <c r="E116" s="53"/>
      <c r="F116" s="60"/>
      <c r="G116" s="60">
        <f>'Ke Hoach'!F121</f>
        <v>0</v>
      </c>
      <c r="H116" s="109">
        <f>'Ke Hoach'!G121</f>
        <v>0</v>
      </c>
      <c r="I116" s="60">
        <f>'Ke Hoach'!I121</f>
        <v>0</v>
      </c>
      <c r="J116" s="110">
        <f t="shared" si="20"/>
        <v>0</v>
      </c>
      <c r="K116" s="60"/>
      <c r="L116" s="111"/>
      <c r="M116" s="56">
        <f t="shared" si="21"/>
        <v>0</v>
      </c>
      <c r="N116" s="58"/>
      <c r="O116" s="59">
        <f t="shared" si="22"/>
        <v>0</v>
      </c>
      <c r="P116" s="58"/>
      <c r="Q116" s="59">
        <f t="shared" si="23"/>
        <v>0</v>
      </c>
      <c r="R116" s="112"/>
    </row>
    <row r="117" spans="1:18" ht="15.75" customHeight="1" x14ac:dyDescent="0.25">
      <c r="A117" s="108" t="s">
        <v>36</v>
      </c>
      <c r="B117" s="95">
        <f>'Ke Hoach'!B122</f>
        <v>0</v>
      </c>
      <c r="C117" s="53"/>
      <c r="D117" s="53"/>
      <c r="E117" s="53"/>
      <c r="F117" s="60"/>
      <c r="G117" s="60">
        <f>'Ke Hoach'!F122</f>
        <v>0</v>
      </c>
      <c r="H117" s="109">
        <f>'Ke Hoach'!G122</f>
        <v>0</v>
      </c>
      <c r="I117" s="60">
        <f>'Ke Hoach'!I122</f>
        <v>0</v>
      </c>
      <c r="J117" s="110">
        <f t="shared" si="20"/>
        <v>0</v>
      </c>
      <c r="K117" s="60"/>
      <c r="L117" s="111"/>
      <c r="M117" s="56">
        <f t="shared" si="21"/>
        <v>0</v>
      </c>
      <c r="N117" s="58"/>
      <c r="O117" s="59">
        <f t="shared" si="22"/>
        <v>0</v>
      </c>
      <c r="P117" s="58"/>
      <c r="Q117" s="59">
        <f t="shared" si="23"/>
        <v>0</v>
      </c>
      <c r="R117" s="112"/>
    </row>
    <row r="118" spans="1:18" ht="15.75" customHeight="1" x14ac:dyDescent="0.25">
      <c r="A118" s="108" t="s">
        <v>37</v>
      </c>
      <c r="B118" s="95">
        <f>'Ke Hoach'!B123</f>
        <v>0</v>
      </c>
      <c r="C118" s="53"/>
      <c r="D118" s="53"/>
      <c r="E118" s="53"/>
      <c r="F118" s="60"/>
      <c r="G118" s="60">
        <f>'Ke Hoach'!F123</f>
        <v>0</v>
      </c>
      <c r="H118" s="109">
        <f>'Ke Hoach'!G123</f>
        <v>0</v>
      </c>
      <c r="I118" s="60">
        <f>'Ke Hoach'!I123</f>
        <v>0</v>
      </c>
      <c r="J118" s="110">
        <f t="shared" si="20"/>
        <v>0</v>
      </c>
      <c r="K118" s="60"/>
      <c r="L118" s="111"/>
      <c r="M118" s="56">
        <f t="shared" si="21"/>
        <v>0</v>
      </c>
      <c r="N118" s="58"/>
      <c r="O118" s="59">
        <f t="shared" si="22"/>
        <v>0</v>
      </c>
      <c r="P118" s="58"/>
      <c r="Q118" s="59">
        <f t="shared" si="23"/>
        <v>0</v>
      </c>
      <c r="R118" s="112"/>
    </row>
    <row r="119" spans="1:18" ht="15.75" customHeight="1" x14ac:dyDescent="0.25">
      <c r="A119" s="108" t="s">
        <v>38</v>
      </c>
      <c r="B119" s="95">
        <f>'Ke Hoach'!B124</f>
        <v>0</v>
      </c>
      <c r="C119" s="53"/>
      <c r="D119" s="53"/>
      <c r="E119" s="53"/>
      <c r="F119" s="60"/>
      <c r="G119" s="60">
        <f>'Ke Hoach'!F124</f>
        <v>0</v>
      </c>
      <c r="H119" s="109">
        <f>'Ke Hoach'!G124</f>
        <v>0</v>
      </c>
      <c r="I119" s="60">
        <f>'Ke Hoach'!I124</f>
        <v>0</v>
      </c>
      <c r="J119" s="110">
        <f t="shared" si="20"/>
        <v>0</v>
      </c>
      <c r="K119" s="60"/>
      <c r="L119" s="111"/>
      <c r="M119" s="56">
        <f t="shared" si="21"/>
        <v>0</v>
      </c>
      <c r="N119" s="58"/>
      <c r="O119" s="59">
        <f t="shared" si="22"/>
        <v>0</v>
      </c>
      <c r="P119" s="58"/>
      <c r="Q119" s="59">
        <f t="shared" si="23"/>
        <v>0</v>
      </c>
      <c r="R119" s="112"/>
    </row>
    <row r="120" spans="1:18" ht="15.75" customHeight="1" x14ac:dyDescent="0.25">
      <c r="A120" s="108" t="s">
        <v>39</v>
      </c>
      <c r="B120" s="95">
        <f>'Ke Hoach'!B125</f>
        <v>0</v>
      </c>
      <c r="C120" s="53"/>
      <c r="D120" s="53"/>
      <c r="E120" s="53"/>
      <c r="F120" s="60"/>
      <c r="G120" s="60">
        <f>'Ke Hoach'!F125</f>
        <v>0</v>
      </c>
      <c r="H120" s="109">
        <f>'Ke Hoach'!G125</f>
        <v>0</v>
      </c>
      <c r="I120" s="60">
        <f>'Ke Hoach'!I125</f>
        <v>0</v>
      </c>
      <c r="J120" s="110">
        <f t="shared" si="20"/>
        <v>0</v>
      </c>
      <c r="K120" s="60"/>
      <c r="L120" s="111"/>
      <c r="M120" s="56">
        <f t="shared" si="21"/>
        <v>0</v>
      </c>
      <c r="N120" s="58"/>
      <c r="O120" s="59">
        <f t="shared" si="22"/>
        <v>0</v>
      </c>
      <c r="P120" s="58"/>
      <c r="Q120" s="59">
        <f t="shared" si="23"/>
        <v>0</v>
      </c>
      <c r="R120" s="112"/>
    </row>
    <row r="121" spans="1:18" ht="15.75" customHeight="1" x14ac:dyDescent="0.25">
      <c r="A121" s="108" t="s">
        <v>40</v>
      </c>
      <c r="B121" s="95">
        <f>'Ke Hoach'!B126</f>
        <v>0</v>
      </c>
      <c r="C121" s="53"/>
      <c r="D121" s="53"/>
      <c r="E121" s="53"/>
      <c r="F121" s="60"/>
      <c r="G121" s="60">
        <f>'Ke Hoach'!F126</f>
        <v>0</v>
      </c>
      <c r="H121" s="109">
        <f>'Ke Hoach'!G126</f>
        <v>0</v>
      </c>
      <c r="I121" s="60">
        <f>'Ke Hoach'!I126</f>
        <v>0</v>
      </c>
      <c r="J121" s="110">
        <f t="shared" si="20"/>
        <v>0</v>
      </c>
      <c r="K121" s="60"/>
      <c r="L121" s="111"/>
      <c r="M121" s="56">
        <f t="shared" si="21"/>
        <v>0</v>
      </c>
      <c r="N121" s="58"/>
      <c r="O121" s="59">
        <f t="shared" si="22"/>
        <v>0</v>
      </c>
      <c r="P121" s="58"/>
      <c r="Q121" s="59">
        <f t="shared" si="23"/>
        <v>0</v>
      </c>
      <c r="R121" s="112"/>
    </row>
    <row r="122" spans="1:18" ht="15.75" customHeight="1" x14ac:dyDescent="0.25">
      <c r="A122" s="108" t="s">
        <v>41</v>
      </c>
      <c r="B122" s="95">
        <f>'Ke Hoach'!B127</f>
        <v>0</v>
      </c>
      <c r="C122" s="53"/>
      <c r="D122" s="53"/>
      <c r="E122" s="53"/>
      <c r="F122" s="60"/>
      <c r="G122" s="60">
        <f>'Ke Hoach'!F127</f>
        <v>0</v>
      </c>
      <c r="H122" s="109">
        <f>'Ke Hoach'!G127</f>
        <v>0</v>
      </c>
      <c r="I122" s="60">
        <f>'Ke Hoach'!I127</f>
        <v>0</v>
      </c>
      <c r="J122" s="110">
        <f t="shared" si="20"/>
        <v>0</v>
      </c>
      <c r="K122" s="60"/>
      <c r="L122" s="111"/>
      <c r="M122" s="56">
        <f t="shared" si="21"/>
        <v>0</v>
      </c>
      <c r="N122" s="58"/>
      <c r="O122" s="59">
        <f t="shared" si="22"/>
        <v>0</v>
      </c>
      <c r="P122" s="58"/>
      <c r="Q122" s="59">
        <f t="shared" si="23"/>
        <v>0</v>
      </c>
      <c r="R122" s="112"/>
    </row>
    <row r="123" spans="1:18" ht="15.75" customHeight="1" x14ac:dyDescent="0.25">
      <c r="A123" s="108" t="s">
        <v>42</v>
      </c>
      <c r="B123" s="95">
        <f>'Ke Hoach'!B128</f>
        <v>0</v>
      </c>
      <c r="C123" s="53"/>
      <c r="D123" s="53"/>
      <c r="E123" s="53"/>
      <c r="F123" s="60"/>
      <c r="G123" s="60">
        <f>'Ke Hoach'!F128</f>
        <v>0</v>
      </c>
      <c r="H123" s="109">
        <f>'Ke Hoach'!G128</f>
        <v>0</v>
      </c>
      <c r="I123" s="60">
        <f>'Ke Hoach'!I128</f>
        <v>0</v>
      </c>
      <c r="J123" s="110">
        <f t="shared" si="20"/>
        <v>0</v>
      </c>
      <c r="K123" s="60"/>
      <c r="L123" s="111"/>
      <c r="M123" s="56">
        <f t="shared" si="21"/>
        <v>0</v>
      </c>
      <c r="N123" s="58"/>
      <c r="O123" s="59">
        <f t="shared" si="22"/>
        <v>0</v>
      </c>
      <c r="P123" s="58"/>
      <c r="Q123" s="59">
        <f t="shared" si="23"/>
        <v>0</v>
      </c>
      <c r="R123" s="112"/>
    </row>
    <row r="124" spans="1:18" ht="15.75" customHeight="1" x14ac:dyDescent="0.25">
      <c r="A124" s="108" t="s">
        <v>43</v>
      </c>
      <c r="B124" s="95">
        <f>'Ke Hoach'!B129</f>
        <v>0</v>
      </c>
      <c r="C124" s="53"/>
      <c r="D124" s="53"/>
      <c r="E124" s="53"/>
      <c r="F124" s="60"/>
      <c r="G124" s="60">
        <f>'Ke Hoach'!F129</f>
        <v>0</v>
      </c>
      <c r="H124" s="109">
        <f>'Ke Hoach'!G129</f>
        <v>0</v>
      </c>
      <c r="I124" s="60">
        <f>'Ke Hoach'!I129</f>
        <v>0</v>
      </c>
      <c r="J124" s="110">
        <f t="shared" si="20"/>
        <v>0</v>
      </c>
      <c r="K124" s="60"/>
      <c r="L124" s="111"/>
      <c r="M124" s="56">
        <f t="shared" si="21"/>
        <v>0</v>
      </c>
      <c r="N124" s="58"/>
      <c r="O124" s="59">
        <f t="shared" si="22"/>
        <v>0</v>
      </c>
      <c r="P124" s="58"/>
      <c r="Q124" s="59">
        <f t="shared" si="23"/>
        <v>0</v>
      </c>
      <c r="R124" s="112"/>
    </row>
    <row r="125" spans="1:18" ht="15.75" customHeight="1" x14ac:dyDescent="0.25">
      <c r="A125" s="108" t="s">
        <v>44</v>
      </c>
      <c r="B125" s="95">
        <f>'Ke Hoach'!B130</f>
        <v>0</v>
      </c>
      <c r="C125" s="53"/>
      <c r="D125" s="53"/>
      <c r="E125" s="53"/>
      <c r="F125" s="60"/>
      <c r="G125" s="60">
        <f>'Ke Hoach'!F130</f>
        <v>0</v>
      </c>
      <c r="H125" s="109">
        <f>'Ke Hoach'!G130</f>
        <v>0</v>
      </c>
      <c r="I125" s="60">
        <f>'Ke Hoach'!I130</f>
        <v>0</v>
      </c>
      <c r="J125" s="110">
        <f t="shared" si="20"/>
        <v>0</v>
      </c>
      <c r="K125" s="60"/>
      <c r="L125" s="111"/>
      <c r="M125" s="56">
        <f t="shared" si="21"/>
        <v>0</v>
      </c>
      <c r="N125" s="58"/>
      <c r="O125" s="59">
        <f t="shared" si="22"/>
        <v>0</v>
      </c>
      <c r="P125" s="58"/>
      <c r="Q125" s="59">
        <f t="shared" si="23"/>
        <v>0</v>
      </c>
      <c r="R125" s="112"/>
    </row>
    <row r="126" spans="1:18" ht="15.75" customHeight="1" x14ac:dyDescent="0.25">
      <c r="A126" s="108" t="s">
        <v>45</v>
      </c>
      <c r="B126" s="95">
        <f>'Ke Hoach'!B131</f>
        <v>0</v>
      </c>
      <c r="C126" s="53"/>
      <c r="D126" s="53"/>
      <c r="E126" s="53"/>
      <c r="F126" s="60"/>
      <c r="G126" s="60">
        <f>'Ke Hoach'!F131</f>
        <v>0</v>
      </c>
      <c r="H126" s="109">
        <f>'Ke Hoach'!G131</f>
        <v>0</v>
      </c>
      <c r="I126" s="60">
        <f>'Ke Hoach'!I131</f>
        <v>0</v>
      </c>
      <c r="J126" s="110">
        <f t="shared" si="20"/>
        <v>0</v>
      </c>
      <c r="K126" s="60"/>
      <c r="L126" s="111"/>
      <c r="M126" s="56">
        <f t="shared" si="21"/>
        <v>0</v>
      </c>
      <c r="N126" s="58"/>
      <c r="O126" s="59">
        <f t="shared" si="22"/>
        <v>0</v>
      </c>
      <c r="P126" s="58"/>
      <c r="Q126" s="59">
        <f t="shared" si="23"/>
        <v>0</v>
      </c>
      <c r="R126" s="112"/>
    </row>
    <row r="127" spans="1:18" ht="15.75" customHeight="1" x14ac:dyDescent="0.25">
      <c r="A127" s="108" t="s">
        <v>46</v>
      </c>
      <c r="B127" s="95">
        <f>'Ke Hoach'!B132</f>
        <v>0</v>
      </c>
      <c r="C127" s="53"/>
      <c r="D127" s="53"/>
      <c r="E127" s="53"/>
      <c r="F127" s="60"/>
      <c r="G127" s="60">
        <f>'Ke Hoach'!F132</f>
        <v>0</v>
      </c>
      <c r="H127" s="109">
        <f>'Ke Hoach'!G132</f>
        <v>0</v>
      </c>
      <c r="I127" s="60">
        <f>'Ke Hoach'!I132</f>
        <v>0</v>
      </c>
      <c r="J127" s="110">
        <f t="shared" si="20"/>
        <v>0</v>
      </c>
      <c r="K127" s="60"/>
      <c r="L127" s="111"/>
      <c r="M127" s="56">
        <f t="shared" si="21"/>
        <v>0</v>
      </c>
      <c r="N127" s="58"/>
      <c r="O127" s="59">
        <f t="shared" si="22"/>
        <v>0</v>
      </c>
      <c r="P127" s="58"/>
      <c r="Q127" s="59">
        <f t="shared" si="23"/>
        <v>0</v>
      </c>
      <c r="R127" s="112"/>
    </row>
    <row r="128" spans="1:18" ht="15.75" customHeight="1" x14ac:dyDescent="0.25">
      <c r="A128" s="108" t="s">
        <v>47</v>
      </c>
      <c r="B128" s="95">
        <f>'Ke Hoach'!B133</f>
        <v>0</v>
      </c>
      <c r="C128" s="53"/>
      <c r="D128" s="53"/>
      <c r="E128" s="53"/>
      <c r="F128" s="60"/>
      <c r="G128" s="60">
        <f>'Ke Hoach'!F133</f>
        <v>0</v>
      </c>
      <c r="H128" s="109">
        <f>'Ke Hoach'!G133</f>
        <v>0</v>
      </c>
      <c r="I128" s="60">
        <f>'Ke Hoach'!I133</f>
        <v>0</v>
      </c>
      <c r="J128" s="110">
        <f t="shared" si="20"/>
        <v>0</v>
      </c>
      <c r="K128" s="60"/>
      <c r="L128" s="111"/>
      <c r="M128" s="56">
        <f t="shared" si="21"/>
        <v>0</v>
      </c>
      <c r="N128" s="58"/>
      <c r="O128" s="59">
        <f t="shared" si="22"/>
        <v>0</v>
      </c>
      <c r="P128" s="58"/>
      <c r="Q128" s="59">
        <f t="shared" si="23"/>
        <v>0</v>
      </c>
      <c r="R128" s="112"/>
    </row>
    <row r="129" spans="1:18" ht="15.75" customHeight="1" x14ac:dyDescent="0.25">
      <c r="A129" s="108" t="s">
        <v>48</v>
      </c>
      <c r="B129" s="95">
        <f>'Ke Hoach'!B134</f>
        <v>0</v>
      </c>
      <c r="C129" s="53"/>
      <c r="D129" s="53"/>
      <c r="E129" s="53"/>
      <c r="F129" s="60"/>
      <c r="G129" s="60">
        <f>'Ke Hoach'!F134</f>
        <v>0</v>
      </c>
      <c r="H129" s="109">
        <f>'Ke Hoach'!G134</f>
        <v>0</v>
      </c>
      <c r="I129" s="60">
        <f>'Ke Hoach'!I134</f>
        <v>0</v>
      </c>
      <c r="J129" s="110">
        <f t="shared" si="20"/>
        <v>0</v>
      </c>
      <c r="K129" s="60"/>
      <c r="L129" s="111"/>
      <c r="M129" s="56">
        <f t="shared" si="21"/>
        <v>0</v>
      </c>
      <c r="N129" s="58"/>
      <c r="O129" s="59">
        <f t="shared" si="22"/>
        <v>0</v>
      </c>
      <c r="P129" s="58"/>
      <c r="Q129" s="59">
        <f t="shared" si="23"/>
        <v>0</v>
      </c>
      <c r="R129" s="112"/>
    </row>
    <row r="130" spans="1:18" ht="15.75" customHeight="1" x14ac:dyDescent="0.25">
      <c r="A130" s="108" t="s">
        <v>49</v>
      </c>
      <c r="B130" s="95">
        <f>'Ke Hoach'!B135</f>
        <v>0</v>
      </c>
      <c r="C130" s="53"/>
      <c r="D130" s="53"/>
      <c r="E130" s="53"/>
      <c r="F130" s="60"/>
      <c r="G130" s="60">
        <f>'Ke Hoach'!F135</f>
        <v>0</v>
      </c>
      <c r="H130" s="109">
        <f>'Ke Hoach'!G135</f>
        <v>0</v>
      </c>
      <c r="I130" s="60">
        <f>'Ke Hoach'!I135</f>
        <v>0</v>
      </c>
      <c r="J130" s="110">
        <f t="shared" si="20"/>
        <v>0</v>
      </c>
      <c r="K130" s="60"/>
      <c r="L130" s="111"/>
      <c r="M130" s="56">
        <f t="shared" si="21"/>
        <v>0</v>
      </c>
      <c r="N130" s="58"/>
      <c r="O130" s="59">
        <f t="shared" si="22"/>
        <v>0</v>
      </c>
      <c r="P130" s="58"/>
      <c r="Q130" s="59">
        <f t="shared" si="23"/>
        <v>0</v>
      </c>
      <c r="R130" s="112"/>
    </row>
    <row r="131" spans="1:18" ht="15.75" customHeight="1" x14ac:dyDescent="0.25">
      <c r="A131" s="108" t="s">
        <v>50</v>
      </c>
      <c r="B131" s="95">
        <f>'Ke Hoach'!B136</f>
        <v>0</v>
      </c>
      <c r="C131" s="53"/>
      <c r="D131" s="53"/>
      <c r="E131" s="53"/>
      <c r="F131" s="53"/>
      <c r="G131" s="60">
        <f>'Ke Hoach'!F136</f>
        <v>0</v>
      </c>
      <c r="H131" s="109">
        <f>'Ke Hoach'!G136</f>
        <v>0</v>
      </c>
      <c r="I131" s="60">
        <f>'Ke Hoach'!I136</f>
        <v>0</v>
      </c>
      <c r="J131" s="110">
        <f t="shared" si="20"/>
        <v>0</v>
      </c>
      <c r="K131" s="53"/>
      <c r="L131" s="113"/>
      <c r="M131" s="56">
        <f t="shared" si="21"/>
        <v>0</v>
      </c>
      <c r="N131" s="58"/>
      <c r="O131" s="59">
        <f t="shared" si="22"/>
        <v>0</v>
      </c>
      <c r="P131" s="58"/>
      <c r="Q131" s="59">
        <f t="shared" si="23"/>
        <v>0</v>
      </c>
      <c r="R131" s="114"/>
    </row>
    <row r="132" spans="1:18" ht="15.75" customHeight="1" x14ac:dyDescent="0.25">
      <c r="A132" s="108" t="s">
        <v>51</v>
      </c>
      <c r="B132" s="95">
        <f>'Ke Hoach'!B137</f>
        <v>0</v>
      </c>
      <c r="C132" s="53"/>
      <c r="D132" s="53"/>
      <c r="E132" s="53"/>
      <c r="F132" s="53"/>
      <c r="G132" s="60">
        <f>'Ke Hoach'!F137</f>
        <v>0</v>
      </c>
      <c r="H132" s="109">
        <f>'Ke Hoach'!G137</f>
        <v>0</v>
      </c>
      <c r="I132" s="60">
        <f>'Ke Hoach'!I137</f>
        <v>0</v>
      </c>
      <c r="J132" s="110">
        <f t="shared" si="20"/>
        <v>0</v>
      </c>
      <c r="K132" s="53"/>
      <c r="L132" s="113"/>
      <c r="M132" s="56">
        <f t="shared" si="21"/>
        <v>0</v>
      </c>
      <c r="N132" s="58"/>
      <c r="O132" s="59">
        <f t="shared" si="22"/>
        <v>0</v>
      </c>
      <c r="P132" s="58"/>
      <c r="Q132" s="59">
        <f t="shared" si="23"/>
        <v>0</v>
      </c>
      <c r="R132" s="114"/>
    </row>
    <row r="133" spans="1:18" ht="15.75" customHeight="1" x14ac:dyDescent="0.25">
      <c r="A133" s="108" t="s">
        <v>52</v>
      </c>
      <c r="B133" s="95">
        <f>'Ke Hoach'!B138</f>
        <v>0</v>
      </c>
      <c r="C133" s="53"/>
      <c r="D133" s="53"/>
      <c r="E133" s="53"/>
      <c r="F133" s="53"/>
      <c r="G133" s="60">
        <f>'Ke Hoach'!F138</f>
        <v>0</v>
      </c>
      <c r="H133" s="109">
        <f>'Ke Hoach'!G138</f>
        <v>0</v>
      </c>
      <c r="I133" s="60">
        <f>'Ke Hoach'!I138</f>
        <v>0</v>
      </c>
      <c r="J133" s="110">
        <f t="shared" si="20"/>
        <v>0</v>
      </c>
      <c r="K133" s="53"/>
      <c r="L133" s="113"/>
      <c r="M133" s="56">
        <f t="shared" si="21"/>
        <v>0</v>
      </c>
      <c r="N133" s="58"/>
      <c r="O133" s="59">
        <f t="shared" si="22"/>
        <v>0</v>
      </c>
      <c r="P133" s="58"/>
      <c r="Q133" s="59">
        <f t="shared" si="23"/>
        <v>0</v>
      </c>
      <c r="R133" s="114"/>
    </row>
    <row r="134" spans="1:18" ht="15.75" customHeight="1" x14ac:dyDescent="0.25"/>
    <row r="135" spans="1:18" ht="15.75" customHeight="1" x14ac:dyDescent="0.25"/>
    <row r="136" spans="1:18" ht="15.75" customHeight="1" x14ac:dyDescent="0.25"/>
    <row r="137" spans="1:18" ht="15.75" customHeight="1" x14ac:dyDescent="0.25"/>
    <row r="138" spans="1:18" ht="15.75" customHeight="1" x14ac:dyDescent="0.25"/>
    <row r="139" spans="1:18" ht="15.75" customHeight="1" x14ac:dyDescent="0.25"/>
    <row r="140" spans="1:18" ht="15.75" customHeight="1" x14ac:dyDescent="0.25"/>
    <row r="141" spans="1:18" ht="15.75" customHeight="1" x14ac:dyDescent="0.25"/>
    <row r="142" spans="1:18" ht="15.75" customHeight="1" x14ac:dyDescent="0.25"/>
    <row r="143" spans="1:18" ht="15.75" customHeight="1" x14ac:dyDescent="0.25"/>
    <row r="144" spans="1:18"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sheetData>
  <mergeCells count="21">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 ref="L4:M4"/>
    <mergeCell ref="N4:O4"/>
    <mergeCell ref="P4:Q4"/>
    <mergeCell ref="N6:O6"/>
    <mergeCell ref="P6:Q6"/>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33 P7:P133"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108"/>
  <sheetViews>
    <sheetView zoomScaleNormal="100" workbookViewId="0">
      <selection activeCell="K17" sqref="K17"/>
    </sheetView>
  </sheetViews>
  <sheetFormatPr defaultColWidth="8.7109375" defaultRowHeight="15" x14ac:dyDescent="0.25"/>
  <cols>
    <col min="1" max="1" width="4.42578125" customWidth="1"/>
    <col min="2" max="2" width="45.5703125" customWidth="1"/>
    <col min="3" max="3" width="8.42578125" customWidth="1"/>
    <col min="4" max="4" width="8" customWidth="1"/>
    <col min="5" max="5" width="8.42578125" customWidth="1"/>
    <col min="7" max="7" width="14.42578125" customWidth="1"/>
    <col min="8" max="8" width="12.42578125" customWidth="1"/>
  </cols>
  <sheetData>
    <row r="2" spans="1:8" ht="21" customHeight="1" x14ac:dyDescent="0.25">
      <c r="A2" s="212" t="s">
        <v>89</v>
      </c>
      <c r="B2" s="212"/>
      <c r="C2" s="212"/>
      <c r="D2" s="212"/>
      <c r="E2" s="212"/>
      <c r="F2" s="212"/>
      <c r="G2" s="212"/>
      <c r="H2" s="212"/>
    </row>
    <row r="3" spans="1:8" ht="17.25" customHeight="1" x14ac:dyDescent="0.25">
      <c r="A3" s="209" t="s">
        <v>90</v>
      </c>
      <c r="B3" s="209"/>
      <c r="C3" s="209"/>
      <c r="D3" s="209"/>
      <c r="E3" s="209"/>
      <c r="F3" s="209"/>
      <c r="G3" s="209"/>
      <c r="H3" s="209"/>
    </row>
    <row r="4" spans="1:8" ht="17.25" customHeight="1" x14ac:dyDescent="0.25">
      <c r="A4" s="209" t="s">
        <v>91</v>
      </c>
      <c r="B4" s="209"/>
      <c r="C4" s="209"/>
      <c r="D4" s="209"/>
      <c r="E4" s="209"/>
      <c r="F4" s="209"/>
      <c r="G4" s="209"/>
      <c r="H4" s="209"/>
    </row>
    <row r="6" spans="1:8" ht="19.5" customHeight="1" x14ac:dyDescent="0.25">
      <c r="A6" s="213" t="s">
        <v>92</v>
      </c>
      <c r="B6" s="213"/>
      <c r="C6" s="115"/>
      <c r="D6" s="209" t="s">
        <v>93</v>
      </c>
      <c r="E6" s="209"/>
      <c r="F6" s="209"/>
      <c r="G6" s="209"/>
      <c r="H6" s="209"/>
    </row>
    <row r="7" spans="1:8" ht="18.75" customHeight="1" x14ac:dyDescent="0.25">
      <c r="A7" s="208" t="s">
        <v>94</v>
      </c>
      <c r="B7" s="208"/>
      <c r="C7" s="116"/>
      <c r="D7" s="209" t="s">
        <v>95</v>
      </c>
      <c r="E7" s="209"/>
      <c r="F7" s="209"/>
      <c r="G7" s="209"/>
      <c r="H7" s="209"/>
    </row>
    <row r="8" spans="1:8" ht="12" customHeight="1" x14ac:dyDescent="0.25">
      <c r="A8" s="210"/>
      <c r="B8" s="210"/>
      <c r="C8" s="117"/>
    </row>
    <row r="9" spans="1:8" ht="21" customHeight="1" x14ac:dyDescent="0.25">
      <c r="A9" s="211" t="s">
        <v>96</v>
      </c>
      <c r="B9" s="211"/>
      <c r="C9" s="211"/>
      <c r="D9" s="211"/>
      <c r="E9" s="211"/>
      <c r="F9" s="211"/>
      <c r="G9" s="211"/>
      <c r="H9" s="211"/>
    </row>
    <row r="10" spans="1:8" ht="23.25" customHeight="1" x14ac:dyDescent="0.25">
      <c r="A10" s="211" t="s">
        <v>97</v>
      </c>
      <c r="B10" s="211"/>
      <c r="C10" s="211"/>
      <c r="D10" s="211"/>
      <c r="E10" s="211"/>
      <c r="F10" s="211"/>
      <c r="G10" s="211"/>
      <c r="H10" s="211"/>
    </row>
    <row r="11" spans="1:8" ht="23.25" customHeight="1" x14ac:dyDescent="0.25">
      <c r="A11" s="206" t="s">
        <v>98</v>
      </c>
      <c r="B11" s="206"/>
      <c r="C11" s="206"/>
      <c r="D11" s="206"/>
      <c r="E11" s="206"/>
      <c r="F11" s="206"/>
      <c r="G11" s="206"/>
      <c r="H11" s="206"/>
    </row>
    <row r="12" spans="1:8" ht="23.25" customHeight="1" x14ac:dyDescent="0.25">
      <c r="A12" s="206" t="s">
        <v>99</v>
      </c>
      <c r="B12" s="206"/>
      <c r="C12" s="206"/>
      <c r="D12" s="206"/>
      <c r="E12" s="206"/>
      <c r="F12" s="206"/>
      <c r="G12" s="206"/>
      <c r="H12" s="206"/>
    </row>
    <row r="13" spans="1:8" ht="23.25" customHeight="1" x14ac:dyDescent="0.25">
      <c r="A13" s="206" t="s">
        <v>100</v>
      </c>
      <c r="B13" s="206"/>
      <c r="C13" s="206"/>
      <c r="D13" s="206"/>
      <c r="E13" s="206"/>
      <c r="F13" s="206"/>
      <c r="G13" s="206"/>
      <c r="H13" s="206"/>
    </row>
    <row r="14" spans="1:8" ht="23.25" customHeight="1" x14ac:dyDescent="0.25">
      <c r="A14" s="206" t="s">
        <v>101</v>
      </c>
      <c r="B14" s="206"/>
      <c r="C14" s="206"/>
      <c r="D14" s="206"/>
      <c r="E14" s="206"/>
      <c r="F14" s="206"/>
      <c r="G14" s="206"/>
      <c r="H14" s="206"/>
    </row>
    <row r="15" spans="1:8" ht="24" customHeight="1" x14ac:dyDescent="0.25">
      <c r="A15" s="207" t="s">
        <v>102</v>
      </c>
      <c r="B15" s="207"/>
      <c r="C15" s="207"/>
      <c r="D15" s="207"/>
      <c r="E15" s="207"/>
      <c r="F15" s="207"/>
      <c r="G15" s="207"/>
      <c r="H15" s="207"/>
    </row>
    <row r="16" spans="1:8" ht="9" customHeight="1" x14ac:dyDescent="0.25">
      <c r="A16" s="118"/>
      <c r="B16" s="118"/>
      <c r="C16" s="118"/>
      <c r="D16" s="118"/>
      <c r="E16" s="118"/>
      <c r="F16" s="118"/>
      <c r="G16" s="118"/>
      <c r="H16" s="118"/>
    </row>
    <row r="17" spans="1:19" ht="42" customHeight="1" x14ac:dyDescent="0.25">
      <c r="A17" s="203" t="s">
        <v>103</v>
      </c>
      <c r="B17" s="203"/>
      <c r="C17" s="203"/>
      <c r="D17" s="203"/>
      <c r="E17" s="203"/>
      <c r="F17" s="203"/>
      <c r="G17" s="203"/>
      <c r="H17" s="203"/>
    </row>
    <row r="18" spans="1:19" ht="24" customHeight="1" x14ac:dyDescent="0.25">
      <c r="A18" s="119" t="s">
        <v>25</v>
      </c>
      <c r="B18" s="196" t="s">
        <v>104</v>
      </c>
      <c r="C18" s="196"/>
      <c r="D18" s="196"/>
      <c r="E18" s="196"/>
      <c r="F18" s="196"/>
      <c r="G18" s="196"/>
      <c r="H18" s="196"/>
    </row>
    <row r="19" spans="1:19" ht="117.75" customHeight="1" x14ac:dyDescent="0.25">
      <c r="A19" s="119" t="s">
        <v>105</v>
      </c>
      <c r="B19" s="204" t="s">
        <v>106</v>
      </c>
      <c r="C19" s="204"/>
      <c r="D19" s="119" t="s">
        <v>107</v>
      </c>
      <c r="E19" s="119" t="s">
        <v>108</v>
      </c>
      <c r="F19" s="199" t="s">
        <v>14</v>
      </c>
      <c r="G19" s="199"/>
      <c r="H19" s="199"/>
    </row>
    <row r="20" spans="1:19" ht="37.5" customHeight="1" x14ac:dyDescent="0.25">
      <c r="A20" s="121">
        <v>1</v>
      </c>
      <c r="B20" s="200" t="s">
        <v>109</v>
      </c>
      <c r="C20" s="200"/>
      <c r="D20" s="119">
        <f>SUM(D21:D30)</f>
        <v>13</v>
      </c>
      <c r="E20" s="122">
        <f>SUM(E21:E30)</f>
        <v>0</v>
      </c>
      <c r="F20" s="205" t="s">
        <v>110</v>
      </c>
      <c r="G20" s="205"/>
      <c r="H20" s="205"/>
    </row>
    <row r="21" spans="1:19" ht="48.75" customHeight="1" x14ac:dyDescent="0.25">
      <c r="A21" s="123" t="s">
        <v>111</v>
      </c>
      <c r="B21" s="201" t="s">
        <v>112</v>
      </c>
      <c r="C21" s="201"/>
      <c r="D21" s="124">
        <v>2</v>
      </c>
      <c r="E21" s="124"/>
      <c r="F21" s="205"/>
      <c r="G21" s="205"/>
      <c r="H21" s="205"/>
    </row>
    <row r="22" spans="1:19" ht="57" customHeight="1" x14ac:dyDescent="0.25">
      <c r="A22" s="123" t="s">
        <v>113</v>
      </c>
      <c r="B22" s="201" t="s">
        <v>114</v>
      </c>
      <c r="C22" s="201"/>
      <c r="D22" s="124">
        <v>1</v>
      </c>
      <c r="E22" s="124"/>
      <c r="F22" s="205"/>
      <c r="G22" s="205"/>
      <c r="H22" s="205"/>
    </row>
    <row r="23" spans="1:19" ht="39" customHeight="1" x14ac:dyDescent="0.25">
      <c r="A23" s="123" t="s">
        <v>115</v>
      </c>
      <c r="B23" s="201" t="s">
        <v>116</v>
      </c>
      <c r="C23" s="201"/>
      <c r="D23" s="124">
        <v>2</v>
      </c>
      <c r="E23" s="124"/>
      <c r="F23" s="205"/>
      <c r="G23" s="205"/>
      <c r="H23" s="205"/>
    </row>
    <row r="24" spans="1:19" ht="56.25" customHeight="1" x14ac:dyDescent="0.25">
      <c r="A24" s="123" t="s">
        <v>117</v>
      </c>
      <c r="B24" s="201" t="s">
        <v>118</v>
      </c>
      <c r="C24" s="201"/>
      <c r="D24" s="124">
        <v>1</v>
      </c>
      <c r="E24" s="124"/>
      <c r="F24" s="205"/>
      <c r="G24" s="205"/>
      <c r="H24" s="205"/>
    </row>
    <row r="25" spans="1:19" ht="48" customHeight="1" x14ac:dyDescent="0.25">
      <c r="A25" s="123" t="s">
        <v>119</v>
      </c>
      <c r="B25" s="201" t="s">
        <v>120</v>
      </c>
      <c r="C25" s="201"/>
      <c r="D25" s="124">
        <v>1</v>
      </c>
      <c r="E25" s="124"/>
      <c r="F25" s="205"/>
      <c r="G25" s="205"/>
      <c r="H25" s="205"/>
    </row>
    <row r="26" spans="1:19" ht="42" customHeight="1" x14ac:dyDescent="0.25">
      <c r="A26" s="123" t="s">
        <v>121</v>
      </c>
      <c r="B26" s="201" t="s">
        <v>122</v>
      </c>
      <c r="C26" s="201"/>
      <c r="D26" s="124">
        <v>1</v>
      </c>
      <c r="E26" s="124"/>
      <c r="F26" s="205"/>
      <c r="G26" s="205"/>
      <c r="H26" s="205"/>
    </row>
    <row r="27" spans="1:19" ht="39" customHeight="1" x14ac:dyDescent="0.25">
      <c r="A27" s="123" t="s">
        <v>123</v>
      </c>
      <c r="B27" s="201" t="s">
        <v>124</v>
      </c>
      <c r="C27" s="201"/>
      <c r="D27" s="124">
        <v>2</v>
      </c>
      <c r="E27" s="124"/>
      <c r="F27" s="205"/>
      <c r="G27" s="205"/>
      <c r="H27" s="205"/>
    </row>
    <row r="28" spans="1:19" ht="69.75" customHeight="1" x14ac:dyDescent="0.25">
      <c r="A28" s="123" t="s">
        <v>125</v>
      </c>
      <c r="B28" s="201" t="s">
        <v>126</v>
      </c>
      <c r="C28" s="201"/>
      <c r="D28" s="124">
        <v>1</v>
      </c>
      <c r="E28" s="124"/>
      <c r="F28" s="205"/>
      <c r="G28" s="205"/>
      <c r="H28" s="205"/>
    </row>
    <row r="29" spans="1:19" ht="42" customHeight="1" x14ac:dyDescent="0.25">
      <c r="A29" s="123" t="s">
        <v>127</v>
      </c>
      <c r="B29" s="201" t="s">
        <v>128</v>
      </c>
      <c r="C29" s="201"/>
      <c r="D29" s="124">
        <v>1</v>
      </c>
      <c r="E29" s="124"/>
      <c r="F29" s="205"/>
      <c r="G29" s="205"/>
      <c r="H29" s="205"/>
    </row>
    <row r="30" spans="1:19" ht="62.25" customHeight="1" x14ac:dyDescent="0.25">
      <c r="A30" s="123" t="s">
        <v>129</v>
      </c>
      <c r="B30" s="201" t="s">
        <v>130</v>
      </c>
      <c r="C30" s="201"/>
      <c r="D30" s="124">
        <v>1</v>
      </c>
      <c r="E30" s="124"/>
      <c r="F30" s="205"/>
      <c r="G30" s="205"/>
      <c r="H30" s="205"/>
    </row>
    <row r="31" spans="1:19" ht="78" customHeight="1" x14ac:dyDescent="0.25">
      <c r="A31" s="121">
        <v>2</v>
      </c>
      <c r="B31" s="200" t="s">
        <v>131</v>
      </c>
      <c r="C31" s="200"/>
      <c r="D31" s="119">
        <f>SUM(D32:D35)</f>
        <v>12</v>
      </c>
      <c r="E31" s="122">
        <f>SUM(E32:E35)</f>
        <v>0</v>
      </c>
      <c r="F31" s="205"/>
      <c r="G31" s="205"/>
      <c r="H31" s="205"/>
      <c r="I31" s="125"/>
      <c r="J31" s="125"/>
      <c r="K31" s="125"/>
      <c r="L31" s="125"/>
      <c r="M31" s="125"/>
      <c r="N31" s="125"/>
      <c r="O31" s="125"/>
      <c r="P31" s="125"/>
      <c r="Q31" s="125"/>
      <c r="R31" s="125"/>
      <c r="S31" s="125"/>
    </row>
    <row r="32" spans="1:19" ht="170.25" customHeight="1" x14ac:dyDescent="0.25">
      <c r="A32" s="123" t="s">
        <v>111</v>
      </c>
      <c r="B32" s="201" t="s">
        <v>132</v>
      </c>
      <c r="C32" s="201"/>
      <c r="D32" s="124">
        <v>3</v>
      </c>
      <c r="E32" s="124"/>
      <c r="F32" s="205"/>
      <c r="G32" s="205"/>
      <c r="H32" s="205"/>
    </row>
    <row r="33" spans="1:9" ht="135" customHeight="1" x14ac:dyDescent="0.25">
      <c r="A33" s="123" t="s">
        <v>113</v>
      </c>
      <c r="B33" s="201" t="s">
        <v>133</v>
      </c>
      <c r="C33" s="201"/>
      <c r="D33" s="124">
        <v>3</v>
      </c>
      <c r="E33" s="124"/>
      <c r="F33" s="205"/>
      <c r="G33" s="205"/>
      <c r="H33" s="205"/>
    </row>
    <row r="34" spans="1:9" ht="119.25" customHeight="1" x14ac:dyDescent="0.25">
      <c r="A34" s="123" t="s">
        <v>115</v>
      </c>
      <c r="B34" s="201" t="s">
        <v>134</v>
      </c>
      <c r="C34" s="201"/>
      <c r="D34" s="124">
        <v>3</v>
      </c>
      <c r="E34" s="124"/>
      <c r="F34" s="205"/>
      <c r="G34" s="205"/>
      <c r="H34" s="205"/>
    </row>
    <row r="35" spans="1:9" ht="124.5" customHeight="1" x14ac:dyDescent="0.25">
      <c r="A35" s="123" t="s">
        <v>117</v>
      </c>
      <c r="B35" s="201" t="s">
        <v>135</v>
      </c>
      <c r="C35" s="201"/>
      <c r="D35" s="124">
        <v>3</v>
      </c>
      <c r="E35" s="124"/>
      <c r="F35" s="205"/>
      <c r="G35" s="205"/>
      <c r="H35" s="205"/>
    </row>
    <row r="36" spans="1:9" ht="57.75" customHeight="1" x14ac:dyDescent="0.25">
      <c r="A36" s="121">
        <v>3</v>
      </c>
      <c r="B36" s="200" t="s">
        <v>136</v>
      </c>
      <c r="C36" s="200"/>
      <c r="D36" s="119">
        <f>SUM(D37:D39)</f>
        <v>5</v>
      </c>
      <c r="E36" s="122">
        <f>SUM(E37:E39)</f>
        <v>0</v>
      </c>
      <c r="F36" s="205"/>
      <c r="G36" s="205"/>
      <c r="H36" s="205"/>
    </row>
    <row r="37" spans="1:9" ht="54.75" customHeight="1" x14ac:dyDescent="0.25">
      <c r="A37" s="123" t="s">
        <v>111</v>
      </c>
      <c r="B37" s="201" t="s">
        <v>137</v>
      </c>
      <c r="C37" s="201"/>
      <c r="D37" s="124">
        <v>2</v>
      </c>
      <c r="E37" s="124"/>
      <c r="F37" s="205"/>
      <c r="G37" s="205"/>
      <c r="H37" s="205"/>
    </row>
    <row r="38" spans="1:9" ht="52.5" customHeight="1" x14ac:dyDescent="0.25">
      <c r="A38" s="123" t="s">
        <v>113</v>
      </c>
      <c r="B38" s="201" t="s">
        <v>138</v>
      </c>
      <c r="C38" s="201"/>
      <c r="D38" s="124">
        <v>2</v>
      </c>
      <c r="E38" s="124"/>
      <c r="F38" s="205"/>
      <c r="G38" s="205"/>
      <c r="H38" s="205"/>
    </row>
    <row r="39" spans="1:9" ht="54" customHeight="1" x14ac:dyDescent="0.25">
      <c r="A39" s="123" t="s">
        <v>115</v>
      </c>
      <c r="B39" s="201" t="s">
        <v>139</v>
      </c>
      <c r="C39" s="201"/>
      <c r="D39" s="124">
        <v>1</v>
      </c>
      <c r="E39" s="124"/>
      <c r="F39" s="205"/>
      <c r="G39" s="205"/>
      <c r="H39" s="205"/>
    </row>
    <row r="40" spans="1:9" ht="22.5" customHeight="1" x14ac:dyDescent="0.25">
      <c r="A40" s="123"/>
      <c r="B40" s="202" t="s">
        <v>140</v>
      </c>
      <c r="C40" s="202"/>
      <c r="D40" s="119">
        <f>D20+D31+D36</f>
        <v>30</v>
      </c>
      <c r="E40" s="122">
        <f>E20+E31+E36</f>
        <v>0</v>
      </c>
      <c r="F40" s="195"/>
      <c r="G40" s="195"/>
      <c r="H40" s="195"/>
    </row>
    <row r="41" spans="1:9" ht="45" customHeight="1" x14ac:dyDescent="0.25">
      <c r="A41" s="119" t="s">
        <v>63</v>
      </c>
      <c r="B41" s="196" t="s">
        <v>141</v>
      </c>
      <c r="C41" s="196"/>
      <c r="D41" s="196"/>
      <c r="E41" s="196"/>
      <c r="F41" s="196"/>
      <c r="G41" s="196"/>
      <c r="H41" s="196"/>
      <c r="I41" s="125"/>
    </row>
    <row r="42" spans="1:9" ht="69.75" customHeight="1" x14ac:dyDescent="0.25">
      <c r="A42" s="119" t="s">
        <v>105</v>
      </c>
      <c r="B42" s="119" t="s">
        <v>142</v>
      </c>
      <c r="C42" s="119" t="s">
        <v>143</v>
      </c>
      <c r="D42" s="119" t="s">
        <v>144</v>
      </c>
      <c r="E42" s="119" t="s">
        <v>145</v>
      </c>
      <c r="F42" s="119" t="s">
        <v>107</v>
      </c>
      <c r="G42" s="120" t="s">
        <v>146</v>
      </c>
      <c r="H42" s="119" t="s">
        <v>14</v>
      </c>
      <c r="I42" s="125"/>
    </row>
    <row r="43" spans="1:9" ht="38.25" customHeight="1" x14ac:dyDescent="0.25">
      <c r="A43" s="119">
        <v>1</v>
      </c>
      <c r="B43" s="120" t="s">
        <v>28</v>
      </c>
      <c r="C43" s="119">
        <f>KPI!J8</f>
        <v>5</v>
      </c>
      <c r="D43" s="122">
        <f>KPI!R8</f>
        <v>4</v>
      </c>
      <c r="E43" s="119">
        <f>IF(AND(C43&lt;&gt;0,D43&lt;&gt;0),D43*100/C43,0)</f>
        <v>80</v>
      </c>
      <c r="F43" s="119">
        <v>40</v>
      </c>
      <c r="G43" s="126">
        <f>E43%*F43</f>
        <v>32</v>
      </c>
      <c r="H43" s="119"/>
      <c r="I43" s="125"/>
    </row>
    <row r="44" spans="1:9" ht="37.5" customHeight="1" x14ac:dyDescent="0.25">
      <c r="A44" s="127">
        <v>1.1000000000000001</v>
      </c>
      <c r="B44" s="128" t="s">
        <v>147</v>
      </c>
      <c r="C44" s="129"/>
      <c r="D44" s="130"/>
      <c r="E44" s="130"/>
      <c r="F44" s="127"/>
      <c r="G44" s="131"/>
      <c r="H44" s="130"/>
      <c r="I44" s="125"/>
    </row>
    <row r="45" spans="1:9" ht="101.25" customHeight="1" x14ac:dyDescent="0.25">
      <c r="A45" s="127">
        <v>1.2</v>
      </c>
      <c r="B45" s="132" t="s">
        <v>148</v>
      </c>
      <c r="C45" s="132"/>
      <c r="D45" s="130"/>
      <c r="E45" s="130"/>
      <c r="F45" s="127"/>
      <c r="G45" s="131"/>
      <c r="H45" s="130"/>
      <c r="I45" s="125"/>
    </row>
    <row r="46" spans="1:9" ht="38.25" customHeight="1" x14ac:dyDescent="0.25">
      <c r="A46" s="127">
        <v>1.3</v>
      </c>
      <c r="B46" s="132" t="s">
        <v>149</v>
      </c>
      <c r="C46" s="132"/>
      <c r="D46" s="130"/>
      <c r="E46" s="130"/>
      <c r="F46" s="127"/>
      <c r="G46" s="131"/>
      <c r="H46" s="130"/>
      <c r="I46" s="125"/>
    </row>
    <row r="47" spans="1:9" ht="98.25" customHeight="1" x14ac:dyDescent="0.25">
      <c r="A47" s="127">
        <v>1.4</v>
      </c>
      <c r="B47" s="132" t="s">
        <v>150</v>
      </c>
      <c r="C47" s="132"/>
      <c r="D47" s="130"/>
      <c r="E47" s="130"/>
      <c r="F47" s="127"/>
      <c r="G47" s="131"/>
      <c r="H47" s="130"/>
      <c r="I47" s="125"/>
    </row>
    <row r="48" spans="1:9" ht="101.25" customHeight="1" x14ac:dyDescent="0.25">
      <c r="A48" s="127">
        <v>1.5</v>
      </c>
      <c r="B48" s="132" t="s">
        <v>151</v>
      </c>
      <c r="C48" s="132"/>
      <c r="D48" s="130"/>
      <c r="E48" s="130"/>
      <c r="F48" s="127"/>
      <c r="G48" s="131"/>
      <c r="H48" s="130"/>
      <c r="I48" s="125"/>
    </row>
    <row r="49" spans="1:13" ht="43.5" customHeight="1" x14ac:dyDescent="0.25">
      <c r="A49" s="119">
        <v>2</v>
      </c>
      <c r="B49" s="120" t="s">
        <v>54</v>
      </c>
      <c r="C49" s="119">
        <f>KPI!J29</f>
        <v>0</v>
      </c>
      <c r="D49" s="122">
        <f>KPI!R29</f>
        <v>0</v>
      </c>
      <c r="E49" s="119">
        <f>IF(AND(C49&lt;&gt;0,D49&lt;&gt;0),D49*100/C49,0)</f>
        <v>0</v>
      </c>
      <c r="F49" s="119">
        <v>5</v>
      </c>
      <c r="G49" s="126">
        <f>E49%*F49</f>
        <v>0</v>
      </c>
      <c r="H49" s="119"/>
      <c r="I49" s="125"/>
    </row>
    <row r="50" spans="1:13" ht="90" customHeight="1" x14ac:dyDescent="0.25">
      <c r="A50" s="127">
        <v>2.1</v>
      </c>
      <c r="B50" s="133" t="s">
        <v>152</v>
      </c>
      <c r="C50" s="134"/>
      <c r="D50" s="130"/>
      <c r="E50" s="130"/>
      <c r="F50" s="119"/>
      <c r="G50" s="131"/>
      <c r="H50" s="130"/>
      <c r="I50" s="125"/>
    </row>
    <row r="51" spans="1:13" ht="80.25" customHeight="1" x14ac:dyDescent="0.25">
      <c r="A51" s="127">
        <v>2.2000000000000002</v>
      </c>
      <c r="B51" s="133" t="s">
        <v>153</v>
      </c>
      <c r="C51" s="134"/>
      <c r="D51" s="130"/>
      <c r="E51" s="130"/>
      <c r="F51" s="127"/>
      <c r="G51" s="131"/>
      <c r="H51" s="130"/>
      <c r="I51" s="125"/>
    </row>
    <row r="52" spans="1:13" ht="39.75" customHeight="1" x14ac:dyDescent="0.25">
      <c r="A52" s="119">
        <v>3</v>
      </c>
      <c r="B52" s="135" t="s">
        <v>154</v>
      </c>
      <c r="C52" s="119">
        <f>KPI!J50</f>
        <v>0</v>
      </c>
      <c r="D52" s="119">
        <f>KPI!R50</f>
        <v>0</v>
      </c>
      <c r="E52" s="119">
        <f>IF(AND(C52&lt;&gt;0,D52&lt;&gt;0),D52*100/C52,0)</f>
        <v>0</v>
      </c>
      <c r="F52" s="119">
        <v>10</v>
      </c>
      <c r="G52" s="126">
        <f>E52%*F52</f>
        <v>0</v>
      </c>
      <c r="H52" s="119"/>
      <c r="I52" s="125"/>
    </row>
    <row r="53" spans="1:13" ht="128.25" customHeight="1" x14ac:dyDescent="0.25">
      <c r="A53" s="127">
        <v>3.1</v>
      </c>
      <c r="B53" s="134" t="s">
        <v>155</v>
      </c>
      <c r="C53" s="134"/>
      <c r="D53" s="135"/>
      <c r="E53" s="135"/>
      <c r="F53" s="119"/>
      <c r="G53" s="136"/>
      <c r="H53" s="135"/>
      <c r="I53" s="125"/>
    </row>
    <row r="54" spans="1:13" ht="44.25" customHeight="1" x14ac:dyDescent="0.25">
      <c r="A54" s="127">
        <v>3.2</v>
      </c>
      <c r="B54" s="133" t="s">
        <v>156</v>
      </c>
      <c r="C54" s="134"/>
      <c r="D54" s="130"/>
      <c r="E54" s="130"/>
      <c r="F54" s="127"/>
      <c r="G54" s="131"/>
      <c r="H54" s="135"/>
      <c r="I54" s="125"/>
    </row>
    <row r="55" spans="1:13" ht="66" customHeight="1" x14ac:dyDescent="0.25">
      <c r="A55" s="119">
        <v>4</v>
      </c>
      <c r="B55" s="120" t="s">
        <v>157</v>
      </c>
      <c r="C55" s="119">
        <f>KPI!J71</f>
        <v>0</v>
      </c>
      <c r="D55" s="122">
        <f>KPI!R71</f>
        <v>0</v>
      </c>
      <c r="E55" s="119">
        <f>IF(AND(C55&lt;&gt;0,D55&lt;&gt;0),D55*100/C55,0)</f>
        <v>0</v>
      </c>
      <c r="F55" s="119">
        <v>5</v>
      </c>
      <c r="G55" s="119">
        <f>E55%*F55</f>
        <v>0</v>
      </c>
      <c r="H55" s="119"/>
      <c r="I55" s="125"/>
    </row>
    <row r="56" spans="1:13" ht="162.75" customHeight="1" x14ac:dyDescent="0.25">
      <c r="A56" s="127"/>
      <c r="B56" s="133" t="s">
        <v>158</v>
      </c>
      <c r="C56" s="137"/>
      <c r="D56" s="130"/>
      <c r="E56" s="130"/>
      <c r="F56" s="127"/>
      <c r="G56" s="127"/>
      <c r="H56" s="135"/>
      <c r="I56" s="125"/>
    </row>
    <row r="57" spans="1:13" ht="45.75" customHeight="1" x14ac:dyDescent="0.25">
      <c r="A57" s="119">
        <v>5</v>
      </c>
      <c r="B57" s="120" t="s">
        <v>159</v>
      </c>
      <c r="C57" s="119">
        <f>KPI!J92</f>
        <v>0</v>
      </c>
      <c r="D57" s="119">
        <f>KPI!R92</f>
        <v>0</v>
      </c>
      <c r="E57" s="119">
        <f>IF(AND(C57&lt;&gt;0,D57&lt;&gt;0),D57*100/C57,0)</f>
        <v>0</v>
      </c>
      <c r="F57" s="119">
        <v>5</v>
      </c>
      <c r="G57" s="119">
        <f>E57%*F57</f>
        <v>0</v>
      </c>
      <c r="H57" s="119"/>
      <c r="I57" s="125"/>
    </row>
    <row r="58" spans="1:13" ht="109.5" customHeight="1" x14ac:dyDescent="0.25">
      <c r="A58" s="127"/>
      <c r="B58" s="133" t="s">
        <v>160</v>
      </c>
      <c r="C58" s="134"/>
      <c r="D58" s="130"/>
      <c r="E58" s="130"/>
      <c r="F58" s="127"/>
      <c r="G58" s="138"/>
      <c r="H58" s="135"/>
      <c r="I58" s="125"/>
    </row>
    <row r="59" spans="1:13" ht="45.75" customHeight="1" x14ac:dyDescent="0.25">
      <c r="A59" s="139">
        <v>6</v>
      </c>
      <c r="B59" s="120" t="s">
        <v>62</v>
      </c>
      <c r="C59" s="119">
        <f>KPI!J113</f>
        <v>0</v>
      </c>
      <c r="D59" s="122">
        <f>KPI!R113</f>
        <v>0</v>
      </c>
      <c r="E59" s="119">
        <f>IF(AND(C59&lt;&gt;0,D59&lt;&gt;0),D59*100/C59,0)</f>
        <v>0</v>
      </c>
      <c r="F59" s="119">
        <v>5</v>
      </c>
      <c r="G59" s="126">
        <f>E59%*F59</f>
        <v>0</v>
      </c>
      <c r="H59" s="119"/>
      <c r="I59" s="140"/>
      <c r="J59" s="140"/>
      <c r="K59" s="140"/>
      <c r="L59" s="140"/>
      <c r="M59" s="141"/>
    </row>
    <row r="60" spans="1:13" ht="131.25" customHeight="1" x14ac:dyDescent="0.25">
      <c r="A60" s="17"/>
      <c r="B60" s="133" t="s">
        <v>161</v>
      </c>
      <c r="C60" s="134"/>
      <c r="D60" s="130"/>
      <c r="E60" s="130"/>
      <c r="F60" s="127"/>
      <c r="G60" s="131"/>
      <c r="H60" s="130"/>
      <c r="I60" s="140"/>
      <c r="J60" s="140"/>
      <c r="K60" s="140"/>
      <c r="L60" s="140"/>
      <c r="M60" s="141"/>
    </row>
    <row r="61" spans="1:13" ht="20.25" customHeight="1" x14ac:dyDescent="0.25">
      <c r="A61" s="142"/>
      <c r="B61" s="120" t="s">
        <v>162</v>
      </c>
      <c r="C61" s="120"/>
      <c r="D61" s="143"/>
      <c r="E61" s="143"/>
      <c r="F61" s="139">
        <f>F59+F57+F55+F52+F49+F43</f>
        <v>70</v>
      </c>
      <c r="G61" s="139">
        <f>G59+G57+G55+G52+G49+G43</f>
        <v>32</v>
      </c>
      <c r="H61" s="143"/>
      <c r="I61" s="140"/>
      <c r="J61" s="140"/>
      <c r="K61" s="140"/>
      <c r="L61" s="140"/>
      <c r="M61" s="141"/>
    </row>
    <row r="62" spans="1:13" ht="21" customHeight="1" x14ac:dyDescent="0.25">
      <c r="A62" s="142"/>
      <c r="B62" s="144" t="s">
        <v>163</v>
      </c>
      <c r="C62" s="144"/>
      <c r="D62" s="143"/>
      <c r="E62" s="143"/>
      <c r="F62" s="3">
        <f>D40+F61</f>
        <v>100</v>
      </c>
      <c r="G62" s="145">
        <f>E40+G61</f>
        <v>32</v>
      </c>
      <c r="H62" s="143"/>
      <c r="I62" s="140"/>
      <c r="J62" s="140"/>
      <c r="K62" s="140"/>
      <c r="L62" s="140"/>
      <c r="M62" s="141"/>
    </row>
    <row r="63" spans="1:13" ht="15" customHeight="1" x14ac:dyDescent="0.25">
      <c r="A63" s="197"/>
      <c r="B63" s="197"/>
      <c r="C63" s="197"/>
      <c r="D63" s="197"/>
      <c r="E63" s="197"/>
      <c r="F63" s="197"/>
      <c r="G63" s="197"/>
      <c r="H63" s="197"/>
      <c r="I63" s="197"/>
    </row>
    <row r="64" spans="1:13" ht="15" customHeight="1" x14ac:dyDescent="0.25">
      <c r="A64" s="146" t="s">
        <v>164</v>
      </c>
      <c r="B64" s="198" t="s">
        <v>165</v>
      </c>
      <c r="C64" s="198"/>
      <c r="D64" s="198"/>
      <c r="E64" s="198"/>
    </row>
    <row r="65" spans="1:10" ht="36.75" customHeight="1" x14ac:dyDescent="0.25">
      <c r="A65" s="119" t="s">
        <v>105</v>
      </c>
      <c r="B65" s="199" t="s">
        <v>166</v>
      </c>
      <c r="C65" s="199"/>
      <c r="D65" s="199"/>
      <c r="E65" s="199" t="s">
        <v>167</v>
      </c>
      <c r="F65" s="199"/>
      <c r="G65" s="199" t="s">
        <v>14</v>
      </c>
      <c r="H65" s="199"/>
    </row>
    <row r="66" spans="1:10" ht="45" customHeight="1" x14ac:dyDescent="0.25">
      <c r="A66" s="147">
        <v>1</v>
      </c>
      <c r="B66" s="193" t="s">
        <v>168</v>
      </c>
      <c r="C66" s="193"/>
      <c r="D66" s="193"/>
      <c r="E66" s="193" t="s">
        <v>169</v>
      </c>
      <c r="F66" s="193"/>
      <c r="G66" s="193"/>
      <c r="H66" s="193"/>
      <c r="I66" s="148"/>
    </row>
    <row r="67" spans="1:10" ht="22.5" customHeight="1" x14ac:dyDescent="0.25">
      <c r="A67" s="147">
        <v>2</v>
      </c>
      <c r="B67" s="193" t="s">
        <v>170</v>
      </c>
      <c r="C67" s="193"/>
      <c r="D67" s="193"/>
      <c r="E67" s="193" t="s">
        <v>171</v>
      </c>
      <c r="F67" s="193"/>
      <c r="G67" s="193"/>
      <c r="H67" s="193"/>
    </row>
    <row r="68" spans="1:10" ht="53.25" customHeight="1" x14ac:dyDescent="0.25">
      <c r="A68" s="147">
        <v>3</v>
      </c>
      <c r="B68" s="193" t="s">
        <v>172</v>
      </c>
      <c r="C68" s="193"/>
      <c r="D68" s="193"/>
      <c r="E68" s="193" t="s">
        <v>173</v>
      </c>
      <c r="F68" s="193"/>
      <c r="G68" s="193" t="s">
        <v>174</v>
      </c>
      <c r="H68" s="193"/>
    </row>
    <row r="69" spans="1:10" ht="37.5" customHeight="1" x14ac:dyDescent="0.25">
      <c r="A69" s="147">
        <v>4</v>
      </c>
      <c r="B69" s="193" t="s">
        <v>175</v>
      </c>
      <c r="C69" s="193"/>
      <c r="D69" s="193"/>
      <c r="E69" s="193" t="s">
        <v>173</v>
      </c>
      <c r="F69" s="193"/>
      <c r="G69" s="194"/>
      <c r="H69" s="194"/>
    </row>
    <row r="70" spans="1:10" ht="15" customHeight="1" x14ac:dyDescent="0.25">
      <c r="B70" s="149"/>
    </row>
    <row r="71" spans="1:10" ht="15" customHeight="1" x14ac:dyDescent="0.25">
      <c r="A71" s="189" t="s">
        <v>176</v>
      </c>
      <c r="B71" s="189"/>
      <c r="C71" s="189"/>
      <c r="D71" s="189"/>
      <c r="E71" s="189"/>
      <c r="F71" s="189"/>
      <c r="G71" s="189"/>
      <c r="H71" s="189"/>
    </row>
    <row r="72" spans="1:10" ht="15" customHeight="1" x14ac:dyDescent="0.25">
      <c r="I72" s="150"/>
    </row>
    <row r="73" spans="1:10" ht="180.75" customHeight="1" x14ac:dyDescent="0.25">
      <c r="A73" s="190" t="s">
        <v>177</v>
      </c>
      <c r="B73" s="190"/>
      <c r="C73" s="190"/>
      <c r="D73" s="190"/>
      <c r="E73" s="190"/>
      <c r="F73" s="190"/>
      <c r="G73" s="190"/>
      <c r="H73" s="190"/>
      <c r="I73" s="151"/>
      <c r="J73" s="152"/>
    </row>
    <row r="74" spans="1:10" ht="15" customHeight="1" x14ac:dyDescent="0.25">
      <c r="A74" s="153"/>
      <c r="B74" s="153"/>
      <c r="C74" s="153"/>
      <c r="D74" s="153"/>
      <c r="E74" s="153"/>
      <c r="F74" s="153"/>
      <c r="G74" s="153"/>
      <c r="H74" s="153"/>
      <c r="I74" s="151"/>
      <c r="J74" s="152"/>
    </row>
    <row r="75" spans="1:10" ht="15" customHeight="1" x14ac:dyDescent="0.25">
      <c r="A75" s="153"/>
      <c r="B75" s="153"/>
      <c r="C75" s="153"/>
      <c r="D75" s="153"/>
      <c r="E75" s="153"/>
      <c r="F75" s="153"/>
      <c r="G75" s="153"/>
      <c r="H75" s="153"/>
      <c r="I75" s="151"/>
      <c r="J75" s="152"/>
    </row>
    <row r="76" spans="1:10" ht="15.75" customHeight="1" x14ac:dyDescent="0.25">
      <c r="A76" s="154"/>
      <c r="B76" s="155" t="s">
        <v>178</v>
      </c>
      <c r="C76" s="156"/>
      <c r="D76" s="156"/>
      <c r="E76" s="191" t="s">
        <v>179</v>
      </c>
      <c r="F76" s="191"/>
      <c r="G76" s="191"/>
      <c r="H76" s="191"/>
      <c r="I76" s="157"/>
      <c r="J76" s="157"/>
    </row>
    <row r="77" spans="1:10" ht="15" customHeight="1" x14ac:dyDescent="0.25">
      <c r="A77" s="156"/>
      <c r="B77" s="158" t="s">
        <v>180</v>
      </c>
      <c r="C77" s="156"/>
      <c r="D77" s="156"/>
      <c r="E77" s="192" t="s">
        <v>180</v>
      </c>
      <c r="F77" s="192"/>
      <c r="G77" s="192"/>
      <c r="H77" s="192"/>
      <c r="I77" s="159"/>
      <c r="J77" s="159"/>
    </row>
    <row r="78" spans="1:10" ht="15" customHeight="1" x14ac:dyDescent="0.3">
      <c r="A78" s="156"/>
      <c r="B78" s="156"/>
      <c r="C78" s="156"/>
      <c r="D78" s="156"/>
      <c r="E78" s="156"/>
      <c r="F78" s="156"/>
      <c r="G78" s="156"/>
      <c r="H78" s="156"/>
      <c r="I78" s="160"/>
      <c r="J78" s="160"/>
    </row>
    <row r="79" spans="1:10" ht="15" customHeight="1" x14ac:dyDescent="0.3">
      <c r="A79" s="156"/>
      <c r="B79" s="156"/>
      <c r="C79" s="156"/>
      <c r="D79" s="156"/>
      <c r="E79" s="156"/>
      <c r="F79" s="156"/>
      <c r="G79" s="156"/>
      <c r="H79" s="156"/>
      <c r="I79" s="160"/>
      <c r="J79" s="160"/>
    </row>
    <row r="80" spans="1:10" ht="74.25" customHeight="1" x14ac:dyDescent="0.25">
      <c r="A80" s="161" t="s">
        <v>181</v>
      </c>
      <c r="B80" s="162" t="s">
        <v>182</v>
      </c>
      <c r="C80" s="162"/>
      <c r="D80" s="162"/>
      <c r="E80" s="156"/>
      <c r="F80" s="156"/>
      <c r="G80" s="156"/>
      <c r="H80" s="156"/>
      <c r="I80" s="156"/>
      <c r="J80" s="156"/>
    </row>
    <row r="81" spans="1:10" ht="18" customHeight="1" x14ac:dyDescent="0.25">
      <c r="A81" s="163" t="s">
        <v>183</v>
      </c>
      <c r="B81" s="164" t="s">
        <v>184</v>
      </c>
      <c r="C81" s="164"/>
      <c r="D81" s="164"/>
      <c r="E81" s="156"/>
      <c r="F81" s="156"/>
      <c r="G81" s="156"/>
      <c r="H81" s="156"/>
      <c r="I81" s="156"/>
      <c r="J81" s="156"/>
    </row>
    <row r="82" spans="1:10" ht="15" customHeight="1" x14ac:dyDescent="0.25">
      <c r="A82" s="163" t="s">
        <v>183</v>
      </c>
      <c r="B82" s="164" t="s">
        <v>185</v>
      </c>
      <c r="C82" s="164"/>
      <c r="D82" s="164"/>
      <c r="E82" s="156"/>
      <c r="F82" s="156"/>
      <c r="G82" s="156"/>
      <c r="H82" s="156"/>
      <c r="I82" s="156"/>
      <c r="J82" s="156"/>
    </row>
    <row r="83" spans="1:10" ht="15" customHeight="1" x14ac:dyDescent="0.25">
      <c r="A83" s="156"/>
      <c r="B83" s="156"/>
      <c r="C83" s="156"/>
      <c r="D83" s="156"/>
      <c r="E83" s="156"/>
      <c r="F83" s="156"/>
      <c r="G83" s="156"/>
      <c r="H83" s="156"/>
      <c r="I83" s="165"/>
      <c r="J83" s="165"/>
    </row>
    <row r="84" spans="1:10" ht="15" customHeight="1" x14ac:dyDescent="0.25">
      <c r="A84" s="192" t="s">
        <v>186</v>
      </c>
      <c r="B84" s="192"/>
      <c r="C84" s="192"/>
      <c r="D84" s="192"/>
      <c r="E84" s="192"/>
      <c r="F84" s="192"/>
      <c r="G84" s="192"/>
      <c r="H84" s="192"/>
      <c r="I84" s="166"/>
      <c r="J84" s="166"/>
    </row>
    <row r="85" spans="1:10" ht="14.25" customHeight="1" x14ac:dyDescent="0.25">
      <c r="A85" s="187" t="s">
        <v>187</v>
      </c>
      <c r="B85" s="187"/>
      <c r="C85" s="187"/>
      <c r="D85" s="187"/>
      <c r="E85" s="187"/>
      <c r="F85" s="187"/>
      <c r="G85" s="187"/>
      <c r="H85" s="187"/>
      <c r="I85" s="146"/>
      <c r="J85" s="146"/>
    </row>
    <row r="86" spans="1:10" ht="14.25" customHeight="1" x14ac:dyDescent="0.25">
      <c r="A86" s="187" t="s">
        <v>188</v>
      </c>
      <c r="B86" s="187"/>
      <c r="C86" s="187"/>
      <c r="D86" s="187"/>
      <c r="E86" s="187"/>
      <c r="F86" s="187"/>
      <c r="G86" s="187"/>
      <c r="H86" s="187"/>
      <c r="I86" s="146"/>
      <c r="J86" s="146"/>
    </row>
    <row r="87" spans="1:10" ht="14.25" customHeight="1" x14ac:dyDescent="0.25">
      <c r="A87" s="188" t="s">
        <v>189</v>
      </c>
      <c r="B87" s="188"/>
      <c r="C87" s="188"/>
      <c r="D87" s="188"/>
      <c r="E87" s="188"/>
      <c r="F87" s="188"/>
      <c r="G87" s="188"/>
      <c r="H87" s="188"/>
      <c r="I87" s="146"/>
      <c r="J87" s="146"/>
    </row>
    <row r="88" spans="1:10" ht="14.25" customHeight="1" x14ac:dyDescent="0.3">
      <c r="A88" s="160"/>
      <c r="B88" s="160"/>
      <c r="C88" s="160"/>
      <c r="D88" s="160"/>
      <c r="E88" s="160"/>
      <c r="F88" s="160"/>
      <c r="G88" s="160"/>
      <c r="H88" s="160"/>
      <c r="I88" s="160"/>
      <c r="J88" s="160"/>
    </row>
    <row r="89" spans="1:10" ht="14.25" customHeight="1" x14ac:dyDescent="0.3">
      <c r="A89" s="160"/>
      <c r="B89" s="160"/>
      <c r="C89" s="160"/>
      <c r="D89" s="160"/>
      <c r="E89" s="160"/>
      <c r="F89" s="160"/>
      <c r="G89" s="160"/>
      <c r="H89" s="160"/>
      <c r="I89" s="160"/>
      <c r="J89" s="160"/>
    </row>
    <row r="90" spans="1:10" ht="14.25" customHeight="1" x14ac:dyDescent="0.25">
      <c r="A90" s="167"/>
      <c r="B90" s="167"/>
      <c r="C90" s="167"/>
      <c r="D90" s="167"/>
      <c r="E90" s="167"/>
      <c r="F90" s="167"/>
      <c r="G90" s="167"/>
      <c r="H90" s="167"/>
      <c r="I90" s="167"/>
      <c r="J90" s="165"/>
    </row>
    <row r="91" spans="1:10" ht="18" customHeight="1" x14ac:dyDescent="0.25">
      <c r="A91" s="167"/>
      <c r="B91" s="167"/>
      <c r="C91" s="167"/>
      <c r="D91" s="167"/>
      <c r="E91" s="167"/>
      <c r="F91" s="167"/>
      <c r="G91" s="167"/>
      <c r="H91" s="167"/>
      <c r="I91" s="167"/>
      <c r="J91" s="165"/>
    </row>
    <row r="92" spans="1:10" ht="15" customHeight="1" x14ac:dyDescent="0.25">
      <c r="A92" s="167"/>
      <c r="B92" s="167"/>
      <c r="C92" s="167"/>
      <c r="D92" s="167"/>
      <c r="E92" s="167"/>
      <c r="F92" s="167"/>
      <c r="G92" s="167"/>
      <c r="H92" s="167"/>
      <c r="I92" s="167"/>
      <c r="J92" s="165"/>
    </row>
    <row r="93" spans="1:10" ht="15" customHeight="1" x14ac:dyDescent="0.25">
      <c r="A93" s="156"/>
      <c r="B93" s="156"/>
      <c r="C93" s="156"/>
      <c r="D93" s="156"/>
      <c r="E93" s="156"/>
      <c r="F93" s="156"/>
      <c r="G93" s="156"/>
      <c r="H93" s="156"/>
      <c r="I93" s="156"/>
      <c r="J93" s="165"/>
    </row>
    <row r="94" spans="1:10" ht="15" customHeight="1" x14ac:dyDescent="0.25">
      <c r="A94" s="156"/>
      <c r="B94" s="156"/>
      <c r="C94" s="156"/>
      <c r="D94" s="156"/>
      <c r="E94" s="156"/>
      <c r="F94" s="156"/>
      <c r="G94" s="156"/>
      <c r="H94" s="156"/>
      <c r="I94" s="156"/>
      <c r="J94" s="165"/>
    </row>
    <row r="95" spans="1:10" ht="14.25" customHeight="1" x14ac:dyDescent="0.25">
      <c r="A95" s="156"/>
      <c r="B95" s="156"/>
      <c r="C95" s="156"/>
      <c r="D95" s="156"/>
      <c r="E95" s="156"/>
      <c r="F95" s="156"/>
      <c r="G95" s="156"/>
      <c r="H95" s="156"/>
      <c r="I95" s="156"/>
      <c r="J95" s="165"/>
    </row>
    <row r="96" spans="1:10" ht="14.25" customHeight="1" x14ac:dyDescent="0.25">
      <c r="A96" s="156"/>
      <c r="B96" s="156"/>
      <c r="C96" s="156"/>
      <c r="D96" s="156"/>
      <c r="E96" s="156"/>
      <c r="F96" s="156"/>
      <c r="G96" s="156"/>
      <c r="H96" s="156"/>
      <c r="I96" s="156"/>
      <c r="J96" s="165"/>
    </row>
    <row r="97" spans="1:10" ht="14.25" customHeight="1" x14ac:dyDescent="0.25">
      <c r="A97" s="156"/>
      <c r="B97" s="156"/>
      <c r="C97" s="156"/>
      <c r="D97" s="156"/>
      <c r="E97" s="156"/>
      <c r="F97" s="156"/>
      <c r="G97" s="156"/>
      <c r="H97" s="156"/>
      <c r="I97" s="156"/>
      <c r="J97" s="165"/>
    </row>
    <row r="98" spans="1:10" ht="14.25" customHeight="1" x14ac:dyDescent="0.25">
      <c r="A98" s="156"/>
      <c r="B98" s="156"/>
      <c r="C98" s="156"/>
      <c r="D98" s="156"/>
      <c r="E98" s="156"/>
      <c r="F98" s="156"/>
      <c r="G98" s="156"/>
      <c r="H98" s="156"/>
      <c r="I98" s="156"/>
      <c r="J98" s="165"/>
    </row>
    <row r="99" spans="1:10" ht="14.25" customHeight="1" x14ac:dyDescent="0.3">
      <c r="A99" s="160"/>
      <c r="B99" s="160"/>
      <c r="C99" s="160"/>
      <c r="D99" s="160"/>
      <c r="E99" s="160"/>
      <c r="F99" s="160"/>
      <c r="G99" s="160"/>
      <c r="H99" s="160"/>
      <c r="I99" s="160"/>
      <c r="J99" s="160"/>
    </row>
    <row r="100" spans="1:10" ht="14.25" customHeight="1" x14ac:dyDescent="0.25">
      <c r="A100" s="167"/>
      <c r="B100" s="167"/>
      <c r="C100" s="167"/>
      <c r="D100" s="167"/>
      <c r="E100" s="167"/>
      <c r="F100" s="167"/>
      <c r="G100" s="167"/>
      <c r="H100" s="167"/>
      <c r="I100" s="167"/>
      <c r="J100" s="165"/>
    </row>
    <row r="101" spans="1:10" ht="15" customHeight="1" x14ac:dyDescent="0.25">
      <c r="A101" s="167"/>
      <c r="B101" s="167"/>
      <c r="C101" s="167"/>
      <c r="D101" s="167"/>
      <c r="E101" s="167"/>
      <c r="F101" s="167"/>
      <c r="G101" s="167"/>
      <c r="H101" s="167"/>
      <c r="I101" s="167"/>
      <c r="J101" s="165"/>
    </row>
    <row r="102" spans="1:10" ht="15" customHeight="1" x14ac:dyDescent="0.25">
      <c r="A102" s="167"/>
      <c r="B102" s="167"/>
      <c r="C102" s="167"/>
      <c r="D102" s="167"/>
      <c r="E102" s="167"/>
      <c r="F102" s="167"/>
      <c r="G102" s="167"/>
      <c r="H102" s="167"/>
      <c r="I102" s="167"/>
      <c r="J102" s="165"/>
    </row>
    <row r="103" spans="1:10" ht="15" customHeight="1" x14ac:dyDescent="0.25">
      <c r="A103" s="156"/>
      <c r="B103" s="156"/>
      <c r="C103" s="156"/>
      <c r="D103" s="156"/>
      <c r="E103" s="156"/>
      <c r="F103" s="156"/>
      <c r="G103" s="156"/>
      <c r="H103" s="156"/>
      <c r="I103" s="156"/>
      <c r="J103" s="165"/>
    </row>
    <row r="104" spans="1:10" ht="15" customHeight="1" x14ac:dyDescent="0.25">
      <c r="A104" s="156"/>
      <c r="B104" s="156"/>
      <c r="C104" s="156"/>
      <c r="D104" s="156"/>
      <c r="E104" s="156"/>
      <c r="F104" s="156"/>
      <c r="G104" s="156"/>
      <c r="H104" s="156"/>
      <c r="I104" s="156"/>
      <c r="J104" s="165"/>
    </row>
    <row r="105" spans="1:10" ht="15" customHeight="1" x14ac:dyDescent="0.25">
      <c r="A105" s="156"/>
      <c r="B105" s="156"/>
      <c r="C105" s="156"/>
      <c r="D105" s="156"/>
      <c r="E105" s="156"/>
      <c r="F105" s="156"/>
      <c r="G105" s="156"/>
      <c r="H105" s="156"/>
      <c r="I105" s="156"/>
      <c r="J105" s="165"/>
    </row>
    <row r="106" spans="1:10" ht="15" customHeight="1" x14ac:dyDescent="0.25">
      <c r="A106" s="156"/>
      <c r="B106" s="156"/>
      <c r="C106" s="156"/>
      <c r="D106" s="156"/>
      <c r="E106" s="156"/>
      <c r="F106" s="156"/>
      <c r="G106" s="156"/>
      <c r="H106" s="156"/>
      <c r="I106" s="156"/>
      <c r="J106" s="165"/>
    </row>
    <row r="107" spans="1:10" ht="15" customHeight="1" x14ac:dyDescent="0.25">
      <c r="A107" s="156"/>
      <c r="B107" s="156"/>
      <c r="C107" s="156"/>
      <c r="D107" s="156"/>
      <c r="E107" s="156"/>
      <c r="F107" s="156"/>
      <c r="G107" s="156"/>
      <c r="H107" s="156"/>
      <c r="I107" s="156"/>
      <c r="J107" s="165"/>
    </row>
    <row r="108" spans="1:10" ht="15" customHeight="1" x14ac:dyDescent="0.25">
      <c r="A108" s="156"/>
      <c r="B108" s="156"/>
      <c r="C108" s="156"/>
      <c r="D108" s="156"/>
      <c r="E108" s="156"/>
      <c r="F108" s="156"/>
      <c r="G108" s="156"/>
      <c r="H108" s="156"/>
      <c r="I108" s="156"/>
      <c r="J108" s="165"/>
    </row>
  </sheetData>
  <mergeCells count="68">
    <mergeCell ref="A2:H2"/>
    <mergeCell ref="A3:H3"/>
    <mergeCell ref="A4:H4"/>
    <mergeCell ref="A6:B6"/>
    <mergeCell ref="D6:H6"/>
    <mergeCell ref="A7:B7"/>
    <mergeCell ref="D7:H7"/>
    <mergeCell ref="A8:B8"/>
    <mergeCell ref="A9:H9"/>
    <mergeCell ref="A10:H10"/>
    <mergeCell ref="A11:H11"/>
    <mergeCell ref="A12:H12"/>
    <mergeCell ref="A13:H13"/>
    <mergeCell ref="A14:H14"/>
    <mergeCell ref="A15:H15"/>
    <mergeCell ref="A17:H17"/>
    <mergeCell ref="B18:H18"/>
    <mergeCell ref="B19:C19"/>
    <mergeCell ref="F19:H19"/>
    <mergeCell ref="B20:C20"/>
    <mergeCell ref="F20:H39"/>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F40:H40"/>
    <mergeCell ref="B41:H41"/>
    <mergeCell ref="A63:I63"/>
    <mergeCell ref="B64:E64"/>
    <mergeCell ref="B65:D65"/>
    <mergeCell ref="E65:F65"/>
    <mergeCell ref="G65:H65"/>
    <mergeCell ref="B66:D66"/>
    <mergeCell ref="E66:F66"/>
    <mergeCell ref="G66:H66"/>
    <mergeCell ref="B67:D67"/>
    <mergeCell ref="E67:F67"/>
    <mergeCell ref="G67:H67"/>
    <mergeCell ref="B68:D68"/>
    <mergeCell ref="E68:F68"/>
    <mergeCell ref="G68:H68"/>
    <mergeCell ref="B69:D69"/>
    <mergeCell ref="E69:F69"/>
    <mergeCell ref="G69:H69"/>
    <mergeCell ref="A85:H85"/>
    <mergeCell ref="A86:H86"/>
    <mergeCell ref="A87:H87"/>
    <mergeCell ref="A71:H71"/>
    <mergeCell ref="A73:H73"/>
    <mergeCell ref="E76:H76"/>
    <mergeCell ref="E77:H77"/>
    <mergeCell ref="A84:H8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Ke Hoach</vt:lpstr>
      <vt:lpstr>KPI</vt:lpstr>
      <vt:lpstr>Danh Gia</vt:lpstr>
      <vt:lpstr>'Danh Gia'!Print_Area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2026-09-07T00:45:27Z</dcterms:modified>
  <dc:language>en-US</dc:language>
</cp:coreProperties>
</file>