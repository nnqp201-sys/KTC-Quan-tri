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PHONG TCCB-CTHSSV\VBAN DANH DIA XLOAI VC\KHUNG TIEU CHI DANH GIA\Khung tieu chi danh gia TT, ca nhan LDT thoe 1584\Tap the\"/>
    </mc:Choice>
  </mc:AlternateContent>
  <bookViews>
    <workbookView xWindow="0" yWindow="0" windowWidth="20490" windowHeight="7650" tabRatio="500"/>
  </bookViews>
  <sheets>
    <sheet name="Sheet1" sheetId="1" r:id="rId1"/>
  </sheets>
  <definedNames>
    <definedName name="_xlnm.Print_Titles" localSheetId="0">Sheet1!$8:$8</definedName>
  </definedNames>
  <calcPr calcId="162913"/>
  <extLst>
    <ext xmlns:loext="http://schemas.libreoffice.org/" uri="{7626C862-2A13-11E5-B345-FEFF819CDC9F}">
      <loext:extCalcPr stringRefSyntax="ExcelA1"/>
    </ext>
  </extLst>
</workbook>
</file>

<file path=xl/calcChain.xml><?xml version="1.0" encoding="utf-8"?>
<calcChain xmlns="http://schemas.openxmlformats.org/spreadsheetml/2006/main">
  <c r="C34" i="1" l="1"/>
  <c r="C26" i="1"/>
  <c r="C44" i="1"/>
</calcChain>
</file>

<file path=xl/sharedStrings.xml><?xml version="1.0" encoding="utf-8"?>
<sst xmlns="http://schemas.openxmlformats.org/spreadsheetml/2006/main" count="93" uniqueCount="93">
  <si>
    <t xml:space="preserve">UBND TỈNH QUẢNG NGÃI
TRƯỜNG CAO ĐẲNG KON TUM
</t>
  </si>
  <si>
    <t>Đơn vị: Phòng Tổ chức cán bộ và Công tác học sinh, sinh viên</t>
  </si>
  <si>
    <t>I. Tự đánh giá kết quả thực hiện nhiệm vụ</t>
  </si>
  <si>
    <t>A</t>
  </si>
  <si>
    <t>NHÓM TIÊU CHÍ CHUNG (30 ĐIỂM)</t>
  </si>
  <si>
    <t>TT</t>
  </si>
  <si>
    <t>TIÊU CHÍ ĐÁNH GIÁ</t>
  </si>
  <si>
    <t>Điểm tối đa</t>
  </si>
  <si>
    <t>Chỉ số KPI</t>
  </si>
  <si>
    <t>Chấp hành đường lối, chủ trương của Đảng, chính sách, pháp luật của Nhà nước; thực hiện nghiêm sự chỉ đạo, điều hành của Hiệu trưởng và cấp có thẩm quyền.</t>
  </si>
  <si>
    <t>Tỷ lệ chủ trương, chỉ đạo của cấp trên liên quan lĩnh vực Phòng được quán triệt, tổ chức thực hiện đầy đủ, đúng thời hạn.</t>
  </si>
  <si>
    <t>Xây dựng và tổ chức thực hiện kế hoạch công tác năm, quý, tháng của Phòng bảo đảm chất lượng, tiến độ.</t>
  </si>
  <si>
    <t>Tỷ lệ đầu việc trong kế hoạch công tác của Phòng được hoàn thành đúng tiến độ, đúng chất lượng.</t>
  </si>
  <si>
    <t>Năng lực nhận diện, dự báo xu hướng phát triển; chủ động tham mưu giải pháp thích ứng với thay đổi trong lĩnh vực tổ chức cán bộ, chính trị tư tưởng, công tác học sinh, sinh viên.</t>
  </si>
  <si>
    <t>Hiệu quả quản lý tổ chức bộ máy và viên chức trong Phòng theo vị trí việc làm; bố trí, phân công công việc hợp lý, phát huy năng lực viên chức.</t>
  </si>
  <si>
    <t>Mức độ phù hợp giữa phân công nhiệm vụ thực tế và vị trí việc làm được phê duyệt.</t>
  </si>
  <si>
    <t>Xây dựng môi trường làm việc chuyên nghiệp, hiện đại, minh bạch, dân chủ; hiệu quả phối hợp công tác và xây dựng đoàn kết nội bộ.</t>
  </si>
  <si>
    <t>Mức độ chấp hành kỷ luật, kỷ cương hành chính, giờ giấc làm việc; thực hiện quy chế của Trường, của Phòng.</t>
  </si>
  <si>
    <t>Số trường hợp vi phạm kỷ luật, kỷ cương hành chính bị nhắc nhở/xử lý (nếu có).</t>
  </si>
  <si>
    <t>Kết quả thực hiện cải cách hành chính, ứng dụng công nghệ thông tin, chuyển đổi số trong hoạt động nội bộ của Phòng và giải quyết thủ tục hành chính liên quan viên chức, học sinh, sinh viên.</t>
  </si>
  <si>
    <t>Tỷ lệ hồ sơ, thủ tục hành chính thuộc Phòng được xử lý trên môi trường điện tử/số hóa.</t>
  </si>
  <si>
    <t>Mức độ thường xuyên rà soát, cải tiến quy chế làm việc, quy trình nội bộ của Phòng; xây dựng, tổ chức thực hiện biện pháp khắc phục tồn tại, hạn chế được chỉ ra qua đánh giá, kiểm tra, thanh tra, kiểm toán (nếu có).</t>
  </si>
  <si>
    <t>Tỷ lệ kiến nghị, kết luận kiểm tra/thanh tra liên quan Phòng được khắc phục đúng thời hạn (nếu có).</t>
  </si>
  <si>
    <t>Tổng điểm nhóm A</t>
  </si>
  <si>
    <t>B</t>
  </si>
  <si>
    <t>KẾT QUẢ THỰC HIỆN NHIỆM VỤ ĐƯỢC GIAO (70 ĐIỂM) - Đề nghị đề xuất mức điểm tối đa đối với các nhiệm vụ trục chính</t>
  </si>
  <si>
    <t xml:space="preserve">Trục (1) - Thực hiện mục tiêu phát triển Kinh tế - xã hội và nhiệm vụ chính trị được giao </t>
  </si>
  <si>
    <t>1.1</t>
  </si>
  <si>
    <t>Thực hiện đầy đủ, đúng tiến độ các nhiệm vụ thường xuyên, đột xuất do Hiệu trưởng, cấp có thẩm quyền giao thuộc chức năng của Phòng; thực hiện nghiêm chế độ thông tin, báo cáo.</t>
  </si>
  <si>
    <t>(1) Tỷ lệ nhiệm vụ được giao hoàn thành đúng tiến độ, đúng yêu cầu; (2) Tỷ lệ báo cáo (tuần, tháng, quý, 6 tháng, năm) nộp đúng thời hạn.</t>
  </si>
  <si>
    <t>Trục (2) - Hoàn thiện thể chế, đẩy mạnh phân cấp, phân quyền gắn với kiểm tra, giám sát</t>
  </si>
  <si>
    <t>2.1</t>
  </si>
  <si>
    <t>Tham mưu xây dựng, hoàn thiện cơ cấu tổ chức, chức năng, nhiệm vụ các đơn vị thuộc Trường và các quy chế, quy định, quy trình nội bộ thuộc lĩnh vực tổ chức cán bộ, chính trị tư tưởng, công tác HSSV.</t>
  </si>
  <si>
    <t>(1) Tỷ lệ văn bản, đề án về tổ chức bộ máy/quy chế nội bộ thuộc lĩnh vực Phòng được tham mưu, trình ban hành đúng thẩm quyền, đúng tiến độ, đúng thể thức.</t>
  </si>
  <si>
    <t>2.2</t>
  </si>
  <si>
    <t>Xây dựng, quản lý, cập nhật hồ sơ viên chức bảo đảm đầy đủ, chính xác, đúng quy định về văn thư, lưu trữ.</t>
  </si>
  <si>
    <t>(1) Tỷ lệ hồ sơ viên chức được lập, cập nhật, lưu trữ đầy đủ, đúng quy định.</t>
  </si>
  <si>
    <t>Trục (3) - Thúc đẩy phát triển khoa học, công nghệ, đổi mới sáng tạo và chuyển đổi số.</t>
  </si>
  <si>
    <t>3.1</t>
  </si>
  <si>
    <t>Chủ trì xây dựng, số hóa và quản lý cơ sở dữ liệu viên chức, học sinh - sinh viên phục vụ chuyển đổi số dùng chung của Trường; tham mưu lộ trình chuyển đổi số trong lĩnh vực tổ chức cán bộ và công tác học sinh, sinh viên (nhiệm vụ bổ sung theo phân công thực tế, ngoài Điều 3 QĐ 661/QĐ-CĐKT).</t>
  </si>
  <si>
    <t>(1) Mức độ hoàn thành lộ trình số hóa hồ sơ, dữ liệu viên chức, HSSV theo kế hoạch được phê duyệt; (2) Tỷ lệ dữ liệu viên chức, HSSV được cập nhật, khai thác trên cơ sở dữ liệu dùng chung của Trường.</t>
  </si>
  <si>
    <t>Trục (4) - Xây dựng đảng và hệ thống chính trị trong sạch, vững mạnh; giữ gìn đoàn kết, thống nhất nội bộ; phòng, chống tham nhũng, lãng phí, tiêu cực.</t>
  </si>
  <si>
    <t>4.1</t>
  </si>
  <si>
    <t>Tổ chức học tập, quán triệt chủ trương, đường lối của Đảng, chính sách pháp luật của Nhà nước; tuyên truyền, giáo dục chính trị; nắm bắt, xử lý kịp thời diễn biến tư tưởng của viên chức, người lao động và HSSV.</t>
  </si>
  <si>
    <t>(1) Tỷ lệ hội nghị, đợt học tập, quán triệt được tổ chức đúng kế hoạch; (2) Tỷ lệ vụ việc, diễn biến tư tưởng phát sinh được nắm bắt, báo cáo, đề xuất xử lý kịp thời.</t>
  </si>
  <si>
    <t>4.2</t>
  </si>
  <si>
    <t>Tham mưu kiện toàn tổ chức bộ máy; xây dựng vị trí việc làm; tổ chức tuyển dụng, bố trí, bổ nhiệm, điều động, sử dụng viên chức, người lao động bảo đảm hợp lý, hiệu quả, đúng quy định.</t>
  </si>
  <si>
    <t>(1) Tỷ lệ vị trí việc làm được rà soát, đề xuất đúng quy định; (2) Tỷ lệ hồ sơ tuyển dụng/bổ nhiệm/điều động được xử lý đúng quy trình, đúng thời hạn.</t>
  </si>
  <si>
    <t>4.3</t>
  </si>
  <si>
    <t>Tổ chức xây dựng quy hoạch, kế hoạch đào tạo, bồi dưỡng đội ngũ nhà giáo, viên chức.</t>
  </si>
  <si>
    <t>(1) Tỷ lệ viên chức được cử đào tạo, bồi dưỡng theo kế hoạch.</t>
  </si>
  <si>
    <t>4.4</t>
  </si>
  <si>
    <t>Tổ chức đánh giá, xếp loại nhà giáo, viên chức hằng năm theo quy định.</t>
  </si>
  <si>
    <t>(1) Tỷ lệ hoàn thành đánh giá, xếp loại viên chức đúng thời hạn.</t>
  </si>
  <si>
    <t>4.5</t>
  </si>
  <si>
    <t>Tổ chức phong trào thi đua, khen thưởng; xử lý kỷ luật viên chức theo quy định.</t>
  </si>
  <si>
    <t>(1) Số danh hiệu thi đua, hình thức khen thưởng được công nhận đúng quy định; (2) Tỷ lệ hồ sơ kỷ luật (nếu có) xử lý đúng quy trình.</t>
  </si>
  <si>
    <t>4.6</t>
  </si>
  <si>
    <t>Phối hợp thực hiện đầy đủ, kịp thời chế độ, chính sách đối với viên chức, người lao động (nâng lương, phụ cấp, bảo hiểm, nghỉ hưu...).</t>
  </si>
  <si>
    <t>(1) Tỷ lệ hồ sơ chế độ, chính sách viên chức được giải quyết đúng thời hạn, đúng đối tượng, đúng quy định.</t>
  </si>
  <si>
    <t>4.7</t>
  </si>
  <si>
    <t>Tổ chức thực hiện Quy chế dân chủ ở cơ sở; công tác dân vận trong nhà trường.</t>
  </si>
  <si>
    <t>(1) Số cuộc hội nghị viên chức, người lao động, đối thoại được tổ chức theo kế hoạch; (2) Tỷ lệ kiến nghị, phản ánh của viên chức được tiếp nhận, giải quyết đúng thời hạn.</t>
  </si>
  <si>
    <t>Trục (5) - Phát triển văn hóa, con người, bảo đảm an sinh xã hội, nâng cao đời sống Nhân dân</t>
  </si>
  <si>
    <t>5.1</t>
  </si>
  <si>
    <t>Tổ chức lớp, quản lý danh sách, thẻ HSSV; theo dõi, đánh giá, xếp loại kết quả rèn luyện; tổ chức thi đua, khen thưởng và xử lý kỷ luật HSSV theo quy định.</t>
  </si>
  <si>
    <t>(1) Tỷ lệ HSSV được đánh giá, xếp loại rèn luyện đúng thời hạn từng học kỳ/năm học; (2) Tỷ lệ hồ sơ khen thưởng, kỷ luật HSSV được xử lý đúng quy trình, đúng thời hạn.</t>
  </si>
  <si>
    <t>5.2</t>
  </si>
  <si>
    <t>Thống kê, quản lý, cập nhật hồ sơ học sinh, sinh viên bảo đảm đầy đủ, chính xác, đúng quy định.</t>
  </si>
  <si>
    <t>(1) Tỷ lệ hồ sơ HSSV được lập, cập nhật, lưu trữ đầy đủ, đúng quy định.</t>
  </si>
  <si>
    <t>5.3</t>
  </si>
  <si>
    <t>Giải quyết công việc hành chính liên quan HSSV; tổ chức Tuần sinh hoạt công dân đầu năm, cuối năm học; tổ chức đối thoại định kỳ giữa Lãnh đạo Trường với HSSV.</t>
  </si>
  <si>
    <t>(1) Mức độ hoàn thành kế hoạch tổ chức Tuần sinh hoạt công dân; (2) Số cuộc đối thoại Lãnh đạo Trường - HSSV được tổ chức theo kế hoạch.</t>
  </si>
  <si>
    <t>5.4</t>
  </si>
  <si>
    <t>Phối hợp tổ chức thực hiện đầy đủ, kịp thời chế độ, chính sách đối với HSSV: học bổng khuyến khích học tập, miễn giảm học phí, trợ cấp xã hội, bảo hiểm, tín dụng đào tạo và chế độ khác.</t>
  </si>
  <si>
    <t>(1) Tỷ lệ hồ sơ chế độ, chính sách HSSV được giải quyết đúng thời hạn, đúng đối tượng, đúng quy định.</t>
  </si>
  <si>
    <t>5.5</t>
  </si>
  <si>
    <t>Phối hợp tổ chức tư vấn học tập, pháp lý, tâm lý, xã hội, nghề nghiệp, việc làm cho HSSV; giáo dục đạo đức, lối sống, kỹ năng sống; phối hợp theo dõi HSSV ngoại trú.</t>
  </si>
  <si>
    <t>(1) Số hoạt động/buổi tư vấn học tập - tâm lý - nghề nghiệp - việc làm được tổ chức theo kế hoạch; (2) Mức độ hài lòng của HSSV được tư vấn (qua khảo sát, nếu có).</t>
  </si>
  <si>
    <t>5.6</t>
  </si>
  <si>
    <t>Phối hợp Đoàn Thanh niên, Hội Sinh viên và các câu lạc bộ, đội, nhóm tổ chức cho HSSV tham gia hoạt động chính trị, xã hội, văn nghệ, thể thao; Phòng chịu trách nhiệm quản lý, phối hợp tổ chức HSSV tham gia bảo đảm an toàn, đúng quy định, Đoàn Thanh niên, Hội Sinh viên, câu lạc bộ chịu trách nhiệm về nội dung, chất lượng phong trào; phối hợp tổ chức, quản lý HSSV khi được điều động tham gia hoạt động ngoài Trường.</t>
  </si>
  <si>
    <t>(1) Tỷ lệ hoạt động do Đoàn - Hội, câu lạc bộ tổ chức được Phòng phối hợp quản lý HSSV tham gia đầy đủ, an toàn, đúng quy định; (2) Tỷ lệ HSSV được quản lý đầy đủ khi tham gia hoạt động ngoài Trường (không để xảy ra sự việc đáng tiếc).</t>
  </si>
  <si>
    <t>Trục (6) - Củng cố quốc phòng, an ninh, giữ vững ổn định chính trị - xã hội, nâng cao hiệu quả đối ngoại và hội nhập quốc tế</t>
  </si>
  <si>
    <t>6.1</t>
  </si>
  <si>
    <t>Phối hợp thực hiện công tác an ninh chính trị, trật tự, an toàn trong HSSV; phòng, chống tội phạm và tệ nạn xã hội, bạo lực học đường (Phòng Tổng hợp - Hành chính và Quản trị là đơn vị chủ trì công tác bảo vệ, an ninh trật tự chung của Trường).</t>
  </si>
  <si>
    <t>(1) Số vụ việc mất an ninh, trật tự liên quan đến HSSV được phát hiện, xử lý kịp thời; (2) Không để xảy ra vụ việc nghiêm trọng trong phạm vi trách nhiệm phối hợp của Phòng.</t>
  </si>
  <si>
    <t>Tổng điểm nhóm B</t>
  </si>
  <si>
    <t>Tổng điểm A + B</t>
  </si>
  <si>
    <t>II. Tự đề xuất mức xếp loại chất lượng: ……</t>
  </si>
  <si>
    <t>(Theo 04 mức: - Hoàn thành xuất sắc nhiệm vụ, 2- Hoàn thành tốt nhiệm vụ,
 3- Hoàn thành nhiệm vụ và 4- Không hoàn thành nhiệm vụ)</t>
  </si>
  <si>
    <t>Điểm đạt</t>
  </si>
  <si>
    <t>KHUNG TIÊU CHÍ ĐÁNH GIÁ, XẾP LOẠI ĐƠN VỊ
Quý …. năm ….</t>
  </si>
  <si>
    <t>CỘNG HÒA XÃ HỘI CHỦ NGHĨA VIỆT NAM
Độc lập – Tự do – Hạnh phúc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</si>
</sst>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charset val="1"/>
    </font>
    <font>
      <sz val="11"/>
      <name val="Times New Roman"/>
      <family val="1"/>
      <charset val="1"/>
    </font>
    <font>
      <b/>
      <sz val="11"/>
      <name val="Times New Roman"/>
      <family val="1"/>
      <charset val="1"/>
    </font>
    <font>
      <b/>
      <sz val="13"/>
      <name val="Times New Roman"/>
      <family val="1"/>
      <charset val="1"/>
    </font>
    <font>
      <b/>
      <sz val="14"/>
      <name val="Times New Roman"/>
      <family val="1"/>
      <charset val="1"/>
    </font>
    <font>
      <b/>
      <sz val="12"/>
      <name val="Times New Roman"/>
      <family val="1"/>
      <charset val="1"/>
    </font>
    <font>
      <sz val="12"/>
      <name val="Times New Roman"/>
      <family val="1"/>
      <charset val="1"/>
    </font>
    <font>
      <i/>
      <sz val="13"/>
      <name val="Times New Roman"/>
      <family val="1"/>
      <charset val="1"/>
    </font>
    <font>
      <i/>
      <sz val="12"/>
      <name val="Times New Roman"/>
      <family val="1"/>
      <charset val="1"/>
    </font>
    <font>
      <b/>
      <i/>
      <sz val="12"/>
      <name val="Times New Roman"/>
      <family val="1"/>
      <charset val="1"/>
    </font>
    <font>
      <b/>
      <sz val="12"/>
      <color theme="1"/>
      <name val="Times New Roman"/>
      <family val="1"/>
      <charset val="1"/>
    </font>
    <font>
      <i/>
      <sz val="14"/>
      <name val="Times New Roman"/>
      <family val="1"/>
      <charset val="1"/>
    </font>
    <font>
      <sz val="14"/>
      <name val="Times New Roman"/>
      <family val="1"/>
      <charset val="1"/>
    </font>
  </fonts>
  <fills count="3">
    <fill>
      <patternFill patternType="none"/>
    </fill>
    <fill>
      <patternFill patternType="gray125"/>
    </fill>
    <fill>
      <patternFill patternType="solid">
        <fgColor theme="0"/>
        <bgColor rgb="FFFFFFC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5">
    <xf numFmtId="0" fontId="0" fillId="0" borderId="0" xfId="0"/>
    <xf numFmtId="0" fontId="5" fillId="0" borderId="0" xfId="0" applyFont="1" applyBorder="1" applyAlignment="1">
      <alignment horizontal="center" wrapText="1"/>
    </xf>
    <xf numFmtId="0" fontId="9" fillId="0" borderId="0" xfId="0" applyFont="1" applyBorder="1" applyAlignment="1">
      <alignment horizontal="center" vertical="center"/>
    </xf>
    <xf numFmtId="0" fontId="4" fillId="0" borderId="0" xfId="0" applyFont="1" applyBorder="1" applyAlignment="1">
      <alignment horizontal="center"/>
    </xf>
    <xf numFmtId="0" fontId="11" fillId="0" borderId="0" xfId="0" applyFont="1" applyBorder="1" applyAlignment="1">
      <alignment horizontal="center" vertical="center"/>
    </xf>
    <xf numFmtId="0" fontId="4" fillId="0" borderId="0" xfId="0" applyFont="1" applyBorder="1" applyAlignment="1">
      <alignment horizontal="center" vertical="center" wrapText="1"/>
    </xf>
    <xf numFmtId="0" fontId="8" fillId="0" borderId="0" xfId="0" applyFont="1" applyBorder="1" applyAlignment="1">
      <alignment horizontal="left" vertical="center" wrapText="1"/>
    </xf>
    <xf numFmtId="0" fontId="10" fillId="0" borderId="0" xfId="0" applyFont="1" applyBorder="1" applyAlignment="1">
      <alignment horizontal="left" vertical="center" wrapText="1"/>
    </xf>
    <xf numFmtId="0" fontId="5" fillId="0" borderId="1" xfId="0" applyFont="1" applyBorder="1" applyAlignment="1">
      <alignment horizontal="justify" vertical="center" wrapText="1"/>
    </xf>
    <xf numFmtId="0" fontId="5" fillId="0" borderId="1" xfId="0" applyFont="1" applyBorder="1" applyAlignment="1">
      <alignment horizontal="left" vertical="center" wrapText="1"/>
    </xf>
    <xf numFmtId="0" fontId="6" fillId="0" borderId="0" xfId="0" applyFont="1" applyBorder="1" applyAlignment="1">
      <alignment horizontal="left" vertical="center" wrapText="1"/>
    </xf>
    <xf numFmtId="49" fontId="4" fillId="0" borderId="0" xfId="0" applyNumberFormat="1" applyFont="1" applyBorder="1" applyAlignment="1" applyProtection="1">
      <alignment horizontal="center" vertical="center" wrapText="1"/>
      <protection hidden="1"/>
    </xf>
    <xf numFmtId="49" fontId="3" fillId="0" borderId="0" xfId="0" applyNumberFormat="1" applyFont="1" applyBorder="1" applyAlignment="1" applyProtection="1">
      <alignment horizontal="center" vertical="top" wrapText="1"/>
      <protection hidden="1"/>
    </xf>
    <xf numFmtId="0" fontId="2" fillId="0" borderId="0" xfId="0" applyFont="1" applyBorder="1" applyAlignment="1">
      <alignment horizontal="center"/>
    </xf>
    <xf numFmtId="0" fontId="1" fillId="0" borderId="0" xfId="0" applyFont="1"/>
    <xf numFmtId="0" fontId="2" fillId="0" borderId="0" xfId="0" applyFont="1" applyAlignment="1">
      <alignment vertical="top"/>
    </xf>
    <xf numFmtId="49" fontId="5" fillId="0" borderId="0" xfId="0" applyNumberFormat="1" applyFont="1" applyAlignment="1" applyProtection="1">
      <alignment vertical="center"/>
      <protection hidden="1"/>
    </xf>
    <xf numFmtId="0" fontId="7" fillId="0" borderId="0" xfId="0" applyFont="1" applyAlignment="1">
      <alignment horizontal="center" vertical="center"/>
    </xf>
    <xf numFmtId="0" fontId="1" fillId="0" borderId="0" xfId="0" applyFont="1" applyAlignment="1">
      <alignment vertical="center" wrapText="1"/>
    </xf>
    <xf numFmtId="0" fontId="5" fillId="0" borderId="1" xfId="0" applyFont="1" applyBorder="1" applyAlignment="1">
      <alignment horizontal="center" vertical="center" wrapText="1"/>
    </xf>
    <xf numFmtId="0" fontId="5" fillId="0" borderId="1" xfId="0" applyFont="1" applyBorder="1" applyAlignment="1">
      <alignment horizontal="justify" vertical="center" wrapText="1"/>
    </xf>
    <xf numFmtId="49" fontId="5" fillId="0" borderId="1" xfId="0" applyNumberFormat="1" applyFont="1" applyBorder="1" applyAlignment="1" applyProtection="1">
      <alignment horizontal="center" vertical="center"/>
      <protection hidden="1"/>
    </xf>
    <xf numFmtId="0" fontId="6" fillId="0" borderId="1" xfId="0" applyFont="1" applyBorder="1" applyAlignment="1" applyProtection="1">
      <alignment horizontal="center" vertical="center" wrapText="1"/>
      <protection hidden="1"/>
    </xf>
    <xf numFmtId="0" fontId="6" fillId="0" borderId="1" xfId="0" applyFont="1" applyBorder="1" applyAlignment="1" applyProtection="1">
      <alignment horizontal="justify" vertical="center" wrapText="1"/>
      <protection hidden="1"/>
    </xf>
    <xf numFmtId="0" fontId="6" fillId="0" borderId="1" xfId="0" applyFont="1" applyBorder="1" applyAlignment="1">
      <alignment horizontal="justify" vertical="center" wrapText="1"/>
    </xf>
    <xf numFmtId="0" fontId="6" fillId="0" borderId="1" xfId="0" applyFont="1" applyBorder="1" applyAlignment="1" applyProtection="1">
      <alignment horizontal="center" vertical="center" wrapText="1"/>
      <protection locked="0" hidden="1"/>
    </xf>
    <xf numFmtId="0" fontId="6" fillId="0" borderId="1" xfId="0" applyFont="1" applyBorder="1" applyAlignment="1" applyProtection="1">
      <alignment horizontal="center" vertical="center" wrapText="1"/>
      <protection locked="0"/>
    </xf>
    <xf numFmtId="0" fontId="6" fillId="0" borderId="1" xfId="0" applyFont="1" applyBorder="1"/>
    <xf numFmtId="0" fontId="5" fillId="0" borderId="1" xfId="0" applyFont="1" applyBorder="1" applyAlignment="1">
      <alignment horizontal="left" vertical="center"/>
    </xf>
    <xf numFmtId="0" fontId="5" fillId="0" borderId="1" xfId="0" applyFont="1" applyBorder="1" applyAlignment="1" applyProtection="1">
      <alignment horizontal="center" vertical="center"/>
      <protection locked="0" hidden="1"/>
    </xf>
    <xf numFmtId="0" fontId="5" fillId="0" borderId="1" xfId="0" applyFont="1" applyBorder="1" applyAlignment="1" applyProtection="1">
      <alignment horizontal="center" vertical="center"/>
      <protection locked="0"/>
    </xf>
    <xf numFmtId="0" fontId="8" fillId="0" borderId="1" xfId="0" applyFont="1" applyBorder="1" applyAlignment="1">
      <alignment vertical="center" wrapText="1"/>
    </xf>
    <xf numFmtId="0" fontId="6" fillId="0" borderId="1" xfId="0" applyFont="1" applyBorder="1" applyAlignment="1">
      <alignment vertical="center" wrapText="1"/>
    </xf>
    <xf numFmtId="0" fontId="6" fillId="0" borderId="1" xfId="0" applyFont="1" applyBorder="1" applyAlignment="1">
      <alignment horizontal="center" vertical="center" wrapText="1"/>
    </xf>
    <xf numFmtId="0" fontId="8" fillId="0" borderId="1" xfId="0" applyFont="1" applyBorder="1" applyAlignment="1">
      <alignment horizontal="center" vertical="center" wrapText="1"/>
    </xf>
    <xf numFmtId="0" fontId="5" fillId="0" borderId="1" xfId="0" applyFont="1" applyBorder="1" applyAlignment="1">
      <alignment vertical="center" wrapText="1"/>
    </xf>
    <xf numFmtId="0" fontId="9" fillId="0" borderId="1" xfId="0" applyFont="1" applyBorder="1" applyAlignment="1">
      <alignment vertical="center" wrapText="1"/>
    </xf>
    <xf numFmtId="0" fontId="6" fillId="2" borderId="1" xfId="0" applyFont="1" applyFill="1" applyBorder="1" applyAlignment="1">
      <alignment horizontal="justify" vertical="center" wrapText="1"/>
    </xf>
    <xf numFmtId="0" fontId="5" fillId="2" borderId="1" xfId="0" applyFont="1" applyFill="1" applyBorder="1" applyAlignment="1">
      <alignment horizontal="justify" vertical="center" wrapText="1"/>
    </xf>
    <xf numFmtId="0" fontId="5" fillId="0" borderId="1" xfId="0" applyFont="1" applyBorder="1" applyAlignment="1">
      <alignment vertical="top" wrapText="1"/>
    </xf>
    <xf numFmtId="0" fontId="6" fillId="2" borderId="1" xfId="0" applyFont="1" applyFill="1" applyBorder="1" applyAlignment="1">
      <alignment horizontal="center" vertical="center" wrapText="1"/>
    </xf>
    <xf numFmtId="0" fontId="5" fillId="0" borderId="1" xfId="0" applyFont="1" applyBorder="1" applyAlignment="1">
      <alignment horizontal="center" vertical="center"/>
    </xf>
    <xf numFmtId="0" fontId="5" fillId="0" borderId="1" xfId="0" applyFont="1" applyBorder="1"/>
    <xf numFmtId="0" fontId="5" fillId="0" borderId="1" xfId="0" applyFont="1" applyBorder="1" applyAlignment="1">
      <alignment vertical="center"/>
    </xf>
    <xf numFmtId="0" fontId="11" fillId="0" borderId="0" xfId="0" applyFont="1" applyAlignment="1">
      <alignment horizontal="center" vertical="center" wrapText="1"/>
    </xf>
    <xf numFmtId="0" fontId="12" fillId="0" borderId="0" xfId="0" applyFont="1"/>
    <xf numFmtId="0" fontId="5" fillId="0" borderId="0" xfId="0" applyFont="1" applyAlignment="1">
      <alignment horizontal="center" vertical="center"/>
    </xf>
    <xf numFmtId="0" fontId="5" fillId="0" borderId="0" xfId="0" applyFont="1" applyAlignment="1">
      <alignment vertical="center"/>
    </xf>
    <xf numFmtId="0" fontId="6" fillId="0" borderId="0" xfId="0" applyFont="1"/>
    <xf numFmtId="0" fontId="6" fillId="0" borderId="0" xfId="0" applyFont="1" applyAlignment="1">
      <alignment horizontal="center" vertical="center"/>
    </xf>
    <xf numFmtId="0" fontId="6" fillId="0" borderId="0" xfId="0" applyFont="1" applyAlignment="1">
      <alignment vertical="center"/>
    </xf>
    <xf numFmtId="0" fontId="5" fillId="0" borderId="0" xfId="0" applyFont="1" applyBorder="1" applyAlignment="1">
      <alignment horizontal="center"/>
    </xf>
    <xf numFmtId="0" fontId="6" fillId="0" borderId="0" xfId="0" applyFont="1" applyBorder="1" applyAlignment="1">
      <alignment horizontal="center"/>
    </xf>
    <xf numFmtId="0" fontId="1" fillId="0" borderId="0" xfId="0" applyFont="1" applyBorder="1"/>
    <xf numFmtId="0" fontId="3" fillId="0" borderId="0"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666750</xdr:colOff>
      <xdr:row>1</xdr:row>
      <xdr:rowOff>419100</xdr:rowOff>
    </xdr:from>
    <xdr:to>
      <xdr:col>1</xdr:col>
      <xdr:colOff>1962150</xdr:colOff>
      <xdr:row>1</xdr:row>
      <xdr:rowOff>428625</xdr:rowOff>
    </xdr:to>
    <xdr:cxnSp macro="">
      <xdr:nvCxnSpPr>
        <xdr:cNvPr id="3" name="Straight Connector 2"/>
        <xdr:cNvCxnSpPr/>
      </xdr:nvCxnSpPr>
      <xdr:spPr>
        <a:xfrm>
          <a:off x="1171575" y="600075"/>
          <a:ext cx="1295400" cy="952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409575</xdr:colOff>
      <xdr:row>1</xdr:row>
      <xdr:rowOff>428625</xdr:rowOff>
    </xdr:from>
    <xdr:to>
      <xdr:col>4</xdr:col>
      <xdr:colOff>1409700</xdr:colOff>
      <xdr:row>1</xdr:row>
      <xdr:rowOff>428626</xdr:rowOff>
    </xdr:to>
    <xdr:cxnSp macro="">
      <xdr:nvCxnSpPr>
        <xdr:cNvPr id="5" name="Straight Connector 4"/>
        <xdr:cNvCxnSpPr/>
      </xdr:nvCxnSpPr>
      <xdr:spPr>
        <a:xfrm>
          <a:off x="4581525" y="609600"/>
          <a:ext cx="1895475" cy="1"/>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73"/>
  <sheetViews>
    <sheetView tabSelected="1" zoomScaleNormal="100" workbookViewId="0">
      <selection activeCell="C44" sqref="C44"/>
    </sheetView>
  </sheetViews>
  <sheetFormatPr defaultColWidth="9.140625" defaultRowHeight="15" x14ac:dyDescent="0.25"/>
  <cols>
    <col min="1" max="1" width="7.5703125" style="14" customWidth="1"/>
    <col min="2" max="2" width="48.28515625" style="14" customWidth="1"/>
    <col min="3" max="3" width="6.7109375" style="14" customWidth="1"/>
    <col min="4" max="4" width="13.42578125" style="14" customWidth="1"/>
    <col min="5" max="5" width="34" style="14" customWidth="1"/>
    <col min="6" max="16384" width="9.140625" style="14"/>
  </cols>
  <sheetData>
    <row r="1" spans="1:7" ht="14.25" customHeight="1" x14ac:dyDescent="0.25">
      <c r="D1" s="13"/>
      <c r="E1" s="13"/>
    </row>
    <row r="2" spans="1:7" ht="44.25" customHeight="1" x14ac:dyDescent="0.25">
      <c r="A2" s="12" t="s">
        <v>0</v>
      </c>
      <c r="B2" s="12"/>
      <c r="C2" s="54" t="s">
        <v>92</v>
      </c>
      <c r="D2" s="54"/>
      <c r="E2" s="54"/>
      <c r="F2" s="15"/>
      <c r="G2" s="15"/>
    </row>
    <row r="3" spans="1:7" ht="44.25" customHeight="1" x14ac:dyDescent="0.25">
      <c r="A3" s="11" t="s">
        <v>91</v>
      </c>
      <c r="B3" s="11"/>
      <c r="C3" s="11"/>
      <c r="D3" s="11"/>
      <c r="E3" s="11"/>
      <c r="F3" s="16"/>
      <c r="G3" s="16"/>
    </row>
    <row r="4" spans="1:7" ht="24" customHeight="1" x14ac:dyDescent="0.25">
      <c r="A4" s="10" t="s">
        <v>1</v>
      </c>
      <c r="B4" s="10"/>
      <c r="C4" s="10"/>
      <c r="D4" s="10"/>
      <c r="E4" s="10"/>
      <c r="F4" s="16"/>
      <c r="G4" s="16"/>
    </row>
    <row r="5" spans="1:7" ht="11.25" customHeight="1" x14ac:dyDescent="0.25">
      <c r="A5" s="17"/>
      <c r="B5" s="17"/>
      <c r="C5" s="17"/>
      <c r="D5" s="17"/>
      <c r="E5" s="17"/>
      <c r="F5" s="17"/>
      <c r="G5" s="17"/>
    </row>
    <row r="6" spans="1:7" ht="28.5" customHeight="1" x14ac:dyDescent="0.25">
      <c r="A6" s="9" t="s">
        <v>2</v>
      </c>
      <c r="B6" s="9"/>
      <c r="C6" s="9"/>
      <c r="D6" s="9"/>
      <c r="E6" s="9"/>
      <c r="F6" s="18"/>
      <c r="G6" s="18"/>
    </row>
    <row r="7" spans="1:7" ht="21" customHeight="1" x14ac:dyDescent="0.25">
      <c r="A7" s="19" t="s">
        <v>3</v>
      </c>
      <c r="B7" s="8" t="s">
        <v>4</v>
      </c>
      <c r="C7" s="8"/>
      <c r="D7" s="8"/>
      <c r="E7" s="8"/>
    </row>
    <row r="8" spans="1:7" ht="32.25" customHeight="1" x14ac:dyDescent="0.25">
      <c r="A8" s="19" t="s">
        <v>5</v>
      </c>
      <c r="B8" s="21" t="s">
        <v>6</v>
      </c>
      <c r="C8" s="19" t="s">
        <v>7</v>
      </c>
      <c r="D8" s="19" t="s">
        <v>90</v>
      </c>
      <c r="E8" s="19" t="s">
        <v>8</v>
      </c>
    </row>
    <row r="9" spans="1:7" ht="81" customHeight="1" x14ac:dyDescent="0.25">
      <c r="A9" s="22">
        <v>1</v>
      </c>
      <c r="B9" s="23" t="s">
        <v>9</v>
      </c>
      <c r="C9" s="22">
        <v>4</v>
      </c>
      <c r="D9" s="22"/>
      <c r="E9" s="24" t="s">
        <v>10</v>
      </c>
    </row>
    <row r="10" spans="1:7" ht="66" customHeight="1" x14ac:dyDescent="0.25">
      <c r="A10" s="22">
        <v>2</v>
      </c>
      <c r="B10" s="23" t="s">
        <v>11</v>
      </c>
      <c r="C10" s="25">
        <v>4</v>
      </c>
      <c r="D10" s="26"/>
      <c r="E10" s="24" t="s">
        <v>12</v>
      </c>
    </row>
    <row r="11" spans="1:7" ht="81" customHeight="1" x14ac:dyDescent="0.25">
      <c r="A11" s="22">
        <v>3</v>
      </c>
      <c r="B11" s="23" t="s">
        <v>13</v>
      </c>
      <c r="C11" s="25">
        <v>3</v>
      </c>
      <c r="D11" s="26"/>
      <c r="E11" s="24"/>
    </row>
    <row r="12" spans="1:7" ht="66" customHeight="1" x14ac:dyDescent="0.25">
      <c r="A12" s="22">
        <v>4</v>
      </c>
      <c r="B12" s="23" t="s">
        <v>14</v>
      </c>
      <c r="C12" s="25">
        <v>4</v>
      </c>
      <c r="D12" s="26"/>
      <c r="E12" s="24" t="s">
        <v>15</v>
      </c>
    </row>
    <row r="13" spans="1:7" ht="51" customHeight="1" x14ac:dyDescent="0.25">
      <c r="A13" s="22">
        <v>5</v>
      </c>
      <c r="B13" s="23" t="s">
        <v>16</v>
      </c>
      <c r="C13" s="25">
        <v>4</v>
      </c>
      <c r="D13" s="26"/>
      <c r="E13" s="24"/>
    </row>
    <row r="14" spans="1:7" ht="51" customHeight="1" x14ac:dyDescent="0.25">
      <c r="A14" s="22">
        <v>6</v>
      </c>
      <c r="B14" s="23" t="s">
        <v>17</v>
      </c>
      <c r="C14" s="25">
        <v>3</v>
      </c>
      <c r="D14" s="26"/>
      <c r="E14" s="24" t="s">
        <v>18</v>
      </c>
    </row>
    <row r="15" spans="1:7" ht="81" customHeight="1" x14ac:dyDescent="0.25">
      <c r="A15" s="22">
        <v>7</v>
      </c>
      <c r="B15" s="23" t="s">
        <v>19</v>
      </c>
      <c r="C15" s="25">
        <v>4</v>
      </c>
      <c r="D15" s="26"/>
      <c r="E15" s="24" t="s">
        <v>20</v>
      </c>
    </row>
    <row r="16" spans="1:7" ht="96" customHeight="1" x14ac:dyDescent="0.25">
      <c r="A16" s="22">
        <v>8</v>
      </c>
      <c r="B16" s="23" t="s">
        <v>21</v>
      </c>
      <c r="C16" s="25">
        <v>4</v>
      </c>
      <c r="D16" s="22"/>
      <c r="E16" s="24" t="s">
        <v>22</v>
      </c>
    </row>
    <row r="17" spans="1:5" ht="21" customHeight="1" x14ac:dyDescent="0.25">
      <c r="A17" s="27"/>
      <c r="B17" s="28" t="s">
        <v>23</v>
      </c>
      <c r="C17" s="29">
        <v>30</v>
      </c>
      <c r="D17" s="30"/>
      <c r="E17" s="27"/>
    </row>
    <row r="18" spans="1:5" ht="36" customHeight="1" x14ac:dyDescent="0.25">
      <c r="A18" s="19" t="s">
        <v>24</v>
      </c>
      <c r="B18" s="8" t="s">
        <v>25</v>
      </c>
      <c r="C18" s="8"/>
      <c r="D18" s="8"/>
      <c r="E18" s="8"/>
    </row>
    <row r="19" spans="1:5" ht="51" customHeight="1" x14ac:dyDescent="0.25">
      <c r="A19" s="19">
        <v>1</v>
      </c>
      <c r="B19" s="20" t="s">
        <v>26</v>
      </c>
      <c r="C19" s="19">
        <v>7</v>
      </c>
      <c r="D19" s="31"/>
      <c r="E19" s="32"/>
    </row>
    <row r="20" spans="1:5" ht="96" customHeight="1" x14ac:dyDescent="0.25">
      <c r="A20" s="33" t="s">
        <v>27</v>
      </c>
      <c r="B20" s="24" t="s">
        <v>28</v>
      </c>
      <c r="C20" s="33">
        <v>7</v>
      </c>
      <c r="D20" s="34"/>
      <c r="E20" s="24" t="s">
        <v>29</v>
      </c>
    </row>
    <row r="21" spans="1:5" ht="36" customHeight="1" x14ac:dyDescent="0.25">
      <c r="A21" s="19">
        <v>2</v>
      </c>
      <c r="B21" s="20" t="s">
        <v>30</v>
      </c>
      <c r="C21" s="19">
        <v>8</v>
      </c>
      <c r="D21" s="31"/>
      <c r="E21" s="32"/>
    </row>
    <row r="22" spans="1:5" ht="96" customHeight="1" x14ac:dyDescent="0.25">
      <c r="A22" s="33" t="s">
        <v>31</v>
      </c>
      <c r="B22" s="24" t="s">
        <v>32</v>
      </c>
      <c r="C22" s="33">
        <v>6</v>
      </c>
      <c r="D22" s="34"/>
      <c r="E22" s="24" t="s">
        <v>33</v>
      </c>
    </row>
    <row r="23" spans="1:5" ht="51" customHeight="1" x14ac:dyDescent="0.25">
      <c r="A23" s="33" t="s">
        <v>34</v>
      </c>
      <c r="B23" s="24" t="s">
        <v>35</v>
      </c>
      <c r="C23" s="33">
        <v>2</v>
      </c>
      <c r="D23" s="34"/>
      <c r="E23" s="24" t="s">
        <v>36</v>
      </c>
    </row>
    <row r="24" spans="1:5" ht="51" customHeight="1" x14ac:dyDescent="0.25">
      <c r="A24" s="19">
        <v>3</v>
      </c>
      <c r="B24" s="35" t="s">
        <v>37</v>
      </c>
      <c r="C24" s="19">
        <v>2</v>
      </c>
      <c r="D24" s="36"/>
      <c r="E24" s="35"/>
    </row>
    <row r="25" spans="1:5" ht="126" customHeight="1" x14ac:dyDescent="0.25">
      <c r="A25" s="33" t="s">
        <v>38</v>
      </c>
      <c r="B25" s="24" t="s">
        <v>39</v>
      </c>
      <c r="C25" s="33">
        <v>2</v>
      </c>
      <c r="D25" s="34"/>
      <c r="E25" s="24" t="s">
        <v>40</v>
      </c>
    </row>
    <row r="26" spans="1:5" ht="66" customHeight="1" x14ac:dyDescent="0.25">
      <c r="A26" s="19">
        <v>4</v>
      </c>
      <c r="B26" s="20" t="s">
        <v>41</v>
      </c>
      <c r="C26" s="19">
        <f>SUM(C27:C33)</f>
        <v>28</v>
      </c>
      <c r="D26" s="19"/>
      <c r="E26" s="35"/>
    </row>
    <row r="27" spans="1:5" ht="96" customHeight="1" x14ac:dyDescent="0.25">
      <c r="A27" s="33" t="s">
        <v>42</v>
      </c>
      <c r="B27" s="24" t="s">
        <v>43</v>
      </c>
      <c r="C27" s="33">
        <v>6</v>
      </c>
      <c r="D27" s="33"/>
      <c r="E27" s="24" t="s">
        <v>44</v>
      </c>
    </row>
    <row r="28" spans="1:5" ht="96" customHeight="1" x14ac:dyDescent="0.25">
      <c r="A28" s="33" t="s">
        <v>45</v>
      </c>
      <c r="B28" s="37" t="s">
        <v>46</v>
      </c>
      <c r="C28" s="33">
        <v>7</v>
      </c>
      <c r="D28" s="33"/>
      <c r="E28" s="24" t="s">
        <v>47</v>
      </c>
    </row>
    <row r="29" spans="1:5" ht="51" customHeight="1" x14ac:dyDescent="0.25">
      <c r="A29" s="33" t="s">
        <v>48</v>
      </c>
      <c r="B29" s="24" t="s">
        <v>49</v>
      </c>
      <c r="C29" s="33">
        <v>3</v>
      </c>
      <c r="D29" s="33"/>
      <c r="E29" s="24" t="s">
        <v>50</v>
      </c>
    </row>
    <row r="30" spans="1:5" ht="51" customHeight="1" x14ac:dyDescent="0.25">
      <c r="A30" s="33" t="s">
        <v>51</v>
      </c>
      <c r="B30" s="24" t="s">
        <v>52</v>
      </c>
      <c r="C30" s="33">
        <v>2</v>
      </c>
      <c r="D30" s="33"/>
      <c r="E30" s="24" t="s">
        <v>53</v>
      </c>
    </row>
    <row r="31" spans="1:5" ht="81" customHeight="1" x14ac:dyDescent="0.25">
      <c r="A31" s="33" t="s">
        <v>54</v>
      </c>
      <c r="B31" s="24" t="s">
        <v>55</v>
      </c>
      <c r="C31" s="33">
        <v>2</v>
      </c>
      <c r="D31" s="33"/>
      <c r="E31" s="24" t="s">
        <v>56</v>
      </c>
    </row>
    <row r="32" spans="1:5" ht="81" customHeight="1" x14ac:dyDescent="0.25">
      <c r="A32" s="33" t="s">
        <v>57</v>
      </c>
      <c r="B32" s="24" t="s">
        <v>58</v>
      </c>
      <c r="C32" s="33">
        <v>4</v>
      </c>
      <c r="D32" s="33"/>
      <c r="E32" s="24" t="s">
        <v>59</v>
      </c>
    </row>
    <row r="33" spans="1:6" ht="111" customHeight="1" x14ac:dyDescent="0.25">
      <c r="A33" s="33" t="s">
        <v>60</v>
      </c>
      <c r="B33" s="24" t="s">
        <v>61</v>
      </c>
      <c r="C33" s="33">
        <v>4</v>
      </c>
      <c r="D33" s="33"/>
      <c r="E33" s="24" t="s">
        <v>62</v>
      </c>
    </row>
    <row r="34" spans="1:6" ht="51" customHeight="1" x14ac:dyDescent="0.25">
      <c r="A34" s="33">
        <v>5</v>
      </c>
      <c r="B34" s="38" t="s">
        <v>63</v>
      </c>
      <c r="C34" s="19">
        <f>SUM(C35:C40)</f>
        <v>21</v>
      </c>
      <c r="D34" s="39"/>
      <c r="E34" s="35"/>
    </row>
    <row r="35" spans="1:6" ht="111" customHeight="1" x14ac:dyDescent="0.25">
      <c r="A35" s="33" t="s">
        <v>64</v>
      </c>
      <c r="B35" s="37" t="s">
        <v>65</v>
      </c>
      <c r="C35" s="40">
        <v>6</v>
      </c>
      <c r="D35" s="33"/>
      <c r="E35" s="24" t="s">
        <v>66</v>
      </c>
    </row>
    <row r="36" spans="1:6" ht="51" customHeight="1" x14ac:dyDescent="0.25">
      <c r="A36" s="33" t="s">
        <v>67</v>
      </c>
      <c r="B36" s="37" t="s">
        <v>68</v>
      </c>
      <c r="C36" s="40">
        <v>2</v>
      </c>
      <c r="D36" s="33"/>
      <c r="E36" s="24" t="s">
        <v>69</v>
      </c>
    </row>
    <row r="37" spans="1:6" ht="81" customHeight="1" x14ac:dyDescent="0.25">
      <c r="A37" s="33" t="s">
        <v>70</v>
      </c>
      <c r="B37" s="37" t="s">
        <v>71</v>
      </c>
      <c r="C37" s="40">
        <v>2</v>
      </c>
      <c r="D37" s="34"/>
      <c r="E37" s="24" t="s">
        <v>72</v>
      </c>
    </row>
    <row r="38" spans="1:6" ht="81" customHeight="1" x14ac:dyDescent="0.25">
      <c r="A38" s="33" t="s">
        <v>73</v>
      </c>
      <c r="B38" s="24" t="s">
        <v>74</v>
      </c>
      <c r="C38" s="40">
        <v>4</v>
      </c>
      <c r="D38" s="34"/>
      <c r="E38" s="24" t="s">
        <v>75</v>
      </c>
    </row>
    <row r="39" spans="1:6" ht="96" customHeight="1" x14ac:dyDescent="0.25">
      <c r="A39" s="33" t="s">
        <v>76</v>
      </c>
      <c r="B39" s="24" t="s">
        <v>77</v>
      </c>
      <c r="C39" s="40">
        <v>4</v>
      </c>
      <c r="D39" s="34"/>
      <c r="E39" s="24" t="s">
        <v>78</v>
      </c>
    </row>
    <row r="40" spans="1:6" ht="156" customHeight="1" x14ac:dyDescent="0.25">
      <c r="A40" s="33" t="s">
        <v>79</v>
      </c>
      <c r="B40" s="24" t="s">
        <v>80</v>
      </c>
      <c r="C40" s="40">
        <v>3</v>
      </c>
      <c r="D40" s="34"/>
      <c r="E40" s="24" t="s">
        <v>81</v>
      </c>
    </row>
    <row r="41" spans="1:6" ht="51" customHeight="1" x14ac:dyDescent="0.25">
      <c r="A41" s="41">
        <v>6</v>
      </c>
      <c r="B41" s="20" t="s">
        <v>82</v>
      </c>
      <c r="C41" s="19">
        <v>4</v>
      </c>
      <c r="D41" s="36"/>
      <c r="E41" s="35"/>
    </row>
    <row r="42" spans="1:6" ht="111" customHeight="1" x14ac:dyDescent="0.25">
      <c r="A42" s="33" t="s">
        <v>83</v>
      </c>
      <c r="B42" s="24" t="s">
        <v>84</v>
      </c>
      <c r="C42" s="33">
        <v>4</v>
      </c>
      <c r="D42" s="34"/>
      <c r="E42" s="24" t="s">
        <v>85</v>
      </c>
    </row>
    <row r="43" spans="1:6" ht="21" customHeight="1" x14ac:dyDescent="0.25">
      <c r="A43" s="27"/>
      <c r="B43" s="20" t="s">
        <v>86</v>
      </c>
      <c r="C43" s="41">
        <v>70</v>
      </c>
      <c r="D43" s="42"/>
      <c r="E43" s="42"/>
    </row>
    <row r="44" spans="1:6" ht="21" customHeight="1" x14ac:dyDescent="0.25">
      <c r="A44" s="27"/>
      <c r="B44" s="43" t="s">
        <v>87</v>
      </c>
      <c r="C44" s="41">
        <f>C43+C17</f>
        <v>100</v>
      </c>
      <c r="D44" s="42"/>
      <c r="E44" s="42"/>
    </row>
    <row r="45" spans="1:6" ht="32.25" customHeight="1" x14ac:dyDescent="0.25">
      <c r="A45" s="7" t="s">
        <v>88</v>
      </c>
      <c r="B45" s="7"/>
      <c r="C45" s="7"/>
      <c r="D45" s="7"/>
      <c r="E45" s="7"/>
    </row>
    <row r="46" spans="1:6" ht="47.25" customHeight="1" x14ac:dyDescent="0.25">
      <c r="A46" s="6" t="s">
        <v>89</v>
      </c>
      <c r="B46" s="6"/>
      <c r="C46" s="6"/>
      <c r="D46" s="6"/>
      <c r="E46" s="6"/>
      <c r="F46" s="6"/>
    </row>
    <row r="47" spans="1:6" ht="23.25" customHeight="1" x14ac:dyDescent="0.3">
      <c r="A47" s="44"/>
      <c r="B47" s="45"/>
      <c r="C47" s="5"/>
      <c r="D47" s="5"/>
      <c r="E47" s="5"/>
      <c r="F47" s="5"/>
    </row>
    <row r="48" spans="1:6" ht="23.25" customHeight="1" x14ac:dyDescent="0.3">
      <c r="A48" s="45"/>
      <c r="B48" s="45"/>
      <c r="C48" s="4"/>
      <c r="D48" s="4"/>
      <c r="E48" s="4"/>
      <c r="F48" s="4"/>
    </row>
    <row r="49" spans="1:6" ht="15.75" customHeight="1" x14ac:dyDescent="0.3">
      <c r="A49" s="45"/>
      <c r="F49" s="45"/>
    </row>
    <row r="50" spans="1:6" ht="15.75" customHeight="1" x14ac:dyDescent="0.3">
      <c r="A50" s="45"/>
    </row>
    <row r="51" spans="1:6" ht="18.75" customHeight="1" x14ac:dyDescent="0.3">
      <c r="A51" s="45"/>
      <c r="B51" s="45"/>
      <c r="C51" s="45"/>
    </row>
    <row r="52" spans="1:6" ht="18.75" customHeight="1" x14ac:dyDescent="0.3">
      <c r="A52" s="45"/>
      <c r="B52" s="45"/>
      <c r="C52" s="3"/>
      <c r="D52" s="3"/>
      <c r="E52" s="3"/>
      <c r="F52" s="3"/>
    </row>
    <row r="53" spans="1:6" ht="18.75" customHeight="1" x14ac:dyDescent="0.3">
      <c r="A53" s="45"/>
      <c r="B53" s="45"/>
      <c r="C53" s="45"/>
      <c r="D53" s="45"/>
      <c r="E53" s="45"/>
      <c r="F53" s="45"/>
    </row>
    <row r="54" spans="1:6" ht="18.75" customHeight="1" x14ac:dyDescent="0.25">
      <c r="A54" s="46"/>
      <c r="B54" s="47"/>
      <c r="C54" s="48"/>
      <c r="D54" s="48"/>
      <c r="E54" s="48"/>
      <c r="F54" s="48"/>
    </row>
    <row r="55" spans="1:6" ht="18.75" customHeight="1" x14ac:dyDescent="0.25">
      <c r="A55" s="49"/>
      <c r="B55" s="50"/>
      <c r="C55" s="48"/>
      <c r="D55" s="48"/>
      <c r="E55" s="48"/>
      <c r="F55" s="48"/>
    </row>
    <row r="56" spans="1:6" ht="18.75" customHeight="1" x14ac:dyDescent="0.25">
      <c r="A56" s="49"/>
      <c r="B56" s="50"/>
      <c r="C56" s="48"/>
    </row>
    <row r="57" spans="1:6" ht="18.75" customHeight="1" x14ac:dyDescent="0.25"/>
    <row r="58" spans="1:6" ht="15.75" customHeight="1" x14ac:dyDescent="0.25">
      <c r="A58" s="2"/>
      <c r="B58" s="2"/>
      <c r="C58" s="2"/>
      <c r="D58" s="2"/>
      <c r="E58" s="2"/>
      <c r="F58" s="2"/>
    </row>
    <row r="59" spans="1:6" ht="15.75" customHeight="1" x14ac:dyDescent="0.25">
      <c r="A59" s="1"/>
      <c r="B59" s="1"/>
      <c r="C59" s="1"/>
      <c r="D59" s="1"/>
      <c r="E59" s="1"/>
      <c r="F59" s="1"/>
    </row>
    <row r="60" spans="1:6" ht="15.75" customHeight="1" x14ac:dyDescent="0.25">
      <c r="A60" s="51"/>
      <c r="B60" s="51"/>
      <c r="C60" s="51"/>
      <c r="D60" s="51"/>
      <c r="E60" s="51"/>
      <c r="F60" s="51"/>
    </row>
    <row r="61" spans="1:6" ht="15.75" x14ac:dyDescent="0.25">
      <c r="A61" s="51"/>
      <c r="B61" s="51"/>
      <c r="C61" s="51"/>
      <c r="D61" s="51"/>
      <c r="E61" s="51"/>
      <c r="F61" s="51"/>
    </row>
    <row r="62" spans="1:6" ht="15.75" customHeight="1" x14ac:dyDescent="0.25">
      <c r="A62" s="51"/>
      <c r="B62" s="51"/>
      <c r="C62" s="51"/>
      <c r="D62" s="51"/>
      <c r="E62" s="51"/>
      <c r="F62" s="51"/>
    </row>
    <row r="63" spans="1:6" ht="15.75" customHeight="1" x14ac:dyDescent="0.25">
      <c r="A63" s="52"/>
      <c r="B63" s="52"/>
      <c r="C63" s="52"/>
      <c r="D63" s="52"/>
      <c r="E63" s="52"/>
      <c r="F63" s="52"/>
    </row>
    <row r="64" spans="1:6" ht="15.75" customHeight="1" x14ac:dyDescent="0.25">
      <c r="A64" s="52"/>
      <c r="B64" s="52"/>
      <c r="C64" s="52"/>
      <c r="D64" s="52"/>
      <c r="E64" s="52"/>
      <c r="F64" s="52"/>
    </row>
    <row r="65" spans="1:6" ht="15.75" customHeight="1" x14ac:dyDescent="0.25">
      <c r="A65" s="52"/>
      <c r="B65" s="52"/>
      <c r="C65" s="52"/>
      <c r="D65" s="52"/>
      <c r="E65" s="52"/>
      <c r="F65" s="52"/>
    </row>
    <row r="66" spans="1:6" ht="15.75" customHeight="1" x14ac:dyDescent="0.25">
      <c r="A66" s="52"/>
      <c r="B66" s="52"/>
      <c r="C66" s="52"/>
      <c r="D66" s="52"/>
      <c r="E66" s="52"/>
      <c r="F66" s="52"/>
    </row>
    <row r="67" spans="1:6" x14ac:dyDescent="0.25">
      <c r="A67" s="52"/>
      <c r="B67" s="52"/>
      <c r="C67" s="52"/>
      <c r="D67" s="52"/>
      <c r="E67" s="52"/>
      <c r="F67" s="52"/>
    </row>
    <row r="68" spans="1:6" x14ac:dyDescent="0.25">
      <c r="A68" s="52"/>
      <c r="B68" s="52"/>
      <c r="C68" s="52"/>
      <c r="D68" s="52"/>
      <c r="E68" s="52"/>
      <c r="F68" s="52"/>
    </row>
    <row r="69" spans="1:6" x14ac:dyDescent="0.25">
      <c r="A69" s="53"/>
      <c r="B69" s="53"/>
      <c r="C69" s="53"/>
      <c r="D69" s="53"/>
      <c r="E69" s="53"/>
      <c r="F69" s="53"/>
    </row>
    <row r="73" spans="1:6" ht="15.75" customHeight="1" x14ac:dyDescent="0.25"/>
  </sheetData>
  <mergeCells count="20">
    <mergeCell ref="A60:F60"/>
    <mergeCell ref="A61:F61"/>
    <mergeCell ref="A62:F62"/>
    <mergeCell ref="A63:F68"/>
    <mergeCell ref="A69:F69"/>
    <mergeCell ref="C47:F47"/>
    <mergeCell ref="C48:F48"/>
    <mergeCell ref="C52:F52"/>
    <mergeCell ref="A58:F58"/>
    <mergeCell ref="A59:F59"/>
    <mergeCell ref="A6:E6"/>
    <mergeCell ref="B7:E7"/>
    <mergeCell ref="B18:E18"/>
    <mergeCell ref="A45:E45"/>
    <mergeCell ref="A46:F46"/>
    <mergeCell ref="D1:E1"/>
    <mergeCell ref="A2:B2"/>
    <mergeCell ref="C2:E2"/>
    <mergeCell ref="A3:E3"/>
    <mergeCell ref="A4:E4"/>
  </mergeCells>
  <pageMargins left="0.4" right="0.4" top="0.30555555555555602" bottom="0.5" header="0.3" footer="0.511811023622047"/>
  <pageSetup fitToHeight="0" orientation="landscape" horizontalDpi="300" verticalDpi="300"/>
  <headerFooter differentFirst="1">
    <oddHeader>&amp;C&amp;"Times New Roman,Regular"&amp;14 &amp;P</oddHead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TUAdmin</dc:creator>
  <dc:description/>
  <cp:lastModifiedBy>Nguyễn Thị Lành</cp:lastModifiedBy>
  <cp:revision>0</cp:revision>
  <cp:lastPrinted>2026-06-03T10:17:26Z</cp:lastPrinted>
  <dcterms:created xsi:type="dcterms:W3CDTF">2026-05-27T04:34:14Z</dcterms:created>
  <dcterms:modified xsi:type="dcterms:W3CDTF">2026-08-29T09:28:30Z</dcterms:modified>
  <dc:language>en-US</dc:language>
</cp:coreProperties>
</file>