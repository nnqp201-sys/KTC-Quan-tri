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B92CE7B9-E4B6-434A-8CEE-9E0105E4CB8D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O18" i="1" s="1"/>
  <c r="O17" i="1" s="1"/>
  <c r="H18" i="1"/>
  <c r="I18" i="1" s="1"/>
  <c r="F17" i="1"/>
  <c r="K14" i="1"/>
  <c r="O14" i="1" s="1"/>
  <c r="O13" i="1" s="1"/>
  <c r="H14" i="1"/>
  <c r="I14" i="1" s="1"/>
  <c r="F13" i="1"/>
  <c r="K12" i="1"/>
  <c r="M12" i="1" s="1"/>
  <c r="H12" i="1"/>
  <c r="I12" i="1" s="1"/>
  <c r="K11" i="1"/>
  <c r="O11" i="1" s="1"/>
  <c r="H11" i="1"/>
  <c r="I11" i="1" s="1"/>
  <c r="F10" i="1"/>
  <c r="O12" i="1" l="1"/>
  <c r="O10" i="1" s="1"/>
  <c r="J11" i="1"/>
  <c r="J10" i="1" s="1"/>
  <c r="P11" i="1"/>
  <c r="J12" i="1"/>
  <c r="N12" i="1"/>
  <c r="N18" i="1"/>
  <c r="N17" i="1" s="1"/>
  <c r="J18" i="1"/>
  <c r="J17" i="1" s="1"/>
  <c r="P18" i="1"/>
  <c r="P17" i="1" s="1"/>
  <c r="L14" i="1"/>
  <c r="L13" i="1" s="1"/>
  <c r="M14" i="1"/>
  <c r="M13" i="1" s="1"/>
  <c r="K13" i="1"/>
  <c r="L11" i="1"/>
  <c r="J14" i="1"/>
  <c r="J13" i="1" s="1"/>
  <c r="P14" i="1"/>
  <c r="P13" i="1" s="1"/>
  <c r="L18" i="1"/>
  <c r="L17" i="1" s="1"/>
  <c r="M18" i="1"/>
  <c r="M17" i="1" s="1"/>
  <c r="L12" i="1"/>
  <c r="K17" i="1"/>
  <c r="M11" i="1"/>
  <c r="M10" i="1" s="1"/>
  <c r="K10" i="1"/>
  <c r="P12" i="1" l="1"/>
  <c r="N14" i="1"/>
  <c r="N13" i="1" s="1"/>
  <c r="N11" i="1"/>
  <c r="N10" i="1" s="1"/>
  <c r="L10" i="1"/>
  <c r="P10" i="1"/>
</calcChain>
</file>

<file path=xl/sharedStrings.xml><?xml version="1.0" encoding="utf-8"?>
<sst xmlns="http://schemas.openxmlformats.org/spreadsheetml/2006/main" count="76" uniqueCount="62">
  <si>
    <t>Phụ lục IIb — Dữ liệu giả định phục vụ trình diễn</t>
  </si>
  <si>
    <t>CƠ QUAN A</t>
  </si>
  <si>
    <t>CỘNG HÒA XÃ HỘI CHỦ NGHĨA VIỆT NAM</t>
  </si>
  <si>
    <t>ĐƠN VỊ: Phòng Nghiệp vụ 2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</si>
  <si>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</si>
  <si>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</si>
  <si>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</si>
  <si>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</si>
  <si>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</si>
  <si>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</si>
  <si>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</si>
  <si>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</si>
  <si>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</si>
  <si>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</si>
  <si>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</si>
  <si>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</si>
  <si>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</si>
  <si>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</si>
  <si>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</si>
  <si>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</si>
  <si>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</si>
  <si>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</si>
  <si>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</si>
  <si>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</si>
  <si>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</si>
  <si>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</si>
  <si>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</si>
  <si>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</si>
  <si>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</si>
  <si>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</si>
  <si>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</si>
  <si>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</si>
  <si>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</si>
  <si>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</si>
  <si>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</si>
  <si>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</si>
  <si>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</si>
  <si>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</si>
  <si>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</si>
  <si>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</si>
  <si>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</si>
  <si>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Hướng dẫn nghiệp vụ cho cơ sở: 02 công văn</t>
  </si>
  <si>
    <t>Phó Thủ trưởng 2</t>
  </si>
  <si>
    <t>Phòng Nghiệp vụ 2</t>
  </si>
  <si>
    <t>Công văn</t>
  </si>
  <si>
    <t>Trung bình</t>
  </si>
  <si>
    <t>1.2</t>
  </si>
  <si>
    <t>Sơ kết 9 tháng thực hiện chương trình phối hợp</t>
  </si>
  <si>
    <t>Báo cáo</t>
  </si>
  <si>
    <t>Cao</t>
  </si>
  <si>
    <t>Trục (2) - Hoàn thiện thể chế, đẩy mạnh phân cấp, phân quyền gắn với kiểm tra, giám sát</t>
  </si>
  <si>
    <t>2.1</t>
  </si>
  <si>
    <t>Góp ý dự thảo văn bản của cấp trên: 03 công văn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</si>
  <si>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</si>
  <si>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</si>
  <si>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Trục (5) - Phát triển văn hóa, con người, bảo đảm an sinh xã hội, nâng cao đời sống nhân dân</t>
  </si>
  <si>
    <t>5.1</t>
  </si>
  <si>
    <t>Khảo sát nhu cầu hỗ trợ của người dân tại 02 địa bàn</t>
  </si>
  <si>
    <t>Trục (6) - Củng cố quốc phòng, an ninh, giữ vững ổn định chính trị - xã hội, nâng cao hiệu quả đối ngoại và hội nhập quốc tế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</si>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</sst>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3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109.2" x14ac:dyDescent="0.3">
      <c r="A3" s="1" t="s">
        <v>3</v>
      </c>
      <c r="G3" s="13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3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1" t="s">
        <v>39</v>
      </c>
      <c r="C10" s="12"/>
      <c r="D10" s="12"/>
      <c r="E10" s="12"/>
      <c r="F10" s="5">
        <f>SUM(F11:F12)</f>
        <v>3</v>
      </c>
      <c r="G10" s="3"/>
      <c r="H10" s="3"/>
      <c r="I10" s="3"/>
      <c r="J10" s="5">
        <f t="shared" ref="J10:P10" si="0">SUM(J11:J12)</f>
        <v>3.9</v>
      </c>
      <c r="K10" s="5">
        <f t="shared" si="0"/>
        <v>3</v>
      </c>
      <c r="L10" s="5">
        <f t="shared" si="0"/>
        <v>3.9</v>
      </c>
      <c r="M10" s="5">
        <f t="shared" si="0"/>
        <v>3</v>
      </c>
      <c r="N10" s="5">
        <f t="shared" si="0"/>
        <v>3.9</v>
      </c>
      <c r="O10" s="5">
        <f t="shared" si="0"/>
        <v>3</v>
      </c>
      <c r="P10" s="5">
        <f t="shared" si="0"/>
        <v>3.9</v>
      </c>
    </row>
    <row r="11" spans="1:16" ht="31.2" x14ac:dyDescent="0.3">
      <c r="A11" s="6" t="s">
        <v>40</v>
      </c>
      <c r="B11" s="7" t="s">
        <v>41</v>
      </c>
      <c r="C11" s="6" t="s">
        <v>42</v>
      </c>
      <c r="D11" s="6" t="s">
        <v>43</v>
      </c>
      <c r="E11" s="7" t="s">
        <v>44</v>
      </c>
      <c r="F11" s="6">
        <v>2</v>
      </c>
      <c r="G11" s="6" t="s">
        <v>45</v>
      </c>
      <c r="H11" s="6">
        <f>IF(G11="Khó và phức tạp",200,IF(G11="Cao",150,IF(G11="Trung bình",120,100)))</f>
        <v>120</v>
      </c>
      <c r="I11" s="8">
        <f>H11*0.01</f>
        <v>1.2</v>
      </c>
      <c r="J11" s="8">
        <f>F11*I11</f>
        <v>2.4</v>
      </c>
      <c r="K11" s="8">
        <f>F11*1</f>
        <v>2</v>
      </c>
      <c r="L11" s="8">
        <f>K11*I11</f>
        <v>2.4</v>
      </c>
      <c r="M11" s="8">
        <f>K11*1</f>
        <v>2</v>
      </c>
      <c r="N11" s="8">
        <f>I11*M11</f>
        <v>2.4</v>
      </c>
      <c r="O11" s="8">
        <f>K11*1</f>
        <v>2</v>
      </c>
      <c r="P11" s="8">
        <f>I11*O11</f>
        <v>2.4</v>
      </c>
    </row>
    <row r="12" spans="1:16" ht="31.2" x14ac:dyDescent="0.3">
      <c r="A12" s="6" t="s">
        <v>46</v>
      </c>
      <c r="B12" s="7" t="s">
        <v>47</v>
      </c>
      <c r="C12" s="6" t="s">
        <v>42</v>
      </c>
      <c r="D12" s="6" t="s">
        <v>43</v>
      </c>
      <c r="E12" s="7" t="s">
        <v>48</v>
      </c>
      <c r="F12" s="6">
        <v>1</v>
      </c>
      <c r="G12" s="6" t="s">
        <v>49</v>
      </c>
      <c r="H12" s="6">
        <f>IF(G12="Khó và phức tạp",200,IF(G12="Cao",150,IF(G12="Trung bình",120,100)))</f>
        <v>150</v>
      </c>
      <c r="I12" s="8">
        <f>H12*0.01</f>
        <v>1.5</v>
      </c>
      <c r="J12" s="8">
        <f>F12*I12</f>
        <v>1.5</v>
      </c>
      <c r="K12" s="8">
        <f>F12*1</f>
        <v>1</v>
      </c>
      <c r="L12" s="8">
        <f>K12*I12</f>
        <v>1.5</v>
      </c>
      <c r="M12" s="8">
        <f>K12*1</f>
        <v>1</v>
      </c>
      <c r="N12" s="8">
        <f>I12*M12</f>
        <v>1.5</v>
      </c>
      <c r="O12" s="8">
        <f>K12*1</f>
        <v>1</v>
      </c>
      <c r="P12" s="8">
        <f>I12*O12</f>
        <v>1.5</v>
      </c>
    </row>
    <row r="13" spans="1:16" ht="15.6" x14ac:dyDescent="0.3">
      <c r="A13" s="3">
        <v>2</v>
      </c>
      <c r="B13" s="11" t="s">
        <v>50</v>
      </c>
      <c r="C13" s="12"/>
      <c r="D13" s="12"/>
      <c r="E13" s="12"/>
      <c r="F13" s="5">
        <f>SUM(F14:F14)</f>
        <v>3</v>
      </c>
      <c r="G13" s="3"/>
      <c r="H13" s="3"/>
      <c r="I13" s="3"/>
      <c r="J13" s="5">
        <f t="shared" ref="J13:P13" si="1">SUM(J14:J14)</f>
        <v>3.5999999999999996</v>
      </c>
      <c r="K13" s="5">
        <f t="shared" si="1"/>
        <v>3</v>
      </c>
      <c r="L13" s="5">
        <f t="shared" si="1"/>
        <v>3.5999999999999996</v>
      </c>
      <c r="M13" s="5">
        <f t="shared" si="1"/>
        <v>3</v>
      </c>
      <c r="N13" s="5">
        <f t="shared" si="1"/>
        <v>3.5999999999999996</v>
      </c>
      <c r="O13" s="5">
        <f t="shared" si="1"/>
        <v>3</v>
      </c>
      <c r="P13" s="5">
        <f t="shared" si="1"/>
        <v>3.5999999999999996</v>
      </c>
    </row>
    <row r="14" spans="1:16" ht="31.2" x14ac:dyDescent="0.3">
      <c r="A14" s="6" t="s">
        <v>51</v>
      </c>
      <c r="B14" s="7" t="s">
        <v>52</v>
      </c>
      <c r="C14" s="6" t="s">
        <v>42</v>
      </c>
      <c r="D14" s="6" t="s">
        <v>43</v>
      </c>
      <c r="E14" s="7" t="s">
        <v>44</v>
      </c>
      <c r="F14" s="6">
        <v>3</v>
      </c>
      <c r="G14" s="6" t="s">
        <v>45</v>
      </c>
      <c r="H14" s="6">
        <f>IF(G14="Khó và phức tạp",200,IF(G14="Cao",150,IF(G14="Trung bình",120,100)))</f>
        <v>120</v>
      </c>
      <c r="I14" s="8">
        <f>H14*0.01</f>
        <v>1.2</v>
      </c>
      <c r="J14" s="8">
        <f>F14*I14</f>
        <v>3.5999999999999996</v>
      </c>
      <c r="K14" s="8">
        <f>F14*1</f>
        <v>3</v>
      </c>
      <c r="L14" s="8">
        <f>K14*I14</f>
        <v>3.5999999999999996</v>
      </c>
      <c r="M14" s="8">
        <f>K14*1</f>
        <v>3</v>
      </c>
      <c r="N14" s="8">
        <f>I14*M14</f>
        <v>3.5999999999999996</v>
      </c>
      <c r="O14" s="8">
        <f>K14*1</f>
        <v>3</v>
      </c>
      <c r="P14" s="8">
        <f>I14*O14</f>
        <v>3.5999999999999996</v>
      </c>
    </row>
    <row r="15" spans="1:16" ht="15.6" x14ac:dyDescent="0.3">
      <c r="A15" s="3">
        <v>3</v>
      </c>
      <c r="B15" s="11" t="s">
        <v>53</v>
      </c>
      <c r="C15" s="12"/>
      <c r="D15" s="12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6" x14ac:dyDescent="0.3">
      <c r="A16" s="3">
        <v>4</v>
      </c>
      <c r="B16" s="11" t="s">
        <v>54</v>
      </c>
      <c r="C16" s="12"/>
      <c r="D16" s="12"/>
      <c r="E16" s="1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6" x14ac:dyDescent="0.3">
      <c r="A17" s="3">
        <v>5</v>
      </c>
      <c r="B17" s="11" t="s">
        <v>55</v>
      </c>
      <c r="C17" s="12"/>
      <c r="D17" s="12"/>
      <c r="E17" s="12"/>
      <c r="F17" s="5">
        <f>SUM(F18:F18)</f>
        <v>1</v>
      </c>
      <c r="G17" s="3"/>
      <c r="H17" s="3"/>
      <c r="I17" s="3"/>
      <c r="J17" s="5">
        <f t="shared" ref="J17:P17" si="2">SUM(J18:J18)</f>
        <v>1.5</v>
      </c>
      <c r="K17" s="5">
        <f t="shared" si="2"/>
        <v>1</v>
      </c>
      <c r="L17" s="5">
        <f t="shared" si="2"/>
        <v>1.5</v>
      </c>
      <c r="M17" s="5">
        <f t="shared" si="2"/>
        <v>1</v>
      </c>
      <c r="N17" s="5">
        <f t="shared" si="2"/>
        <v>1.5</v>
      </c>
      <c r="O17" s="5">
        <f t="shared" si="2"/>
        <v>0.75</v>
      </c>
      <c r="P17" s="5">
        <f t="shared" si="2"/>
        <v>1.125</v>
      </c>
    </row>
    <row r="18" spans="1:16" ht="31.2" x14ac:dyDescent="0.3">
      <c r="A18" s="6" t="s">
        <v>56</v>
      </c>
      <c r="B18" s="7" t="s">
        <v>57</v>
      </c>
      <c r="C18" s="6" t="s">
        <v>42</v>
      </c>
      <c r="D18" s="6" t="s">
        <v>43</v>
      </c>
      <c r="E18" s="7" t="s">
        <v>48</v>
      </c>
      <c r="F18" s="6">
        <v>1</v>
      </c>
      <c r="G18" s="6" t="s">
        <v>49</v>
      </c>
      <c r="H18" s="6">
        <f>IF(G18="Khó và phức tạp",200,IF(G18="Cao",150,IF(G18="Trung bình",120,100)))</f>
        <v>150</v>
      </c>
      <c r="I18" s="8">
        <f>H18*0.01</f>
        <v>1.5</v>
      </c>
      <c r="J18" s="8">
        <f>F18*I18</f>
        <v>1.5</v>
      </c>
      <c r="K18" s="8">
        <f>F18*1</f>
        <v>1</v>
      </c>
      <c r="L18" s="8">
        <f>K18*I18</f>
        <v>1.5</v>
      </c>
      <c r="M18" s="8">
        <f>K18*1</f>
        <v>1</v>
      </c>
      <c r="N18" s="8">
        <f>I18*M18</f>
        <v>1.5</v>
      </c>
      <c r="O18" s="8">
        <f>K18*0.75</f>
        <v>0.75</v>
      </c>
      <c r="P18" s="8">
        <f>I18*O18</f>
        <v>1.125</v>
      </c>
    </row>
    <row r="19" spans="1:16" ht="15.6" x14ac:dyDescent="0.3">
      <c r="A19" s="3">
        <v>6</v>
      </c>
      <c r="B19" s="11" t="s">
        <v>58</v>
      </c>
      <c r="C19" s="12"/>
      <c r="D19" s="12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 x14ac:dyDescent="0.3">
      <c r="A20" s="3" t="s">
        <v>59</v>
      </c>
      <c r="B20" s="11" t="s">
        <v>60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2" spans="1:16" ht="46.8" x14ac:dyDescent="0.3">
      <c r="M22" s="2" t="s">
        <v>61</v>
      </c>
    </row>
  </sheetData>
  <mergeCells count="25">
    <mergeCell ref="G2:P2"/>
    <mergeCell ref="B20:P20"/>
    <mergeCell ref="M6:N6"/>
    <mergeCell ref="A1:P1"/>
    <mergeCell ref="B17:E17"/>
    <mergeCell ref="B13:E13"/>
    <mergeCell ref="G3:P3"/>
    <mergeCell ref="I6:I7"/>
    <mergeCell ref="C6:C7"/>
    <mergeCell ref="B19:E19"/>
    <mergeCell ref="K6:L6"/>
    <mergeCell ref="D6:D7"/>
    <mergeCell ref="F6:F7"/>
    <mergeCell ref="B16:E16"/>
    <mergeCell ref="G6:G7"/>
    <mergeCell ref="E6:E7"/>
    <mergeCell ref="B6:B7"/>
    <mergeCell ref="B9:P9"/>
    <mergeCell ref="O6:P6"/>
    <mergeCell ref="H6:H7"/>
    <mergeCell ref="B15:E15"/>
    <mergeCell ref="J6:J7"/>
    <mergeCell ref="A4:P4"/>
    <mergeCell ref="A6:A7"/>
    <mergeCell ref="B10:E10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2026-10-12T07:24:07Z</dcterms:created>
  <dcterms:modified xsi:type="dcterms:W3CDTF">2026-10-12T07:24:11Z</dcterms:modified>
</cp:coreProperties>
</file>