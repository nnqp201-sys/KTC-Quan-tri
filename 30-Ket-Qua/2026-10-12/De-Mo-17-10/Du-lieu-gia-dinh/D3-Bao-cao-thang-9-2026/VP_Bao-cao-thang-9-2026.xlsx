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3-Bao-cao-thang-9-2026\"/>
    </mc:Choice>
  </mc:AlternateContent>
  <xr:revisionPtr revIDLastSave="0" documentId="13_ncr:1_{1150E141-86DE-4BE1-A79C-E7DDAE80F2CA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L I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 s="1"/>
  <c r="H16" i="1"/>
  <c r="I16" i="1" s="1"/>
  <c r="F15" i="1"/>
  <c r="K13" i="1"/>
  <c r="O13" i="1" s="1"/>
  <c r="H13" i="1"/>
  <c r="I13" i="1" s="1"/>
  <c r="K12" i="1"/>
  <c r="O12" i="1" s="1"/>
  <c r="H12" i="1"/>
  <c r="I12" i="1" s="1"/>
  <c r="K11" i="1"/>
  <c r="O11" i="1" s="1"/>
  <c r="O10" i="1" s="1"/>
  <c r="H11" i="1"/>
  <c r="I11" i="1" s="1"/>
  <c r="F10" i="1"/>
  <c r="J11" i="1" l="1"/>
  <c r="P11" i="1"/>
  <c r="P12" i="1"/>
  <c r="J12" i="1"/>
  <c r="P13" i="1"/>
  <c r="N13" i="1"/>
  <c r="J13" i="1"/>
  <c r="P16" i="1"/>
  <c r="P15" i="1" s="1"/>
  <c r="N16" i="1"/>
  <c r="N15" i="1" s="1"/>
  <c r="J16" i="1"/>
  <c r="J15" i="1" s="1"/>
  <c r="L16" i="1"/>
  <c r="L15" i="1" s="1"/>
  <c r="K10" i="1"/>
  <c r="O16" i="1"/>
  <c r="O15" i="1" s="1"/>
  <c r="L13" i="1"/>
  <c r="M13" i="1"/>
  <c r="L12" i="1"/>
  <c r="M12" i="1"/>
  <c r="N12" i="1" s="1"/>
  <c r="L11" i="1"/>
  <c r="L10" i="1" s="1"/>
  <c r="M16" i="1"/>
  <c r="M15" i="1" s="1"/>
  <c r="M11" i="1"/>
  <c r="M10" i="1" s="1"/>
  <c r="N11" i="1" l="1"/>
  <c r="N10" i="1" s="1"/>
  <c r="P10" i="1"/>
  <c r="J10" i="1"/>
</calcChain>
</file>

<file path=xl/sharedStrings.xml><?xml version="1.0" encoding="utf-8"?>
<sst xmlns="http://schemas.openxmlformats.org/spreadsheetml/2006/main" count="76" uniqueCount="64">
  <si>
    <t>Phụ lục IIb — Dữ liệu giả định phục vụ trình diễn</t>
  </si>
  <si>
    <t>CƠ QUAN A</t>
  </si>
  <si>
    <t>CỘNG HÒA XÃ HỘI CHỦ NGHĨA VIỆT NAM</t>
  </si>
  <si>
    <t>ĐƠN VỊ: Văn phòng</t>
  </si>
  <si>
    <t>Độc lập - Tự do - Hạnh phúc</t>
  </si>
  <si>
    <t>BÁO CÁO
kết quả thực hiện công tác tháng 9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</si>
  <si>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</si>
  <si>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</si>
  <si>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</si>
  <si>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</si>
  <si>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</si>
  <si>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</si>
  <si>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</si>
  <si>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Điểm chấm công việc</t>
  </si>
  <si>
    <t>Hệ số quy đổi</t>
  </si>
  <si>
    <t>Số lượng quy đổi</t>
  </si>
  <si>
    <t>KPI (số lượng)</t>
  </si>
  <si>
    <t>KPI (chất lượng)</t>
  </si>
  <si>
    <t>KPI (tiến độ)</t>
  </si>
  <si>
    <t>Thực tế hoàn thành</t>
  </si>
  <si>
    <t>Quy đổi</t>
  </si>
  <si>
    <t>(1)</t>
  </si>
  <si>
    <t>(2)</t>
  </si>
  <si>
    <t>(3)</t>
  </si>
  <si>
    <t>(4)</t>
  </si>
  <si>
    <t>(5)</t>
  </si>
  <si>
    <t>(6)</t>
  </si>
  <si>
    <t>(7)</t>
  </si>
  <si>
    <t>(8)</t>
  </si>
  <si>
    <t>(9)= (8)* 1%</t>
  </si>
  <si>
    <t>(10)= (6)* (9)</t>
  </si>
  <si>
    <t>(11)=(6)* [Tỷ lệ hoàn thành khối lượng]</t>
  </si>
  <si>
    <t>(12)= (9)* (11)</t>
  </si>
  <si>
    <t>(13)=(11)*[Tỷ lệ hoàn thành chất lượng]</t>
  </si>
  <si>
    <t>(14)= (9)* (13)</t>
  </si>
  <si>
    <t>(15)=(11)*[Tỷ lệ hoàn thành tiến độ]</t>
  </si>
  <si>
    <t>(16)= (9)* (15)</t>
  </si>
  <si>
    <t>I</t>
  </si>
  <si>
    <t>Các nhiệm vụ theo kế hoạch (chương trình) công tác đã đề ra từ đầu tháng</t>
  </si>
  <si>
    <t>Trục (1) - Thực hiện mục tiêu phát triển Kinh tế - xã hội và nhiệm vụ chính trị được giao</t>
  </si>
  <si>
    <t>1.1</t>
  </si>
  <si>
    <t>Tổng hợp báo cáo kết quả công tác quý III/2026 (Báo cáo số 318/BC-CQA ngày 24/9/2026)</t>
  </si>
  <si>
    <t>Thủ trưởng cơ quan</t>
  </si>
  <si>
    <t>Văn phòng</t>
  </si>
  <si>
    <t>Báo cáo</t>
  </si>
  <si>
    <t>Cao</t>
  </si>
  <si>
    <t>1.2</t>
  </si>
  <si>
    <t>Tổ chức giao ban tháng 9, ban hành Thông báo kết luận số 301/TB-CQA ngày 09/9/2026</t>
  </si>
  <si>
    <t>Thông báo</t>
  </si>
  <si>
    <t>Trung bình</t>
  </si>
  <si>
    <t>1.3</t>
  </si>
  <si>
    <t>Phối hợp tổ chức 02 lớp bồi dưỡng kỹ năng soạn thảo văn bản, 120 lượt người tham dự</t>
  </si>
  <si>
    <t>Lớp bồi dưỡng</t>
  </si>
  <si>
    <t>Trục (2) - Hoàn thiện thể chế, đẩy mạnh phân cấp, phân quyền gắn với kiểm tra, giám sát</t>
  </si>
  <si>
    <t>Trục (3) - Thúc đẩy phát triển khoa học, công nghệ, đổi mới sáng tạo và chuyển đổi số</t>
  </si>
  <si>
    <t>3.1</t>
  </si>
  <si>
    <t>Ban hành Kế hoạch bảo đảm an toàn thông tin tháng cao điểm (Kế hoạch số 305/KH-CQA ngày 14/9/2026)</t>
  </si>
  <si>
    <t>Kế hoạch</t>
  </si>
  <si>
    <t>Trục (4) - Xây dựng đảng và hệ thống chính trị trong sạch, vững mạnh; giữ gìn đoàn kết, thống nhất nội bộ; phòng, chống tham nhũng, lãng phí, tiêu cực</t>
  </si>
  <si>
    <t>Trục (5) - Phát triển văn hóa, con người, bảo đảm an sinh xã hội, nâng cao đời sống nhân dân</t>
  </si>
  <si>
    <t>Trục (6) - Củng cố quốc phòng, an ninh, giữ vững ổn định chính trị - xã hội, nâng cao hiệu quả đối ngoại và hội nhập quốc tế</t>
  </si>
  <si>
    <t>II</t>
  </si>
  <si>
    <t>CÁC NHIỆM VỤ CHƯA HOÀN THÀNH, ĐANG TRIỂN KHAI THỰC HIỆN (CHUYỂN SANG THÁNG SAU):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</si>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</sst>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tabSelected="1" workbookViewId="0">
      <selection sqref="A1:P1"/>
    </sheetView>
  </sheetViews>
  <sheetFormatPr defaultRowHeight="14.4" x14ac:dyDescent="0.3"/>
  <cols>
    <col min="1" max="1" width="6" customWidth="1"/>
    <col min="2" max="2" width="50" customWidth="1"/>
    <col min="3" max="3" width="16" customWidth="1"/>
    <col min="4" max="4" width="18" customWidth="1"/>
    <col min="5" max="5" width="14" customWidth="1"/>
    <col min="6" max="6" width="8" customWidth="1"/>
    <col min="7" max="7" width="15" customWidth="1"/>
    <col min="8" max="8" width="9" customWidth="1"/>
    <col min="9" max="9" width="8" customWidth="1"/>
    <col min="10" max="10" width="9" customWidth="1"/>
    <col min="11" max="11" width="10" customWidth="1"/>
    <col min="12" max="12" width="9" customWidth="1"/>
    <col min="13" max="13" width="10" customWidth="1"/>
    <col min="14" max="14" width="9" customWidth="1"/>
    <col min="15" max="15" width="10" customWidth="1"/>
    <col min="16" max="16" width="9" customWidth="1"/>
  </cols>
  <sheetData>
    <row r="1" spans="1:16" ht="15.6" x14ac:dyDescent="0.3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46.8" x14ac:dyDescent="0.3">
      <c r="A2" s="1" t="s">
        <v>1</v>
      </c>
      <c r="G2" s="13" t="s">
        <v>2</v>
      </c>
      <c r="H2" s="12"/>
      <c r="I2" s="12"/>
      <c r="J2" s="12"/>
      <c r="K2" s="12"/>
      <c r="L2" s="12"/>
      <c r="M2" s="12"/>
      <c r="N2" s="12"/>
      <c r="O2" s="12"/>
      <c r="P2" s="12"/>
    </row>
    <row r="3" spans="1:16" ht="78" x14ac:dyDescent="0.3">
      <c r="A3" s="1" t="s">
        <v>3</v>
      </c>
      <c r="G3" s="13" t="s">
        <v>4</v>
      </c>
      <c r="H3" s="12"/>
      <c r="I3" s="12"/>
      <c r="J3" s="12"/>
      <c r="K3" s="12"/>
      <c r="L3" s="12"/>
      <c r="M3" s="12"/>
      <c r="N3" s="12"/>
      <c r="O3" s="12"/>
      <c r="P3" s="12"/>
    </row>
    <row r="4" spans="1:16" ht="40.049999999999997" customHeight="1" x14ac:dyDescent="0.3">
      <c r="A4" s="13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1:16" ht="30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9" t="s">
        <v>17</v>
      </c>
      <c r="N6" s="10"/>
      <c r="O6" s="9" t="s">
        <v>18</v>
      </c>
      <c r="P6" s="10"/>
    </row>
    <row r="7" spans="1:16" ht="30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3" t="s">
        <v>19</v>
      </c>
      <c r="L7" s="3" t="s">
        <v>20</v>
      </c>
      <c r="M7" s="3" t="s">
        <v>19</v>
      </c>
      <c r="N7" s="3" t="s">
        <v>20</v>
      </c>
      <c r="O7" s="3" t="s">
        <v>19</v>
      </c>
      <c r="P7" s="3" t="s">
        <v>20</v>
      </c>
    </row>
    <row r="8" spans="1:16" ht="60" customHeight="1" x14ac:dyDescent="0.3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  <c r="K8" s="4" t="s">
        <v>31</v>
      </c>
      <c r="L8" s="4" t="s">
        <v>32</v>
      </c>
      <c r="M8" s="4" t="s">
        <v>33</v>
      </c>
      <c r="N8" s="4" t="s">
        <v>34</v>
      </c>
      <c r="O8" s="4" t="s">
        <v>35</v>
      </c>
      <c r="P8" s="4" t="s">
        <v>36</v>
      </c>
    </row>
    <row r="9" spans="1:16" ht="15.6" x14ac:dyDescent="0.3">
      <c r="A9" s="3" t="s">
        <v>37</v>
      </c>
      <c r="B9" s="11" t="s">
        <v>38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5.6" x14ac:dyDescent="0.3">
      <c r="A10" s="3">
        <v>1</v>
      </c>
      <c r="B10" s="11" t="s">
        <v>39</v>
      </c>
      <c r="C10" s="12"/>
      <c r="D10" s="12"/>
      <c r="E10" s="12"/>
      <c r="F10" s="5">
        <f>SUM(F11:F13)</f>
        <v>4</v>
      </c>
      <c r="G10" s="3"/>
      <c r="H10" s="3"/>
      <c r="I10" s="3"/>
      <c r="J10" s="5">
        <f t="shared" ref="J10:P10" si="0">SUM(J11:J13)</f>
        <v>5.7</v>
      </c>
      <c r="K10" s="5">
        <f t="shared" si="0"/>
        <v>4</v>
      </c>
      <c r="L10" s="5">
        <f t="shared" si="0"/>
        <v>5.7</v>
      </c>
      <c r="M10" s="5">
        <f t="shared" si="0"/>
        <v>4</v>
      </c>
      <c r="N10" s="5">
        <f t="shared" si="0"/>
        <v>5.7</v>
      </c>
      <c r="O10" s="5">
        <f t="shared" si="0"/>
        <v>4</v>
      </c>
      <c r="P10" s="5">
        <f t="shared" si="0"/>
        <v>5.7</v>
      </c>
    </row>
    <row r="11" spans="1:16" ht="31.2" x14ac:dyDescent="0.3">
      <c r="A11" s="6" t="s">
        <v>40</v>
      </c>
      <c r="B11" s="7" t="s">
        <v>41</v>
      </c>
      <c r="C11" s="6" t="s">
        <v>42</v>
      </c>
      <c r="D11" s="6" t="s">
        <v>43</v>
      </c>
      <c r="E11" s="7" t="s">
        <v>44</v>
      </c>
      <c r="F11" s="6">
        <v>1</v>
      </c>
      <c r="G11" s="6" t="s">
        <v>45</v>
      </c>
      <c r="H11" s="6">
        <f>IF(G11="Khó và phức tạp",200,IF(G11="Cao",150,IF(G11="Trung bình",120,100)))</f>
        <v>150</v>
      </c>
      <c r="I11" s="8">
        <f>H11*0.01</f>
        <v>1.5</v>
      </c>
      <c r="J11" s="8">
        <f>F11*I11</f>
        <v>1.5</v>
      </c>
      <c r="K11" s="8">
        <f>F11*1</f>
        <v>1</v>
      </c>
      <c r="L11" s="8">
        <f>K11*I11</f>
        <v>1.5</v>
      </c>
      <c r="M11" s="8">
        <f>K11*1</f>
        <v>1</v>
      </c>
      <c r="N11" s="8">
        <f>I11*M11</f>
        <v>1.5</v>
      </c>
      <c r="O11" s="8">
        <f>K11*1</f>
        <v>1</v>
      </c>
      <c r="P11" s="8">
        <f>I11*O11</f>
        <v>1.5</v>
      </c>
    </row>
    <row r="12" spans="1:16" ht="31.2" x14ac:dyDescent="0.3">
      <c r="A12" s="6" t="s">
        <v>46</v>
      </c>
      <c r="B12" s="7" t="s">
        <v>47</v>
      </c>
      <c r="C12" s="6" t="s">
        <v>42</v>
      </c>
      <c r="D12" s="6" t="s">
        <v>43</v>
      </c>
      <c r="E12" s="7" t="s">
        <v>48</v>
      </c>
      <c r="F12" s="6">
        <v>1</v>
      </c>
      <c r="G12" s="6" t="s">
        <v>49</v>
      </c>
      <c r="H12" s="6">
        <f>IF(G12="Khó và phức tạp",200,IF(G12="Cao",150,IF(G12="Trung bình",120,100)))</f>
        <v>120</v>
      </c>
      <c r="I12" s="8">
        <f>H12*0.01</f>
        <v>1.2</v>
      </c>
      <c r="J12" s="8">
        <f>F12*I12</f>
        <v>1.2</v>
      </c>
      <c r="K12" s="8">
        <f>F12*1</f>
        <v>1</v>
      </c>
      <c r="L12" s="8">
        <f>K12*I12</f>
        <v>1.2</v>
      </c>
      <c r="M12" s="8">
        <f>K12*1</f>
        <v>1</v>
      </c>
      <c r="N12" s="8">
        <f>I12*M12</f>
        <v>1.2</v>
      </c>
      <c r="O12" s="8">
        <f>K12*1</f>
        <v>1</v>
      </c>
      <c r="P12" s="8">
        <f>I12*O12</f>
        <v>1.2</v>
      </c>
    </row>
    <row r="13" spans="1:16" ht="31.2" x14ac:dyDescent="0.3">
      <c r="A13" s="6" t="s">
        <v>50</v>
      </c>
      <c r="B13" s="7" t="s">
        <v>51</v>
      </c>
      <c r="C13" s="6" t="s">
        <v>42</v>
      </c>
      <c r="D13" s="6" t="s">
        <v>43</v>
      </c>
      <c r="E13" s="7" t="s">
        <v>52</v>
      </c>
      <c r="F13" s="6">
        <v>2</v>
      </c>
      <c r="G13" s="6" t="s">
        <v>45</v>
      </c>
      <c r="H13" s="6">
        <f>IF(G13="Khó và phức tạp",200,IF(G13="Cao",150,IF(G13="Trung bình",120,100)))</f>
        <v>150</v>
      </c>
      <c r="I13" s="8">
        <f>H13*0.01</f>
        <v>1.5</v>
      </c>
      <c r="J13" s="8">
        <f>F13*I13</f>
        <v>3</v>
      </c>
      <c r="K13" s="8">
        <f>F13*1</f>
        <v>2</v>
      </c>
      <c r="L13" s="8">
        <f>K13*I13</f>
        <v>3</v>
      </c>
      <c r="M13" s="8">
        <f>K13*1</f>
        <v>2</v>
      </c>
      <c r="N13" s="8">
        <f>I13*M13</f>
        <v>3</v>
      </c>
      <c r="O13" s="8">
        <f>K13*1</f>
        <v>2</v>
      </c>
      <c r="P13" s="8">
        <f>I13*O13</f>
        <v>3</v>
      </c>
    </row>
    <row r="14" spans="1:16" ht="15.6" x14ac:dyDescent="0.3">
      <c r="A14" s="3">
        <v>2</v>
      </c>
      <c r="B14" s="11" t="s">
        <v>53</v>
      </c>
      <c r="C14" s="12"/>
      <c r="D14" s="12"/>
      <c r="E14" s="1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5.6" x14ac:dyDescent="0.3">
      <c r="A15" s="3">
        <v>3</v>
      </c>
      <c r="B15" s="11" t="s">
        <v>54</v>
      </c>
      <c r="C15" s="12"/>
      <c r="D15" s="12"/>
      <c r="E15" s="12"/>
      <c r="F15" s="5">
        <f>SUM(F16:F16)</f>
        <v>1</v>
      </c>
      <c r="G15" s="3"/>
      <c r="H15" s="3"/>
      <c r="I15" s="3"/>
      <c r="J15" s="5">
        <f t="shared" ref="J15:P15" si="1">SUM(J16:J16)</f>
        <v>1.5</v>
      </c>
      <c r="K15" s="5">
        <f t="shared" si="1"/>
        <v>1</v>
      </c>
      <c r="L15" s="5">
        <f t="shared" si="1"/>
        <v>1.5</v>
      </c>
      <c r="M15" s="5">
        <f t="shared" si="1"/>
        <v>1</v>
      </c>
      <c r="N15" s="5">
        <f t="shared" si="1"/>
        <v>1.5</v>
      </c>
      <c r="O15" s="5">
        <f t="shared" si="1"/>
        <v>1</v>
      </c>
      <c r="P15" s="5">
        <f t="shared" si="1"/>
        <v>1.5</v>
      </c>
    </row>
    <row r="16" spans="1:16" ht="46.8" x14ac:dyDescent="0.3">
      <c r="A16" s="6" t="s">
        <v>55</v>
      </c>
      <c r="B16" s="7" t="s">
        <v>56</v>
      </c>
      <c r="C16" s="6" t="s">
        <v>42</v>
      </c>
      <c r="D16" s="6" t="s">
        <v>43</v>
      </c>
      <c r="E16" s="7" t="s">
        <v>57</v>
      </c>
      <c r="F16" s="6">
        <v>1</v>
      </c>
      <c r="G16" s="6" t="s">
        <v>45</v>
      </c>
      <c r="H16" s="6">
        <f>IF(G16="Khó và phức tạp",200,IF(G16="Cao",150,IF(G16="Trung bình",120,100)))</f>
        <v>150</v>
      </c>
      <c r="I16" s="8">
        <f>H16*0.01</f>
        <v>1.5</v>
      </c>
      <c r="J16" s="8">
        <f>F16*I16</f>
        <v>1.5</v>
      </c>
      <c r="K16" s="8">
        <f>F16*1</f>
        <v>1</v>
      </c>
      <c r="L16" s="8">
        <f>K16*I16</f>
        <v>1.5</v>
      </c>
      <c r="M16" s="8">
        <f>K16*1</f>
        <v>1</v>
      </c>
      <c r="N16" s="8">
        <f>I16*M16</f>
        <v>1.5</v>
      </c>
      <c r="O16" s="8">
        <f>K16*1</f>
        <v>1</v>
      </c>
      <c r="P16" s="8">
        <f>I16*O16</f>
        <v>1.5</v>
      </c>
    </row>
    <row r="17" spans="1:16" ht="15.6" x14ac:dyDescent="0.3">
      <c r="A17" s="3">
        <v>4</v>
      </c>
      <c r="B17" s="11" t="s">
        <v>58</v>
      </c>
      <c r="C17" s="12"/>
      <c r="D17" s="12"/>
      <c r="E17" s="1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5.6" x14ac:dyDescent="0.3">
      <c r="A18" s="3">
        <v>5</v>
      </c>
      <c r="B18" s="11" t="s">
        <v>59</v>
      </c>
      <c r="C18" s="12"/>
      <c r="D18" s="12"/>
      <c r="E18" s="1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6" x14ac:dyDescent="0.3">
      <c r="A19" s="3">
        <v>6</v>
      </c>
      <c r="B19" s="11" t="s">
        <v>60</v>
      </c>
      <c r="C19" s="12"/>
      <c r="D19" s="12"/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6" x14ac:dyDescent="0.3">
      <c r="A20" s="3" t="s">
        <v>61</v>
      </c>
      <c r="B20" s="11" t="s">
        <v>62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2" spans="1:16" ht="46.8" x14ac:dyDescent="0.3">
      <c r="M22" s="2" t="s">
        <v>63</v>
      </c>
    </row>
  </sheetData>
  <mergeCells count="25">
    <mergeCell ref="G2:P2"/>
    <mergeCell ref="B18:E18"/>
    <mergeCell ref="B20:P20"/>
    <mergeCell ref="M6:N6"/>
    <mergeCell ref="A1:P1"/>
    <mergeCell ref="B14:E14"/>
    <mergeCell ref="B17:E17"/>
    <mergeCell ref="G3:P3"/>
    <mergeCell ref="I6:I7"/>
    <mergeCell ref="C6:C7"/>
    <mergeCell ref="B19:E19"/>
    <mergeCell ref="K6:L6"/>
    <mergeCell ref="D6:D7"/>
    <mergeCell ref="F6:F7"/>
    <mergeCell ref="O6:P6"/>
    <mergeCell ref="H6:H7"/>
    <mergeCell ref="B15:E15"/>
    <mergeCell ref="J6:J7"/>
    <mergeCell ref="A4:P4"/>
    <mergeCell ref="A6:A7"/>
    <mergeCell ref="B10:E10"/>
    <mergeCell ref="G6:G7"/>
    <mergeCell ref="E6:E7"/>
    <mergeCell ref="B6:B7"/>
    <mergeCell ref="B9:P9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2026-10-12T07:24:11Z</dcterms:modified>
</cp:coreProperties>
</file>