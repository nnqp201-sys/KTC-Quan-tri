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7DA68462-0A8F-4A11-BF0B-023B9C2C90AD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3" i="1"/>
  <c r="J23" i="1" s="1"/>
  <c r="I21" i="1"/>
  <c r="J21" i="1" s="1"/>
  <c r="I19" i="1"/>
  <c r="J19" i="1" s="1"/>
  <c r="I18" i="1"/>
  <c r="J18" i="1" s="1"/>
  <c r="I16" i="1"/>
  <c r="J16" i="1" s="1"/>
  <c r="J15" i="1"/>
  <c r="I15" i="1"/>
  <c r="I13" i="1"/>
  <c r="J13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<sst xmlns="http://schemas.openxmlformats.org/spreadsheetml/2006/main" count="117" uniqueCount="78">
  <si>
    <t>Phụ lục Ia — Dữ liệu giả định phục vụ trình diễn</t>
  </si>
  <si>
    <t>CƠ QUAN A</t>
  </si>
  <si>
    <t>CỘNG HÒA XÃ HỘI CHỦ NGHĨA VIỆT NAM</t>
  </si>
  <si>
    <t>ĐƠN VỊ: Văn phòng</t>
  </si>
  <si>
    <t>Độc lập - Tự do - Hạnh phúc</t>
  </si>
  <si>
    <t>KẾ HOẠCH
công tác Quý IV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</si>
  <si>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</si>
  <si>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</si>
  <si>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</si>
  <si>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</si>
  <si>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</si>
  <si>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</si>
  <si>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</si>
  <si>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</si>
  <si>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</si>
  <si>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</si>
  <si>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</si>
  <si>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</si>
  <si>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</si>
  <si>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</si>
  <si>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</si>
  <si>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</si>
  <si>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</si>
  <si>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</si>
  <si>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</si>
  <si>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</si>
  <si>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</si>
  <si>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</si>
  <si>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</si>
  <si>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năm</t>
  </si>
  <si>
    <t>Trục (1) - Thực hiện mục tiêu phát triển Kinh tế - xã hội và nhiệm vụ chính trị được giao</t>
  </si>
  <si>
    <t>1.1</t>
  </si>
  <si>
    <t>Tổng hợp, xây dựng Chương trình công tác năm 2027 của cơ quan</t>
  </si>
  <si>
    <t>Thủ trưởng cơ quan</t>
  </si>
  <si>
    <t>Văn phòng</t>
  </si>
  <si>
    <t>Chương trình</t>
  </si>
  <si>
    <t>Khó và phức tạp</t>
  </si>
  <si>
    <t>Tháng 12/2026</t>
  </si>
  <si>
    <t>Đưa vào KH Trường</t>
  </si>
  <si>
    <t>1.2</t>
  </si>
  <si>
    <t>Tổng hợp, xây dựng Báo cáo kết quả công tác năm 2026</t>
  </si>
  <si>
    <t>Báo cáo</t>
  </si>
  <si>
    <t>Cao</t>
  </si>
  <si>
    <t>1.3</t>
  </si>
  <si>
    <t>Tổ chức giao ban tháng, ban hành thông báo kết luận</t>
  </si>
  <si>
    <t>Thông báo</t>
  </si>
  <si>
    <t>Trung bình</t>
  </si>
  <si>
    <t>Hằng tháng</t>
  </si>
  <si>
    <t>Thường xuyên của đơn vị</t>
  </si>
  <si>
    <t>Trục (2) - Hoàn thiện thể chế, đẩy mạnh phân cấp, phân quyền gắn với kiểm tra, giám sát</t>
  </si>
  <si>
    <t>2.1</t>
  </si>
  <si>
    <t>Xây dựng Quy chế quản lý, sử dụng tài sản công của cơ quan</t>
  </si>
  <si>
    <t>Quyết định</t>
  </si>
  <si>
    <t>Tháng 11/2026</t>
  </si>
  <si>
    <t>2.2</t>
  </si>
  <si>
    <t>Sửa đổi, bổ sung Quy chế làm việc của cơ quan</t>
  </si>
  <si>
    <t>Trục (3) - Thúc đẩy phát triển khoa học, công nghệ, đổi mới sáng tạo và chuyển đổi số</t>
  </si>
  <si>
    <t>3.1</t>
  </si>
  <si>
    <t>Tổ chức tập huấn sử dụng trí tuệ nhân tạo trong công tác văn phòng</t>
  </si>
  <si>
    <t>Lớp tập huấn</t>
  </si>
  <si>
    <t>3.2</t>
  </si>
  <si>
    <t>Số hóa hồ sơ, tài liệu lưu trữ giai đoạn 2021 - 2025</t>
  </si>
  <si>
    <t>Hồ sơ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</si>
  <si>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</si>
  <si>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</si>
  <si>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Tham mưu tổ chức Hội nghị cán bộ, công chức, viên chức năm 2026</t>
  </si>
  <si>
    <t>Hội nghị</t>
  </si>
  <si>
    <t>Trục (5) - Phát triển văn hóa, con người, bảo đảm an sinh xã hội, nâng cao đời sống nhân dân</t>
  </si>
  <si>
    <t>5.1</t>
  </si>
  <si>
    <t>Tổ chức các hoạt động chăm lo Tết cho cán bộ, người lao động</t>
  </si>
  <si>
    <t>Trục (6) - Củng cố quốc phòng, an ninh, giữ vững ổn định chính trị - xã hội, nâng cao hiệu quả đối ngoại và hội nhập quốc tế</t>
  </si>
  <si>
    <t>6.1</t>
  </si>
  <si>
    <t>Kiểm tra công tác phòng cháy, chữa cháy tại trụ sở làm việc</t>
  </si>
  <si>
    <t>Biên bản</t>
  </si>
  <si>
    <t>Tháng 10/2026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</si>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</sst>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78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200</v>
      </c>
      <c r="J11" s="5">
        <f>I11*0.01</f>
        <v>2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37</v>
      </c>
      <c r="I12" s="5">
        <f>IF(G12="Khó và phức tạp",200,IF(G12="Cao",150,IF(G12="Trung bình",120,100)))</f>
        <v>150</v>
      </c>
      <c r="J12" s="5">
        <f>I12*0.01</f>
        <v>1.5</v>
      </c>
      <c r="K12" s="6" t="s">
        <v>38</v>
      </c>
    </row>
    <row r="13" spans="1:11" ht="31.2" x14ac:dyDescent="0.3">
      <c r="A13" s="5" t="s">
        <v>43</v>
      </c>
      <c r="B13" s="6" t="s">
        <v>44</v>
      </c>
      <c r="C13" s="5" t="s">
        <v>33</v>
      </c>
      <c r="D13" s="5" t="s">
        <v>34</v>
      </c>
      <c r="E13" s="6" t="s">
        <v>45</v>
      </c>
      <c r="F13" s="5">
        <v>3</v>
      </c>
      <c r="G13" s="5" t="s">
        <v>46</v>
      </c>
      <c r="H13" s="5" t="s">
        <v>47</v>
      </c>
      <c r="I13" s="5">
        <f>IF(G13="Khó và phức tạp",200,IF(G13="Cao",150,IF(G13="Trung bình",120,100)))</f>
        <v>120</v>
      </c>
      <c r="J13" s="5">
        <f>I13*0.01</f>
        <v>1.2</v>
      </c>
      <c r="K13" s="6" t="s">
        <v>48</v>
      </c>
    </row>
    <row r="14" spans="1:11" ht="15.6" x14ac:dyDescent="0.3">
      <c r="A14" s="3">
        <v>2</v>
      </c>
      <c r="B14" s="7" t="s">
        <v>49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31.2" x14ac:dyDescent="0.3">
      <c r="A15" s="5" t="s">
        <v>50</v>
      </c>
      <c r="B15" s="6" t="s">
        <v>51</v>
      </c>
      <c r="C15" s="5" t="s">
        <v>33</v>
      </c>
      <c r="D15" s="5" t="s">
        <v>34</v>
      </c>
      <c r="E15" s="6" t="s">
        <v>52</v>
      </c>
      <c r="F15" s="5">
        <v>1</v>
      </c>
      <c r="G15" s="5" t="s">
        <v>36</v>
      </c>
      <c r="H15" s="5" t="s">
        <v>53</v>
      </c>
      <c r="I15" s="5">
        <f>IF(G15="Khó và phức tạp",200,IF(G15="Cao",150,IF(G15="Trung bình",120,100)))</f>
        <v>200</v>
      </c>
      <c r="J15" s="5">
        <f>I15*0.01</f>
        <v>2</v>
      </c>
      <c r="K15" s="6" t="s">
        <v>38</v>
      </c>
    </row>
    <row r="16" spans="1:11" ht="31.2" x14ac:dyDescent="0.3">
      <c r="A16" s="5" t="s">
        <v>54</v>
      </c>
      <c r="B16" s="6" t="s">
        <v>55</v>
      </c>
      <c r="C16" s="5" t="s">
        <v>33</v>
      </c>
      <c r="D16" s="5" t="s">
        <v>34</v>
      </c>
      <c r="E16" s="6" t="s">
        <v>52</v>
      </c>
      <c r="F16" s="5">
        <v>1</v>
      </c>
      <c r="G16" s="5" t="s">
        <v>42</v>
      </c>
      <c r="H16" s="5"/>
      <c r="I16" s="5">
        <f>IF(G16="Khó và phức tạp",200,IF(G16="Cao",150,IF(G16="Trung bình",120,100)))</f>
        <v>150</v>
      </c>
      <c r="J16" s="5">
        <f>I16*0.01</f>
        <v>1.5</v>
      </c>
      <c r="K16" s="6" t="s">
        <v>38</v>
      </c>
    </row>
    <row r="17" spans="1:11" ht="15.6" x14ac:dyDescent="0.3">
      <c r="A17" s="3">
        <v>3</v>
      </c>
      <c r="B17" s="7" t="s">
        <v>56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31.2" x14ac:dyDescent="0.3">
      <c r="A18" s="5" t="s">
        <v>57</v>
      </c>
      <c r="B18" s="6" t="s">
        <v>58</v>
      </c>
      <c r="C18" s="5" t="s">
        <v>33</v>
      </c>
      <c r="D18" s="5" t="s">
        <v>34</v>
      </c>
      <c r="E18" s="6" t="s">
        <v>59</v>
      </c>
      <c r="F18" s="5">
        <v>2</v>
      </c>
      <c r="G18" s="5" t="s">
        <v>42</v>
      </c>
      <c r="H18" s="5" t="s">
        <v>53</v>
      </c>
      <c r="I18" s="5">
        <f>IF(G18="Khó và phức tạp",200,IF(G18="Cao",150,IF(G18="Trung bình",120,100)))</f>
        <v>150</v>
      </c>
      <c r="J18" s="5">
        <f>I18*0.01</f>
        <v>1.5</v>
      </c>
      <c r="K18" s="6" t="s">
        <v>38</v>
      </c>
    </row>
    <row r="19" spans="1:11" ht="31.2" x14ac:dyDescent="0.3">
      <c r="A19" s="5" t="s">
        <v>60</v>
      </c>
      <c r="B19" s="6" t="s">
        <v>61</v>
      </c>
      <c r="C19" s="5" t="s">
        <v>33</v>
      </c>
      <c r="D19" s="5" t="s">
        <v>34</v>
      </c>
      <c r="E19" s="6" t="s">
        <v>62</v>
      </c>
      <c r="F19" s="5">
        <v>500</v>
      </c>
      <c r="G19" s="5" t="s">
        <v>46</v>
      </c>
      <c r="H19" s="5" t="s">
        <v>37</v>
      </c>
      <c r="I19" s="5">
        <f>IF(G19="Khó và phức tạp",200,IF(G19="Cao",150,IF(G19="Trung bình",120,100)))</f>
        <v>120</v>
      </c>
      <c r="J19" s="5">
        <f>I19*0.01</f>
        <v>1.2</v>
      </c>
      <c r="K19" s="6" t="s">
        <v>48</v>
      </c>
    </row>
    <row r="20" spans="1:11" ht="15.6" x14ac:dyDescent="0.3">
      <c r="A20" s="3">
        <v>4</v>
      </c>
      <c r="B20" s="7" t="s">
        <v>63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ht="31.2" x14ac:dyDescent="0.3">
      <c r="A21" s="5" t="s">
        <v>64</v>
      </c>
      <c r="B21" s="6" t="s">
        <v>65</v>
      </c>
      <c r="C21" s="5" t="s">
        <v>33</v>
      </c>
      <c r="D21" s="5" t="s">
        <v>34</v>
      </c>
      <c r="E21" s="6" t="s">
        <v>66</v>
      </c>
      <c r="F21" s="5">
        <v>1</v>
      </c>
      <c r="G21" s="5" t="s">
        <v>42</v>
      </c>
      <c r="H21" s="5" t="s">
        <v>37</v>
      </c>
      <c r="I21" s="5">
        <f>IF(G21="Khó và phức tạp",200,IF(G21="Cao",150,IF(G21="Trung bình",120,100)))</f>
        <v>150</v>
      </c>
      <c r="J21" s="5">
        <f>I21*0.01</f>
        <v>1.5</v>
      </c>
      <c r="K21" s="6" t="s">
        <v>38</v>
      </c>
    </row>
    <row r="22" spans="1:11" ht="15.6" x14ac:dyDescent="0.3">
      <c r="A22" s="3">
        <v>5</v>
      </c>
      <c r="B22" s="7" t="s">
        <v>67</v>
      </c>
      <c r="C22" s="8"/>
      <c r="D22" s="8"/>
      <c r="E22" s="8"/>
      <c r="F22" s="8"/>
      <c r="G22" s="8"/>
      <c r="H22" s="8"/>
      <c r="I22" s="8"/>
      <c r="J22" s="8"/>
      <c r="K22" s="8"/>
    </row>
    <row r="23" spans="1:11" ht="31.2" x14ac:dyDescent="0.3">
      <c r="A23" s="5" t="s">
        <v>68</v>
      </c>
      <c r="B23" s="6" t="s">
        <v>69</v>
      </c>
      <c r="C23" s="5" t="s">
        <v>33</v>
      </c>
      <c r="D23" s="5" t="s">
        <v>34</v>
      </c>
      <c r="E23" s="6"/>
      <c r="F23" s="5">
        <v>1</v>
      </c>
      <c r="G23" s="5" t="s">
        <v>46</v>
      </c>
      <c r="H23" s="5" t="s">
        <v>37</v>
      </c>
      <c r="I23" s="5">
        <f>IF(G23="Khó và phức tạp",200,IF(G23="Cao",150,IF(G23="Trung bình",120,100)))</f>
        <v>120</v>
      </c>
      <c r="J23" s="5">
        <f>I23*0.01</f>
        <v>1.2</v>
      </c>
      <c r="K23" s="6" t="s">
        <v>48</v>
      </c>
    </row>
    <row r="24" spans="1:11" ht="15.6" x14ac:dyDescent="0.3">
      <c r="A24" s="3">
        <v>6</v>
      </c>
      <c r="B24" s="7" t="s">
        <v>70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71</v>
      </c>
      <c r="B25" s="6" t="s">
        <v>72</v>
      </c>
      <c r="C25" s="5" t="s">
        <v>33</v>
      </c>
      <c r="D25" s="5" t="s">
        <v>34</v>
      </c>
      <c r="E25" s="6" t="s">
        <v>73</v>
      </c>
      <c r="F25" s="5">
        <v>1</v>
      </c>
      <c r="G25" s="5" t="s">
        <v>46</v>
      </c>
      <c r="H25" s="5" t="s">
        <v>74</v>
      </c>
      <c r="I25" s="5">
        <f>IF(G25="Khó và phức tạp",200,IF(G25="Cao",150,IF(G25="Trung bình",120,100)))</f>
        <v>120</v>
      </c>
      <c r="J25" s="5">
        <f>I25*0.01</f>
        <v>1.2</v>
      </c>
      <c r="K25" s="6" t="s">
        <v>48</v>
      </c>
    </row>
    <row r="26" spans="1:11" ht="15.6" x14ac:dyDescent="0.3">
      <c r="A26" s="3" t="s">
        <v>75</v>
      </c>
      <c r="B26" s="7" t="s">
        <v>76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77</v>
      </c>
    </row>
  </sheetData>
  <mergeCells count="23">
    <mergeCell ref="E2:K2"/>
    <mergeCell ref="A1:K1"/>
    <mergeCell ref="B26:K26"/>
    <mergeCell ref="E3:K3"/>
    <mergeCell ref="G6:G7"/>
    <mergeCell ref="E6:E7"/>
    <mergeCell ref="B6:B7"/>
    <mergeCell ref="B22:K22"/>
    <mergeCell ref="A4:K4"/>
    <mergeCell ref="B14:K14"/>
    <mergeCell ref="B17:K17"/>
    <mergeCell ref="I6:I7"/>
    <mergeCell ref="K6:K7"/>
    <mergeCell ref="C6:C7"/>
    <mergeCell ref="D6:D7"/>
    <mergeCell ref="B10:K10"/>
    <mergeCell ref="B9:K9"/>
    <mergeCell ref="H6:H7"/>
    <mergeCell ref="J6:J7"/>
    <mergeCell ref="B24:K24"/>
    <mergeCell ref="A6:A7"/>
    <mergeCell ref="B20:K20"/>
    <mergeCell ref="F6:F7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