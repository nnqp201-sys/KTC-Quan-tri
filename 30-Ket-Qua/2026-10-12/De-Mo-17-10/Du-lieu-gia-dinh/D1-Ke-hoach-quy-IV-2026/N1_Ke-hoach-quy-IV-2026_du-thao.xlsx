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.CLAUDE code\KTC-Quan-tri\30-Ket-Qua\2026-10-12\De-Mo-17-10\Du-lieu-gia-dinh\D1-Ke-hoach-quy-IV-2026\"/>
    </mc:Choice>
  </mc:AlternateContent>
  <xr:revisionPtr revIDLastSave="0" documentId="13_ncr:1_{1141B880-34AC-40DD-84C4-354700C265BF}" xr6:coauthVersionLast="47" xr6:coauthVersionMax="47" xr10:uidLastSave="{00000000-0000-0000-0000-000000000000}"/>
  <bookViews>
    <workbookView xWindow="11796" yWindow="1068" windowWidth="10428" windowHeight="10068" xr2:uid="{00000000-000D-0000-FFFF-FFFF00000000}"/>
  </bookViews>
  <sheets>
    <sheet name="Phụ lục 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J25" i="1" s="1"/>
  <c r="I23" i="1"/>
  <c r="J23" i="1" s="1"/>
  <c r="I21" i="1"/>
  <c r="J21" i="1" s="1"/>
  <c r="I19" i="1"/>
  <c r="J19" i="1" s="1"/>
  <c r="I17" i="1"/>
  <c r="J17" i="1" s="1"/>
  <c r="I16" i="1"/>
  <c r="J16" i="1" s="1"/>
  <c r="I14" i="1"/>
  <c r="J14" i="1" s="1"/>
  <c r="I13" i="1"/>
  <c r="J13" i="1" s="1"/>
  <c r="I12" i="1"/>
  <c r="J12" i="1" s="1"/>
  <c r="I11" i="1"/>
  <c r="J11" i="1" s="1"/>
</calcChain>
</file>

<file path=xl/sharedStrings.xml><?xml version="1.0" encoding="utf-8"?>
<sst xmlns="http://schemas.openxmlformats.org/spreadsheetml/2006/main" count="119" uniqueCount="77">
  <si>
    <t>Phụ lục Ia — Dữ liệu giả định phục vụ trình diễn</t>
  </si>
  <si>
    <t>CƠ QUAN A</t>
  </si>
  <si>
    <t>CỘNG HÒA XÃ HỘI CHỦ NGHĨA VIỆT NAM</t>
  </si>
  <si>
    <t>ĐƠN VỊ: Phòng Nghiệp vụ 1</t>
  </si>
  <si>
    <t>Độc lập - Tự do - Hạnh phúc</t>
  </si>
  <si>
    <t>KẾ HOẠCH
công tác Quý IV năm 2026</t>
  </si>
  <si>
    <t>TT</t>
  </si>
  <si>
    <t>NỘI DUNG CÔNG VIỆC</t>
  </si>
  <si>
    <t>Người trực tiếp chỉ đạo</t>
  </si>
  <si>
    <t>Đơn vị chủ trì</t>
  </si>
  <si>
    <t>Sản phẩm/ công việc</t>
  </si>
  <si>
    <t>Số lượng</t>
  </si>
  <si>
    <t>Độ khó, mới, phức tạp; phạm vi tác động</t>
  </si>
  <si>
    <t>Thời gian hoàn thành</t>
  </si>
  <si>
    <t>Điểm chấm công việc</t>
  </si>
  <si>
    <t>Hệ số quy đổi</t>
  </si>
  <si>
    <t>Ghi chú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</si>
  <si>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</si>
  <si>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</si>
  <si>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</si>
  <si>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</si>
  <si>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</si>
  <si>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</si>
  <si>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</si>
  <si>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</si>
  <si>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</si>
  <si>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</si>
  <si>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</si>
  <si>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I</t>
  </si>
  <si>
    <t>Các nhiệm vụ theo kế hoạch (chương trình) công tác đã đề ra từ đầu năm</t>
  </si>
  <si>
    <t>Trục (1) - Thực hiện mục tiêu phát triển Kinh tế - xã hội và nhiệm vụ chính trị được giao</t>
  </si>
  <si>
    <t>1.1</t>
  </si>
  <si>
    <t>Tham mưu Kế hoạch thực hiện nhiệm vụ trọng tâm năm 2027 của lĩnh vực</t>
  </si>
  <si>
    <t>Phó Thủ trưởng 1</t>
  </si>
  <si>
    <t>Phòng Nghiệp vụ 1</t>
  </si>
  <si>
    <t>Kế hoạch</t>
  </si>
  <si>
    <t>Khó và phức tạp</t>
  </si>
  <si>
    <t>Tháng 12/2026</t>
  </si>
  <si>
    <t>Đưa vào KH Trường</t>
  </si>
  <si>
    <t>1.2</t>
  </si>
  <si>
    <t>Báo cáo kết quả thực hiện chỉ tiêu chuyên môn quý IV/2026</t>
  </si>
  <si>
    <t>Báo cáo</t>
  </si>
  <si>
    <t>Cao</t>
  </si>
  <si>
    <t>1.3</t>
  </si>
  <si>
    <t>Thẩm định hồ sơ chuyên môn theo đề nghị của cơ sở</t>
  </si>
  <si>
    <t>Hồ sơ</t>
  </si>
  <si>
    <t>Trung bình</t>
  </si>
  <si>
    <t>Hằng tháng</t>
  </si>
  <si>
    <t>Thường xuyên của đơn vị</t>
  </si>
  <si>
    <t>1.4</t>
  </si>
  <si>
    <t>Tổ chức 02 đoàn khảo sát thực tế tại cơ sở</t>
  </si>
  <si>
    <t>Tháng 11/2026</t>
  </si>
  <si>
    <t>Trục (2) - Hoàn thiện thể chế, đẩy mạnh phân cấp, phân quyền gắn với kiểm tra, giám sát</t>
  </si>
  <si>
    <t>2.1</t>
  </si>
  <si>
    <t>Rà soát, đề xuất đơn giản hóa thủ tục hành chính</t>
  </si>
  <si>
    <t>2.2</t>
  </si>
  <si>
    <t>Kiểm tra việc thực hiện quy định chuyên môn tại 03 đơn vị cơ sở</t>
  </si>
  <si>
    <t>Kết luận</t>
  </si>
  <si>
    <t>Trục (3) - Thúc đẩy phát triển khoa học, công nghệ, đổi mới sáng tạo và chuyển đổi số</t>
  </si>
  <si>
    <t>3.1</t>
  </si>
  <si>
    <t>Cập nhật cơ sở dữ liệu chuyên ngành</t>
  </si>
  <si>
    <t>Bản ghi</t>
  </si>
  <si>
    <t>Trục (4) - Xây dựng đảng và hệ thống chính trị trong sạch, vững mạnh; giữ gìn đoàn kết, thống nhất nội bộ; phòng, chống tham nhũng, lãng phí, tiêu cực</t>
  </si>
  <si>
    <t>4.1</t>
  </si>
  <si>
    <t>Sinh hoạt chuyên đề chi bộ quý IV/2026</t>
  </si>
  <si>
    <t>Biên bản</t>
  </si>
  <si>
    <t>Trục (5) - Phát triển văn hóa, con người, bảo đảm an sinh xã hội, nâng cao đời sống nhân dân</t>
  </si>
  <si>
    <t>5.1</t>
  </si>
  <si>
    <t>Tổ chức hội nghị đối thoại với người dân, doanh nghiệp</t>
  </si>
  <si>
    <t>Hội nghị</t>
  </si>
  <si>
    <t>Trục (6) - Củng cố quốc phòng, an ninh, giữ vững ổn định chính trị - xã hội, nâng cao hiệu quả đối ngoại và hội nhập quốc tế</t>
  </si>
  <si>
    <t>6.1</t>
  </si>
  <si>
    <t>Giải quyết đơn thư, phản ánh, kiến nghị thuộc lĩnh vực</t>
  </si>
  <si>
    <t>Văn bản trả lời</t>
  </si>
  <si>
    <t>II</t>
  </si>
  <si>
    <t>Các nhiệm vụ đột xuất, phát sinh ở kỳ trước phải thực hiện sang kỳ sau (nếu có): Không</t>
  </si>
  <si>
    <t>LÃNH ĐẠO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</si>
</sst>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2"/>
      <name val="Times New Roman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abSelected="1" workbookViewId="0">
      <selection sqref="A1:K1"/>
    </sheetView>
  </sheetViews>
  <sheetFormatPr defaultRowHeight="14.4" x14ac:dyDescent="0.3"/>
  <cols>
    <col min="1" max="1" width="6" customWidth="1"/>
    <col min="2" max="2" width="46" customWidth="1"/>
    <col min="3" max="3" width="17" customWidth="1"/>
    <col min="4" max="4" width="20" customWidth="1"/>
    <col min="5" max="5" width="15" customWidth="1"/>
    <col min="6" max="6" width="9" customWidth="1"/>
    <col min="7" max="7" width="16" customWidth="1"/>
    <col min="8" max="8" width="15" customWidth="1"/>
    <col min="9" max="9" width="10" customWidth="1"/>
    <col min="10" max="10" width="9" customWidth="1"/>
    <col min="11" max="11" width="18" customWidth="1"/>
  </cols>
  <sheetData>
    <row r="1" spans="1:11" ht="15.6" x14ac:dyDescent="0.3">
      <c r="A1" s="12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46.8" x14ac:dyDescent="0.3">
      <c r="A2" s="1" t="s">
        <v>1</v>
      </c>
      <c r="E2" s="11" t="s">
        <v>2</v>
      </c>
      <c r="F2" s="8"/>
      <c r="G2" s="8"/>
      <c r="H2" s="8"/>
      <c r="I2" s="8"/>
      <c r="J2" s="8"/>
      <c r="K2" s="8"/>
    </row>
    <row r="3" spans="1:11" ht="109.2" x14ac:dyDescent="0.3">
      <c r="A3" s="1" t="s">
        <v>3</v>
      </c>
      <c r="E3" s="11" t="s">
        <v>4</v>
      </c>
      <c r="F3" s="8"/>
      <c r="G3" s="8"/>
      <c r="H3" s="8"/>
      <c r="I3" s="8"/>
      <c r="J3" s="8"/>
      <c r="K3" s="8"/>
    </row>
    <row r="4" spans="1:11" ht="40.049999999999997" customHeight="1" x14ac:dyDescent="0.3">
      <c r="A4" s="11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</row>
    <row r="6" spans="1:11" ht="34.049999999999997" customHeight="1" x14ac:dyDescent="0.3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15.6" x14ac:dyDescent="0.3">
      <c r="A8" s="4" t="s">
        <v>17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4" t="s">
        <v>24</v>
      </c>
      <c r="I8" s="4" t="s">
        <v>25</v>
      </c>
      <c r="J8" s="4" t="s">
        <v>26</v>
      </c>
      <c r="K8" s="4" t="s">
        <v>27</v>
      </c>
    </row>
    <row r="9" spans="1:11" ht="15.6" x14ac:dyDescent="0.3">
      <c r="A9" s="3" t="s">
        <v>28</v>
      </c>
      <c r="B9" s="7" t="s">
        <v>29</v>
      </c>
      <c r="C9" s="8"/>
      <c r="D9" s="8"/>
      <c r="E9" s="8"/>
      <c r="F9" s="8"/>
      <c r="G9" s="8"/>
      <c r="H9" s="8"/>
      <c r="I9" s="8"/>
      <c r="J9" s="8"/>
      <c r="K9" s="8"/>
    </row>
    <row r="10" spans="1:11" ht="15.6" x14ac:dyDescent="0.3">
      <c r="A10" s="3">
        <v>1</v>
      </c>
      <c r="B10" s="7" t="s">
        <v>30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31.2" x14ac:dyDescent="0.3">
      <c r="A11" s="5" t="s">
        <v>31</v>
      </c>
      <c r="B11" s="6" t="s">
        <v>32</v>
      </c>
      <c r="C11" s="5" t="s">
        <v>33</v>
      </c>
      <c r="D11" s="5" t="s">
        <v>34</v>
      </c>
      <c r="E11" s="6" t="s">
        <v>35</v>
      </c>
      <c r="F11" s="5">
        <v>1</v>
      </c>
      <c r="G11" s="5" t="s">
        <v>36</v>
      </c>
      <c r="H11" s="5" t="s">
        <v>37</v>
      </c>
      <c r="I11" s="5">
        <f>IF(G11="Khó và phức tạp",200,IF(G11="Cao",150,IF(G11="Trung bình",120,100)))</f>
        <v>200</v>
      </c>
      <c r="J11" s="5">
        <f>I11*0.01</f>
        <v>2</v>
      </c>
      <c r="K11" s="6" t="s">
        <v>38</v>
      </c>
    </row>
    <row r="12" spans="1:11" ht="31.2" x14ac:dyDescent="0.3">
      <c r="A12" s="5" t="s">
        <v>39</v>
      </c>
      <c r="B12" s="6" t="s">
        <v>40</v>
      </c>
      <c r="C12" s="5" t="s">
        <v>33</v>
      </c>
      <c r="D12" s="5" t="s">
        <v>34</v>
      </c>
      <c r="E12" s="6" t="s">
        <v>41</v>
      </c>
      <c r="F12" s="5">
        <v>1</v>
      </c>
      <c r="G12" s="5" t="s">
        <v>42</v>
      </c>
      <c r="H12" s="5" t="s">
        <v>37</v>
      </c>
      <c r="I12" s="5">
        <f>IF(G12="Khó và phức tạp",200,IF(G12="Cao",150,IF(G12="Trung bình",120,100)))</f>
        <v>150</v>
      </c>
      <c r="J12" s="5">
        <f>I12*0.01</f>
        <v>1.5</v>
      </c>
      <c r="K12" s="6" t="s">
        <v>38</v>
      </c>
    </row>
    <row r="13" spans="1:11" ht="31.2" x14ac:dyDescent="0.3">
      <c r="A13" s="5" t="s">
        <v>43</v>
      </c>
      <c r="B13" s="6" t="s">
        <v>44</v>
      </c>
      <c r="C13" s="5" t="s">
        <v>33</v>
      </c>
      <c r="D13" s="5" t="s">
        <v>34</v>
      </c>
      <c r="E13" s="6" t="s">
        <v>45</v>
      </c>
      <c r="F13" s="5">
        <v>40</v>
      </c>
      <c r="G13" s="5" t="s">
        <v>46</v>
      </c>
      <c r="H13" s="5" t="s">
        <v>47</v>
      </c>
      <c r="I13" s="5">
        <f>IF(G13="Khó và phức tạp",200,IF(G13="Cao",150,IF(G13="Trung bình",120,100)))</f>
        <v>120</v>
      </c>
      <c r="J13" s="5">
        <f>I13*0.01</f>
        <v>1.2</v>
      </c>
      <c r="K13" s="6" t="s">
        <v>48</v>
      </c>
    </row>
    <row r="14" spans="1:11" ht="31.2" x14ac:dyDescent="0.3">
      <c r="A14" s="5" t="s">
        <v>49</v>
      </c>
      <c r="B14" s="6" t="s">
        <v>50</v>
      </c>
      <c r="C14" s="5" t="s">
        <v>33</v>
      </c>
      <c r="D14" s="5" t="s">
        <v>34</v>
      </c>
      <c r="E14" s="6" t="s">
        <v>41</v>
      </c>
      <c r="F14" s="5">
        <v>2</v>
      </c>
      <c r="G14" s="5" t="s">
        <v>42</v>
      </c>
      <c r="H14" s="5" t="s">
        <v>51</v>
      </c>
      <c r="I14" s="5">
        <f>IF(G14="Khó và phức tạp",200,IF(G14="Cao",150,IF(G14="Trung bình",120,100)))</f>
        <v>150</v>
      </c>
      <c r="J14" s="5">
        <f>I14*0.01</f>
        <v>1.5</v>
      </c>
      <c r="K14" s="6" t="s">
        <v>38</v>
      </c>
    </row>
    <row r="15" spans="1:11" ht="15.6" x14ac:dyDescent="0.3">
      <c r="A15" s="3">
        <v>2</v>
      </c>
      <c r="B15" s="7" t="s">
        <v>52</v>
      </c>
      <c r="C15" s="8"/>
      <c r="D15" s="8"/>
      <c r="E15" s="8"/>
      <c r="F15" s="8"/>
      <c r="G15" s="8"/>
      <c r="H15" s="8"/>
      <c r="I15" s="8"/>
      <c r="J15" s="8"/>
      <c r="K15" s="8"/>
    </row>
    <row r="16" spans="1:11" ht="31.2" x14ac:dyDescent="0.3">
      <c r="A16" s="5" t="s">
        <v>53</v>
      </c>
      <c r="B16" s="6" t="s">
        <v>54</v>
      </c>
      <c r="C16" s="5" t="s">
        <v>33</v>
      </c>
      <c r="D16" s="5" t="s">
        <v>34</v>
      </c>
      <c r="E16" s="6" t="s">
        <v>41</v>
      </c>
      <c r="F16" s="5">
        <v>1</v>
      </c>
      <c r="G16" s="5" t="s">
        <v>42</v>
      </c>
      <c r="H16" s="5" t="s">
        <v>51</v>
      </c>
      <c r="I16" s="5">
        <f>IF(G16="Khó và phức tạp",200,IF(G16="Cao",150,IF(G16="Trung bình",120,100)))</f>
        <v>150</v>
      </c>
      <c r="J16" s="5">
        <f>I16*0.01</f>
        <v>1.5</v>
      </c>
      <c r="K16" s="6" t="s">
        <v>38</v>
      </c>
    </row>
    <row r="17" spans="1:11" ht="31.2" x14ac:dyDescent="0.3">
      <c r="A17" s="5" t="s">
        <v>55</v>
      </c>
      <c r="B17" s="6" t="s">
        <v>56</v>
      </c>
      <c r="C17" s="5" t="s">
        <v>33</v>
      </c>
      <c r="D17" s="5" t="s">
        <v>34</v>
      </c>
      <c r="E17" s="6" t="s">
        <v>57</v>
      </c>
      <c r="F17" s="5">
        <v>3</v>
      </c>
      <c r="G17" s="5" t="s">
        <v>36</v>
      </c>
      <c r="H17" s="5" t="s">
        <v>51</v>
      </c>
      <c r="I17" s="5">
        <f>IF(G17="Khó và phức tạp",200,IF(G17="Cao",150,IF(G17="Trung bình",120,100)))</f>
        <v>200</v>
      </c>
      <c r="J17" s="5">
        <f>I17*0.01</f>
        <v>2</v>
      </c>
      <c r="K17" s="6" t="s">
        <v>38</v>
      </c>
    </row>
    <row r="18" spans="1:11" ht="15.6" x14ac:dyDescent="0.3">
      <c r="A18" s="3">
        <v>3</v>
      </c>
      <c r="B18" s="7" t="s">
        <v>58</v>
      </c>
      <c r="C18" s="8"/>
      <c r="D18" s="8"/>
      <c r="E18" s="8"/>
      <c r="F18" s="8"/>
      <c r="G18" s="8"/>
      <c r="H18" s="8"/>
      <c r="I18" s="8"/>
      <c r="J18" s="8"/>
      <c r="K18" s="8"/>
    </row>
    <row r="19" spans="1:11" ht="31.2" x14ac:dyDescent="0.3">
      <c r="A19" s="5" t="s">
        <v>59</v>
      </c>
      <c r="B19" s="6" t="s">
        <v>60</v>
      </c>
      <c r="C19" s="5" t="s">
        <v>33</v>
      </c>
      <c r="D19" s="5" t="s">
        <v>34</v>
      </c>
      <c r="E19" s="6" t="s">
        <v>61</v>
      </c>
      <c r="F19" s="5">
        <v>300</v>
      </c>
      <c r="G19" s="5" t="s">
        <v>46</v>
      </c>
      <c r="H19" s="5" t="s">
        <v>37</v>
      </c>
      <c r="I19" s="5">
        <f>IF(G19="Khó và phức tạp",200,IF(G19="Cao",150,IF(G19="Trung bình",120,100)))</f>
        <v>120</v>
      </c>
      <c r="J19" s="5">
        <f>I19*0.01</f>
        <v>1.2</v>
      </c>
      <c r="K19" s="6" t="s">
        <v>48</v>
      </c>
    </row>
    <row r="20" spans="1:11" ht="15.6" x14ac:dyDescent="0.3">
      <c r="A20" s="3">
        <v>4</v>
      </c>
      <c r="B20" s="7" t="s">
        <v>62</v>
      </c>
      <c r="C20" s="8"/>
      <c r="D20" s="8"/>
      <c r="E20" s="8"/>
      <c r="F20" s="8"/>
      <c r="G20" s="8"/>
      <c r="H20" s="8"/>
      <c r="I20" s="8"/>
      <c r="J20" s="8"/>
      <c r="K20" s="8"/>
    </row>
    <row r="21" spans="1:11" ht="31.2" x14ac:dyDescent="0.3">
      <c r="A21" s="5" t="s">
        <v>63</v>
      </c>
      <c r="B21" s="6" t="s">
        <v>64</v>
      </c>
      <c r="C21" s="5" t="s">
        <v>33</v>
      </c>
      <c r="D21" s="5" t="s">
        <v>34</v>
      </c>
      <c r="E21" s="6" t="s">
        <v>65</v>
      </c>
      <c r="F21" s="5">
        <v>1</v>
      </c>
      <c r="G21" s="5" t="s">
        <v>46</v>
      </c>
      <c r="H21" s="5" t="s">
        <v>51</v>
      </c>
      <c r="I21" s="5">
        <f>IF(G21="Khó và phức tạp",200,IF(G21="Cao",150,IF(G21="Trung bình",120,100)))</f>
        <v>120</v>
      </c>
      <c r="J21" s="5">
        <f>I21*0.01</f>
        <v>1.2</v>
      </c>
      <c r="K21" s="6" t="s">
        <v>48</v>
      </c>
    </row>
    <row r="22" spans="1:11" ht="15.6" x14ac:dyDescent="0.3">
      <c r="A22" s="3">
        <v>5</v>
      </c>
      <c r="B22" s="7" t="s">
        <v>66</v>
      </c>
      <c r="C22" s="8"/>
      <c r="D22" s="8"/>
      <c r="E22" s="8"/>
      <c r="F22" s="8"/>
      <c r="G22" s="8"/>
      <c r="H22" s="8"/>
      <c r="I22" s="8"/>
      <c r="J22" s="8"/>
      <c r="K22" s="8"/>
    </row>
    <row r="23" spans="1:11" ht="31.2" x14ac:dyDescent="0.3">
      <c r="A23" s="5" t="s">
        <v>67</v>
      </c>
      <c r="B23" s="6" t="s">
        <v>68</v>
      </c>
      <c r="C23" s="5" t="s">
        <v>33</v>
      </c>
      <c r="D23" s="5" t="s">
        <v>34</v>
      </c>
      <c r="E23" s="6" t="s">
        <v>69</v>
      </c>
      <c r="F23" s="5">
        <v>1</v>
      </c>
      <c r="G23" s="5" t="s">
        <v>42</v>
      </c>
      <c r="H23" s="5" t="s">
        <v>51</v>
      </c>
      <c r="I23" s="5">
        <f>IF(G23="Khó và phức tạp",200,IF(G23="Cao",150,IF(G23="Trung bình",120,100)))</f>
        <v>150</v>
      </c>
      <c r="J23" s="5">
        <f>I23*0.01</f>
        <v>1.5</v>
      </c>
      <c r="K23" s="6" t="s">
        <v>38</v>
      </c>
    </row>
    <row r="24" spans="1:11" ht="15.6" x14ac:dyDescent="0.3">
      <c r="A24" s="3">
        <v>6</v>
      </c>
      <c r="B24" s="7" t="s">
        <v>70</v>
      </c>
      <c r="C24" s="8"/>
      <c r="D24" s="8"/>
      <c r="E24" s="8"/>
      <c r="F24" s="8"/>
      <c r="G24" s="8"/>
      <c r="H24" s="8"/>
      <c r="I24" s="8"/>
      <c r="J24" s="8"/>
      <c r="K24" s="8"/>
    </row>
    <row r="25" spans="1:11" ht="31.2" x14ac:dyDescent="0.3">
      <c r="A25" s="5" t="s">
        <v>71</v>
      </c>
      <c r="B25" s="6" t="s">
        <v>72</v>
      </c>
      <c r="C25" s="5" t="s">
        <v>33</v>
      </c>
      <c r="D25" s="5" t="s">
        <v>34</v>
      </c>
      <c r="E25" s="6" t="s">
        <v>73</v>
      </c>
      <c r="F25" s="5">
        <v>15</v>
      </c>
      <c r="G25" s="5" t="s">
        <v>46</v>
      </c>
      <c r="H25" s="5" t="s">
        <v>47</v>
      </c>
      <c r="I25" s="5">
        <f>IF(G25="Khó và phức tạp",200,IF(G25="Cao",150,IF(G25="Trung bình",120,100)))</f>
        <v>120</v>
      </c>
      <c r="J25" s="5">
        <f>I25*0.01</f>
        <v>1.2</v>
      </c>
      <c r="K25" s="6" t="s">
        <v>48</v>
      </c>
    </row>
    <row r="26" spans="1:11" ht="15.6" x14ac:dyDescent="0.3">
      <c r="A26" s="3" t="s">
        <v>74</v>
      </c>
      <c r="B26" s="7" t="s">
        <v>75</v>
      </c>
      <c r="C26" s="8"/>
      <c r="D26" s="8"/>
      <c r="E26" s="8"/>
      <c r="F26" s="8"/>
      <c r="G26" s="8"/>
      <c r="H26" s="8"/>
      <c r="I26" s="8"/>
      <c r="J26" s="8"/>
      <c r="K26" s="8"/>
    </row>
    <row r="28" spans="1:11" ht="31.2" x14ac:dyDescent="0.3">
      <c r="H28" s="2" t="s">
        <v>76</v>
      </c>
    </row>
  </sheetData>
  <mergeCells count="23">
    <mergeCell ref="A6:A7"/>
    <mergeCell ref="B20:K20"/>
    <mergeCell ref="E2:K2"/>
    <mergeCell ref="A1:K1"/>
    <mergeCell ref="B26:K26"/>
    <mergeCell ref="E3:K3"/>
    <mergeCell ref="G6:G7"/>
    <mergeCell ref="E6:E7"/>
    <mergeCell ref="B6:B7"/>
    <mergeCell ref="B22:K22"/>
    <mergeCell ref="B18:K18"/>
    <mergeCell ref="A4:K4"/>
    <mergeCell ref="I6:I7"/>
    <mergeCell ref="K6:K7"/>
    <mergeCell ref="C6:C7"/>
    <mergeCell ref="D6:D7"/>
    <mergeCell ref="B9:K9"/>
    <mergeCell ref="H6:H7"/>
    <mergeCell ref="B15:K15"/>
    <mergeCell ref="J6:J7"/>
    <mergeCell ref="B24:K24"/>
    <mergeCell ref="B10:K10"/>
    <mergeCell ref="F6:F7"/>
  </mergeCells>
  <pageMargins left="0.75" right="0.75" top="1" bottom="1" header="0.5" footer="0.5"/>
  <pageSetup paperSize="9" fitToHeight="0" orientation="landscape"/>
  <headerFooter>
    <oddFooter>&amp;CDữ liệu giả định phục vụ trình diễn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Phụ lục 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Phục</cp:lastModifiedBy>
  <dcterms:created xsi:type="dcterms:W3CDTF">2026-10-12T07:24:06Z</dcterms:created>
  <dcterms:modified xsi:type="dcterms:W3CDTF">2026-10-12T07:24:09Z</dcterms:modified>
</cp:coreProperties>
</file>