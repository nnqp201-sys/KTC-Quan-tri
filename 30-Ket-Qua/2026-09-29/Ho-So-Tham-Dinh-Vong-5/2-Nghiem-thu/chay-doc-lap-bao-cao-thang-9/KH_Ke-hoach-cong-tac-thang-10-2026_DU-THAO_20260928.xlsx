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KH tháng 10" sheetId="1" state="visible" r:id="rId1"/>
  </sheets>
  <definedNames>
    <definedName name="_xlnm.Print_Titles" localSheetId="0">'KH tháng 10'!$8:$9</definedName>
    <definedName name="_xlnm.Print_Area" localSheetId="0">'KH tháng 10'!$A$1:$K$59</definedName>
  </definedNames>
  <calcPr calcId="191029" fullCalcOnLoad="1"/>
</workbook>
</file>

<file path=xl/styles.xml><?xml version="1.0" encoding="utf-8"?>
<styleSheet xmlns="http://schemas.openxmlformats.org/spreadsheetml/2006/main">
  <numFmts count="0"/>
  <fonts count="20">
    <font>
      <name val="Calibri"/>
      <family val="2"/>
      <color theme="1"/>
      <sz val="11"/>
      <scheme val="minor"/>
    </font>
    <font>
      <name val="Times New Roman"/>
      <family val="1"/>
      <sz val="14"/>
    </font>
    <font>
      <name val="Times New Roman"/>
      <family val="1"/>
      <b val="1"/>
      <sz val="14"/>
    </font>
    <font>
      <name val="Calibri"/>
      <family val="2"/>
      <sz val="8"/>
      <scheme val="minor"/>
    </font>
    <font>
      <name val="Times New Roman"/>
      <family val="1"/>
      <i val="1"/>
      <sz val="14"/>
    </font>
    <font>
      <name val="Times New Roman"/>
      <family val="1"/>
      <color rgb="FFFF0000"/>
      <sz val="14"/>
    </font>
    <font>
      <name val="Times New Roman"/>
      <family val="1"/>
      <b val="1"/>
      <color theme="1"/>
      <sz val="14"/>
    </font>
    <font>
      <name val="Calibri"/>
      <charset val="1"/>
      <family val="2"/>
      <color theme="1"/>
      <sz val="11"/>
    </font>
    <font>
      <name val="Calibri"/>
      <family val="2"/>
      <color rgb="FF000000"/>
      <sz val="11"/>
      <scheme val="minor"/>
    </font>
    <font>
      <name val="Times New Roman"/>
      <family val="1"/>
      <color theme="1"/>
      <sz val="14"/>
    </font>
    <font>
      <name val="Times New Roman"/>
      <family val="1"/>
      <color rgb="FF000000"/>
      <sz val="14"/>
    </font>
    <font>
      <name val="Times New Roman"/>
      <family val="1"/>
      <b val="1"/>
      <color rgb="FF000000"/>
      <sz val="14"/>
    </font>
    <font>
      <name val="Times New Roman"/>
      <family val="1"/>
      <color rgb="FFC00000"/>
      <sz val="14"/>
    </font>
    <font>
      <name val="Times New Roman"/>
      <family val="1"/>
      <sz val="13"/>
    </font>
    <font>
      <name val="Times New Roman"/>
      <family val="1"/>
      <b val="1"/>
      <sz val="13"/>
    </font>
    <font>
      <name val="Times New Roman"/>
      <family val="1"/>
      <sz val="11"/>
    </font>
    <font>
      <name val="Times New Roman"/>
      <family val="1"/>
      <b val="1"/>
      <i val="1"/>
      <sz val="12"/>
    </font>
    <font>
      <name val="Times New Roman"/>
      <family val="1"/>
      <sz val="12"/>
    </font>
    <font>
      <name val="Times New Roman"/>
      <family val="2"/>
      <color theme="1"/>
      <sz val="11"/>
      <scheme val="minor"/>
    </font>
    <font>
      <name val="Times New Roman"/>
      <sz val="11"/>
    </font>
  </fonts>
  <fills count="2">
    <fill>
      <patternFill/>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7" fillId="0" borderId="0"/>
    <xf numFmtId="0" fontId="8" fillId="0" borderId="0"/>
  </cellStyleXfs>
  <cellXfs count="64">
    <xf numFmtId="0" fontId="0" fillId="0" borderId="0" pivotButton="0" quotePrefix="0" xfId="0"/>
    <xf numFmtId="0" fontId="1" fillId="0" borderId="1" applyAlignment="1" pivotButton="0" quotePrefix="1" xfId="0">
      <alignment horizontal="center" vertical="center" wrapText="1"/>
    </xf>
    <xf numFmtId="0" fontId="13" fillId="0" borderId="1" applyAlignment="1" pivotButton="0" quotePrefix="0" xfId="0">
      <alignment horizontal="left" vertical="center" wrapText="1"/>
    </xf>
    <xf numFmtId="0" fontId="13" fillId="0" borderId="1" applyAlignment="1" pivotButton="0" quotePrefix="0" xfId="0">
      <alignment horizontal="center" vertical="center" wrapText="1"/>
    </xf>
    <xf numFmtId="0" fontId="14" fillId="0" borderId="1"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0" pivotButton="0" quotePrefix="0" xfId="0"/>
    <xf numFmtId="0" fontId="1" fillId="0" borderId="0" applyAlignment="1" pivotButton="0" quotePrefix="0" xfId="0">
      <alignment vertical="top"/>
    </xf>
    <xf numFmtId="0" fontId="1" fillId="0" borderId="0" applyAlignment="1" pivotButton="0" quotePrefix="0" xfId="0">
      <alignment horizontal="justify"/>
    </xf>
    <xf numFmtId="0" fontId="1" fillId="0" borderId="0" applyAlignment="1" pivotButton="0" quotePrefix="0" xfId="0">
      <alignment horizontal="justify"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1" fillId="0" borderId="1" applyAlignment="1" pivotButton="0" quotePrefix="0" xfId="0">
      <alignment horizontal="justify" vertical="center" wrapText="1"/>
    </xf>
    <xf numFmtId="0" fontId="1" fillId="0" borderId="1" pivotButton="0" quotePrefix="0" xfId="0"/>
    <xf numFmtId="0" fontId="1" fillId="0" borderId="1" applyAlignment="1" pivotButton="0" quotePrefix="0" xfId="0">
      <alignment horizontal="left" vertical="center" wrapText="1"/>
    </xf>
    <xf numFmtId="0" fontId="9" fillId="0" borderId="1" applyAlignment="1" pivotButton="0" quotePrefix="0" xfId="0">
      <alignment horizontal="left" vertical="center" wrapText="1"/>
    </xf>
    <xf numFmtId="0" fontId="9"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2">
      <alignment horizontal="center" vertical="center" wrapText="1"/>
    </xf>
    <xf numFmtId="0" fontId="1" fillId="0" borderId="1" applyAlignment="1" pivotButton="0" quotePrefix="0" xfId="1">
      <alignment horizontal="left" vertical="center" wrapText="1"/>
    </xf>
    <xf numFmtId="0" fontId="1" fillId="0" borderId="1" applyAlignment="1" pivotButton="0" quotePrefix="0" xfId="1">
      <alignment horizontal="center" vertical="center" wrapText="1"/>
    </xf>
    <xf numFmtId="0" fontId="10" fillId="0" borderId="1" applyAlignment="1" pivotButton="0" quotePrefix="0" xfId="2">
      <alignment vertical="center" wrapText="1"/>
    </xf>
    <xf numFmtId="0" fontId="10" fillId="0" borderId="1" applyAlignment="1" pivotButton="0" quotePrefix="0" xfId="2">
      <alignment horizontal="center" vertical="center" wrapText="1"/>
    </xf>
    <xf numFmtId="0" fontId="9" fillId="0" borderId="1" applyAlignment="1" pivotButton="0" quotePrefix="0" xfId="0">
      <alignment horizontal="justify" vertical="center"/>
    </xf>
    <xf numFmtId="0" fontId="10" fillId="0" borderId="1" applyAlignment="1" pivotButton="0" quotePrefix="0" xfId="0">
      <alignment horizontal="left" vertical="center"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2" fillId="0" borderId="0" applyAlignment="1" pivotButton="0" quotePrefix="0" xfId="0">
      <alignment vertical="center"/>
    </xf>
    <xf numFmtId="0" fontId="1" fillId="0" borderId="0" applyAlignment="1" pivotButton="0" quotePrefix="0" xfId="0">
      <alignment wrapText="1"/>
    </xf>
    <xf numFmtId="0" fontId="9" fillId="0" borderId="1" applyAlignment="1" pivotButton="0" quotePrefix="0" xfId="0">
      <alignment vertical="center" wrapText="1"/>
    </xf>
    <xf numFmtId="0" fontId="1" fillId="0" borderId="0" applyAlignment="1" pivotButton="0" quotePrefix="0" xfId="0">
      <alignment vertical="center"/>
    </xf>
    <xf numFmtId="0" fontId="1" fillId="0" borderId="1" applyAlignment="1" pivotButton="0" quotePrefix="0" xfId="0">
      <alignment horizontal="justify" vertical="center"/>
    </xf>
    <xf numFmtId="0" fontId="5" fillId="0" borderId="1" applyAlignment="1" pivotButton="0" quotePrefix="0" xfId="0">
      <alignment horizontal="center" vertical="center" wrapText="1"/>
    </xf>
    <xf numFmtId="0" fontId="13" fillId="0" borderId="1" applyAlignment="1" pivotButton="0" quotePrefix="0" xfId="0">
      <alignment horizontal="justify" vertical="center" wrapText="1"/>
    </xf>
    <xf numFmtId="0" fontId="10" fillId="0" borderId="1" applyAlignment="1" pivotButton="0" quotePrefix="0" xfId="0">
      <alignment vertical="center" wrapText="1"/>
    </xf>
    <xf numFmtId="0" fontId="13" fillId="0" borderId="1" applyAlignment="1" pivotButton="0" quotePrefix="0" xfId="0">
      <alignment vertical="center" wrapText="1"/>
    </xf>
    <xf numFmtId="0" fontId="2" fillId="0" borderId="0" applyAlignment="1" pivotButton="0" quotePrefix="0" xfId="0">
      <alignment horizontal="center"/>
    </xf>
    <xf numFmtId="0" fontId="1" fillId="0" borderId="0" applyAlignment="1" pivotButton="0" quotePrefix="0" xfId="0">
      <alignment horizontal="center" vertical="top" wrapText="1"/>
    </xf>
    <xf numFmtId="0" fontId="1" fillId="0" borderId="0" applyAlignment="1" pivotButton="0" quotePrefix="0" xfId="0">
      <alignment horizontal="center" vertical="top"/>
    </xf>
    <xf numFmtId="0" fontId="1" fillId="0" borderId="0" applyAlignment="1" pivotButton="0" quotePrefix="0" xfId="0">
      <alignment horizontal="center"/>
    </xf>
    <xf numFmtId="0" fontId="2" fillId="0" borderId="0" applyAlignment="1" pivotButton="0" quotePrefix="0" xfId="0">
      <alignment horizontal="center" vertical="top" wrapText="1"/>
    </xf>
    <xf numFmtId="0" fontId="4" fillId="0" borderId="0" applyAlignment="1" pivotButton="0" quotePrefix="0" xfId="0">
      <alignment horizontal="center"/>
    </xf>
    <xf numFmtId="0" fontId="2" fillId="0" borderId="1" applyAlignment="1" pivotButton="0" quotePrefix="0" xfId="0">
      <alignment horizontal="left" vertical="center"/>
    </xf>
    <xf numFmtId="0" fontId="2" fillId="0" borderId="1" applyAlignment="1" pivotButton="0" quotePrefix="0" xfId="0">
      <alignment horizontal="left" vertical="center" wrapText="1"/>
    </xf>
    <xf numFmtId="0" fontId="2" fillId="0" borderId="1" applyAlignment="1" pivotButton="0" quotePrefix="0" xfId="0">
      <alignment vertical="center" wrapText="1"/>
    </xf>
    <xf numFmtId="0" fontId="2" fillId="0" borderId="1"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1" fillId="0" borderId="2" applyAlignment="1" pivotButton="0" quotePrefix="0" xfId="0">
      <alignment horizontal="justify" vertical="center" wrapText="1"/>
    </xf>
    <xf numFmtId="0" fontId="15" fillId="0" borderId="0" applyAlignment="1" pivotButton="0" quotePrefix="1" xfId="0">
      <alignment horizontal="left"/>
    </xf>
    <xf numFmtId="0" fontId="15" fillId="0" borderId="0" applyAlignment="1" pivotButton="0" quotePrefix="0" xfId="0">
      <alignment horizontal="left"/>
    </xf>
    <xf numFmtId="0" fontId="17" fillId="0" borderId="0" applyAlignment="1" pivotButton="0" quotePrefix="0" xfId="0">
      <alignment horizontal="justify" vertical="top" wrapText="1"/>
    </xf>
    <xf numFmtId="0" fontId="0" fillId="0" borderId="2" pivotButton="0" quotePrefix="0" xfId="0"/>
    <xf numFmtId="0" fontId="0" fillId="0" borderId="5" pivotButton="0" quotePrefix="0" xfId="0"/>
    <xf numFmtId="0" fontId="0" fillId="0" borderId="8" pivotButton="0" quotePrefix="0" xfId="0"/>
    <xf numFmtId="0" fontId="0" fillId="0" borderId="9" pivotButton="0" quotePrefix="0" xfId="0"/>
    <xf numFmtId="0" fontId="18" fillId="0" borderId="0" pivotButton="0" quotePrefix="0" xfId="0"/>
    <xf numFmtId="0" fontId="18" fillId="0" borderId="2" pivotButton="0" quotePrefix="0" xfId="0"/>
    <xf numFmtId="0" fontId="18" fillId="0" borderId="5" pivotButton="0" quotePrefix="0" xfId="0"/>
    <xf numFmtId="0" fontId="18" fillId="0" borderId="8" pivotButton="0" quotePrefix="0" xfId="0"/>
    <xf numFmtId="0" fontId="18" fillId="0" borderId="9" pivotButton="0" quotePrefix="0" xfId="0"/>
    <xf numFmtId="0" fontId="19" fillId="0" borderId="0" applyAlignment="1" pivotButton="0" quotePrefix="0" xfId="0">
      <alignment vertical="center" wrapText="1"/>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L59"/>
  <sheetViews>
    <sheetView tabSelected="1" view="pageBreakPreview" topLeftCell="A67" zoomScale="85" zoomScaleNormal="70" zoomScaleSheetLayoutView="85" workbookViewId="0">
      <selection activeCell="E73" sqref="E73:K79"/>
    </sheetView>
  </sheetViews>
  <sheetFormatPr baseColWidth="8" defaultColWidth="8.88671875" defaultRowHeight="18"/>
  <cols>
    <col width="5.77734375" customWidth="1" style="6" min="1" max="1"/>
    <col width="44.109375" customWidth="1" style="8" min="2" max="2"/>
    <col width="12.5546875" customWidth="1" style="6" min="3" max="3"/>
    <col width="11.33203125" customWidth="1" style="6" min="4" max="4"/>
    <col width="11.21875" customWidth="1" style="6" min="5" max="5"/>
    <col width="7.88671875" customWidth="1" style="6" min="6" max="6"/>
    <col width="8.77734375" customWidth="1" style="6" min="7" max="7"/>
    <col width="13.88671875" customWidth="1" style="6" min="8" max="8"/>
    <col width="7.21875" customWidth="1" style="6" min="9" max="9"/>
    <col width="5.21875" customWidth="1" style="6" min="10" max="10"/>
    <col width="7.109375" customWidth="1" style="6" min="11" max="11"/>
    <col width="48" customWidth="1" style="6" min="12" max="16384"/>
  </cols>
  <sheetData>
    <row r="1">
      <c r="A1" s="38" t="inlineStr">
        <is>
          <t>UBND TỈNH QUẢNG NGÃI
TRƯỜNG CAO ĐẲNG KON TUM</t>
        </is>
      </c>
      <c r="B1" s="58" t="n"/>
      <c r="C1" s="7" t="n"/>
      <c r="D1" s="7" t="n"/>
      <c r="E1" s="41" t="inlineStr">
        <is>
          <t>CỘNG HÒA XÃ HỘI CHỦ NGHĨA VIỆT NAM
Độc lập - Tự do - Hạnh phúc</t>
        </is>
      </c>
      <c r="F1" s="58" t="n"/>
      <c r="G1" s="58" t="n"/>
      <c r="H1" s="58" t="n"/>
      <c r="I1" s="58" t="n"/>
      <c r="J1" s="58" t="n"/>
      <c r="K1" s="58" t="n"/>
      <c r="L1" s="58" t="n"/>
    </row>
    <row r="2">
      <c r="A2" s="37" t="inlineStr">
        <is>
          <t>TRƯỜNG CAO ĐẲNG KON TUM</t>
        </is>
      </c>
      <c r="B2" s="58" t="n"/>
      <c r="C2" s="58" t="n"/>
      <c r="D2" s="58" t="n"/>
      <c r="E2" s="37" t="inlineStr">
        <is>
          <t>Độc lập - Tự do - Hạnh phúc</t>
        </is>
      </c>
      <c r="F2" s="58" t="n"/>
      <c r="G2" s="58" t="n"/>
      <c r="H2" s="58" t="n"/>
      <c r="I2" s="58" t="n"/>
      <c r="J2" s="58" t="n"/>
      <c r="K2" s="58" t="n"/>
      <c r="L2" s="58" t="n"/>
    </row>
    <row r="3" ht="27" customHeight="1">
      <c r="A3" s="40" t="inlineStr">
        <is>
          <t>Số:       /KH-CĐKT</t>
        </is>
      </c>
      <c r="B3" s="58" t="n"/>
      <c r="C3" s="58" t="n"/>
      <c r="D3" s="58" t="n"/>
      <c r="E3" s="42" t="inlineStr">
        <is>
          <t>Quảng Ngãi, ngày      tháng 9 năm 2026</t>
        </is>
      </c>
      <c r="F3" s="58" t="n"/>
      <c r="G3" s="58" t="n"/>
      <c r="H3" s="58" t="n"/>
      <c r="I3" s="58" t="n"/>
      <c r="J3" s="58" t="n"/>
      <c r="K3" s="58" t="n"/>
      <c r="L3" s="58" t="n"/>
    </row>
    <row r="4">
      <c r="A4" s="58" t="n"/>
      <c r="B4" s="58" t="n"/>
      <c r="C4" s="58" t="n"/>
      <c r="D4" s="58" t="n"/>
      <c r="E4" s="58" t="n"/>
      <c r="F4" s="58" t="n"/>
      <c r="G4" s="58" t="n"/>
      <c r="H4" s="58" t="n"/>
      <c r="I4" s="58" t="n"/>
      <c r="J4" s="58" t="n"/>
      <c r="K4" s="58" t="n"/>
      <c r="L4" s="58" t="n"/>
    </row>
    <row r="5">
      <c r="A5" s="47" t="inlineStr">
        <is>
          <t>KẾ HOẠCH
công tác tháng 10 năm 2026</t>
        </is>
      </c>
      <c r="B5" s="58" t="n"/>
      <c r="C5" s="58" t="n"/>
      <c r="D5" s="58" t="n"/>
      <c r="E5" s="58" t="n"/>
      <c r="F5" s="58" t="n"/>
      <c r="G5" s="58" t="n"/>
      <c r="H5" s="58" t="n"/>
      <c r="I5" s="58" t="n"/>
      <c r="J5" s="58" t="n"/>
      <c r="K5" s="58" t="n"/>
      <c r="L5" s="58" t="n"/>
    </row>
    <row r="6">
      <c r="A6" s="49" t="n"/>
      <c r="B6" s="58" t="n"/>
      <c r="C6" s="58" t="n"/>
      <c r="D6" s="58" t="n"/>
      <c r="E6" s="58" t="n"/>
      <c r="F6" s="58" t="n"/>
      <c r="G6" s="58" t="n"/>
      <c r="H6" s="58" t="n"/>
      <c r="I6" s="58" t="n"/>
      <c r="J6" s="58" t="n"/>
      <c r="K6" s="58" t="n"/>
      <c r="L6" s="58" t="n"/>
    </row>
    <row r="7" ht="73.8" customHeight="1">
      <c r="A7" s="50" t="inlineStr">
        <is>
          <t xml:space="preserve">        Căn cứ Quyết định số 311/QĐ-CĐKT ngày 04/02/2026 của Hiệu trưởng Trường Cao đẳng Kon Tum ban hành Chương trình công tác trọng tâm năm 2026; Báo cáo số 407/BC-CĐKT ngày 17/9/2026 của Trường Cao đẳng Kon Tum đánh giá tình hình thực hiện nhiệm vụ Quý III và công tác trọng tâm Quý IV năm 2026; [CẦN BỔ SUNG: số, ngày Kế hoạch công tác Quý IV năm 2026 của Trường, nếu đã ban hành].
        Nhà trường ban hành Kế hoạch công tác tháng 10 năm 2026, cụ thể như sau:</t>
        </is>
      </c>
      <c r="B7" s="59" t="n"/>
      <c r="C7" s="59" t="n"/>
      <c r="D7" s="59" t="n"/>
      <c r="E7" s="59" t="n"/>
      <c r="F7" s="59" t="n"/>
      <c r="G7" s="59" t="n"/>
      <c r="H7" s="59" t="n"/>
      <c r="I7" s="59" t="n"/>
      <c r="J7" s="59" t="n"/>
      <c r="K7" s="59" t="n"/>
      <c r="L7" s="58" t="n"/>
    </row>
    <row r="8">
      <c r="A8" s="46" t="inlineStr">
        <is>
          <t>TT</t>
        </is>
      </c>
      <c r="B8" s="46" t="inlineStr">
        <is>
          <t>NỘI DUNG CÔNG VIỆC</t>
        </is>
      </c>
      <c r="C8" s="46" t="inlineStr">
        <is>
          <t>Người trực tiếp chỉ đạo</t>
        </is>
      </c>
      <c r="D8" s="46" t="inlineStr">
        <is>
          <t>Đơn vị chủ trì</t>
        </is>
      </c>
      <c r="E8" s="46" t="inlineStr">
        <is>
          <t>Sản phẩm/ công việc</t>
        </is>
      </c>
      <c r="F8" s="46" t="inlineStr">
        <is>
          <t>Số lượng</t>
        </is>
      </c>
      <c r="G8" s="46" t="inlineStr">
        <is>
          <t>Độ khó, mới, phức tạp; phạm vi tác động</t>
        </is>
      </c>
      <c r="H8" s="46" t="inlineStr">
        <is>
          <t>Thời gian hoàn thành</t>
        </is>
      </c>
      <c r="I8" s="46" t="inlineStr">
        <is>
          <t>Điểm chấm công việc</t>
        </is>
      </c>
      <c r="J8" s="46" t="inlineStr">
        <is>
          <t>Hệ số quy đổi</t>
        </is>
      </c>
      <c r="K8" s="46" t="inlineStr">
        <is>
          <t>Ghi chú</t>
        </is>
      </c>
      <c r="L8" s="46" t="inlineStr">
        <is>
          <t>Ghi chú đối soát (xóa trước khi ban hành)</t>
        </is>
      </c>
    </row>
    <row r="9" ht="121.8" customHeight="1">
      <c r="A9" s="60" t="n"/>
      <c r="B9" s="60" t="n"/>
      <c r="C9" s="60" t="n"/>
      <c r="D9" s="60" t="n"/>
      <c r="E9" s="60" t="n"/>
      <c r="F9" s="60" t="n"/>
      <c r="G9" s="60" t="n"/>
      <c r="H9" s="60" t="n"/>
      <c r="I9" s="60" t="n"/>
      <c r="J9" s="60" t="n"/>
      <c r="K9" s="60" t="n"/>
      <c r="L9" s="58" t="n"/>
    </row>
    <row r="10">
      <c r="A10" s="1" t="inlineStr">
        <is>
          <t>(1)</t>
        </is>
      </c>
      <c r="B10" s="1" t="inlineStr">
        <is>
          <t>(2)</t>
        </is>
      </c>
      <c r="C10" s="1" t="inlineStr">
        <is>
          <t>(3)</t>
        </is>
      </c>
      <c r="D10" s="1" t="inlineStr">
        <is>
          <t>(4)</t>
        </is>
      </c>
      <c r="E10" s="1" t="inlineStr">
        <is>
          <t>(5)</t>
        </is>
      </c>
      <c r="F10" s="1" t="inlineStr">
        <is>
          <t>(6)</t>
        </is>
      </c>
      <c r="G10" s="1" t="inlineStr">
        <is>
          <t>(7)</t>
        </is>
      </c>
      <c r="H10" s="1" t="inlineStr">
        <is>
          <t>(8)</t>
        </is>
      </c>
      <c r="I10" s="1" t="inlineStr">
        <is>
          <t>(9)</t>
        </is>
      </c>
      <c r="J10" s="1" t="inlineStr">
        <is>
          <t>(10)</t>
        </is>
      </c>
      <c r="K10" s="1" t="inlineStr">
        <is>
          <t>(11)</t>
        </is>
      </c>
      <c r="L10" s="58" t="n"/>
    </row>
    <row r="11">
      <c r="A11" s="46" t="inlineStr">
        <is>
          <t>I</t>
        </is>
      </c>
      <c r="B11" s="45" t="inlineStr">
        <is>
          <t>Các nhiệm vụ theo kế hoạch công tác đã đề ra từ đầu quý</t>
        </is>
      </c>
      <c r="C11" s="61" t="n"/>
      <c r="D11" s="61" t="n"/>
      <c r="E11" s="61" t="n"/>
      <c r="F11" s="61" t="n"/>
      <c r="G11" s="61" t="n"/>
      <c r="H11" s="61" t="n"/>
      <c r="I11" s="61" t="n"/>
      <c r="J11" s="61" t="n"/>
      <c r="K11" s="62" t="n"/>
      <c r="L11" s="58" t="n"/>
    </row>
    <row r="12">
      <c r="A12" s="11" t="inlineStr">
        <is>
          <t>1</t>
        </is>
      </c>
      <c r="B12" s="43" t="inlineStr">
        <is>
          <t xml:space="preserve">Trục (1) - Thực hiện mục tiêu phát triển Kinh tế - xã hội và nhiệm vụ chính trị được giao </t>
        </is>
      </c>
      <c r="C12" s="61" t="n"/>
      <c r="D12" s="61" t="n"/>
      <c r="E12" s="61" t="n"/>
      <c r="F12" s="61" t="n"/>
      <c r="G12" s="61" t="n"/>
      <c r="H12" s="61" t="n"/>
      <c r="I12" s="61" t="n"/>
      <c r="J12" s="61" t="n"/>
      <c r="K12" s="62" t="n"/>
      <c r="L12" s="58" t="n"/>
    </row>
    <row r="13" ht="72" customHeight="1">
      <c r="A13" s="1" t="inlineStr">
        <is>
          <t>1.1</t>
        </is>
      </c>
      <c r="B13" s="12" t="inlineStr">
        <is>
          <t>Kế hoạch triển khai thực hiện Thông tư số 76/2026/TT-BGDĐT ngày 18/9/2026 của Bộ trưởng Bộ Giáo dục và Đào tạo ban hành Quy chế tuyển sinh trong giáo dục nghề nghiệp</t>
        </is>
      </c>
      <c r="C13" s="5" t="inlineStr">
        <is>
          <t>Hiệu trưởng</t>
        </is>
      </c>
      <c r="D13" s="5" t="inlineStr">
        <is>
          <t>Phòng QLĐT&amp;BĐCL</t>
        </is>
      </c>
      <c r="E13" s="5" t="inlineStr">
        <is>
          <t>Kế hoạch</t>
        </is>
      </c>
      <c r="F13" s="5" t="n">
        <v>1</v>
      </c>
      <c r="G13" s="5" t="n"/>
      <c r="H13" s="5" t="inlineStr">
        <is>
          <t>Chậm nhất ngày 16/10/2026</t>
        </is>
      </c>
      <c r="I13" s="5">
        <f>IF(G13="Khó và phức tạp",200,IF(G13="Cao",150,IF(G13="Trung bình",120,100)))</f>
        <v/>
      </c>
      <c r="J13" s="5">
        <f>I13*0.01</f>
        <v/>
      </c>
      <c r="K13" s="13" t="inlineStr">
        <is>
          <t>Kết luận giao ban</t>
        </is>
      </c>
      <c r="L13" s="63" t="inlineStr">
        <is>
          <t>TB 1092/TB-CĐKT ngày 28/9/2026 mục II.3 (phối hợp P-QLKH). Độ khó chưa có nguồn — đơn vị chủ trì đề xuất (công thức tạm tính 100 điểm).</t>
        </is>
      </c>
    </row>
    <row r="14" ht="72" customHeight="1">
      <c r="A14" s="1" t="inlineStr">
        <is>
          <t>1.2</t>
        </is>
      </c>
      <c r="B14" s="12" t="inlineStr">
        <is>
          <t>Kế hoạch triển khai thực hiện Nghị định số 361/2026/NĐ-CP ngày 17/9/2026 của Chính phủ quy định về điều kiện đầu tư và hoạt động trong giáo dục nghề nghiệp, giáo dục đại học và kiểm định chất lượng giáo dục (những nội dung liên quan đến Trường)</t>
        </is>
      </c>
      <c r="C14" s="5" t="inlineStr">
        <is>
          <t>Hiệu trưởng</t>
        </is>
      </c>
      <c r="D14" s="5" t="inlineStr">
        <is>
          <t>Phòng QLĐT&amp;BĐCL</t>
        </is>
      </c>
      <c r="E14" s="5" t="inlineStr">
        <is>
          <t>Kế hoạch</t>
        </is>
      </c>
      <c r="F14" s="5" t="n">
        <v>1</v>
      </c>
      <c r="G14" s="5" t="n"/>
      <c r="H14" s="5" t="inlineStr">
        <is>
          <t>Chậm nhất ngày 16/10/2026</t>
        </is>
      </c>
      <c r="I14" s="5">
        <f>IF(G14="Khó và phức tạp",200,IF(G14="Cao",150,IF(G14="Trung bình",120,100)))</f>
        <v/>
      </c>
      <c r="J14" s="5">
        <f>I14*0.01</f>
        <v/>
      </c>
      <c r="K14" s="13" t="inlineStr">
        <is>
          <t>Kết luận giao ban</t>
        </is>
      </c>
      <c r="L14" s="63" t="inlineStr">
        <is>
          <t>TB 1092 mục II.3. Độ khó chưa có nguồn — đơn vị chủ trì đề xuất (công thức tạm tính 100 điểm).</t>
        </is>
      </c>
    </row>
    <row r="15" ht="72" customHeight="1">
      <c r="A15" s="1" t="inlineStr">
        <is>
          <t>1.3</t>
        </is>
      </c>
      <c r="B15" s="12" t="inlineStr">
        <is>
          <t>Kế hoạch triển khai thực hiện Thông tư số 77/2026/TT-BGDĐT ngày 25/9/2026 của Bộ trưởng Bộ Giáo dục và Đào tạo ban hành danh mục ngành, nghề đào tạo trong giáo dục nghề nghiệp</t>
        </is>
      </c>
      <c r="C15" s="5" t="inlineStr">
        <is>
          <t>Hiệu trưởng</t>
        </is>
      </c>
      <c r="D15" s="5" t="inlineStr">
        <is>
          <t>Phòng QLĐT&amp;BĐCL</t>
        </is>
      </c>
      <c r="E15" s="5" t="inlineStr">
        <is>
          <t>Kế hoạch</t>
        </is>
      </c>
      <c r="F15" s="5" t="n">
        <v>1</v>
      </c>
      <c r="G15" s="5" t="n"/>
      <c r="H15" s="5" t="inlineStr">
        <is>
          <t>Chậm nhất ngày 16/10/2026</t>
        </is>
      </c>
      <c r="I15" s="5">
        <f>IF(G15="Khó và phức tạp",200,IF(G15="Cao",150,IF(G15="Trung bình",120,100)))</f>
        <v/>
      </c>
      <c r="J15" s="5">
        <f>I15*0.01</f>
        <v/>
      </c>
      <c r="K15" s="13" t="inlineStr">
        <is>
          <t>Kết luận giao ban</t>
        </is>
      </c>
      <c r="L15" s="63" t="inlineStr">
        <is>
          <t>TB 1092 mục II.3 (phối hợp các khoa). Độ khó chưa có nguồn — đơn vị chủ trì đề xuất (công thức tạm tính 100 điểm).</t>
        </is>
      </c>
    </row>
    <row r="16" ht="72" customHeight="1">
      <c r="A16" s="1" t="inlineStr">
        <is>
          <t>1.4</t>
        </is>
      </c>
      <c r="B16" s="12" t="inlineStr">
        <is>
          <t>Kế hoạch triển khai thực hiện Thông tư số 79/2026/TT-BGDĐT ngày 25/9/2026 của Bộ trưởng Bộ Giáo dục và Đào tạo ban hành Quy chế đào tạo trong giáo dục nghề nghiệp</t>
        </is>
      </c>
      <c r="C16" s="5" t="inlineStr">
        <is>
          <t>Hiệu trưởng</t>
        </is>
      </c>
      <c r="D16" s="5" t="inlineStr">
        <is>
          <t>Phòng QLĐT&amp;BĐCL</t>
        </is>
      </c>
      <c r="E16" s="5" t="inlineStr">
        <is>
          <t>Kế hoạch</t>
        </is>
      </c>
      <c r="F16" s="5" t="n">
        <v>1</v>
      </c>
      <c r="G16" s="5" t="n"/>
      <c r="H16" s="5" t="inlineStr">
        <is>
          <t>Chậm nhất ngày 16/10/2026</t>
        </is>
      </c>
      <c r="I16" s="5">
        <f>IF(G16="Khó và phức tạp",200,IF(G16="Cao",150,IF(G16="Trung bình",120,100)))</f>
        <v/>
      </c>
      <c r="J16" s="5">
        <f>I16*0.01</f>
        <v/>
      </c>
      <c r="K16" s="13" t="inlineStr">
        <is>
          <t>Kết luận giao ban</t>
        </is>
      </c>
      <c r="L16" s="63" t="inlineStr">
        <is>
          <t>TB 1092 mục II.3. Độ khó chưa có nguồn — đơn vị chủ trì đề xuất (công thức tạm tính 100 điểm).</t>
        </is>
      </c>
    </row>
    <row r="17" ht="72" customHeight="1">
      <c r="A17" s="1" t="inlineStr">
        <is>
          <t>1.5</t>
        </is>
      </c>
      <c r="B17" s="12" t="inlineStr">
        <is>
          <t>Tổ chức Hội giảng nhà giáo lần thứ VII năm học 2026-2027</t>
        </is>
      </c>
      <c r="C17" s="5" t="inlineStr">
        <is>
          <t>Hiệu trưởng</t>
        </is>
      </c>
      <c r="D17" s="5" t="inlineStr">
        <is>
          <t>Phòng QLĐT&amp;BĐCL</t>
        </is>
      </c>
      <c r="E17" s="5" t="inlineStr">
        <is>
          <t>Kế hoạch</t>
        </is>
      </c>
      <c r="F17" s="5" t="n">
        <v>1</v>
      </c>
      <c r="G17" s="5" t="n"/>
      <c r="H17" s="5" t="inlineStr">
        <is>
          <t>Trong tháng 10/2026</t>
        </is>
      </c>
      <c r="I17" s="5">
        <f>IF(G17="Khó và phức tạp",200,IF(G17="Cao",150,IF(G17="Trung bình",120,100)))</f>
        <v/>
      </c>
      <c r="J17" s="5">
        <f>I17*0.01</f>
        <v/>
      </c>
      <c r="K17" s="13" t="inlineStr">
        <is>
          <t>Chương trình công tác năm</t>
        </is>
      </c>
      <c r="L17" s="63" t="inlineStr">
        <is>
          <t>QĐ 311/QĐ-CĐKT ngày 04/02/2026, Phụ lục CTCT 2026 (khối Tháng 9, STT 4, thời gian 'Tháng 10/2026'; CTCT ghi 'P. QLĐT'). Độ khó chưa có nguồn — đơn vị chủ trì đề xuất (công thức tạm tính 100 điểm).</t>
        </is>
      </c>
    </row>
    <row r="18" ht="72" customHeight="1">
      <c r="A18" s="1" t="inlineStr">
        <is>
          <t>1.6</t>
        </is>
      </c>
      <c r="B18" s="12" t="inlineStr">
        <is>
          <t>Xây dựng Đề án vị trí việc làm viên chức</t>
        </is>
      </c>
      <c r="C18" s="5" t="inlineStr">
        <is>
          <t>Hiệu trưởng</t>
        </is>
      </c>
      <c r="D18" s="5" t="inlineStr">
        <is>
          <t>Phòng TCCB&amp;CTHSSV</t>
        </is>
      </c>
      <c r="E18" s="5" t="inlineStr">
        <is>
          <t>Quyết định</t>
        </is>
      </c>
      <c r="F18" s="5" t="n">
        <v>1</v>
      </c>
      <c r="G18" s="5" t="inlineStr">
        <is>
          <t>Khó và phức tạp</t>
        </is>
      </c>
      <c r="H18" s="5" t="inlineStr">
        <is>
          <t>Chậm nhất ngày 09/10/2026</t>
        </is>
      </c>
      <c r="I18" s="5">
        <f>IF(G18="Khó và phức tạp",200,IF(G18="Cao",150,IF(G18="Trung bình",120,100)))</f>
        <v/>
      </c>
      <c r="J18" s="5">
        <f>I18*0.01</f>
        <v/>
      </c>
      <c r="K18" s="13" t="inlineStr">
        <is>
          <t>Đưa vào KH Trường; Kết luận giao ban</t>
        </is>
      </c>
      <c r="L18" s="63" t="inlineStr">
        <is>
          <t>Ib P-TCCB dòng 1.1; hạn theo TB 1019/TB-CĐKT mục II.4.</t>
        </is>
      </c>
    </row>
    <row r="19" ht="72" customHeight="1">
      <c r="A19" s="1" t="inlineStr">
        <is>
          <t>1.7</t>
        </is>
      </c>
      <c r="B19" s="12" t="inlineStr">
        <is>
          <t>Thực hiện Kế hoạch tuyển dụng năm 2026</t>
        </is>
      </c>
      <c r="C19" s="5" t="inlineStr">
        <is>
          <t>Hiệu trưởng</t>
        </is>
      </c>
      <c r="D19" s="5" t="inlineStr">
        <is>
          <t>Phòng TCCB&amp;CTHSSV</t>
        </is>
      </c>
      <c r="E19" s="5" t="inlineStr">
        <is>
          <t>Quyết định</t>
        </is>
      </c>
      <c r="F19" s="5" t="n">
        <v>1</v>
      </c>
      <c r="G19" s="5" t="inlineStr">
        <is>
          <t>Khó và phức tạp</t>
        </is>
      </c>
      <c r="H19" s="5" t="inlineStr">
        <is>
          <t>Trong tháng 10/2026</t>
        </is>
      </c>
      <c r="I19" s="5">
        <f>IF(G19="Khó và phức tạp",200,IF(G19="Cao",150,IF(G19="Trung bình",120,100)))</f>
        <v/>
      </c>
      <c r="J19" s="5">
        <f>I19*0.01</f>
        <v/>
      </c>
      <c r="K19" s="13" t="inlineStr">
        <is>
          <t>Đưa vào KH Trường</t>
        </is>
      </c>
      <c r="L19" s="63" t="inlineStr">
        <is>
          <t>Ib P-TCCB dòng 1.2 (ô nội dung dính chữ dòng 1.1 — đã tách, giữ phần 'Tham mưu thực hiện Kế hoạch tuyển dụng năm 2026'); BC 407 mục III.1.</t>
        </is>
      </c>
    </row>
    <row r="20" ht="72" customHeight="1">
      <c r="A20" s="1" t="inlineStr">
        <is>
          <t>1.8</t>
        </is>
      </c>
      <c r="B20" s="12" t="inlineStr">
        <is>
          <t>Tiếp tục xây dựng định mức kinh tế - kỹ thuật và giá dịch vụ đào tạo nghề trình độ sơ cấp và dưới 3 tháng</t>
        </is>
      </c>
      <c r="C20" s="5" t="inlineStr">
        <is>
          <t>Hiệu trưởng</t>
        </is>
      </c>
      <c r="D20" s="5" t="inlineStr">
        <is>
          <t>Phòng TC-KT</t>
        </is>
      </c>
      <c r="E20" s="5" t="inlineStr">
        <is>
          <t>Phụ lục</t>
        </is>
      </c>
      <c r="F20" s="5" t="inlineStr">
        <is>
          <t>Theo số lượng nghề thực tế</t>
        </is>
      </c>
      <c r="G20" s="5" t="inlineStr">
        <is>
          <t>Cao</t>
        </is>
      </c>
      <c r="H20" s="5" t="inlineStr">
        <is>
          <t>[CẦN BỔ SUNG]</t>
        </is>
      </c>
      <c r="I20" s="5">
        <f>IF(G20="Khó và phức tạp",200,IF(G20="Cao",150,IF(G20="Trung bình",120,100)))</f>
        <v/>
      </c>
      <c r="J20" s="5">
        <f>I20*0.01</f>
        <v/>
      </c>
      <c r="K20" s="13" t="inlineStr">
        <is>
          <t>Đưa vào KH Trường</t>
        </is>
      </c>
      <c r="L20" s="63" t="inlineStr">
        <is>
          <t>Ib P-TCKT dòng 1.1; đơn vị bỏ trống thời hạn, số lượng ghi dạng chữ.</t>
        </is>
      </c>
    </row>
    <row r="21" ht="72" customHeight="1">
      <c r="A21" s="1" t="inlineStr">
        <is>
          <t>1.9</t>
        </is>
      </c>
      <c r="B21" s="12" t="inlineStr">
        <is>
          <t>Tiếp tục thẩm định định mức kinh tế - kỹ thuật và giá dịch vụ đào tạo nghề trình độ sơ cấp và dưới 3 tháng</t>
        </is>
      </c>
      <c r="C21" s="5" t="inlineStr">
        <is>
          <t>Phó Hiệu trưởng phụ trách</t>
        </is>
      </c>
      <c r="D21" s="5" t="inlineStr">
        <is>
          <t>Phòng TC-KT</t>
        </is>
      </c>
      <c r="E21" s="5" t="inlineStr">
        <is>
          <t>Báo cáo, Biên bản</t>
        </is>
      </c>
      <c r="F21" s="5" t="inlineStr">
        <is>
          <t>Theo số lượng nghề thực tế</t>
        </is>
      </c>
      <c r="G21" s="5" t="inlineStr">
        <is>
          <t>Trung bình</t>
        </is>
      </c>
      <c r="H21" s="5" t="inlineStr">
        <is>
          <t>[CẦN BỔ SUNG]</t>
        </is>
      </c>
      <c r="I21" s="5">
        <f>IF(G21="Khó và phức tạp",200,IF(G21="Cao",150,IF(G21="Trung bình",120,100)))</f>
        <v/>
      </c>
      <c r="J21" s="5">
        <f>I21*0.01</f>
        <v/>
      </c>
      <c r="K21" s="13" t="inlineStr">
        <is>
          <t>Đưa vào KH Trường</t>
        </is>
      </c>
      <c r="L21" s="63" t="inlineStr">
        <is>
          <t>Ib P-TCKT dòng 1.2; bỏ trống thời hạn; 'Phó Hiệu trưởng phụ trách' chưa ghi tên.</t>
        </is>
      </c>
    </row>
    <row r="22" ht="72" customHeight="1">
      <c r="A22" s="1" t="inlineStr">
        <is>
          <t>1.10</t>
        </is>
      </c>
      <c r="B22" s="12" t="inlineStr">
        <is>
          <t>Liên kết, phối hợp với Báo và Phát thanh, Truyền hình Quảng Ngãi thực hiện Chuyên mục Giáo dục nghề nghiệp (theo Hợp đồng đã ký)</t>
        </is>
      </c>
      <c r="C22" s="5" t="inlineStr">
        <is>
          <t>PHT Dương Văn Anh Dũng</t>
        </is>
      </c>
      <c r="D22" s="5" t="inlineStr">
        <is>
          <t>Ban Truyền thông</t>
        </is>
      </c>
      <c r="E22" s="5" t="inlineStr">
        <is>
          <t>Phóng sự</t>
        </is>
      </c>
      <c r="F22" s="5" t="n">
        <v>1</v>
      </c>
      <c r="G22" s="5" t="inlineStr">
        <is>
          <t>Cao</t>
        </is>
      </c>
      <c r="H22" s="5" t="inlineStr">
        <is>
          <t>[CẦN BỔ SUNG]</t>
        </is>
      </c>
      <c r="I22" s="5">
        <f>IF(G22="Khó và phức tạp",200,IF(G22="Cao",150,IF(G22="Trung bình",120,100)))</f>
        <v/>
      </c>
      <c r="J22" s="5">
        <f>I22*0.01</f>
        <v/>
      </c>
      <c r="K22" s="13" t="inlineStr">
        <is>
          <t>Đưa vào KH Trường</t>
        </is>
      </c>
      <c r="L22" s="63" t="inlineStr">
        <is>
          <t>Ib Ban TT dòng 1.3; bỏ trống thời hạn.</t>
        </is>
      </c>
    </row>
    <row r="23" ht="72" customHeight="1">
      <c r="A23" s="1" t="inlineStr">
        <is>
          <t>1.11</t>
        </is>
      </c>
      <c r="B23" s="12" t="inlineStr">
        <is>
          <t>Xây dựng kịch bản chi tiết các chương trình, sự kiện lớn của Trường (lễ Tốt nghiệp,…)</t>
        </is>
      </c>
      <c r="C23" s="5" t="inlineStr">
        <is>
          <t>PHT Dương Văn Anh Dũng</t>
        </is>
      </c>
      <c r="D23" s="5" t="inlineStr">
        <is>
          <t>Ban Truyền thông</t>
        </is>
      </c>
      <c r="E23" s="5" t="inlineStr">
        <is>
          <t>Sự kiện</t>
        </is>
      </c>
      <c r="F23" s="5" t="n">
        <v>2</v>
      </c>
      <c r="G23" s="5" t="inlineStr">
        <is>
          <t>Cao</t>
        </is>
      </c>
      <c r="H23" s="5" t="inlineStr">
        <is>
          <t>[CẦN BỔ SUNG]</t>
        </is>
      </c>
      <c r="I23" s="5">
        <f>IF(G23="Khó và phức tạp",200,IF(G23="Cao",150,IF(G23="Trung bình",120,100)))</f>
        <v/>
      </c>
      <c r="J23" s="5">
        <f>I23*0.01</f>
        <v/>
      </c>
      <c r="K23" s="13" t="inlineStr">
        <is>
          <t>Đưa vào KH Trường</t>
        </is>
      </c>
      <c r="L23" s="63" t="inlineStr">
        <is>
          <t>Ib Ban TT dòng 1.7. CAN_XAC_MINH: TB 1071 ấn định Lễ tốt nghiệp ngày 26/9/2026, nếu đã tổ chức thì bỏ nội dung '(lễ Tốt nghiệp,…)'.</t>
        </is>
      </c>
    </row>
    <row r="24">
      <c r="A24" s="11" t="inlineStr">
        <is>
          <t>2</t>
        </is>
      </c>
      <c r="B24" s="43" t="inlineStr">
        <is>
          <t>Trục (2) - Hoàn thiện thể chế, đẩy mạnh phân cấp, phân quyền gắn với kiểm tra, giám sát</t>
        </is>
      </c>
      <c r="C24" s="61" t="n"/>
      <c r="D24" s="61" t="n"/>
      <c r="E24" s="61" t="n"/>
      <c r="F24" s="61" t="n"/>
      <c r="G24" s="61" t="n"/>
      <c r="H24" s="61" t="n"/>
      <c r="I24" s="61" t="n"/>
      <c r="J24" s="61" t="n"/>
      <c r="K24" s="62" t="n"/>
      <c r="L24" s="58" t="n"/>
    </row>
    <row r="25" ht="72" customHeight="1">
      <c r="A25" s="1" t="inlineStr">
        <is>
          <t>2.1</t>
        </is>
      </c>
      <c r="B25" s="12" t="inlineStr">
        <is>
          <t>Ban hành định mức kinh tế - kỹ thuật và giá dịch vụ đào tạo các nghề trình độ sơ cấp và dưới 3 tháng</t>
        </is>
      </c>
      <c r="C25" s="5" t="inlineStr">
        <is>
          <t>Hiệu trưởng</t>
        </is>
      </c>
      <c r="D25" s="5" t="inlineStr">
        <is>
          <t>Phòng TC-KT</t>
        </is>
      </c>
      <c r="E25" s="5" t="inlineStr">
        <is>
          <t>Quyết định</t>
        </is>
      </c>
      <c r="F25" s="5" t="n">
        <v>6</v>
      </c>
      <c r="G25" s="5" t="inlineStr">
        <is>
          <t>Trung bình</t>
        </is>
      </c>
      <c r="H25" s="5" t="inlineStr">
        <is>
          <t>[CẦN BỔ SUNG]</t>
        </is>
      </c>
      <c r="I25" s="5">
        <f>IF(G25="Khó và phức tạp",200,IF(G25="Cao",150,IF(G25="Trung bình",120,100)))</f>
        <v/>
      </c>
      <c r="J25" s="5">
        <f>I25*0.01</f>
        <v/>
      </c>
      <c r="K25" s="13" t="inlineStr">
        <is>
          <t>Đưa vào KH Trường</t>
        </is>
      </c>
      <c r="L25" s="63" t="inlineStr">
        <is>
          <t>Ib P-TCKT dòng 2.1 (hệ số đơn vị ghi 1 với điểm 120 — lỗi công thức ở tệp đơn vị, bản này dùng công thức chuẩn).</t>
        </is>
      </c>
    </row>
    <row r="26" ht="72" customHeight="1">
      <c r="A26" s="1" t="inlineStr">
        <is>
          <t>2.2</t>
        </is>
      </c>
      <c r="B26" s="12" t="inlineStr">
        <is>
          <t>Ban hành định mức kinh tế - kỹ thuật ngành, nghề Y sỹ đa khoa và định giá đào tạo</t>
        </is>
      </c>
      <c r="C26" s="5" t="inlineStr">
        <is>
          <t>Hiệu trưởng</t>
        </is>
      </c>
      <c r="D26" s="5" t="inlineStr">
        <is>
          <t>Phòng TC-KT</t>
        </is>
      </c>
      <c r="E26" s="5" t="inlineStr">
        <is>
          <t>Quyết định + phụ lục định mức</t>
        </is>
      </c>
      <c r="F26" s="5" t="n">
        <v>2</v>
      </c>
      <c r="G26" s="5" t="inlineStr">
        <is>
          <t>Cao</t>
        </is>
      </c>
      <c r="H26" s="5" t="inlineStr">
        <is>
          <t>[CẦN BỔ SUNG]</t>
        </is>
      </c>
      <c r="I26" s="5">
        <f>IF(G26="Khó và phức tạp",200,IF(G26="Cao",150,IF(G26="Trung bình",120,100)))</f>
        <v/>
      </c>
      <c r="J26" s="5">
        <f>I26*0.01</f>
        <v/>
      </c>
      <c r="K26" s="13" t="inlineStr">
        <is>
          <t>Đưa vào KH Trường</t>
        </is>
      </c>
      <c r="L26" s="63" t="inlineStr">
        <is>
          <t>Ib P-TCKT dòng 2.2.</t>
        </is>
      </c>
    </row>
    <row r="27" ht="72" customHeight="1">
      <c r="A27" s="1" t="inlineStr">
        <is>
          <t>2.3</t>
        </is>
      </c>
      <c r="B27" s="12" t="inlineStr">
        <is>
          <t>Ban hành định mức kinh tế - kỹ thuật và định giá đào tạo lái xe</t>
        </is>
      </c>
      <c r="C27" s="5" t="inlineStr">
        <is>
          <t>Hiệu trưởng</t>
        </is>
      </c>
      <c r="D27" s="5" t="inlineStr">
        <is>
          <t>Phòng TC-KT</t>
        </is>
      </c>
      <c r="E27" s="5" t="inlineStr">
        <is>
          <t>Quyết định + phụ lục định mức</t>
        </is>
      </c>
      <c r="F27" s="5" t="n">
        <v>2</v>
      </c>
      <c r="G27" s="5" t="inlineStr">
        <is>
          <t>Cao</t>
        </is>
      </c>
      <c r="H27" s="5" t="inlineStr">
        <is>
          <t>[CẦN BỔ SUNG]</t>
        </is>
      </c>
      <c r="I27" s="5">
        <f>IF(G27="Khó và phức tạp",200,IF(G27="Cao",150,IF(G27="Trung bình",120,100)))</f>
        <v/>
      </c>
      <c r="J27" s="5">
        <f>I27*0.01</f>
        <v/>
      </c>
      <c r="K27" s="13" t="inlineStr">
        <is>
          <t>Đưa vào KH Trường</t>
        </is>
      </c>
      <c r="L27" s="63" t="inlineStr">
        <is>
          <t>Ib P-TCKT dòng 2.3.</t>
        </is>
      </c>
    </row>
    <row r="28" ht="126" customHeight="1">
      <c r="A28" s="11" t="inlineStr">
        <is>
          <t>3</t>
        </is>
      </c>
      <c r="B28" s="43" t="inlineStr">
        <is>
          <t>Trục (3) - Thúc đẩy phát triển khoa học, công nghệ, đổi mới sáng tạo và chuyển đổi số</t>
        </is>
      </c>
      <c r="C28" s="61" t="n"/>
      <c r="D28" s="61" t="n"/>
      <c r="E28" s="61" t="n"/>
      <c r="F28" s="61" t="n"/>
      <c r="G28" s="61" t="n"/>
      <c r="H28" s="61" t="n"/>
      <c r="I28" s="61" t="n"/>
      <c r="J28" s="61" t="n"/>
      <c r="K28" s="62" t="n"/>
      <c r="L28" s="58" t="n"/>
    </row>
    <row r="29" ht="72" customHeight="1">
      <c r="A29" s="1" t="inlineStr">
        <is>
          <t>3.1</t>
        </is>
      </c>
      <c r="B29" s="12" t="inlineStr">
        <is>
          <t>Quyết định ban hành tạm thời khung kiến trúc dữ liệu, khung quản trị dữ liệu và từ điển dữ liệu của nhà trường</t>
        </is>
      </c>
      <c r="C29" s="5" t="inlineStr">
        <is>
          <t>Hiệu trưởng</t>
        </is>
      </c>
      <c r="D29" s="5" t="inlineStr">
        <is>
          <t>Phòng QLKHCN&amp;HTPT</t>
        </is>
      </c>
      <c r="E29" s="5" t="inlineStr">
        <is>
          <t>Quyết định</t>
        </is>
      </c>
      <c r="F29" s="5" t="n">
        <v>1</v>
      </c>
      <c r="G29" s="5" t="inlineStr">
        <is>
          <t>Khó và phức tạp</t>
        </is>
      </c>
      <c r="H29" s="5" t="inlineStr">
        <is>
          <t>Chậm nhất ngày 30/10/2026</t>
        </is>
      </c>
      <c r="I29" s="5">
        <f>IF(G29="Khó và phức tạp",200,IF(G29="Cao",150,IF(G29="Trung bình",120,100)))</f>
        <v/>
      </c>
      <c r="J29" s="5">
        <f>I29*0.01</f>
        <v/>
      </c>
      <c r="K29" s="13" t="inlineStr">
        <is>
          <t>Đưa vào KH Trường; Kết luận giao ban</t>
        </is>
      </c>
      <c r="L29" s="63" t="inlineStr">
        <is>
          <t>Ib P-QLKH dòng 1.4 (đơn vị xếp Trục 1 — chuyển Trục 3 theo nội dung chuyển đổi số); TB 1019 mục II.1.</t>
        </is>
      </c>
    </row>
    <row r="30" ht="72" customHeight="1">
      <c r="A30" s="1" t="inlineStr">
        <is>
          <t>3.2</t>
        </is>
      </c>
      <c r="B30" s="12" t="inlineStr">
        <is>
          <t>Quyết định ban hành tạm thời danh mục cơ sở dữ liệu dùng chung của nhà trường, quy định rõ khái niệm, nội hàm, trường dữ liệu, trách nhiệm tạo lập, cập nhật, chia sẻ, khai thác và giá trị pháp lý của dữ liệu</t>
        </is>
      </c>
      <c r="C30" s="5" t="inlineStr">
        <is>
          <t>Hiệu trưởng</t>
        </is>
      </c>
      <c r="D30" s="5" t="inlineStr">
        <is>
          <t>Phòng QLKHCN&amp;HTPT</t>
        </is>
      </c>
      <c r="E30" s="5" t="inlineStr">
        <is>
          <t>Quyết định</t>
        </is>
      </c>
      <c r="F30" s="5" t="n">
        <v>1</v>
      </c>
      <c r="G30" s="5" t="inlineStr">
        <is>
          <t>Khó và phức tạp</t>
        </is>
      </c>
      <c r="H30" s="5" t="inlineStr">
        <is>
          <t>Chậm nhất ngày 30/10/2026</t>
        </is>
      </c>
      <c r="I30" s="5">
        <f>IF(G30="Khó và phức tạp",200,IF(G30="Cao",150,IF(G30="Trung bình",120,100)))</f>
        <v/>
      </c>
      <c r="J30" s="5">
        <f>I30*0.01</f>
        <v/>
      </c>
      <c r="K30" s="13" t="inlineStr">
        <is>
          <t>Đưa vào KH Trường; Kết luận giao ban</t>
        </is>
      </c>
      <c r="L30" s="63" t="inlineStr">
        <is>
          <t>Ib P-QLKH dòng 1.5 (chuyển Trục 3); TB 1019 mục II.1.</t>
        </is>
      </c>
    </row>
    <row r="31" ht="72" customHeight="1">
      <c r="A31" s="1" t="inlineStr">
        <is>
          <t>3.3</t>
        </is>
      </c>
      <c r="B31" s="12" t="inlineStr">
        <is>
          <t>Kế hoạch triển khai thực hiện Kế hoạch số 321/KH-UBND ngày 26/8/2026 của Chủ tịch UBND tỉnh triển khai Chiến lược dữ liệu quốc gia giai đoạn 2026 - 2030, tầm nhìn đến năm 2045 trên địa bàn tỉnh Quảng Ngãi</t>
        </is>
      </c>
      <c r="C31" s="5" t="inlineStr">
        <is>
          <t>Hiệu trưởng</t>
        </is>
      </c>
      <c r="D31" s="5" t="inlineStr">
        <is>
          <t>Phòng QLKHCN&amp;HTPT</t>
        </is>
      </c>
      <c r="E31" s="5" t="inlineStr">
        <is>
          <t>Kế hoạch</t>
        </is>
      </c>
      <c r="F31" s="5" t="n">
        <v>1</v>
      </c>
      <c r="G31" s="5" t="inlineStr">
        <is>
          <t>Trung bình</t>
        </is>
      </c>
      <c r="H31" s="5" t="inlineStr">
        <is>
          <t>Trong tháng 10/2026</t>
        </is>
      </c>
      <c r="I31" s="5">
        <f>IF(G31="Khó và phức tạp",200,IF(G31="Cao",150,IF(G31="Trung bình",120,100)))</f>
        <v/>
      </c>
      <c r="J31" s="5">
        <f>I31*0.01</f>
        <v/>
      </c>
      <c r="K31" s="13" t="inlineStr">
        <is>
          <t>Đưa vào KH Trường; Kết luận giao ban</t>
        </is>
      </c>
      <c r="L31" s="63" t="inlineStr">
        <is>
          <t>Ib P-QLKH dòng 1.6 (Tháng 10/2026); TB 1019 giao hạn 30/9/2026 — đơn vị đề xuất lùi sang tháng 10.</t>
        </is>
      </c>
    </row>
    <row r="32" ht="72" customHeight="1">
      <c r="A32" s="1" t="inlineStr">
        <is>
          <t>3.4</t>
        </is>
      </c>
      <c r="B32" s="12" t="inlineStr">
        <is>
          <t>Tổ chức Hội thảo khoa học chuyên đề “Chuyển đổi số toàn diện trong quản trị nhà trường gắn với nâng cao chất lượng đào tạo”</t>
        </is>
      </c>
      <c r="C32" s="5" t="inlineStr">
        <is>
          <t>[CẦN BỔ SUNG]</t>
        </is>
      </c>
      <c r="D32" s="5" t="inlineStr">
        <is>
          <t>Phòng QLKHCN&amp;HTPT</t>
        </is>
      </c>
      <c r="E32" s="5" t="inlineStr">
        <is>
          <t>[CẦN BỔ SUNG]</t>
        </is>
      </c>
      <c r="F32" s="5" t="n">
        <v>1</v>
      </c>
      <c r="G32" s="5" t="n"/>
      <c r="H32" s="5" t="inlineStr">
        <is>
          <t>Chậm nhất ngày 11/10/2026</t>
        </is>
      </c>
      <c r="I32" s="5">
        <f>IF(G32="Khó và phức tạp",200,IF(G32="Cao",150,IF(G32="Trung bình",120,100)))</f>
        <v/>
      </c>
      <c r="J32" s="5">
        <f>I32*0.01</f>
        <v/>
      </c>
      <c r="K32" s="13" t="inlineStr">
        <is>
          <t>Đơn vị đề xuất</t>
        </is>
      </c>
      <c r="L32" s="63" t="inlineStr">
        <is>
          <t>IIa P-QLKH mục kế hoạch Trục 3; BC 407 mục III.3. CAN_XAC_MINH: BC 375 (tháng 8) ghi 'Tổ chức Hội thảo...' như đã làm. Độ khó chưa có nguồn — đơn vị chủ trì đề xuất (công thức tạm tính 100 điểm).</t>
        </is>
      </c>
    </row>
    <row r="33" ht="72" customHeight="1">
      <c r="A33" s="1" t="inlineStr">
        <is>
          <t>3.5</t>
        </is>
      </c>
      <c r="B33" s="12" t="inlineStr">
        <is>
          <t>Tổ chức Hội thảo khoa học liên quan đến lĩnh vực trí tuệ nhân tạo, điện toán đám mây, công nghệ chuỗi khối, công nghiệp bán dẫn; đột phá phát triển khoa học, công nghệ, đổi mới sáng tạo và chuyển đổi số quốc gia</t>
        </is>
      </c>
      <c r="C33" s="5" t="inlineStr">
        <is>
          <t>Hiệu trưởng</t>
        </is>
      </c>
      <c r="D33" s="5" t="inlineStr">
        <is>
          <t>Phòng QLKHCN&amp;HTPT</t>
        </is>
      </c>
      <c r="E33" s="5" t="inlineStr">
        <is>
          <t>Hồ sơ chuyên môn</t>
        </is>
      </c>
      <c r="F33" s="5" t="n">
        <v>1</v>
      </c>
      <c r="G33" s="5" t="n"/>
      <c r="H33" s="5" t="inlineStr">
        <is>
          <t>Trong tháng 10/2026</t>
        </is>
      </c>
      <c r="I33" s="5">
        <f>IF(G33="Khó và phức tạp",200,IF(G33="Cao",150,IF(G33="Trung bình",120,100)))</f>
        <v/>
      </c>
      <c r="J33" s="5">
        <f>I33*0.01</f>
        <v/>
      </c>
      <c r="K33" s="13" t="inlineStr">
        <is>
          <t>Chương trình công tác năm</t>
        </is>
      </c>
      <c r="L33" s="63" t="inlineStr">
        <is>
          <t>CTCT 2026 khối Tháng 10 STT 1. Có thể trùng với hội thảo chuyên đề chuyển đổi số ở dòng trên — cần Lãnh đạo xác định. Độ khó chưa có nguồn — đơn vị chủ trì đề xuất (công thức tạm tính 100 điểm).</t>
        </is>
      </c>
    </row>
    <row r="34" ht="72" customHeight="1">
      <c r="A34" s="1" t="inlineStr">
        <is>
          <t>3.6</t>
        </is>
      </c>
      <c r="B34" s="12" t="inlineStr">
        <is>
          <t>Tổ chức Hội nghị, Hội thảo khoa học chuyên đề cấp Trường về học sinh, sinh viên tham gia nghiên cứu khoa học, khởi nghiệp, đổi mới sáng tạo</t>
        </is>
      </c>
      <c r="C34" s="5" t="inlineStr">
        <is>
          <t>Hiệu trưởng</t>
        </is>
      </c>
      <c r="D34" s="5" t="inlineStr">
        <is>
          <t>Phòng QLKHCN&amp;HTPT</t>
        </is>
      </c>
      <c r="E34" s="5" t="inlineStr">
        <is>
          <t>Hồ sơ chuyên môn</t>
        </is>
      </c>
      <c r="F34" s="5" t="n">
        <v>1</v>
      </c>
      <c r="G34" s="5" t="n"/>
      <c r="H34" s="5" t="inlineStr">
        <is>
          <t>Trong tháng 10/2026</t>
        </is>
      </c>
      <c r="I34" s="5">
        <f>IF(G34="Khó và phức tạp",200,IF(G34="Cao",150,IF(G34="Trung bình",120,100)))</f>
        <v/>
      </c>
      <c r="J34" s="5">
        <f>I34*0.01</f>
        <v/>
      </c>
      <c r="K34" s="13" t="inlineStr">
        <is>
          <t>Chương trình công tác năm</t>
        </is>
      </c>
      <c r="L34" s="63" t="inlineStr">
        <is>
          <t>CTCT 2026 khối Tháng 10 STT 2. Độ khó chưa có nguồn — đơn vị chủ trì đề xuất (công thức tạm tính 100 điểm).</t>
        </is>
      </c>
    </row>
    <row r="35" ht="72" customHeight="1">
      <c r="A35" s="1" t="inlineStr">
        <is>
          <t>3.7</t>
        </is>
      </c>
      <c r="B35" s="12" t="inlineStr">
        <is>
          <t>Truyền thông các hội thảo khoa học công nghệ, đổi mới sáng tạo và chuyển đổi số</t>
        </is>
      </c>
      <c r="C35" s="5" t="inlineStr">
        <is>
          <t>PHT Dương Văn Anh Dũng</t>
        </is>
      </c>
      <c r="D35" s="5" t="inlineStr">
        <is>
          <t>Ban Truyền thông</t>
        </is>
      </c>
      <c r="E35" s="5" t="inlineStr">
        <is>
          <t>Tin/bài</t>
        </is>
      </c>
      <c r="F35" s="5" t="n">
        <v>3</v>
      </c>
      <c r="G35" s="5" t="inlineStr">
        <is>
          <t>Trung bình</t>
        </is>
      </c>
      <c r="H35" s="5" t="inlineStr">
        <is>
          <t>[CẦN BỔ SUNG]</t>
        </is>
      </c>
      <c r="I35" s="5">
        <f>IF(G35="Khó và phức tạp",200,IF(G35="Cao",150,IF(G35="Trung bình",120,100)))</f>
        <v/>
      </c>
      <c r="J35" s="5">
        <f>I35*0.01</f>
        <v/>
      </c>
      <c r="K35" s="13" t="inlineStr">
        <is>
          <t>Đưa vào KH Trường</t>
        </is>
      </c>
      <c r="L35" s="63" t="inlineStr">
        <is>
          <t>Ib Ban TT dòng 3.1; bỏ trống thời hạn.</t>
        </is>
      </c>
    </row>
    <row r="36" ht="72" customFormat="1" customHeight="1" s="29">
      <c r="A36" s="1" t="inlineStr">
        <is>
          <t>3.8</t>
        </is>
      </c>
      <c r="B36" s="12" t="inlineStr">
        <is>
          <t>Kế hoạch số hóa tài liệu theo hướng dẫn tại Công văn số 4357/SNV-CCHCTN&amp;VTLT ngày 06/9/2026 của Sở Nội vụ; tiếp tục rà soát, bàn giao, tiếp nhận, chỉnh lý, phân loại và số hóa hồ sơ, tài liệu sau sắp xếp</t>
        </is>
      </c>
      <c r="C36" s="5" t="inlineStr">
        <is>
          <t>Hiệu trưởng</t>
        </is>
      </c>
      <c r="D36" s="5" t="inlineStr">
        <is>
          <t>Phòng TH-HC&amp;QT</t>
        </is>
      </c>
      <c r="E36" s="5" t="inlineStr">
        <is>
          <t>Kế hoạch</t>
        </is>
      </c>
      <c r="F36" s="5" t="n">
        <v>1</v>
      </c>
      <c r="G36" s="5" t="n"/>
      <c r="H36" s="5" t="inlineStr">
        <is>
          <t>Chậm nhất ngày 09/10/2026</t>
        </is>
      </c>
      <c r="I36" s="5">
        <f>IF(G36="Khó và phức tạp",200,IF(G36="Cao",150,IF(G36="Trung bình",120,100)))</f>
        <v/>
      </c>
      <c r="J36" s="5">
        <f>I36*0.01</f>
        <v/>
      </c>
      <c r="K36" s="13" t="inlineStr">
        <is>
          <t>Kết luận giao ban</t>
        </is>
      </c>
      <c r="L36" s="63" t="inlineStr">
        <is>
          <t>TB 1047/TB-CĐKT mục II.2. Phòng TH-HC&amp;QT không nộp Ib. Độ khó chưa có nguồn — đơn vị chủ trì đề xuất (công thức tạm tính 100 điểm).</t>
        </is>
      </c>
    </row>
    <row r="37" ht="108" customHeight="1">
      <c r="A37" s="11" t="inlineStr">
        <is>
          <t>4</t>
        </is>
      </c>
      <c r="B37" s="43" t="inlineStr">
        <is>
          <t>Trục (4) - Xây dựng Đảng và hệ thống chính trị trong sạch, vững mạnh; giữ gìn đoàn kết, thống nhất nội bộ; phòng, chống tham nhũng, lãng phí, tiêu cực</t>
        </is>
      </c>
      <c r="C37" s="61" t="n"/>
      <c r="D37" s="61" t="n"/>
      <c r="E37" s="61" t="n"/>
      <c r="F37" s="61" t="n"/>
      <c r="G37" s="61" t="n"/>
      <c r="H37" s="61" t="n"/>
      <c r="I37" s="61" t="n"/>
      <c r="J37" s="61" t="n"/>
      <c r="K37" s="62" t="n"/>
      <c r="L37" s="58" t="n"/>
    </row>
    <row r="38" ht="72" customHeight="1">
      <c r="A38" s="1" t="inlineStr">
        <is>
          <t>4.1</t>
        </is>
      </c>
      <c r="B38" s="12" t="inlineStr">
        <is>
          <t>Chuẩn bị dự thảo chương trình và nội dung họp Đảng ủy thường kỳ tháng 10 năm 2026 (7h30 ngày 05/10/2026)</t>
        </is>
      </c>
      <c r="C38" s="5" t="inlineStr">
        <is>
          <t>Bí thư Đảng uỷ</t>
        </is>
      </c>
      <c r="D38" s="5" t="inlineStr">
        <is>
          <t>BPVPĐU</t>
        </is>
      </c>
      <c r="E38" s="5" t="inlineStr">
        <is>
          <t>[CẦN BỔ SUNG]</t>
        </is>
      </c>
      <c r="F38" s="5" t="n">
        <v>1</v>
      </c>
      <c r="G38" s="5" t="n"/>
      <c r="H38" s="5" t="inlineStr">
        <is>
          <t>Chậm nhất ngày 05/10/2026</t>
        </is>
      </c>
      <c r="I38" s="5">
        <f>IF(G38="Khó và phức tạp",200,IF(G38="Cao",150,IF(G38="Trung bình",120,100)))</f>
        <v/>
      </c>
      <c r="J38" s="5">
        <f>I38*0.01</f>
        <v/>
      </c>
      <c r="K38" s="13" t="inlineStr">
        <is>
          <t>Kết luận giao ban</t>
        </is>
      </c>
      <c r="L38" s="63" t="inlineStr">
        <is>
          <t>TB 1092 mục II.2 (phối hợp UBKT, Đảng ủy viên, chi bộ, đoàn thể). Độ khó chưa có nguồn — đơn vị chủ trì đề xuất (công thức tạm tính 100 điểm).</t>
        </is>
      </c>
    </row>
    <row r="39" ht="72" customHeight="1">
      <c r="A39" s="1" t="inlineStr">
        <is>
          <t>4.2</t>
        </is>
      </c>
      <c r="B39" s="12" t="inlineStr">
        <is>
          <t>Tổ chức các hoạt động chào mừng Ngày Phụ nữ Việt Nam 20/10</t>
        </is>
      </c>
      <c r="C39" s="5" t="inlineStr">
        <is>
          <t>Chủ tịch Công đoàn</t>
        </is>
      </c>
      <c r="D39" s="5" t="inlineStr">
        <is>
          <t>Ban Nữ công; BCH CĐCS</t>
        </is>
      </c>
      <c r="E39" s="5" t="inlineStr">
        <is>
          <t>[CẦN BỔ SUNG]</t>
        </is>
      </c>
      <c r="F39" s="5" t="n">
        <v>1</v>
      </c>
      <c r="G39" s="5" t="n"/>
      <c r="H39" s="5" t="inlineStr">
        <is>
          <t>Ngày 20/10/2026</t>
        </is>
      </c>
      <c r="I39" s="5">
        <f>IF(G39="Khó và phức tạp",200,IF(G39="Cao",150,IF(G39="Trung bình",120,100)))</f>
        <v/>
      </c>
      <c r="J39" s="5">
        <f>I39*0.01</f>
        <v/>
      </c>
      <c r="K39" s="13" t="inlineStr">
        <is>
          <t>Đơn vị đề xuất</t>
        </is>
      </c>
      <c r="L39" s="63" t="inlineStr">
        <is>
          <t>KH 834 dòng 4.6 (kế hoạch, hạn 30/9); BC 407 mục III.4; IIa K-KTNL (phối hợp Công đoàn). CĐCS chưa nộp báo cáo. Độ khó chưa có nguồn — đơn vị chủ trì đề xuất (công thức tạm tính 100 điểm).</t>
        </is>
      </c>
    </row>
    <row r="40" ht="54" customHeight="1">
      <c r="A40" s="11" t="inlineStr">
        <is>
          <t>5</t>
        </is>
      </c>
      <c r="B40" s="43" t="inlineStr">
        <is>
          <t>Trục (5) - Phát triển văn hóa, con người, bảo đảm an sinh xã hội, nâng cao đời sống nhân dân</t>
        </is>
      </c>
      <c r="C40" s="61" t="n"/>
      <c r="D40" s="61" t="n"/>
      <c r="E40" s="61" t="n"/>
      <c r="F40" s="61" t="n"/>
      <c r="G40" s="61" t="n"/>
      <c r="H40" s="61" t="n"/>
      <c r="I40" s="61" t="n"/>
      <c r="J40" s="61" t="n"/>
      <c r="K40" s="62" t="n"/>
      <c r="L40" s="58" t="n"/>
    </row>
    <row r="41" ht="72" customHeight="1">
      <c r="A41" s="1" t="inlineStr">
        <is>
          <t>5.1</t>
        </is>
      </c>
      <c r="B41" s="12" t="inlineStr">
        <is>
          <t>Tổ chức các hoạt động hưởng ứng Tuần lễ học tập suốt đời năm 2026</t>
        </is>
      </c>
      <c r="C41" s="5" t="inlineStr">
        <is>
          <t>Hiệu trưởng</t>
        </is>
      </c>
      <c r="D41" s="5" t="inlineStr">
        <is>
          <t>Phòng TCCB&amp;CTHSSV</t>
        </is>
      </c>
      <c r="E41" s="5" t="inlineStr">
        <is>
          <t>[CẦN BỔ SUNG]</t>
        </is>
      </c>
      <c r="F41" s="5" t="n">
        <v>1</v>
      </c>
      <c r="G41" s="5" t="n"/>
      <c r="H41" s="5" t="inlineStr">
        <is>
          <t>Từ ngày 01/10 đến ngày 07/10/2026</t>
        </is>
      </c>
      <c r="I41" s="5">
        <f>IF(G41="Khó và phức tạp",200,IF(G41="Cao",150,IF(G41="Trung bình",120,100)))</f>
        <v/>
      </c>
      <c r="J41" s="5">
        <f>I41*0.01</f>
        <v/>
      </c>
      <c r="K41" s="13" t="inlineStr">
        <is>
          <t>Kết luận giao ban</t>
        </is>
      </c>
      <c r="L41" s="63" t="inlineStr">
        <is>
          <t>TB 1071 mục II.3 (giao lập kế hoạch, hạn 25/9); IIa P-TCCB kết quả tháng 9. DOI_CHIEU_GAN_DUNG: dòng thực hiện suy ra từ kế hoạch đã lập. Độ khó chưa có nguồn — đơn vị chủ trì đề xuất (công thức tạm tính 100 điểm).</t>
        </is>
      </c>
    </row>
    <row r="42" ht="72" customHeight="1">
      <c r="A42" s="1" t="inlineStr">
        <is>
          <t>5.2</t>
        </is>
      </c>
      <c r="B42" s="12" t="inlineStr">
        <is>
          <t>Tổ chức cuộc họp lãnh đạo, quản lý chủ chốt nhà trường bàn biện pháp không ngừng nâng cao hiệu quả hoạt động của Phòng khám Đa khoa và Nhà thuốc</t>
        </is>
      </c>
      <c r="C42" s="5" t="inlineStr">
        <is>
          <t>Hiệu trưởng</t>
        </is>
      </c>
      <c r="D42" s="5" t="inlineStr">
        <is>
          <t>Phòng TH-HC&amp;QT</t>
        </is>
      </c>
      <c r="E42" s="5" t="inlineStr">
        <is>
          <t>[CẦN BỔ SUNG]</t>
        </is>
      </c>
      <c r="F42" s="5" t="n">
        <v>1</v>
      </c>
      <c r="G42" s="5" t="n"/>
      <c r="H42" s="5" t="inlineStr">
        <is>
          <t>[CẦN BỔ SUNG]</t>
        </is>
      </c>
      <c r="I42" s="5">
        <f>IF(G42="Khó và phức tạp",200,IF(G42="Cao",150,IF(G42="Trung bình",120,100)))</f>
        <v/>
      </c>
      <c r="J42" s="5">
        <f>I42*0.01</f>
        <v/>
      </c>
      <c r="K42" s="13" t="inlineStr">
        <is>
          <t>Kết luận giao ban</t>
        </is>
      </c>
      <c r="L42" s="63" t="inlineStr">
        <is>
          <t>TB 1071 mục II.5 (kế hoạch hạn 30/9); TB 1092 mục II.5 (bổ sung thành phần). Độ khó chưa có nguồn — đơn vị chủ trì đề xuất (công thức tạm tính 100 điểm).</t>
        </is>
      </c>
    </row>
    <row r="43" ht="72" customHeight="1">
      <c r="A43" s="1" t="inlineStr">
        <is>
          <t>5.3</t>
        </is>
      </c>
      <c r="B43" s="12" t="inlineStr">
        <is>
          <t>Truyền thông kết nối doanh nghiệp, hợp tác chuyên môn, hội thảo</t>
        </is>
      </c>
      <c r="C43" s="5" t="inlineStr">
        <is>
          <t>PHT Dương Văn Anh Dũng</t>
        </is>
      </c>
      <c r="D43" s="5" t="inlineStr">
        <is>
          <t>Ban Truyền thông</t>
        </is>
      </c>
      <c r="E43" s="5" t="inlineStr">
        <is>
          <t>Sự kiện, tin, bài, video</t>
        </is>
      </c>
      <c r="F43" s="5" t="n">
        <v>3</v>
      </c>
      <c r="G43" s="5" t="inlineStr">
        <is>
          <t>Cao</t>
        </is>
      </c>
      <c r="H43" s="5" t="inlineStr">
        <is>
          <t>[CẦN BỔ SUNG]</t>
        </is>
      </c>
      <c r="I43" s="5">
        <f>IF(G43="Khó và phức tạp",200,IF(G43="Cao",150,IF(G43="Trung bình",120,100)))</f>
        <v/>
      </c>
      <c r="J43" s="5">
        <f>I43*0.01</f>
        <v/>
      </c>
      <c r="K43" s="13" t="inlineStr">
        <is>
          <t>Đưa vào KH Trường</t>
        </is>
      </c>
      <c r="L43" s="63" t="inlineStr">
        <is>
          <t>Ib Ban TT dòng 5.3.</t>
        </is>
      </c>
    </row>
    <row r="44" ht="72" customHeight="1">
      <c r="A44" s="1" t="inlineStr">
        <is>
          <t>5.4</t>
        </is>
      </c>
      <c r="B44" s="12" t="inlineStr">
        <is>
          <t>Truyền thông phong trào xanh hoá Nhà trường</t>
        </is>
      </c>
      <c r="C44" s="5" t="inlineStr">
        <is>
          <t>PHT Dương Văn Anh Dũng</t>
        </is>
      </c>
      <c r="D44" s="5" t="inlineStr">
        <is>
          <t>Ban Truyền thông</t>
        </is>
      </c>
      <c r="E44" s="5" t="inlineStr">
        <is>
          <t>Tin/bài/video</t>
        </is>
      </c>
      <c r="F44" s="5" t="n">
        <v>2</v>
      </c>
      <c r="G44" s="5" t="inlineStr">
        <is>
          <t>Cao</t>
        </is>
      </c>
      <c r="H44" s="5" t="inlineStr">
        <is>
          <t>[CẦN BỔ SUNG]</t>
        </is>
      </c>
      <c r="I44" s="5">
        <f>IF(G44="Khó và phức tạp",200,IF(G44="Cao",150,IF(G44="Trung bình",120,100)))</f>
        <v/>
      </c>
      <c r="J44" s="5">
        <f>I44*0.01</f>
        <v/>
      </c>
      <c r="K44" s="13" t="inlineStr">
        <is>
          <t>Đưa vào KH Trường</t>
        </is>
      </c>
      <c r="L44" s="63" t="inlineStr">
        <is>
          <t>Ib Ban TT dòng 5.4.</t>
        </is>
      </c>
    </row>
    <row r="45" ht="126" customHeight="1">
      <c r="A45" s="11" t="inlineStr">
        <is>
          <t>6</t>
        </is>
      </c>
      <c r="B45" s="43" t="inlineStr">
        <is>
          <t>Trục (6) - Củng cố quốc phòng, an ninh, giữ vững ổn định chính trị - xã hội, nâng cao hiệu quả đối ngoại và hội nhập quốc tế</t>
        </is>
      </c>
      <c r="C45" s="61" t="n"/>
      <c r="D45" s="61" t="n"/>
      <c r="E45" s="61" t="n"/>
      <c r="F45" s="61" t="n"/>
      <c r="G45" s="61" t="n"/>
      <c r="H45" s="61" t="n"/>
      <c r="I45" s="61" t="n"/>
      <c r="J45" s="61" t="n"/>
      <c r="K45" s="62" t="n"/>
      <c r="L45" s="58" t="n"/>
    </row>
    <row r="46" ht="72" customHeight="1">
      <c r="A46" s="1" t="inlineStr">
        <is>
          <t>6.1</t>
        </is>
      </c>
      <c r="B46" s="12" t="inlineStr">
        <is>
          <t>Truyền thông hoạt động hợp tác, kết nối và hội nhập</t>
        </is>
      </c>
      <c r="C46" s="5" t="inlineStr">
        <is>
          <t>PHT Dương Văn Anh Dũng</t>
        </is>
      </c>
      <c r="D46" s="5" t="inlineStr">
        <is>
          <t>Ban Truyền thông</t>
        </is>
      </c>
      <c r="E46" s="5" t="inlineStr">
        <is>
          <t>Tin/bài/video</t>
        </is>
      </c>
      <c r="F46" s="5" t="n">
        <v>5</v>
      </c>
      <c r="G46" s="5" t="inlineStr">
        <is>
          <t>Khó và phức tạp</t>
        </is>
      </c>
      <c r="H46" s="5" t="inlineStr">
        <is>
          <t>[CẦN BỔ SUNG]</t>
        </is>
      </c>
      <c r="I46" s="5">
        <f>IF(G46="Khó và phức tạp",200,IF(G46="Cao",150,IF(G46="Trung bình",120,100)))</f>
        <v/>
      </c>
      <c r="J46" s="5">
        <f>I46*0.01</f>
        <v/>
      </c>
      <c r="K46" s="13" t="inlineStr">
        <is>
          <t>Đưa vào KH Trường</t>
        </is>
      </c>
      <c r="L46" s="63" t="inlineStr">
        <is>
          <t>Ib Ban TT dòng 6.1.</t>
        </is>
      </c>
    </row>
    <row r="47" ht="72" customHeight="1">
      <c r="A47" s="1" t="inlineStr">
        <is>
          <t>6.2</t>
        </is>
      </c>
      <c r="B47" s="12" t="inlineStr">
        <is>
          <t>Tiếp tục triển khai các bước cử 02 đoàn công tác thăm và làm việc với Sở Giáo dục và Thể thao các tỉnh Nam Lào</t>
        </is>
      </c>
      <c r="C47" s="5" t="inlineStr">
        <is>
          <t>[CẦN BỔ SUNG]</t>
        </is>
      </c>
      <c r="D47" s="5" t="inlineStr">
        <is>
          <t>Phòng QLKHCN&amp;HTPT</t>
        </is>
      </c>
      <c r="E47" s="5" t="inlineStr">
        <is>
          <t>[CẦN BỔ SUNG]</t>
        </is>
      </c>
      <c r="F47" s="5" t="n">
        <v>1</v>
      </c>
      <c r="G47" s="5" t="n"/>
      <c r="H47" s="5" t="inlineStr">
        <is>
          <t>[CẦN BỔ SUNG]</t>
        </is>
      </c>
      <c r="I47" s="5">
        <f>IF(G47="Khó và phức tạp",200,IF(G47="Cao",150,IF(G47="Trung bình",120,100)))</f>
        <v/>
      </c>
      <c r="J47" s="5">
        <f>I47*0.01</f>
        <v/>
      </c>
      <c r="K47" s="13" t="inlineStr">
        <is>
          <t>Đơn vị đề xuất</t>
        </is>
      </c>
      <c r="L47" s="63" t="inlineStr">
        <is>
          <t>IIa P-QLKH mục kế hoạch Trục 6; BC 407 mục III.6; Kế hoạch số 878/KH-CĐKT. Tên cơ quan phía Lào ghi không thống nhất trong IIa ('Sở Giáo dục đào tạo và Thanh niên' / 'Sở Giáo dục và Thể thao'). Độ khó chưa có nguồn — đơn vị chủ trì đề xuất (công thức tạm tính 100 điểm).</t>
        </is>
      </c>
    </row>
    <row r="48" ht="134.4" customHeight="1">
      <c r="A48" s="46" t="inlineStr">
        <is>
          <t>II</t>
        </is>
      </c>
      <c r="B48" s="45" t="inlineStr">
        <is>
          <t>Các nhiệm vụ đột xuất, phát sinh khác ngoài kế hoạch, từ tháng trước chuyển sang</t>
        </is>
      </c>
      <c r="C48" s="61" t="n"/>
      <c r="D48" s="61" t="n"/>
      <c r="E48" s="61" t="n"/>
      <c r="F48" s="61" t="n"/>
      <c r="G48" s="61" t="n"/>
      <c r="H48" s="61" t="n"/>
      <c r="I48" s="61" t="n"/>
      <c r="J48" s="61" t="n"/>
      <c r="K48" s="62" t="n"/>
      <c r="L48" s="58" t="n"/>
    </row>
    <row r="49" ht="72" customHeight="1">
      <c r="A49" s="1" t="inlineStr">
        <is>
          <t>1</t>
        </is>
      </c>
      <c r="B49" s="12" t="inlineStr">
        <is>
          <t>Ban hành Quyết định thay thế Quy định phối hợp và hợp tác với doanh nghiệp trong đào tạo trình độ cao đẳng, trung cấp, sơ cấp và dưới 3 tháng, để thực hiện theo quy định tại Nghị định số 308/2026/NĐ-CP ngày 05/8/2026 của Chính phủ</t>
        </is>
      </c>
      <c r="C49" s="5" t="inlineStr">
        <is>
          <t>Hiệu trưởng</t>
        </is>
      </c>
      <c r="D49" s="5" t="inlineStr">
        <is>
          <t>Phòng QLKHCN&amp;HTPT</t>
        </is>
      </c>
      <c r="E49" s="5" t="inlineStr">
        <is>
          <t>Quyết định</t>
        </is>
      </c>
      <c r="F49" s="5" t="n">
        <v>1</v>
      </c>
      <c r="G49" s="5" t="inlineStr">
        <is>
          <t>Trung bình</t>
        </is>
      </c>
      <c r="H49" s="5" t="inlineStr">
        <is>
          <t>Trong tháng 10/2026</t>
        </is>
      </c>
      <c r="I49" s="5">
        <f>IF(G49="Khó và phức tạp",200,IF(G49="Cao",150,IF(G49="Trung bình",120,100)))</f>
        <v/>
      </c>
      <c r="J49" s="5">
        <f>I49*0.01</f>
        <v/>
      </c>
      <c r="K49" s="13" t="inlineStr">
        <is>
          <t>Chuyển từ KH tháng 9</t>
        </is>
      </c>
      <c r="L49" s="63" t="inlineStr">
        <is>
          <t>KH 834 dòng 1.11; Ib P-QLKH tháng 10 dòng 1.3 còn ghi; IIb tháng 9 không báo hoàn thành.</t>
        </is>
      </c>
    </row>
    <row r="50" ht="72" customHeight="1">
      <c r="A50" s="1" t="inlineStr">
        <is>
          <t>2</t>
        </is>
      </c>
      <c r="B50" s="12" t="inlineStr">
        <is>
          <t>Hướng dẫn sử dụng trí tuệ nhân tạo để kiểm tra, rà soát các dự thảo: (1) Đề cương và dự toán kinh phí đề tài khoa học và công nghệ cấp Trường, cấp tỉnh; (2) Báo cáo kết quả thực hiện đề tài khoa học và công nghệ cấp Trường, cấp tỉnh; (3) Hồ sơ đề nghị công nhận sáng kiến, phạm vi ảnh hưởng và hiệu quả áp dụng của sáng kiến cấp Trường, cấp tỉnh</t>
        </is>
      </c>
      <c r="C50" s="5" t="inlineStr">
        <is>
          <t>Hiệu trưởng</t>
        </is>
      </c>
      <c r="D50" s="5" t="inlineStr">
        <is>
          <t>Phòng QLKHCN&amp;HTPT</t>
        </is>
      </c>
      <c r="E50" s="5" t="inlineStr">
        <is>
          <t>Văn bản</t>
        </is>
      </c>
      <c r="F50" s="5" t="n">
        <v>1</v>
      </c>
      <c r="G50" s="5" t="inlineStr">
        <is>
          <t>Cao</t>
        </is>
      </c>
      <c r="H50" s="5" t="inlineStr">
        <is>
          <t>Trong tháng 10/2026</t>
        </is>
      </c>
      <c r="I50" s="5">
        <f>IF(G50="Khó và phức tạp",200,IF(G50="Cao",150,IF(G50="Trung bình",120,100)))</f>
        <v/>
      </c>
      <c r="J50" s="5">
        <f>I50*0.01</f>
        <v/>
      </c>
      <c r="K50" s="13" t="inlineStr">
        <is>
          <t>Chuyển từ KH tháng 9</t>
        </is>
      </c>
      <c r="L50" s="63" t="inlineStr">
        <is>
          <t>KH 834 dòng 3.6; IIb P-QLKH: TB 1020/TB-CĐKT gia hạn; Ib tháng 10 dòng 1.1.</t>
        </is>
      </c>
    </row>
    <row r="51" ht="72" customHeight="1">
      <c r="A51" s="1" t="inlineStr">
        <is>
          <t>3</t>
        </is>
      </c>
      <c r="B51" s="12" t="inlineStr">
        <is>
          <t>Kế hoạch triển khai thực hiện Nghị quyết số 398/NQUBTVQH16 và Phong trào “Bình dân học vụ số”</t>
        </is>
      </c>
      <c r="C51" s="5" t="inlineStr">
        <is>
          <t>Hiệu trưởng</t>
        </is>
      </c>
      <c r="D51" s="5" t="inlineStr">
        <is>
          <t>Phòng QLKHCN&amp;HTPT</t>
        </is>
      </c>
      <c r="E51" s="5" t="inlineStr">
        <is>
          <t>Kế hoạch</t>
        </is>
      </c>
      <c r="F51" s="5" t="n">
        <v>1</v>
      </c>
      <c r="G51" s="5" t="inlineStr">
        <is>
          <t>Trung bình</t>
        </is>
      </c>
      <c r="H51" s="5" t="inlineStr">
        <is>
          <t>Trong tháng 10/2026</t>
        </is>
      </c>
      <c r="I51" s="5">
        <f>IF(G51="Khó và phức tạp",200,IF(G51="Cao",150,IF(G51="Trung bình",120,100)))</f>
        <v/>
      </c>
      <c r="J51" s="5">
        <f>I51*0.01</f>
        <v/>
      </c>
      <c r="K51" s="13" t="inlineStr">
        <is>
          <t>Chuyển từ KH tháng 9</t>
        </is>
      </c>
      <c r="L51" s="63" t="inlineStr">
        <is>
          <t>KH 834 dòng 5.11; Ib P-QLKH tháng 10 dòng 1.2 còn ghi.</t>
        </is>
      </c>
    </row>
    <row r="52" ht="72" customHeight="1">
      <c r="A52" s="1" t="inlineStr">
        <is>
          <t>4</t>
        </is>
      </c>
      <c r="B52" s="12" t="inlineStr">
        <is>
          <t>Quyết định thay thế các Quyết định của Hiệu trưởng: số 1229/QĐ-CĐKT ngày 10/9/2024 ban hành Quy định quản lý sáng kiến và số 838/QĐ-CĐKT ngày 09/5/2025 ban hành Quy định quản lý đề tài khoa học và công nghệ cấp cơ sở</t>
        </is>
      </c>
      <c r="C52" s="5" t="inlineStr">
        <is>
          <t>Hiệu trưởng</t>
        </is>
      </c>
      <c r="D52" s="5" t="inlineStr">
        <is>
          <t>Phòng QLKHCN&amp;HTPT</t>
        </is>
      </c>
      <c r="E52" s="5" t="inlineStr">
        <is>
          <t>Quyết định</t>
        </is>
      </c>
      <c r="F52" s="5" t="n">
        <v>2</v>
      </c>
      <c r="G52" s="5" t="n"/>
      <c r="H52" s="5" t="inlineStr">
        <is>
          <t>[CẦN BỔ SUNG]</t>
        </is>
      </c>
      <c r="I52" s="5">
        <f>IF(G52="Khó và phức tạp",200,IF(G52="Cao",150,IF(G52="Trung bình",120,100)))</f>
        <v/>
      </c>
      <c r="J52" s="5">
        <f>I52*0.01</f>
        <v/>
      </c>
      <c r="K52" s="13" t="inlineStr">
        <is>
          <t>Chuyển từ KH tháng 9</t>
        </is>
      </c>
      <c r="L52" s="63" t="inlineStr">
        <is>
          <t>TB 1019 mục II.1 (lấy ý kiến trước 11/9, thông qua 14/9/2026) — không có trong KH 834; IIa P-QLKH mục kế hoạch tháng 10 còn ghi. Độ khó chưa có nguồn — đơn vị chủ trì đề xuất (công thức tạm tính 100 điểm).</t>
        </is>
      </c>
    </row>
    <row r="53" ht="72" customHeight="1">
      <c r="A53" s="1" t="inlineStr">
        <is>
          <t>5</t>
        </is>
      </c>
      <c r="B53" s="12" t="inlineStr">
        <is>
          <t>Xây dựng Bộ tiêu chí đánh giá dự án khởi nghiệp sáng tạo, ưu tiên ứng dụng AI, thực tiễn và thương mại hoá</t>
        </is>
      </c>
      <c r="C53" s="5" t="inlineStr">
        <is>
          <t>Hiệu trưởng</t>
        </is>
      </c>
      <c r="D53" s="5" t="inlineStr">
        <is>
          <t>Phòng QLKHCN&amp;HTPT</t>
        </is>
      </c>
      <c r="E53" s="5" t="inlineStr">
        <is>
          <t>Bộ tiêu chí</t>
        </is>
      </c>
      <c r="F53" s="5" t="n">
        <v>1</v>
      </c>
      <c r="G53" s="5" t="inlineStr">
        <is>
          <t>Cao</t>
        </is>
      </c>
      <c r="H53" s="5" t="inlineStr">
        <is>
          <t>[CẦN BỔ SUNG]</t>
        </is>
      </c>
      <c r="I53" s="5">
        <f>IF(G53="Khó và phức tạp",200,IF(G53="Cao",150,IF(G53="Trung bình",120,100)))</f>
        <v/>
      </c>
      <c r="J53" s="5">
        <f>I53*0.01</f>
        <v/>
      </c>
      <c r="K53" s="13" t="inlineStr">
        <is>
          <t>Chuyển từ KH tháng 9</t>
        </is>
      </c>
      <c r="L53" s="63" t="inlineStr">
        <is>
          <t>Ib P-QLKH tháng 10 dòng 2.1 ghi thời hạn 30/9/2026 — đơn vị cần đề xuất lại thời hạn.</t>
        </is>
      </c>
    </row>
    <row r="54" ht="72" customHeight="1">
      <c r="A54" s="1" t="inlineStr">
        <is>
          <t>6</t>
        </is>
      </c>
      <c r="B54" s="12" t="inlineStr">
        <is>
          <t>Triển khai Kế hoạch nhiệm vụ số hóa, tạo lập dữ liệu đảng viên, hồ sơ đảng viên điện tử</t>
        </is>
      </c>
      <c r="C54" s="5" t="inlineStr">
        <is>
          <t>Bí thư Đảng uỷ</t>
        </is>
      </c>
      <c r="D54" s="5" t="inlineStr">
        <is>
          <t>Phòng TCCB&amp;CTHSSV</t>
        </is>
      </c>
      <c r="E54" s="5" t="inlineStr">
        <is>
          <t>Kế hoạch</t>
        </is>
      </c>
      <c r="F54" s="5" t="n">
        <v>1</v>
      </c>
      <c r="G54" s="5" t="inlineStr">
        <is>
          <t>Trung bình</t>
        </is>
      </c>
      <c r="H54" s="5" t="inlineStr">
        <is>
          <t>[CẦN BỔ SUNG]</t>
        </is>
      </c>
      <c r="I54" s="5">
        <f>IF(G54="Khó và phức tạp",200,IF(G54="Cao",150,IF(G54="Trung bình",120,100)))</f>
        <v/>
      </c>
      <c r="J54" s="5">
        <f>I54*0.01</f>
        <v/>
      </c>
      <c r="K54" s="13" t="inlineStr">
        <is>
          <t>Chuyển từ KH tháng 9</t>
        </is>
      </c>
      <c r="L54" s="63" t="inlineStr">
        <is>
          <t>KH 834 dòng 3.4; IIa P-TCCB mục kế hoạch tháng 10 còn ghi 'Xây dựng Kế hoạch...'.</t>
        </is>
      </c>
    </row>
    <row r="55" ht="72" customHeight="1">
      <c r="A55" s="1" t="inlineStr">
        <is>
          <t>7</t>
        </is>
      </c>
      <c r="B55" s="12" t="inlineStr">
        <is>
          <t>Triển khai kế hoạch khám sức khỏe cho sinh viên các lớp tuyển sinh năm 2026</t>
        </is>
      </c>
      <c r="C55" s="5" t="inlineStr">
        <is>
          <t>PHT Nguyễn Trung Hiếu</t>
        </is>
      </c>
      <c r="D55" s="5" t="inlineStr">
        <is>
          <t>Khoa Y – Dược</t>
        </is>
      </c>
      <c r="E55" s="5" t="inlineStr">
        <is>
          <t>Kế hoạch</t>
        </is>
      </c>
      <c r="F55" s="5" t="n">
        <v>1</v>
      </c>
      <c r="G55" s="5" t="inlineStr">
        <is>
          <t>Cao</t>
        </is>
      </c>
      <c r="H55" s="5" t="inlineStr">
        <is>
          <t>Chậm nhất ngày 15/10/2026</t>
        </is>
      </c>
      <c r="I55" s="5">
        <f>IF(G55="Khó và phức tạp",200,IF(G55="Cao",150,IF(G55="Trung bình",120,100)))</f>
        <v/>
      </c>
      <c r="J55" s="5">
        <f>I55*0.01</f>
        <v/>
      </c>
      <c r="K55" s="13" t="inlineStr">
        <is>
          <t>Chuyển từ KH tháng 9</t>
        </is>
      </c>
      <c r="L55" s="63" t="inlineStr">
        <is>
          <t>KH 834 dòng 5.2; Ib K-YDUOC dòng 1.6 hạn 15/10/2026; BC 407 mục III.5.</t>
        </is>
      </c>
    </row>
    <row r="56" ht="72" customHeight="1">
      <c r="A56" s="1" t="inlineStr">
        <is>
          <t>8</t>
        </is>
      </c>
      <c r="B56" s="12" t="inlineStr">
        <is>
          <t>Ban hành kế hoạch triển khai thực hiện Phong trào thi đua Quyết tâm thực hiện thắng lợi mục tiêu tăng trưởng bền vững “2 con số” giai đoạn 2026 - 2030 trên địa bàn tỉnh theo Kế hoạch số 303/KH-UBND ngày 10/8/2026 của UBND tỉnh</t>
        </is>
      </c>
      <c r="C56" s="5" t="inlineStr">
        <is>
          <t>Hiệu trưởng</t>
        </is>
      </c>
      <c r="D56" s="5" t="inlineStr">
        <is>
          <t>Phòng TCCB&amp;CTHSSV</t>
        </is>
      </c>
      <c r="E56" s="5" t="inlineStr">
        <is>
          <t>Kế hoạch</t>
        </is>
      </c>
      <c r="F56" s="5" t="n">
        <v>1</v>
      </c>
      <c r="G56" s="5" t="inlineStr">
        <is>
          <t>Cao</t>
        </is>
      </c>
      <c r="H56" s="5" t="inlineStr">
        <is>
          <t>[CẦN BỔ SUNG]</t>
        </is>
      </c>
      <c r="I56" s="5">
        <f>IF(G56="Khó và phức tạp",200,IF(G56="Cao",150,IF(G56="Trung bình",120,100)))</f>
        <v/>
      </c>
      <c r="J56" s="5">
        <f>I56*0.01</f>
        <v/>
      </c>
      <c r="K56" s="13" t="inlineStr">
        <is>
          <t>Chuyển từ KH tháng 9</t>
        </is>
      </c>
      <c r="L56" s="63" t="inlineStr">
        <is>
          <t>KH 834 dòng 4.1; IIb P-TCCB dòng 1.2 báo số lượng 50% → phần còn lại chuyển tháng 10.</t>
        </is>
      </c>
    </row>
    <row r="57" ht="72" customHeight="1">
      <c r="A57" s="1" t="inlineStr">
        <is>
          <t>9</t>
        </is>
      </c>
      <c r="B57" s="12" t="inlineStr">
        <is>
          <t>Ban hành Quy định xây dựng, thẩm định và ban hành chương trình đào tạo; tổ chức biên soạn, lựa chọn, thẩm định, duyệt và sử dụng giáo trình đào tạo trình độ cao đẳng, trung cấp, sơ cấp và đào tạo dưới 3 tháng</t>
        </is>
      </c>
      <c r="C57" s="5" t="inlineStr">
        <is>
          <t>Hiệu trưởng</t>
        </is>
      </c>
      <c r="D57" s="5" t="inlineStr">
        <is>
          <t>Phòng QLĐT&amp;BĐCL</t>
        </is>
      </c>
      <c r="E57" s="5" t="inlineStr">
        <is>
          <t>Quyết định</t>
        </is>
      </c>
      <c r="F57" s="5" t="n">
        <v>1</v>
      </c>
      <c r="G57" s="5" t="inlineStr">
        <is>
          <t>Trung bình</t>
        </is>
      </c>
      <c r="H57" s="5" t="inlineStr">
        <is>
          <t>[CẦN BỔ SUNG]</t>
        </is>
      </c>
      <c r="I57" s="5">
        <f>IF(G57="Khó và phức tạp",200,IF(G57="Cao",150,IF(G57="Trung bình",120,100)))</f>
        <v/>
      </c>
      <c r="J57" s="5">
        <f>I57*0.01</f>
        <v/>
      </c>
      <c r="K57" s="13" t="inlineStr">
        <is>
          <t>Chuyển từ KH tháng 9</t>
        </is>
      </c>
      <c r="L57" s="63" t="inlineStr">
        <is>
          <t>KH 834 dòng 2.2; BC 407 mục III.2 ghi 'hoàn thiện, trình ban hành' trong Quý IV (thay thế QĐ 561/QĐ-CĐKT ngày 28/3/2025). P-QLĐT&amp;BĐCL chưa nộp báo cáo.</t>
        </is>
      </c>
    </row>
    <row r="58" ht="126" customHeight="1">
      <c r="A58" s="58" t="n"/>
      <c r="B58" s="58" t="n"/>
      <c r="C58" s="58" t="n"/>
      <c r="D58" s="58" t="n"/>
      <c r="E58" s="58" t="n"/>
      <c r="F58" s="58" t="n"/>
      <c r="G58" s="58" t="n"/>
      <c r="H58" s="58" t="n"/>
      <c r="I58" s="58" t="n"/>
      <c r="J58" s="58" t="n"/>
      <c r="K58" s="58" t="n"/>
      <c r="L58" s="58" t="n"/>
    </row>
    <row r="59" ht="72" customHeight="1">
      <c r="A59" s="53" t="inlineStr">
        <is>
          <t>Nơi nhận: 
- Đảng ủy Trường;
- Lãnh đạo Trường;
- Công đoàn Trường;
- Đoàn Trường;
- Các đơn vị thuộc Trường;
- Lưu: VT, THHCQT.</t>
        </is>
      </c>
      <c r="B59" s="58" t="n"/>
      <c r="C59" s="58" t="n"/>
      <c r="D59" s="58" t="n"/>
      <c r="E59" s="41" t="inlineStr">
        <is>
          <t>HIỆU TRƯỞNG
Lê Trí Khải</t>
        </is>
      </c>
      <c r="F59" s="58" t="n"/>
      <c r="G59" s="58" t="n"/>
      <c r="H59" s="58" t="n"/>
      <c r="I59" s="58" t="n"/>
      <c r="J59" s="58" t="n"/>
      <c r="K59" s="58" t="n"/>
      <c r="L59" s="58" t="n"/>
    </row>
    <row r="60" ht="72" customFormat="1" customHeight="1" s="31"/>
    <row r="61" ht="72" customFormat="1" customHeight="1" s="31"/>
    <row r="63" ht="90" customHeight="1"/>
    <row r="64" ht="90" customHeight="1"/>
    <row r="66" ht="72" customHeight="1"/>
    <row r="67" ht="90" customHeight="1"/>
    <row r="68" ht="54" customHeight="1"/>
    <row r="69" ht="54" customHeight="1"/>
    <row r="70" ht="72" customHeight="1"/>
    <row r="71" ht="54" customHeight="1"/>
    <row r="73"/>
  </sheetData>
  <mergeCells count="30">
    <mergeCell ref="E8:E9"/>
    <mergeCell ref="A59:B59"/>
    <mergeCell ref="G8:G9"/>
    <mergeCell ref="B40:K40"/>
    <mergeCell ref="B8:B9"/>
    <mergeCell ref="B24:K24"/>
    <mergeCell ref="A1:B1"/>
    <mergeCell ref="A6:K6"/>
    <mergeCell ref="B45:K45"/>
    <mergeCell ref="F8:F9"/>
    <mergeCell ref="A7:K7"/>
    <mergeCell ref="E3:K3"/>
    <mergeCell ref="A3:B3"/>
    <mergeCell ref="A8:A9"/>
    <mergeCell ref="A2:B2"/>
    <mergeCell ref="C8:C9"/>
    <mergeCell ref="I8:I9"/>
    <mergeCell ref="K8:K9"/>
    <mergeCell ref="D8:D9"/>
    <mergeCell ref="B12:K12"/>
    <mergeCell ref="B48:K48"/>
    <mergeCell ref="A5:K5"/>
    <mergeCell ref="B11:K11"/>
    <mergeCell ref="E1:K1"/>
    <mergeCell ref="H8:H9"/>
    <mergeCell ref="J8:J9"/>
    <mergeCell ref="E59:K59"/>
    <mergeCell ref="E2:K2"/>
    <mergeCell ref="B28:K28"/>
    <mergeCell ref="B37:K37"/>
  </mergeCells>
  <conditionalFormatting sqref="B13">
    <cfRule type="dataBar" priority="13">
      <dataBar>
        <cfvo type="min"/>
        <cfvo type="max"/>
        <color rgb="FF638EC6"/>
      </dataBar>
    </cfRule>
  </conditionalFormatting>
  <conditionalFormatting sqref="B14:E14">
    <cfRule type="dataBar" priority="49">
      <dataBar>
        <cfvo type="min"/>
        <cfvo type="max"/>
        <color rgb="FF638EC6"/>
      </dataBar>
    </cfRule>
  </conditionalFormatting>
  <conditionalFormatting sqref="C15">
    <cfRule type="dataBar" priority="48">
      <dataBar>
        <cfvo type="min"/>
        <cfvo type="max"/>
        <color rgb="FF638EC6"/>
      </dataBar>
    </cfRule>
  </conditionalFormatting>
  <conditionalFormatting sqref="C16:C17">
    <cfRule type="dataBar" priority="47">
      <dataBar>
        <cfvo type="min"/>
        <cfvo type="max"/>
        <color rgb="FF638EC6"/>
      </dataBar>
    </cfRule>
  </conditionalFormatting>
  <conditionalFormatting sqref="C18 C20">
    <cfRule type="dataBar" priority="9">
      <dataBar>
        <cfvo type="min"/>
        <cfvo type="max"/>
        <color rgb="FF638EC6"/>
      </dataBar>
    </cfRule>
    <cfRule type="dataBar" priority="11">
      <dataBar>
        <cfvo type="min"/>
        <cfvo type="max"/>
        <color rgb="FF638EC6"/>
      </dataBar>
    </cfRule>
  </conditionalFormatting>
  <conditionalFormatting sqref="C21">
    <cfRule type="dataBar" priority="10">
      <dataBar>
        <cfvo type="min"/>
        <cfvo type="max"/>
        <color rgb="FF638EC6"/>
      </dataBar>
    </cfRule>
    <cfRule type="dataBar" priority="12">
      <dataBar>
        <cfvo type="min"/>
        <cfvo type="max"/>
        <color rgb="FF638EC6"/>
      </dataBar>
    </cfRule>
  </conditionalFormatting>
  <conditionalFormatting sqref="C23">
    <cfRule type="dataBar" priority="4">
      <dataBar>
        <cfvo type="min"/>
        <cfvo type="max"/>
        <color rgb="FF638EC6"/>
      </dataBar>
    </cfRule>
    <cfRule type="dataBar" priority="5">
      <dataBar>
        <cfvo type="min"/>
        <cfvo type="max"/>
        <color rgb="FF638EC6"/>
      </dataBar>
    </cfRule>
  </conditionalFormatting>
  <conditionalFormatting sqref="C26">
    <cfRule type="dataBar" priority="46">
      <dataBar>
        <cfvo type="min"/>
        <cfvo type="max"/>
        <color rgb="FF638EC6"/>
      </dataBar>
    </cfRule>
  </conditionalFormatting>
  <conditionalFormatting sqref="C27">
    <cfRule type="dataBar" priority="16">
      <dataBar>
        <cfvo type="min"/>
        <cfvo type="max"/>
        <color rgb="FF638EC6"/>
      </dataBar>
    </cfRule>
  </conditionalFormatting>
  <conditionalFormatting sqref="C28">
    <cfRule type="dataBar" priority="15">
      <dataBar>
        <cfvo type="min"/>
        <cfvo type="max"/>
        <color rgb="FF638EC6"/>
      </dataBar>
    </cfRule>
  </conditionalFormatting>
  <conditionalFormatting sqref="C31">
    <cfRule type="dataBar" priority="31">
      <dataBar>
        <cfvo type="min"/>
        <cfvo type="max"/>
        <color rgb="FF638EC6"/>
      </dataBar>
    </cfRule>
  </conditionalFormatting>
  <conditionalFormatting sqref="C32">
    <cfRule type="dataBar" priority="26">
      <dataBar>
        <cfvo type="min"/>
        <cfvo type="max"/>
        <color rgb="FF638EC6"/>
      </dataBar>
    </cfRule>
  </conditionalFormatting>
  <conditionalFormatting sqref="C33">
    <cfRule type="dataBar" priority="14">
      <dataBar>
        <cfvo type="min"/>
        <cfvo type="max"/>
        <color rgb="FF638EC6"/>
      </dataBar>
    </cfRule>
  </conditionalFormatting>
  <conditionalFormatting sqref="C37">
    <cfRule type="dataBar" priority="8">
      <dataBar>
        <cfvo type="min"/>
        <cfvo type="max"/>
        <color rgb="FF638EC6"/>
      </dataBar>
    </cfRule>
  </conditionalFormatting>
  <conditionalFormatting sqref="C38">
    <cfRule type="dataBar" priority="45">
      <dataBar>
        <cfvo type="min"/>
        <cfvo type="max"/>
        <color rgb="FF638EC6"/>
      </dataBar>
    </cfRule>
  </conditionalFormatting>
  <conditionalFormatting sqref="C39:C40">
    <cfRule type="dataBar" priority="39">
      <dataBar>
        <cfvo type="min"/>
        <cfvo type="max"/>
        <color rgb="FF638EC6"/>
      </dataBar>
    </cfRule>
  </conditionalFormatting>
  <conditionalFormatting sqref="C42">
    <cfRule type="dataBar" priority="35">
      <dataBar>
        <cfvo type="min"/>
        <cfvo type="max"/>
        <color rgb="FF638EC6"/>
      </dataBar>
    </cfRule>
  </conditionalFormatting>
  <conditionalFormatting sqref="C43">
    <cfRule type="dataBar" priority="19">
      <dataBar>
        <cfvo type="min"/>
        <cfvo type="max"/>
        <color rgb="FF638EC6"/>
      </dataBar>
    </cfRule>
  </conditionalFormatting>
  <conditionalFormatting sqref="C44">
    <cfRule type="dataBar" priority="36">
      <dataBar>
        <cfvo type="min"/>
        <cfvo type="max"/>
        <color rgb="FF638EC6"/>
      </dataBar>
    </cfRule>
  </conditionalFormatting>
  <conditionalFormatting sqref="C45">
    <cfRule type="dataBar" priority="18">
      <dataBar>
        <cfvo type="min"/>
        <cfvo type="max"/>
        <color rgb="FF638EC6"/>
      </dataBar>
    </cfRule>
  </conditionalFormatting>
  <conditionalFormatting sqref="C51">
    <cfRule type="dataBar" priority="40">
      <dataBar>
        <cfvo type="min"/>
        <cfvo type="max"/>
        <color rgb="FF638EC6"/>
      </dataBar>
    </cfRule>
  </conditionalFormatting>
  <conditionalFormatting sqref="C19 C22 C25 C30 C34:C35 C46 C52:C54">
    <cfRule type="dataBar" priority="658">
      <dataBar>
        <cfvo type="min"/>
        <cfvo type="max"/>
        <color rgb="FF638EC6"/>
      </dataBar>
    </cfRule>
  </conditionalFormatting>
  <conditionalFormatting sqref="C47 C55:C59">
    <cfRule type="dataBar" priority="17">
      <dataBar>
        <cfvo type="min"/>
        <cfvo type="max"/>
        <color rgb="FF638EC6"/>
      </dataBar>
    </cfRule>
  </conditionalFormatting>
  <conditionalFormatting sqref="C60">
    <cfRule type="dataBar" priority="6">
      <dataBar>
        <cfvo type="min"/>
        <cfvo type="max"/>
        <color rgb="FF638EC6"/>
      </dataBar>
    </cfRule>
    <cfRule type="dataBar" priority="7">
      <dataBar>
        <cfvo type="min"/>
        <cfvo type="max"/>
        <color rgb="FF638EC6"/>
      </dataBar>
    </cfRule>
  </conditionalFormatting>
  <conditionalFormatting sqref="C61">
    <cfRule type="dataBar" priority="1">
      <dataBar>
        <cfvo type="min"/>
        <cfvo type="max"/>
        <color rgb="FF638EC6"/>
      </dataBar>
    </cfRule>
  </conditionalFormatting>
  <conditionalFormatting sqref="C63">
    <cfRule type="dataBar" priority="118">
      <dataBar>
        <cfvo type="min"/>
        <cfvo type="max"/>
        <color rgb="FF638EC6"/>
      </dataBar>
    </cfRule>
  </conditionalFormatting>
  <conditionalFormatting sqref="C64">
    <cfRule type="dataBar" priority="29">
      <dataBar>
        <cfvo type="min"/>
        <cfvo type="max"/>
        <color rgb="FF638EC6"/>
      </dataBar>
    </cfRule>
  </conditionalFormatting>
  <conditionalFormatting sqref="C66">
    <cfRule type="dataBar" priority="82">
      <dataBar>
        <cfvo type="min"/>
        <cfvo type="max"/>
        <color rgb="FF638EC6"/>
      </dataBar>
    </cfRule>
  </conditionalFormatting>
  <conditionalFormatting sqref="C67">
    <cfRule type="dataBar" priority="53">
      <dataBar>
        <cfvo type="min"/>
        <cfvo type="max"/>
        <color rgb="FF638EC6"/>
      </dataBar>
    </cfRule>
  </conditionalFormatting>
  <conditionalFormatting sqref="C68">
    <cfRule type="dataBar" priority="34">
      <dataBar>
        <cfvo type="min"/>
        <cfvo type="max"/>
        <color rgb="FF638EC6"/>
      </dataBar>
    </cfRule>
  </conditionalFormatting>
  <conditionalFormatting sqref="C69">
    <cfRule type="dataBar" priority="95">
      <dataBar>
        <cfvo type="min"/>
        <cfvo type="max"/>
        <color rgb="FF638EC6"/>
      </dataBar>
    </cfRule>
  </conditionalFormatting>
  <conditionalFormatting sqref="C69:C70">
    <cfRule type="dataBar" priority="651">
      <dataBar>
        <cfvo type="min"/>
        <cfvo type="max"/>
        <color rgb="FF638EC6"/>
      </dataBar>
    </cfRule>
  </conditionalFormatting>
  <conditionalFormatting sqref="C71">
    <cfRule type="dataBar" priority="92">
      <dataBar>
        <cfvo type="min"/>
        <cfvo type="max"/>
        <color rgb="FF638EC6"/>
      </dataBar>
    </cfRule>
  </conditionalFormatting>
  <conditionalFormatting sqref="C41:D41">
    <cfRule type="dataBar" priority="43">
      <dataBar>
        <cfvo type="min"/>
        <cfvo type="max"/>
        <color rgb="FF638EC6"/>
      </dataBar>
    </cfRule>
  </conditionalFormatting>
  <conditionalFormatting sqref="C48:D49">
    <cfRule type="dataBar" priority="2">
      <dataBar>
        <cfvo type="min"/>
        <cfvo type="max"/>
        <color rgb="FF638EC6"/>
      </dataBar>
    </cfRule>
    <cfRule type="dataBar" priority="3">
      <dataBar>
        <cfvo type="min"/>
        <cfvo type="max"/>
        <color rgb="FF638EC6"/>
      </dataBar>
    </cfRule>
  </conditionalFormatting>
  <conditionalFormatting sqref="C13:E13">
    <cfRule type="dataBar" priority="51">
      <dataBar>
        <cfvo type="min"/>
        <cfvo type="max"/>
        <color rgb="FF638EC6"/>
      </dataBar>
    </cfRule>
  </conditionalFormatting>
  <conditionalFormatting sqref="D38">
    <cfRule type="dataBar" priority="44">
      <dataBar>
        <cfvo type="min"/>
        <cfvo type="max"/>
        <color rgb="FF638EC6"/>
      </dataBar>
    </cfRule>
  </conditionalFormatting>
  <conditionalFormatting sqref="D63">
    <cfRule type="dataBar" priority="117">
      <dataBar>
        <cfvo type="min"/>
        <cfvo type="max"/>
        <color rgb="FF638EC6"/>
      </dataBar>
    </cfRule>
  </conditionalFormatting>
  <conditionalFormatting sqref="G13">
    <cfRule type="dataBar" priority="52">
      <dataBar>
        <cfvo type="min"/>
        <cfvo type="max"/>
        <color rgb="FF638EC6"/>
      </dataBar>
    </cfRule>
  </conditionalFormatting>
  <conditionalFormatting sqref="G14">
    <cfRule type="dataBar" priority="50">
      <dataBar>
        <cfvo type="min"/>
        <cfvo type="max"/>
        <color rgb="FF638EC6"/>
      </dataBar>
    </cfRule>
  </conditionalFormatting>
  <conditionalFormatting sqref="K14 K16">
    <cfRule type="dataBar" priority="617">
      <dataBar>
        <cfvo type="min"/>
        <cfvo type="max"/>
        <color rgb="FF638EC6"/>
      </dataBar>
    </cfRule>
  </conditionalFormatting>
  <conditionalFormatting sqref="K63">
    <cfRule type="dataBar" priority="116">
      <dataBar>
        <cfvo type="min"/>
        <cfvo type="max"/>
        <color rgb="FF638EC6"/>
      </dataBar>
    </cfRule>
  </conditionalFormatting>
  <dataValidations count="7">
    <dataValidation sqref="G13:G23 G25:G28 G30:G35 G37:G49 G51:G61 G63:G64 G66:G71" showDropDown="0" showInputMessage="1" showErrorMessage="0" allowBlank="1" type="list">
      <formula1>"Thấp,Trung bình,Cao,Khó và phức tạp"</formula1>
    </dataValidation>
    <dataValidation sqref="E13:E23 E25:E26 E30 E32 E34:E35 E37:E49 E51:E52 E64 E66:E68" showDropDown="0" showInputMessage="1" showErrorMessage="0" allowBlank="1" type="list">
      <formula1>"Bảng thống kê,Báo cáo,Biên bản,Chương trình,Công văn,Đề án,Giấy mời,Hồ sơ chuyên môn,Hợp đồng,Hướng dẫn,Kế hoạch,Kết luận,Nghị quyết,Phiếu chuyển,Phiếu trình,Phương án,Quy chế,Quyết định,Tài liệu hướng dẫn,Thông báo,Tờ trình"</formula1>
    </dataValidation>
    <dataValidation sqref="C13:C23 C25:C28 C30:C35 C37:C49 C51:C61 C63:C64 C66:C71" showDropDown="0" showInputMessage="1" showErrorMessage="0" allowBlank="1" type="list">
      <formula1>"Hiệu trưởng, PHT Nguyễn Trung Hiếu, PHT Huỳnh Văn Chung, PHT Dương Văn Anh Dũng, Bí thư Đảng uỷ, Phó Bí thư Đảng uỷ, Uỷ viên BTV, Chủ tịch Công đoàn, Bí thư ĐTN, Chủ tịch HSV"</formula1>
    </dataValidation>
    <dataValidation sqref="E22 E25 E27:E28 E33:E35 E42:E47 E55:E59 H13:J21 H18:K23 H25:K25 H26:J26 H27:K28 H30:K35 H37:K49 H51:J60 H63:K64 H66:K71 K14:K21 K51:K61 L33:L35 L68" showDropDown="0" showInputMessage="1" showErrorMessage="0" allowBlank="1"/>
    <dataValidation sqref="E19:E20 E22:E23 E25 E30 E34:E35 E37 E46 E52:E61 E67:E71" showDropDown="0" showInputMessage="0" showErrorMessage="1" allowBlank="1" type="list">
      <formula1>"Báo cáo,Biên bản,Công văn,Hướng dẫn,Kế hoạch,Kết luận,Nghị quyết,Quyết định,Quy định,Quy chế,Phương án,Thông báo,Đề án,Dự án,Tờ trình,Chương trình,Hợp đồng,Báo cáo,Hồ sơ chuyên môn,Bảng thống kê"</formula1>
    </dataValidation>
    <dataValidation sqref="D19:D20 D22:D23 D25 D30 D34:D35 D46 D52:D61 D63 D66:D71" showDropDown="0" showInputMessage="1" showErrorMessage="0" allowBlank="1" type="list">
      <formula1>"Phòng QLĐT &amp;BĐCL, Phòng TH -HC&amp;QT, Phòng QLKHCN &amp;HTPT, Phòng TC-KT, Phòng  TCCB&amp;CTHSSV, Khoa Sư phạm, Khoa CKHCB, Khoa KT&amp;NL, Khoa Y – Dược, Khoa ĐT&amp;SHLX, Khoa KT&amp;CN"</formula1>
    </dataValidation>
    <dataValidation sqref="D13:D22 D25:D28 D32:D35 D37:D38 D41:D49 D51 D52:E52 D55:D59 E42:E43" showDropDown="0" showInputMessage="1" showErrorMessage="0" allowBlank="1" type="list">
      <formula1>"Phòng QLĐT&amp;BĐCL, Phòng TH-HC&amp;QT, Phòng QLKHCN&amp;HTPT, Phòng TC-KT, Phòng  TCCB&amp;CTHSSV, Khoa Sư phạm, Khoa CKHCB, Khoa KT&amp;NL, Khoa Y – Dược, Khoa ĐT&amp;SHLX, Khoa KT&amp;CN"</formula1>
    </dataValidation>
  </dataValidations>
  <printOptions horizontalCentered="1"/>
  <pageMargins left="0.5" right="0.5" top="0.5" bottom="0.5" header="0.05" footer="0.31496063"/>
  <pageSetup orientation="landscape" paperSize="9"/>
  <headerFooter differentFirst="1">
    <oddHeader>&amp;C&amp;"Times New Roman,Regular"&amp;14 &amp;P</oddHeader>
    <oddFooter/>
    <evenHeader/>
    <evenFooter/>
    <firstHeader/>
    <firstFooter/>
  </headerFooter>
  <rowBreaks count="16" manualBreakCount="16">
    <brk id="13" min="0" max="10" man="1"/>
    <brk id="18" min="0" max="10" man="1"/>
    <brk id="21" min="0" max="16383" man="1"/>
    <brk id="22" min="0" max="10" man="1"/>
    <brk id="23" min="0" max="16383" man="1"/>
    <brk id="27" min="0" max="10" man="1"/>
    <brk id="32" min="0" max="16383" man="1"/>
    <brk id="35" min="0" max="16383" man="1"/>
    <brk id="40" min="0" max="16383" man="1"/>
    <brk id="44" min="0" max="10" man="1"/>
    <brk id="47" min="0" max="16383" man="1"/>
    <brk id="52" min="0" max="10" man="1"/>
    <brk id="54" min="0" max="10" man="1"/>
    <brk id="56" min="0" max="16383" man="1"/>
    <brk id="59" min="0" max="10" man="1"/>
    <brk id="6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Quang Phuc</dc:creator>
  <dcterms:created xmlns:dcterms="http://purl.org/dc/terms/" xmlns:xsi="http://www.w3.org/2001/XMLSchema-instance" xsi:type="dcterms:W3CDTF">2026-05-27T07:08:41Z</dcterms:created>
  <dcterms:modified xmlns:dcterms="http://purl.org/dc/terms/" xmlns:xsi="http://www.w3.org/2001/XMLSchema-instance" xsi:type="dcterms:W3CDTF">2026-09-28T11:56:04Z</dcterms:modified>
  <cp:lastModifiedBy>Nguyễn Phục</cp:lastModifiedBy>
  <cp:lastPrinted>2026-08-27T23:53:41Z</cp:lastPrinted>
</cp:coreProperties>
</file>