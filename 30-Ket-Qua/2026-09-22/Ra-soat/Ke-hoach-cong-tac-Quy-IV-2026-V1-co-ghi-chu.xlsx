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LAUDE code\KTC-Quan-tri\30-Ket-Qua\2026-09-22\Ra-soat\"/>
    </mc:Choice>
  </mc:AlternateContent>
  <xr:revisionPtr revIDLastSave="0" documentId="13_ncr:1_{1F25388F-0BE1-4221-9C7C-5B44670B011E}" xr6:coauthVersionLast="47" xr6:coauthVersionMax="47" xr10:uidLastSave="{00000000-0000-0000-0000-000000000000}"/>
  <bookViews>
    <workbookView xWindow="-108" yWindow="-108" windowWidth="23256" windowHeight="12456" xr2:uid="{00000000-000D-0000-FFFF-FFFF00000000}"/>
  </bookViews>
  <sheets>
    <sheet name="KH Quý IV" sheetId="1" r:id="rId1"/>
  </sheets>
  <definedNames>
    <definedName name="_xlnm.Print_Area" localSheetId="0">'KH Quý IV'!$A$1:$K$83</definedName>
    <definedName name="_xlnm.Print_Titles" localSheetId="0">'KH Quý IV'!$10:$12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1" i="1" l="1"/>
  <c r="J81" i="1" s="1"/>
  <c r="I80" i="1"/>
  <c r="J80" i="1" s="1"/>
  <c r="I79" i="1"/>
  <c r="J79" i="1" s="1"/>
  <c r="I78" i="1"/>
  <c r="J78" i="1" s="1"/>
  <c r="I77" i="1"/>
  <c r="J77" i="1" s="1"/>
  <c r="I76" i="1"/>
  <c r="J76" i="1" s="1"/>
  <c r="I75" i="1"/>
  <c r="J75" i="1" s="1"/>
  <c r="I74" i="1"/>
  <c r="J74" i="1" s="1"/>
  <c r="I73" i="1"/>
  <c r="J73" i="1" s="1"/>
  <c r="I72" i="1"/>
  <c r="J72" i="1" s="1"/>
  <c r="I71" i="1"/>
  <c r="J71" i="1" s="1"/>
  <c r="I70" i="1"/>
  <c r="J70" i="1" s="1"/>
  <c r="I69" i="1"/>
  <c r="J69" i="1" s="1"/>
  <c r="I68" i="1"/>
  <c r="J68" i="1" s="1"/>
  <c r="I67" i="1"/>
  <c r="J67" i="1" s="1"/>
  <c r="I66" i="1"/>
  <c r="J66" i="1" s="1"/>
  <c r="I65" i="1"/>
  <c r="J65" i="1" s="1"/>
  <c r="I64" i="1"/>
  <c r="J64" i="1" s="1"/>
  <c r="I63" i="1"/>
  <c r="J63" i="1" s="1"/>
  <c r="I62" i="1"/>
  <c r="J62" i="1" s="1"/>
  <c r="I61" i="1"/>
  <c r="J61" i="1" s="1"/>
  <c r="I60" i="1"/>
  <c r="J60" i="1" s="1"/>
  <c r="I59" i="1"/>
  <c r="J59" i="1" s="1"/>
  <c r="I57" i="1"/>
  <c r="J57" i="1" s="1"/>
  <c r="I56" i="1"/>
  <c r="J56" i="1" s="1"/>
  <c r="I54" i="1"/>
  <c r="J54" i="1" s="1"/>
  <c r="I53" i="1"/>
  <c r="J53" i="1" s="1"/>
  <c r="I52" i="1"/>
  <c r="J52" i="1" s="1"/>
  <c r="I51" i="1"/>
  <c r="J51" i="1" s="1"/>
  <c r="I50" i="1"/>
  <c r="J50" i="1" s="1"/>
  <c r="I49" i="1"/>
  <c r="J49" i="1" s="1"/>
  <c r="I47" i="1"/>
  <c r="J47" i="1" s="1"/>
  <c r="I46" i="1"/>
  <c r="J46" i="1" s="1"/>
  <c r="I45" i="1"/>
  <c r="J45" i="1" s="1"/>
  <c r="I44" i="1"/>
  <c r="J44" i="1" s="1"/>
  <c r="I43" i="1"/>
  <c r="J43" i="1" s="1"/>
  <c r="I41" i="1"/>
  <c r="J41" i="1" s="1"/>
  <c r="I40" i="1"/>
  <c r="J40" i="1" s="1"/>
  <c r="I39" i="1"/>
  <c r="J39" i="1" s="1"/>
  <c r="I38" i="1"/>
  <c r="J38" i="1" s="1"/>
  <c r="I37" i="1"/>
  <c r="J37" i="1" s="1"/>
  <c r="I36" i="1"/>
  <c r="J36" i="1" s="1"/>
  <c r="I34" i="1"/>
  <c r="J34" i="1" s="1"/>
  <c r="I33" i="1"/>
  <c r="J33" i="1" s="1"/>
  <c r="I32" i="1"/>
  <c r="J32" i="1" s="1"/>
  <c r="I31" i="1"/>
  <c r="J31" i="1" s="1"/>
  <c r="I30" i="1"/>
  <c r="J30" i="1" s="1"/>
  <c r="I28" i="1"/>
  <c r="J28" i="1" s="1"/>
  <c r="I27" i="1"/>
  <c r="J27" i="1" s="1"/>
  <c r="I26" i="1"/>
  <c r="J26" i="1" s="1"/>
  <c r="I25" i="1"/>
  <c r="J25" i="1" s="1"/>
  <c r="I24" i="1"/>
  <c r="J24" i="1" s="1"/>
  <c r="I23" i="1"/>
  <c r="J23" i="1" s="1"/>
  <c r="I22" i="1"/>
  <c r="J22" i="1" s="1"/>
  <c r="I21" i="1"/>
  <c r="J21" i="1" s="1"/>
  <c r="I20" i="1"/>
  <c r="J20" i="1" s="1"/>
  <c r="I19" i="1"/>
  <c r="J19" i="1" s="1"/>
  <c r="I18" i="1"/>
  <c r="J18" i="1" s="1"/>
  <c r="I17" i="1"/>
  <c r="J17" i="1" s="1"/>
  <c r="I16" i="1"/>
  <c r="J16" i="1" s="1"/>
  <c r="I15" i="1"/>
  <c r="J15" i="1" s="1"/>
</calcChain>
</file>

<file path=xl/sharedStrings.xml><?xml version="1.0" encoding="utf-8"?>
<sst xmlns="http://schemas.openxmlformats.org/spreadsheetml/2006/main" count="495" uniqueCount="231">
  <si>
    <t>UBND TỈNH QUẢNG NGÃI
TRƯỜNG CAO ĐẲNG KON TUM</t>
  </si>
  <si>
    <t>CỘNG HÒA XÃ HỘI CHỦ NGHĨA VIỆT NAM
Độc lập - Tự do - Hạnh phúc</t>
  </si>
  <si>
    <t>Số:             /KH-CĐKT</t>
  </si>
  <si>
    <t>Quảng Ngãi, ngày      tháng 9 năm 2026</t>
  </si>
  <si>
    <t>KẾ HOẠCH
công tác Quý IV năm 2026</t>
  </si>
  <si>
    <t xml:space="preserve">          Căn cứ Quyết định số 1976/QĐ-CĐKT ngày 14/9/2026 của Hiệu trưởng Trường Cao đẳng Kon Tum ban hành Quy chế tổ chức và hoạt động của Trường Cao đẳng Kon Tum; Quyết định số 1299/QĐ-CĐKT ngày 27/5/2026 của Hiệu trưởng Trường Cao đẳng Kon Tum ban hành Quy chế làm việc của Trường Cao đẳng Kon Tum;
          Căn cứ Quyết định số 311/QĐ-CĐKT ngày 04/02/2026 của Hiệu trưởng Trường Cao đẳng Kon Tum ban hành Chương trình công tác trọng tâm năm 2026;
         Căn cứ các Kế hoạch, Hướng dẫn của Tỉnh ủy, Đảng ủy UBND tỉnh, UBND tỉnh xây dựng kế hoạch và khung tiêu chí đánh giá đối với tập thể, cá nhân và các Kết luận, lãnh đạo, chỉ đạo của Lãnh đạo Trường;
          Nhà trường ban hành Kế hoạch công tác Quý IV năm 2026, cụ thể như sau:</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</si>
  <si>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</si>
  <si>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</si>
  <si>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</si>
  <si>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</si>
  <si>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</si>
  <si>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</si>
  <si>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</si>
  <si>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</si>
  <si>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</si>
  <si>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</si>
  <si>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</si>
  <si>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GHI CHÚ RÀ SOÁT (22/9/2026)</t>
  </si>
  <si>
    <t>(1)</t>
  </si>
  <si>
    <t>(2)</t>
  </si>
  <si>
    <t>(3)</t>
  </si>
  <si>
    <t>(4)</t>
  </si>
  <si>
    <t>(5)</t>
  </si>
  <si>
    <t>(6)</t>
  </si>
  <si>
    <t>(7)</t>
  </si>
  <si>
    <t>(8)</t>
  </si>
  <si>
    <t>(9)</t>
  </si>
  <si>
    <t>(10)</t>
  </si>
  <si>
    <t>(11)</t>
  </si>
  <si>
    <t>(12)</t>
  </si>
  <si>
    <t>I</t>
  </si>
  <si>
    <t> Các nhiệm vụ theo kế hoạch (chương trình) công tác đã đề ra từ đầu năm</t>
  </si>
  <si>
    <t>Mức 1 (áp dụng cho phần "Căn cứ" phía trên bảng, ô A8): Văn bản viện dẫn ghi "Quyết định số 1299/QĐ-CĐKT ngày 27/5/2026 ... Quy chế làm việc". Đối chiếu KTC-Database: văn bản này có SỐ THẬT LÀ 1229/QĐ-CĐKT (ngày 27/5/2026 đúng, chỉ sai số hiệu — có thể gõ nhầm hoán vị 2↔9). Sửa "1299" thành "1229". || Đối khớp: KH Quý III/2026 (điều chỉnh, bổ sung) cũng ghi "1299/QĐ-CĐKT" ở phần Căn cứ — lỗi số hiệu này đã lặp lại từ kỳ trước, không phải lỗi mới phát sinh riêng ở bản Quý IV. Nên sửa dứt điểm cả hai nơi (báo P-THHC để cập nhật nguồn Kế hoạch Quý III lưu trữ nếu cần).</t>
  </si>
  <si>
    <t xml:space="preserve">Trục (1) - Thực hiện mục tiêu phát triển Kinh tế - xã hội và nhiệm vụ chính trị được giao </t>
  </si>
  <si>
    <t>1.1</t>
  </si>
  <si>
    <t>Đánh giá ngoài chất lượng chương trình đào tạo</t>
  </si>
  <si>
    <t>PHT Huỳnh Văn Chung</t>
  </si>
  <si>
    <t>Phòng QLĐT&amp;BĐCL</t>
  </si>
  <si>
    <t>Kế hoạch</t>
  </si>
  <si>
    <t>Cao</t>
  </si>
  <si>
    <t>31/10/2026</t>
  </si>
  <si>
    <t>Đối khớp CTCT năm 2026 (Tháng 10, mục 3): cùng nội dung "Đánh giá ngoài chất lượng CTĐT", nhưng CTCT năm ghi người chỉ đạo là PHT Dương Văn Anh Dũng, còn KH Quý IV ghi PHT Huỳnh Văn Chung. Kiểm tra lại người phụ trách đúng.</t>
  </si>
  <si>
    <t>1.2</t>
  </si>
  <si>
    <t>Thẩm định, ban hành quy trình bảo đảm chất lượng đợt 2 năm 2026</t>
  </si>
  <si>
    <t>Hiệu trưởng</t>
  </si>
  <si>
    <t>Quyết định</t>
  </si>
  <si>
    <t>Đối khớp CTCT năm 2026 (Tháng 10, mục 4): cùng nội dung "Thẩm định, ban hành quy trình BĐCL đợt 2", nhưng CTCT năm ghi người chỉ đạo là PHT Dương Văn Anh Dũng, còn KH Quý IV ghi Hiệu trưởng. Kiểm tra lại người phụ trách đúng.</t>
  </si>
  <si>
    <t>1.3</t>
  </si>
  <si>
    <t>Báo cáo kết quả khảo sát các bên liên quan về hoạt động của nhà trường và chất lượng các CTĐT năm 2026</t>
  </si>
  <si>
    <t>Phòng QLKHCN&amp;HTPT</t>
  </si>
  <si>
    <t>Đối khớp CTCT năm 2026 (Tháng 10, mục 5): CTCT năm ghi sản phẩm là "Kế hoạch khảo sát các bên liên quan" (giai đoạn lập kế hoạch), còn KH Quý IV ghi sản phẩm "Kế hoạch" cho việc "Báo cáo kết quả khảo sát..." — tên việc và sản phẩm lệch pha nhau (báo cáo kết quả thì sản phẩm phải là Báo cáo, không phải Kế hoạch). Xem lại cho khớp.</t>
  </si>
  <si>
    <t>1.4</t>
  </si>
  <si>
    <t>Tổ chức Cuộc thi Khởi nghiệp sáng tạo cấp Trường</t>
  </si>
  <si>
    <t>Hồ sơ chuyên môn</t>
  </si>
  <si>
    <t>30/11/2026</t>
  </si>
  <si>
    <t>1.5</t>
  </si>
  <si>
    <t>Đánh giá hệ thống bảo đảm chất lượng</t>
  </si>
  <si>
    <t>Trung bình</t>
  </si>
  <si>
    <t>1.6</t>
  </si>
  <si>
    <t xml:space="preserve">Triển khai hoạt động đào tạo theo đặt hàng của doanh nghiệp </t>
  </si>
  <si>
    <t>Hợp đồng</t>
  </si>
  <si>
    <t>31/12/2026</t>
  </si>
  <si>
    <t>1.7</t>
  </si>
  <si>
    <t>Xây dựng Kế hoạch kiểm kê ngày 01/01/2027</t>
  </si>
  <si>
    <t>Phòng TH-HC&amp;QT</t>
  </si>
  <si>
    <t>1.8</t>
  </si>
  <si>
    <t>Tổ chức chương trình tư vấn việc làm cho HSSV</t>
  </si>
  <si>
    <t>1.9</t>
  </si>
  <si>
    <t>Ban hành Quyết định định mức kinh tế kỹ thuật và giá dịch vụ đào tạo nghề sơ cấp và dưới 3 tháng</t>
  </si>
  <si>
    <t>Phòng TC-KT</t>
  </si>
  <si>
    <t>Theo số lượng thực tế</t>
  </si>
  <si>
    <t>Mức 4: Ô F23 (Số lượng) ghi chữ "Theo số lượng thực tế" thay vì số, khác cách trình bày các dòng còn lại trong cột này.</t>
  </si>
  <si>
    <t>1.10</t>
  </si>
  <si>
    <t>Tổng hợp kết quả tuyển sinh, nhập học, mở lớp, duy trì sĩ số năm 2026;</t>
  </si>
  <si>
    <t>Báo cáo tuyển sinh; Báo cáo tổng kết</t>
  </si>
  <si>
    <t>25/12/2026</t>
  </si>
  <si>
    <t>1.11</t>
  </si>
  <si>
    <t>Hoàn thiện hồ sơ, sổ sách đào tạo năm học 2025-2026; theo dõi, điều chỉnh kế hoạch đào tạo toàn khóa, kế hoạch đào tạo năm học 2026-2027</t>
  </si>
  <si>
    <t>PHT Dương Văn Anh Dũng</t>
  </si>
  <si>
    <t>Hồ sơ chuyên môn; Hồ sơ lưu trữ</t>
  </si>
  <si>
    <t>1.12</t>
  </si>
  <si>
    <t>Hoàn thiện hồ sơ mô hình đào tạo kép "Một chương trình - Hai địa điểm"; triển khai thí điểm chương trình đào tạo ngắn hạn theo đơn đặt hàng của doanh nghiệp</t>
  </si>
  <si>
    <t>Hồ sơ mô hình đào tạo kép; Chương trình đào tạo ngắn hạn</t>
  </si>
  <si>
    <t>1.13</t>
  </si>
  <si>
    <t>Rà soát, cập nhật, chuẩn hóa chương trình đào tạo, giáo trình đào tạo theo quy định mới hoặc yêu cầu phát sinh</t>
  </si>
  <si>
    <t>Chương trình đào tạo; Giáo trình đào tạo</t>
  </si>
  <si>
    <t>1.14</t>
  </si>
  <si>
    <t>Hoàn thành các nội dung thuộc năm 2026 trong lộ trình xây dựng Trường thành trường cao đẳng chất lượng cao giai đoạn 2026-2030</t>
  </si>
  <si>
    <t>Báo cáo tiến độ; Hồ sơ minh chứng</t>
  </si>
  <si>
    <t>Khó và phức tạp</t>
  </si>
  <si>
    <t>Trục (2) - Hoàn thiện thể chế, đẩy mạnh phân cấp, phân quyền gắn với kiểm tra, giám sát</t>
  </si>
  <si>
    <t>2.1</t>
  </si>
  <si>
    <t>Ban hành định mức kinh tế kỹ thuật ngành nghề Y sỹ đa khoa và định giá đào tạo</t>
  </si>
  <si>
    <t>Quyết định + phụ lục đinh mức</t>
  </si>
  <si>
    <t>2.2</t>
  </si>
  <si>
    <t>Ban hành định mức kinh tế - kỹ thuật và định giá đào tạo lái xe</t>
  </si>
  <si>
    <t>2.3</t>
  </si>
  <si>
    <t>Tổ chức kiểm tra theo Kế hoạch kiểm tra năm học 2026-2027 (đợt 1) đối với các khoa thuộc Trường</t>
  </si>
  <si>
    <t>Kế hoạch kiểm tra; Biên bản; Thông báo kết luận</t>
  </si>
  <si>
    <t>2.4</t>
  </si>
  <si>
    <t>Tổng hợp, báo cáo tiến độ thực hiện 10 nhiệm vụ trọng tâm về công tác quản lý đào tạo, bảo đảm chất lượng Quý IV/2026</t>
  </si>
  <si>
    <t>Báo cáo tiến độ</t>
  </si>
  <si>
    <t>2.5</t>
  </si>
  <si>
    <t>Kiểm tra công tác tài chính công đoàn năm 2026</t>
  </si>
  <si>
    <t>Phó Chủ tịch CĐCS - Chủ nhiệm UBKT</t>
  </si>
  <si>
    <t>UBKT CĐCS</t>
  </si>
  <si>
    <t>Trục (3) - Thúc đẩy phát triển khoa học, công nghệ, đổi mới sáng tạo và chuyển đổi số</t>
  </si>
  <si>
    <t>3.1</t>
  </si>
  <si>
    <t>Tổ chức Hội thảo khoa học
“Chuyển đổi số toàn diện trong quản trị nhà trường
gắn với nâng cao chất lượng đào tạo</t>
  </si>
  <si>
    <t>Ban hành Quyết định tạm thời khung kiến trúc dữ liệu, khung quản trị dữ liệu và từ điển dữ liệu của nhà trường</t>
  </si>
  <si>
    <t>Mức 3: Ô TT (cột A) đang lưu dạng số thực, khác kiểu Văn bản (Text) của các ô mã khác (vd 1.1, 2.1...). Nên đổi về Text cho đồng nhất.</t>
  </si>
  <si>
    <t>Ban hành Quyết định tạm thời danh mục cơ sở dữ liệu dùng chung của nhà trường, trong đó quy định rõ khái niệm, nội hàm, trường dữ liệu, trách nhiệm tạo lập, cập nhật, chia sẻ, khai thác và giá trị pháp lý của dữ liệu</t>
  </si>
  <si>
    <t>Xây dựng Kế hoạch xây dựng, quản lý, khai thác, kết nối, chia sẻ và phát triển cơ sở dữ liệu giai đoạn 2026 - 2030</t>
  </si>
  <si>
    <t>Xây dựng công cụ AI hỗ trợ biên soạn, cập nhật chương trình đào tạo, tự đánh giá chất lượng giáo dục nghề nghiệp và rà soát kế hoạch tiến độ đào tạo của các đơn vị, kèm bộ dữ liệu chương trình đào tạo, khung chương trình và lịch năm học</t>
  </si>
  <si>
    <t>Bộ công cụ đóng gói: Skills, Prompt, quy trình, thông báo</t>
  </si>
  <si>
    <t>Chuẩn hóa đào tạo trực tuyến; xây dựng danh mục học liệu số; thiết lập kho minh chứng số dùng chung phục vụ bảo đảm chất lượng</t>
  </si>
  <si>
    <t>Danh mục học liệu số; Kho minh chứng số</t>
  </si>
  <si>
    <t>Trục (4) - Xây dựng đảng và hệ thống chính trị trong sạch, vững mạnh; giữ gìn đoàn kết, thống nhất nội bộ; phòng, chống tham nhũng, lãng phí, tiêu cực</t>
  </si>
  <si>
    <t>4.1</t>
  </si>
  <si>
    <t>Kế hoạch về việc phát huy ưu điểm; sửa chữa, khắc phục hạn chế, khuyết điểm sau kiểm điểm đối với tập thể, cá nhân Lãnh đạo Trường năm 2026</t>
  </si>
  <si>
    <t>Phòng TCCB&amp;CTHSSV</t>
  </si>
  <si>
    <t>4.2</t>
  </si>
  <si>
    <t>Xây dựng Kế hoạch và triển khai công tác tổ chức các hoạt động chào mừng kỷ niệm 77 năm Ngày truyền thống học sinh, sinh viên và Hội Sinh viên Việt Nam (9/01/1950 – 9/01/2027)</t>
  </si>
  <si>
    <t xml:space="preserve">Đoàn TN- Hội SV </t>
  </si>
  <si>
    <t>Mức 3: Tên đơn vị "Đoàn TN - Hội SV" viết không thống nhất giữa các dòng (4 kiểu khác nhau trong toàn tệp). Nên chọn một cách viết duy nhất.</t>
  </si>
  <si>
    <t>4.3</t>
  </si>
  <si>
    <t>Tổ chức Đại hội các Chi đoàn học sinh, sinh viên nhiệm kỳ 2026- 2027</t>
  </si>
  <si>
    <t>30/10/2026</t>
  </si>
  <si>
    <t>4.4</t>
  </si>
  <si>
    <t>Ban hành kế hoạch công tác năm 2027 của Công đoàn cơ sở Trường Cao đẳng Kon Tum.</t>
  </si>
  <si>
    <t>Phó Chủ tịch Công đoàn</t>
  </si>
  <si>
    <t>BCH CĐCS</t>
  </si>
  <si>
    <t>4.5</t>
  </si>
  <si>
    <t>Tổng kết công tác công đoàn năm 2026; bình xét thi đua, khen thưởng và đánh giá, xếp loại chất lượng Tổ Công đoàn, cán bộ, đoàn viên năm 2026.</t>
  </si>
  <si>
    <t>Chủ tịch Công đoàn</t>
  </si>
  <si>
    <t>BCH CĐCS / Ban Thi đua CĐ</t>
  </si>
  <si>
    <t>Báo cáo tổng kết năm 2026; Hồ sơ thi đua, khen thưởng</t>
  </si>
  <si>
    <t>Trục (5) - Phát triển văn hóa, con người, bảo đảm an sinh xã hội, nâng cao đời sống nhân dân</t>
  </si>
  <si>
    <t>5.1</t>
  </si>
  <si>
    <t xml:space="preserve">Tổ chức tọa đàm kỷ niệm ngày Nhà giáo Việt Nam 20/11 </t>
  </si>
  <si>
    <t>5.2</t>
  </si>
  <si>
    <t>Thông báo triển khai khảo sát đánh giá công tác đào tạo bồi dưỡng viên chức và người lao động năm 2026; khảo sát nhu cầu đào tạo, bồi dưỡng của viên chức năm 2027.</t>
  </si>
  <si>
    <t>Thông báo</t>
  </si>
  <si>
    <t>5.3</t>
  </si>
  <si>
    <t xml:space="preserve">Tổ chức thực hiện Chương trình “Tình nguyện mùa đông”, “Xuân tình nguyện” </t>
  </si>
  <si>
    <t>Đoàn TN - Hội SV</t>
  </si>
  <si>
    <t>5.4</t>
  </si>
  <si>
    <t>Kế hoạch triển khai các hoạt động chào mừng Ngày Nhà giáo Việt Nam 20/11</t>
  </si>
  <si>
    <t>Mức 2: Ô F52 (Số lượng) trước đó dùng phông Calibri, đã tự sửa lại Times New Roman trong bản này. Mức 3: Tên đơn vị "Đoàn TN - Hội SV" (cột D) viết không thống nhất giữa các dòng (4 kiểu khác nhau trong toàn tệp) — nên chọn một cách viết duy nhất.</t>
  </si>
  <si>
    <t>5.5</t>
  </si>
  <si>
    <t>Tổ chức Chương trình Tết Trung thu năm 2026 cho con viên chức, người lao động.</t>
  </si>
  <si>
    <t>Ban Nữ công / CĐCS</t>
  </si>
  <si>
    <t>Hồ sơ quyết toán; Báo cáo kết quả Trung thu</t>
  </si>
  <si>
    <t>5.6</t>
  </si>
  <si>
    <t>Tổ chức các hoạt động chào mừng Ngày Nhà giáo Việt Nam 20/11.</t>
  </si>
  <si>
    <t>Ban Nữ công / BCH CĐCS</t>
  </si>
  <si>
    <t>Trục (6) - Củng cố quốc phòng, an ninh, giữ vững ổn định chính trị - xã hội, nâng cao hiệu quả đối ngoại và hội nhập quốc tế</t>
  </si>
  <si>
    <t>6.1</t>
  </si>
  <si>
    <t>Duy trì ổn định chính trị nội bộ, đảm bảo an ninh trật tự trường học và thực hiện Đề án xây dựng xã hội trật tự, kỷ cương</t>
  </si>
  <si>
    <t>Phòng  TCCB&amp;CTHSSV</t>
  </si>
  <si>
    <t>Theo dõi, Giám sát, Báo cáo</t>
  </si>
  <si>
    <t>Thấp</t>
  </si>
  <si>
    <t>01 lần/tháng; chậm nhất 30/9/2026</t>
  </si>
  <si>
    <t>Mức 4: Tên đơn vị "Phòng  TCCB&amp;CTHSSV" có 2 khoảng trắng thừa giữa hai từ; các dòng khác ghi đúng 1 khoảng trắng.</t>
  </si>
  <si>
    <t>Tổ chức Đoàn ra tới thăm và làm việc với Sở Giáo dục và Thể thao các tỉnh Nam Lào</t>
  </si>
  <si>
    <t>Quyết định, Kế hoạch, Báo cáo</t>
  </si>
  <si>
    <t>II</t>
  </si>
  <si>
    <t>Các nhiệm vụ quý trước chuyển sang</t>
  </si>
  <si>
    <t>Mức 2: Tiêu đề mục II ghi "Các nhiệm vụ quý trước chuyển sang" — mẫu gốc Phụ lục Ia (TB736) ghi đúng là "Các nhiệm vụ đột xuất, phát sinh ở Quý trước phải thực hiện sang Quý sau (nếu có)". Đổi lại tiêu đề và rà lại 23 dòng bên dưới có đúng là nhiệm vụ đột xuất/phát sinh dở dang không.</t>
  </si>
  <si>
    <t>Tổ chức Lễ tốt nghiệp và trao bằng tốt nghiệp năm 2026</t>
  </si>
  <si>
    <t>Chương trình</t>
  </si>
  <si>
    <t>30/9/2026</t>
  </si>
  <si>
    <t>Trục 1</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</si>
  <si>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Đối khớp KH Quý III/2026: khớp đúng mục 1.9 (Trục 1, Phòng QLĐT&amp;BĐCL, hạn gốc "Tháng 9"). Xác nhận đây là nhiệm vụ Quý III chưa hoàn thành — cần đặt hạn mới trong Quý IV, không giữ nguyên 30/9/2026.</t>
  </si>
  <si>
    <t>Rà soát, đăng ký loại bỏ các ngành, nghề đào tạo không còn phù hợp, nguồn tuyển sinh hạn chế</t>
  </si>
  <si>
    <t>Kế hoạch; Công văn</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</si>
  <si>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Đối khớp KH Quý III/2026: khớp đúng mục 1.12 (Trục 1, Phòng QLĐT&amp;BĐCL, hạn gốc "Tháng 9"). Cùng vấn đề: cần hạn mới trong Quý IV.</t>
  </si>
  <si>
    <t>Chuẩn bị điều kiện đánh giá ngoài chương trình đào tạo nghề Lâm sinh năm 2026</t>
  </si>
  <si>
    <t>Hồ sơ minh chứng; báo cáo rà soát</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</si>
  <si>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Đối khớp KH Quý III/2026: khớp đúng mục BS-1.11 (Trục 1, hạn gốc "Tháng 8-9"). Cùng vấn đề: cần hạn mới trong Quý IV.</t>
  </si>
  <si>
    <t>Ban hành kế hoạch triển khai chương trình giáo dục trung học nghề, chương trình giáo dục thường xuyên cấp THPT; giảng dạy, liên kết đào tạo và cấp chứng chỉ giáo dục quốc phòng và an ninh</t>
  </si>
  <si>
    <t>Khoa CKHCB</t>
  </si>
  <si>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 quy định chi tiết một số điều của Luật Giáo dục nghề nghiệp về chính sách hỗ trợ của Nhà nước đối với doanh nghiệp và Quỹ đào tạo nhân lực của doanh nghiệp, và các quy định, hướng dẫn có liên quan</t>
  </si>
  <si>
    <t>Rà soát, sửa đổi Quy chế làm việc của Trường phù hợp quy định mới về viên chức, kỷ luật và hợp đồng</t>
  </si>
  <si>
    <t>Dự thảo; Quyết định</t>
  </si>
  <si>
    <t>Trục 2</t>
  </si>
  <si>
    <t>Thông báo hướng dẫn sử dụng Skill rà soát Hồ sơ đề tài KH&amp;CN, sáng kiến</t>
  </si>
  <si>
    <t>Văn bản</t>
  </si>
  <si>
    <t>Trục 3</t>
  </si>
  <si>
    <t>Xây dựng Chiến lược ứng dụng công nghệ giai đoạn 2026-2030</t>
  </si>
  <si>
    <t>Chiến lược; kế hoạch</t>
  </si>
  <si>
    <t>Quyết định ban hành Quy chế hỗ trợ học sinh, sinh viên khởi nghiệp sáng tạo</t>
  </si>
  <si>
    <t>Bộ tiêu chí</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</si>
  <si>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Đối khớp KH Quý III/2026: gần khớp mục BS-3.05 "Xây dựng Bộ tiêu chí đánh giá dự án khởi nghiệp sáng tạo..." (Trục 3, hạn gốc "Quý III") — tên việc ở KH Quý IV đổi thành "Quyết định ban hành Quy chế hỗ trợ HSSV khởi nghiệp sáng tạo", cùng sản phẩm "Bộ tiêu chí". Nếu là cùng một nhiệm vụ thì cần hạn mới trong Quý IV; nếu là nhiệm vụ khác thì nên tách ghi chú rõ quan hệ với BS-3.05.</t>
  </si>
  <si>
    <t>Xây dựng Đề án vị trí việc làm sau khi sắp xếp lại các đơn vị thuộc Trường.</t>
  </si>
  <si>
    <t>09/10/2026</t>
  </si>
  <si>
    <t>Trục 4</t>
  </si>
  <si>
    <t>Đối khớp KH Quý III/2026: khớp mục I.1.5 "Xây dựng Đề án vị trí việc làm..." nhưng Q3 xếp vào TRỤC 1, còn ghi chú ở KH Quý IV ghi TRỤC 4 — lệch phân trục giữa hai kỳ. Hạn đã cập nhật đúng sang Quý IV (09/10/2026) — điểm này ổn, chỉ cần rà lại trục.</t>
  </si>
  <si>
    <t>Báo cáo sơ kết công tác quý III và phương hướng, nhiệm vụ công tác quý IV năm 2026 của Đảng ủy Trường.</t>
  </si>
  <si>
    <t>Phó Bí thư Đảng uỷ</t>
  </si>
  <si>
    <t>BPVPĐU</t>
  </si>
  <si>
    <t>Báo cáo</t>
  </si>
  <si>
    <t>Xây dựng Chương trình Công tác Đoàn và phong trào thanh niên năm học 2026-2027</t>
  </si>
  <si>
    <t>Bí thư Đảng uỷ</t>
  </si>
  <si>
    <t>Đoàn TN;
Hội SV</t>
  </si>
  <si>
    <t>Xây dựng Chương trình Công tác Hội và phong trào Sinh viên năm học 2026-2027</t>
  </si>
  <si>
    <t>Tổ chức các hoạt động chào mừng Ngày Phụ nữ Việt Nam 20/10</t>
  </si>
  <si>
    <t>Ban Nữ công; BCH CĐCS</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</si>
  <si>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Đối khớp KH Quý III/2026: khớp mục 5.7 "Tổ chức các hoạt động chào mừng Ngày Phụ nữ Việt Nam 20/10" (hạn gốc "Tháng 9" — thực chất là mốc chuẩn bị). Nhưng sự kiện 20/10 lại rơi vào Quý IV (tháng 10) — hạn "chậm nhất 30/9/2026" là TRƯỚC NGÀY diễn ra sự kiện, vô lý. Nên đặt hạn quanh 20/10/2026.</t>
  </si>
  <si>
    <t>Ban hành kế hoạch cử viên chức đi đào tạo về kiểm định viên ASEAN</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</si>
  <si>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t>
  </si>
  <si>
    <t>Ban hành Kế hoạch triển khai Thông tư số 59/2026/TT-BGDĐT của Bộ trưởng Bộ Giáo dục và Đào tạo quy định về nhà giáo hợp đồng toàn thời gian sau khi nghỉ hưu và nhà giáo thỉnh giảng</t>
  </si>
  <si>
    <t>Kế hoạch triển khai thực hiện Kế hoạch số 101-KH/TU ngày 15/8/2026 của BTV Tỉnh ủy phân công các cơ quan, đơn vị phụ trách, giúp đỡ xây dựng mô hình “Dân vận khéo” về vận động đồng bào dân tộc thiểu số thay đổi nếp nghĩ, cách làm để vươn lên thoát nghèo bền vững trên địa bàn tỉnh</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</si>
  <si>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Không tìm thấy nhiệm vụ tương ứng trong KH Quý III/2026 (Mục I, II, III) khi đối chiếu theo tên việc — có thể là nhiệm vụ mới phát sinh, không phải "chuyển từ quý trước". Nếu đúng là mới phát sinh thì nên chuyển sang Mục I hoặc ghi rõ nguồn phát sinh, không để trong Mục II.</t>
  </si>
  <si>
    <t>Rà soát, đánh giá, thanh lý tài sản năm 2026</t>
  </si>
  <si>
    <t>Biên bản; hồ sơ thanh lý</t>
  </si>
  <si>
    <t>Trục 5</t>
  </si>
  <si>
    <t>Đối khớp KH Quý III/2026: khớp mục BS-1.08 "Rà soát, đánh giá, thanh lý tài sản năm 2026" (Trục 1, PHT Huỳnh Văn Chung, hạn gốc "Tháng 8-9"). KH Quý IV đổi người chỉ đạo thành Hiệu trưởng và đổi trục thành Trục 5 — hai điểm lệch so với Quý III, cần xác nhận lại đâu là đúng.</t>
  </si>
  <si>
    <t xml:space="preserve">Ban hành kế hoạch đầu tư 2 cầu nối che mưa, nắng khi đi lại (1 cầu nối giữa khối nhà C và Hội trường Trung tâm, Trụ sở chính và 1 cầu nối giữa phòng TCCB&amp;CTHSSV Khu hiệu bộ và Nhà để xe ô tô, Trụ sở chính) </t>
  </si>
  <si>
    <t xml:space="preserve">Phương án sắp xếp, bố trí máy móc, thiết bị phục vụ công tác các chức danh và phục vụ hoạt động chung theo Quyết định số 1763/QĐ-CĐKT ngày 13/8/2026 của Hiệu trưởng nhà trường; </t>
  </si>
  <si>
    <t>Phương án</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</si>
  <si>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Không tìm thấy nhiệm vụ tương ứng trong KH Quý III/2026 khi đối chiếu theo tên việc — có thể là mới phát sinh. Ngoài ra số hiệu văn bản viện dẫn "Nghị quyết số 398/NQUBTVQH16" thiếu dấu gạch nối (nên là "398/NQ-UBTVQH...") — cần viết đúng thể thức số hiệu văn bản.</t>
  </si>
  <si>
    <t>Triển khai sửa chữa sân nền tiếp giáp giữa trục đường chính và lối vào Nhà để xe ô tô phía sau Khu hiệu bộ, Trụ sở chính</t>
  </si>
  <si>
    <t>Hồ sơ triển khai sửa chữa</t>
  </si>
  <si>
    <t>Kế hoạch triển khai thực hiện Nghị quyết số 398/NQUBTVQH16 và Phong trào “Bình dân học vụ số”</t>
  </si>
  <si>
    <t>Huấn luyện an toàn, vệ sinh lao động khóa V năm 2026</t>
  </si>
  <si>
    <t>Kế hoạch; danh sách; chứng nhận</t>
  </si>
  <si>
    <t>Trục 6</t>
  </si>
  <si>
    <t>Mức 1: Hạn "chậm nhất 30/9/2026" là ngày cuối Quý III — đã qua trước khi KH Quý IV có hiệu lực. Nếu nhiệm vụ thật sự chuyển sang Quý IV thì phải đặt hạn mới trong Quý IV; nếu đã xong đúng hạn thì không thuộc diện "chuyển sang". || Đối khớp KH Quý III/2026: khớp mục BS-6.01 "Huấn luyện an toàn, vệ sinh lao động khóa V năm 2026" (Trục 6, Phòng TCCB&amp;CTHSSV, hạn gốc "Quý III"). Xác nhận là nhiệm vụ Quý III chưa xong — cần hạn mới trong Quý IV.</t>
  </si>
  <si>
    <t>Nơi nhận: 
- UBND tỉnh Quảng Ngãi (để báo cáo);
- Ban Tổ chức Tỉnh uỷ (để báo cáo);
- Sở Nội vụ (để theo dõi);
- Đảng ủy Trường;
- Lãnh đạo Trường;
- Công đoàn Trường;
- Đoàn Trường;
- Các đơn vị thuộc Trường;
- Lưu: VT, THHCQT.</t>
  </si>
  <si>
    <t>HIỆU TRƯỞNG
Lê Trí Khải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</si>
</sst>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ont>
    <font>
      <sz val="12"/>
      <name val="Times New Roman"/>
      <family val="1"/>
    </font>
    <font>
      <sz val="14"/>
      <name val="Times New Roman"/>
      <family val="1"/>
    </font>
    <font>
      <b/>
      <sz val="14"/>
      <name val="Times New Roman"/>
      <family val="1"/>
    </font>
    <font>
      <i/>
      <sz val="14"/>
      <name val="Times New Roman"/>
      <family val="1"/>
    </font>
    <font>
      <sz val="13"/>
      <name val="Times New Roman"/>
      <family val="1"/>
    </font>
    <font>
      <b/>
      <sz val="13"/>
      <name val="Times New Roman"/>
      <family val="1"/>
    </font>
    <font>
      <sz val="11"/>
      <color theme="1"/>
      <name val="Calibri"/>
      <family val="2"/>
      <charset val="1"/>
    </font>
    <font>
      <sz val="11"/>
      <color rgb="FF000000"/>
      <name val="Calibri"/>
      <family val="2"/>
      <scheme val="minor"/>
    </font>
    <font>
      <sz val="11"/>
      <name val="Times New Roman"/>
      <family val="1"/>
    </font>
    <font>
      <sz val="11"/>
      <color theme="1"/>
      <name val="Arial"/>
      <family val="2"/>
    </font>
    <font>
      <sz val="13"/>
      <name val="Times New Roman"/>
    </font>
    <font>
      <b/>
      <sz val="13"/>
      <name val="Times New Roman"/>
    </font>
    <font>
      <i/>
      <sz val="12"/>
      <color rgb="FFC00000"/>
      <name val="Times New Roman"/>
    </font>
  </fonts>
  <fills count="6">
    <fill>
      <patternFill patternType="none"/>
    </fill>
    <fill>
      <patternFill patternType="gray125"/>
    </fill>
    <fill>
      <patternFill patternType="solid">
        <fgColor rgb="FFBFBFBF"/>
      </patternFill>
    </fill>
    <fill>
      <patternFill patternType="solid">
        <fgColor rgb="FFFFC7CE"/>
      </patternFill>
    </fill>
    <fill>
      <patternFill patternType="solid">
        <fgColor rgb="FFFFEB9C"/>
      </patternFill>
    </fill>
    <fill>
      <patternFill patternType="solid">
        <fgColor rgb="FFD9E1F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7" fillId="0" borderId="0"/>
    <xf numFmtId="0" fontId="8" fillId="0" borderId="0"/>
    <xf numFmtId="0" fontId="10" fillId="0" borderId="0"/>
  </cellStyleXfs>
  <cellXfs count="52">
    <xf numFmtId="0" fontId="0" fillId="0" borderId="0" xfId="0"/>
    <xf numFmtId="0" fontId="5" fillId="0" borderId="0" xfId="0" applyFont="1" applyAlignment="1">
      <alignment vertical="top"/>
    </xf>
    <xf numFmtId="0" fontId="5" fillId="0" borderId="0" xfId="0" applyFont="1"/>
    <xf numFmtId="0" fontId="1" fillId="0" borderId="0" xfId="0" applyFont="1" applyAlignment="1">
      <alignment horizontal="center"/>
    </xf>
    <xf numFmtId="0" fontId="1" fillId="0" borderId="0" xfId="0" applyFont="1" applyAlignment="1">
      <alignment horizontal="justify"/>
    </xf>
    <xf numFmtId="0" fontId="1" fillId="0" borderId="0" xfId="0" applyFont="1"/>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justify"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horizontal="justify"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xf>
    <xf numFmtId="0" fontId="9" fillId="0" borderId="0" xfId="0" applyFont="1"/>
    <xf numFmtId="0" fontId="1" fillId="0" borderId="0" xfId="0" applyFont="1" applyAlignment="1">
      <alignment wrapText="1"/>
    </xf>
    <xf numFmtId="0" fontId="5" fillId="0" borderId="1" xfId="0" quotePrefix="1" applyFont="1" applyBorder="1" applyAlignment="1">
      <alignment horizontal="center" vertical="center" wrapText="1"/>
    </xf>
    <xf numFmtId="0" fontId="5" fillId="0" borderId="1" xfId="3" applyFont="1" applyBorder="1" applyAlignment="1">
      <alignment horizontal="center" vertical="center" wrapText="1"/>
    </xf>
    <xf numFmtId="0" fontId="2" fillId="0" borderId="0" xfId="0" applyFont="1"/>
    <xf numFmtId="0" fontId="5" fillId="0" borderId="0" xfId="0" applyFont="1" applyAlignment="1">
      <alignment horizontal="center" vertical="center" wrapText="1"/>
    </xf>
    <xf numFmtId="0" fontId="5" fillId="0" borderId="1" xfId="0" applyFont="1" applyBorder="1" applyAlignment="1">
      <alignment vertical="center" wrapText="1"/>
    </xf>
    <xf numFmtId="0" fontId="5" fillId="0" borderId="1" xfId="2" applyFont="1" applyBorder="1" applyAlignment="1">
      <alignment horizontal="center" vertical="center" wrapText="1"/>
    </xf>
    <xf numFmtId="0" fontId="5" fillId="0" borderId="1" xfId="1" applyFont="1" applyBorder="1" applyAlignment="1">
      <alignment horizontal="center" vertical="center" wrapText="1"/>
    </xf>
    <xf numFmtId="0" fontId="13" fillId="3" borderId="0" xfId="0" applyFont="1" applyFill="1" applyAlignment="1">
      <alignment vertical="top" wrapText="1"/>
    </xf>
    <xf numFmtId="0" fontId="13" fillId="5" borderId="0" xfId="0" applyFont="1" applyFill="1" applyAlignment="1">
      <alignment vertical="top" wrapText="1"/>
    </xf>
    <xf numFmtId="0" fontId="11" fillId="0" borderId="1" xfId="0" applyFont="1" applyBorder="1" applyAlignment="1">
      <alignment horizontal="center" vertical="center"/>
    </xf>
    <xf numFmtId="0" fontId="13" fillId="4" borderId="0" xfId="0" applyFont="1" applyFill="1" applyAlignment="1">
      <alignment vertical="top" wrapText="1"/>
    </xf>
    <xf numFmtId="0" fontId="6" fillId="0" borderId="1" xfId="0" applyFont="1" applyBorder="1" applyAlignment="1">
      <alignment horizontal="left" vertical="center" wrapText="1"/>
    </xf>
    <xf numFmtId="0" fontId="0" fillId="0" borderId="4" xfId="0" applyBorder="1"/>
    <xf numFmtId="0" fontId="0" fillId="0" borderId="5" xfId="0" applyBorder="1"/>
    <xf numFmtId="0" fontId="5" fillId="0" borderId="0" xfId="0" applyFont="1" applyAlignment="1">
      <alignment horizontal="center"/>
    </xf>
    <xf numFmtId="0" fontId="5" fillId="0" borderId="0" xfId="0" applyFont="1"/>
    <xf numFmtId="0" fontId="6" fillId="0" borderId="1" xfId="0" applyFont="1" applyBorder="1" applyAlignment="1">
      <alignment horizontal="center" vertical="center" wrapText="1"/>
    </xf>
    <xf numFmtId="0" fontId="0" fillId="0" borderId="3" xfId="0" applyBorder="1"/>
    <xf numFmtId="0" fontId="2" fillId="0" borderId="0" xfId="0" applyFont="1" applyAlignment="1">
      <alignment horizontal="left" vertical="center"/>
    </xf>
    <xf numFmtId="0" fontId="1" fillId="0" borderId="0" xfId="0" applyFont="1" applyAlignment="1">
      <alignment horizontal="justify"/>
    </xf>
    <xf numFmtId="0" fontId="1" fillId="0" borderId="0" xfId="0" applyFont="1"/>
    <xf numFmtId="0" fontId="1"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vertical="center"/>
    </xf>
    <xf numFmtId="0" fontId="6" fillId="0" borderId="1" xfId="0" applyFont="1" applyBorder="1" applyAlignment="1">
      <alignment horizontal="left" vertical="center"/>
    </xf>
    <xf numFmtId="0" fontId="12" fillId="2" borderId="0" xfId="0" applyFont="1" applyFill="1" applyAlignment="1">
      <alignment horizontal="center" vertical="center" wrapText="1"/>
    </xf>
    <xf numFmtId="0" fontId="13" fillId="3" borderId="0" xfId="0" applyFont="1" applyFill="1" applyAlignment="1">
      <alignment vertical="top" wrapText="1"/>
    </xf>
    <xf numFmtId="0" fontId="3" fillId="0" borderId="0" xfId="0" applyFont="1" applyAlignment="1">
      <alignment horizontal="center" vertical="top" wrapText="1"/>
    </xf>
    <xf numFmtId="0" fontId="2" fillId="0" borderId="0" xfId="0" applyFont="1"/>
    <xf numFmtId="0" fontId="6" fillId="0" borderId="0" xfId="0" applyFont="1" applyAlignment="1">
      <alignment horizontal="center" vertical="top" wrapText="1"/>
    </xf>
    <xf numFmtId="0" fontId="3"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applyAlignment="1">
      <alignment horizontal="center" vertical="top" wrapText="1"/>
    </xf>
    <xf numFmtId="0" fontId="6" fillId="0" borderId="1" xfId="0" applyFont="1" applyBorder="1" applyAlignment="1">
      <alignment vertical="center" wrapText="1"/>
    </xf>
    <xf numFmtId="0" fontId="2" fillId="0" borderId="0" xfId="0" applyFont="1" applyAlignment="1">
      <alignment horizontal="justify" vertical="top" wrapText="1"/>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tabSelected="1" topLeftCell="A15" zoomScale="85" zoomScaleNormal="85" zoomScaleSheetLayoutView="85" workbookViewId="0">
      <selection activeCell="L17" sqref="L17"/>
    </sheetView>
  </sheetViews>
  <sheetFormatPr defaultColWidth="42" defaultRowHeight="15.6" x14ac:dyDescent="0.3"/>
  <cols>
    <col min="1" max="1" width="6.59765625" style="3" customWidth="1"/>
    <col min="2" max="2" width="26.59765625" style="4" customWidth="1"/>
    <col min="3" max="3" width="10.796875" style="5" customWidth="1"/>
    <col min="4" max="4" width="10.19921875" style="5" bestFit="1" customWidth="1"/>
    <col min="5" max="5" width="11.5" style="5" bestFit="1" customWidth="1"/>
    <col min="6" max="6" width="7.296875" style="3" customWidth="1"/>
    <col min="7" max="7" width="13.296875" style="5" customWidth="1"/>
    <col min="8" max="8" width="10.5" style="5" customWidth="1"/>
    <col min="9" max="9" width="8" style="3" customWidth="1"/>
    <col min="10" max="10" width="7.09765625" style="5" customWidth="1"/>
    <col min="11" max="11" width="6.796875" style="5" customWidth="1"/>
    <col min="12" max="12" width="42" style="5" customWidth="1"/>
    <col min="13" max="16384" width="42" style="5"/>
  </cols>
  <sheetData>
    <row r="1" spans="1:12" s="2" customFormat="1" ht="44.55" customHeight="1" x14ac:dyDescent="0.3">
      <c r="A1" s="49" t="s">
        <v>0</v>
      </c>
      <c r="B1" s="32"/>
      <c r="C1" s="32"/>
      <c r="D1" s="1"/>
      <c r="E1" s="46" t="s">
        <v>1</v>
      </c>
      <c r="F1" s="32"/>
      <c r="G1" s="32"/>
      <c r="H1" s="32"/>
      <c r="I1" s="32"/>
      <c r="J1" s="32"/>
      <c r="K1" s="32"/>
    </row>
    <row r="2" spans="1:12" ht="2.85" customHeight="1" x14ac:dyDescent="0.3"/>
    <row r="3" spans="1:12" s="2" customFormat="1" ht="19.8" customHeight="1" x14ac:dyDescent="0.35">
      <c r="A3" s="31" t="s">
        <v>2</v>
      </c>
      <c r="B3" s="32"/>
      <c r="C3" s="32"/>
      <c r="E3" s="39" t="s">
        <v>3</v>
      </c>
      <c r="F3" s="32"/>
      <c r="G3" s="32"/>
      <c r="H3" s="32"/>
      <c r="I3" s="32"/>
      <c r="J3" s="32"/>
      <c r="K3" s="32"/>
    </row>
    <row r="4" spans="1:12" ht="6.75" customHeight="1" x14ac:dyDescent="0.3"/>
    <row r="5" spans="1:12" ht="40.799999999999997" customHeight="1" x14ac:dyDescent="0.3">
      <c r="A5" s="47" t="s">
        <v>4</v>
      </c>
      <c r="B5" s="36"/>
      <c r="C5" s="37"/>
      <c r="D5" s="37"/>
      <c r="E5" s="37"/>
      <c r="F5" s="38"/>
      <c r="G5" s="37"/>
      <c r="H5" s="37"/>
      <c r="I5" s="38"/>
      <c r="J5" s="37"/>
      <c r="K5" s="37"/>
    </row>
    <row r="6" spans="1:12" ht="4.2" customHeight="1" x14ac:dyDescent="0.3">
      <c r="A6" s="35"/>
      <c r="B6" s="36"/>
      <c r="C6" s="37"/>
      <c r="D6" s="37"/>
      <c r="E6" s="37"/>
      <c r="F6" s="38"/>
      <c r="G6" s="37"/>
      <c r="H6" s="37"/>
      <c r="I6" s="38"/>
      <c r="J6" s="37"/>
      <c r="K6" s="37"/>
    </row>
    <row r="7" spans="1:12" ht="8.4" customHeight="1" x14ac:dyDescent="0.3">
      <c r="A7" s="40"/>
      <c r="B7" s="36"/>
      <c r="C7" s="37"/>
      <c r="D7" s="37"/>
      <c r="E7" s="37"/>
      <c r="F7" s="38"/>
      <c r="G7" s="37"/>
      <c r="H7" s="37"/>
      <c r="I7" s="38"/>
      <c r="J7" s="37"/>
      <c r="K7" s="37"/>
    </row>
    <row r="8" spans="1:12" ht="144" customHeight="1" x14ac:dyDescent="0.3">
      <c r="A8" s="48" t="s">
        <v>5</v>
      </c>
      <c r="B8" s="36"/>
      <c r="C8" s="37"/>
      <c r="D8" s="37"/>
      <c r="E8" s="37"/>
      <c r="F8" s="38"/>
      <c r="G8" s="37"/>
      <c r="H8" s="37"/>
      <c r="I8" s="38"/>
      <c r="J8" s="37"/>
      <c r="K8" s="37"/>
    </row>
    <row r="9" spans="1:12" ht="3.3" customHeight="1" x14ac:dyDescent="0.3">
      <c r="A9" s="6"/>
      <c r="B9" s="8"/>
      <c r="C9" s="7"/>
      <c r="D9" s="7"/>
      <c r="E9" s="7"/>
      <c r="F9" s="6"/>
      <c r="G9" s="7"/>
      <c r="H9" s="7"/>
      <c r="I9" s="6"/>
      <c r="J9" s="7"/>
      <c r="K9" s="7"/>
    </row>
    <row r="10" spans="1:12" ht="40.5" customHeight="1" x14ac:dyDescent="0.3">
      <c r="A10" s="33" t="s">
        <v>6</v>
      </c>
      <c r="B10" s="33" t="s">
        <v>7</v>
      </c>
      <c r="C10" s="33" t="s">
        <v>8</v>
      </c>
      <c r="D10" s="33" t="s">
        <v>9</v>
      </c>
      <c r="E10" s="33" t="s">
        <v>10</v>
      </c>
      <c r="F10" s="33" t="s">
        <v>11</v>
      </c>
      <c r="G10" s="33" t="s">
        <v>12</v>
      </c>
      <c r="H10" s="33" t="s">
        <v>13</v>
      </c>
      <c r="I10" s="33" t="s">
        <v>14</v>
      </c>
      <c r="J10" s="33" t="s">
        <v>15</v>
      </c>
      <c r="K10" s="33" t="s">
        <v>16</v>
      </c>
      <c r="L10" s="42" t="s">
        <v>17</v>
      </c>
    </row>
    <row r="11" spans="1:12" ht="40.5" customHeight="1" x14ac:dyDescent="0.3">
      <c r="A11" s="34"/>
      <c r="B11" s="34"/>
      <c r="C11" s="34"/>
      <c r="D11" s="34"/>
      <c r="E11" s="34"/>
      <c r="F11" s="34"/>
      <c r="G11" s="34"/>
      <c r="H11" s="34"/>
      <c r="I11" s="34"/>
      <c r="J11" s="34"/>
      <c r="K11" s="34"/>
      <c r="L11" s="37"/>
    </row>
    <row r="12" spans="1:12" ht="16.8" customHeight="1" x14ac:dyDescent="0.3">
      <c r="A12" s="10" t="s">
        <v>18</v>
      </c>
      <c r="B12" s="10" t="s">
        <v>19</v>
      </c>
      <c r="C12" s="10" t="s">
        <v>20</v>
      </c>
      <c r="D12" s="10" t="s">
        <v>21</v>
      </c>
      <c r="E12" s="10" t="s">
        <v>22</v>
      </c>
      <c r="F12" s="10" t="s">
        <v>23</v>
      </c>
      <c r="G12" s="10" t="s">
        <v>24</v>
      </c>
      <c r="H12" s="10" t="s">
        <v>25</v>
      </c>
      <c r="I12" s="10" t="s">
        <v>26</v>
      </c>
      <c r="J12" s="10" t="s">
        <v>27</v>
      </c>
      <c r="K12" s="10" t="s">
        <v>28</v>
      </c>
      <c r="L12" s="20" t="s">
        <v>29</v>
      </c>
    </row>
    <row r="13" spans="1:12" ht="16.8" customHeight="1" x14ac:dyDescent="0.3">
      <c r="A13" s="9" t="s">
        <v>30</v>
      </c>
      <c r="B13" s="50" t="s">
        <v>31</v>
      </c>
      <c r="C13" s="29"/>
      <c r="D13" s="29"/>
      <c r="E13" s="29"/>
      <c r="F13" s="29"/>
      <c r="G13" s="29"/>
      <c r="H13" s="29"/>
      <c r="I13" s="29"/>
      <c r="J13" s="29"/>
      <c r="K13" s="30"/>
      <c r="L13" s="43" t="s">
        <v>32</v>
      </c>
    </row>
    <row r="14" spans="1:12" ht="16.8" customHeight="1" x14ac:dyDescent="0.3">
      <c r="A14" s="11">
        <v>1</v>
      </c>
      <c r="B14" s="41" t="s">
        <v>33</v>
      </c>
      <c r="C14" s="29"/>
      <c r="D14" s="29"/>
      <c r="E14" s="29"/>
      <c r="F14" s="29"/>
      <c r="G14" s="29"/>
      <c r="H14" s="29"/>
      <c r="I14" s="29"/>
      <c r="J14" s="29"/>
      <c r="K14" s="30"/>
    </row>
    <row r="15" spans="1:12" s="2" customFormat="1" ht="98.4" customHeight="1" x14ac:dyDescent="0.3">
      <c r="A15" s="10" t="s">
        <v>34</v>
      </c>
      <c r="B15" s="12" t="s">
        <v>35</v>
      </c>
      <c r="C15" s="13" t="s">
        <v>36</v>
      </c>
      <c r="D15" s="10" t="s">
        <v>37</v>
      </c>
      <c r="E15" s="13" t="s">
        <v>38</v>
      </c>
      <c r="F15" s="10">
        <v>1</v>
      </c>
      <c r="G15" s="10" t="s">
        <v>39</v>
      </c>
      <c r="H15" s="10" t="s">
        <v>40</v>
      </c>
      <c r="I15" s="10">
        <f t="shared" ref="I15:I28" si="0">IF(G15="Khó và phức tạp",200,IF(G15="Cao",150,IF(G15="Trung bình",120,100)))</f>
        <v>150</v>
      </c>
      <c r="J15" s="10">
        <f t="shared" ref="J15:J28" si="1">I15*0.01</f>
        <v>1.5</v>
      </c>
      <c r="K15" s="9"/>
      <c r="L15" s="27" t="s">
        <v>41</v>
      </c>
    </row>
    <row r="16" spans="1:12" s="2" customFormat="1" ht="126.6" customHeight="1" x14ac:dyDescent="0.3">
      <c r="A16" s="10" t="s">
        <v>42</v>
      </c>
      <c r="B16" s="12" t="s">
        <v>43</v>
      </c>
      <c r="C16" s="13" t="s">
        <v>44</v>
      </c>
      <c r="D16" s="10" t="s">
        <v>37</v>
      </c>
      <c r="E16" s="13" t="s">
        <v>45</v>
      </c>
      <c r="F16" s="10">
        <v>3</v>
      </c>
      <c r="G16" s="10" t="s">
        <v>39</v>
      </c>
      <c r="H16" s="10" t="s">
        <v>40</v>
      </c>
      <c r="I16" s="10">
        <f t="shared" si="0"/>
        <v>150</v>
      </c>
      <c r="J16" s="10">
        <f t="shared" si="1"/>
        <v>1.5</v>
      </c>
      <c r="K16" s="9"/>
      <c r="L16" s="27" t="s">
        <v>46</v>
      </c>
    </row>
    <row r="17" spans="1:12" ht="67.2" customHeight="1" x14ac:dyDescent="0.3">
      <c r="A17" s="10" t="s">
        <v>47</v>
      </c>
      <c r="B17" s="12" t="s">
        <v>48</v>
      </c>
      <c r="C17" s="10" t="s">
        <v>36</v>
      </c>
      <c r="D17" s="10" t="s">
        <v>49</v>
      </c>
      <c r="E17" s="10" t="s">
        <v>38</v>
      </c>
      <c r="F17" s="10">
        <v>4</v>
      </c>
      <c r="G17" s="10" t="s">
        <v>39</v>
      </c>
      <c r="H17" s="10" t="s">
        <v>40</v>
      </c>
      <c r="I17" s="10">
        <f t="shared" si="0"/>
        <v>150</v>
      </c>
      <c r="J17" s="10">
        <f t="shared" si="1"/>
        <v>1.5</v>
      </c>
      <c r="K17" s="9"/>
      <c r="L17" s="25" t="s">
        <v>50</v>
      </c>
    </row>
    <row r="18" spans="1:12" ht="67.2" customHeight="1" x14ac:dyDescent="0.3">
      <c r="A18" s="10" t="s">
        <v>51</v>
      </c>
      <c r="B18" s="12" t="s">
        <v>52</v>
      </c>
      <c r="C18" s="10" t="s">
        <v>36</v>
      </c>
      <c r="D18" s="10" t="s">
        <v>49</v>
      </c>
      <c r="E18" s="10" t="s">
        <v>53</v>
      </c>
      <c r="F18" s="10">
        <v>1</v>
      </c>
      <c r="G18" s="10" t="s">
        <v>39</v>
      </c>
      <c r="H18" s="10" t="s">
        <v>54</v>
      </c>
      <c r="I18" s="10">
        <f t="shared" si="0"/>
        <v>150</v>
      </c>
      <c r="J18" s="10">
        <f t="shared" si="1"/>
        <v>1.5</v>
      </c>
      <c r="K18" s="9"/>
    </row>
    <row r="19" spans="1:12" s="2" customFormat="1" ht="67.2" customHeight="1" x14ac:dyDescent="0.3">
      <c r="A19" s="10" t="s">
        <v>55</v>
      </c>
      <c r="B19" s="12" t="s">
        <v>56</v>
      </c>
      <c r="C19" s="10" t="s">
        <v>44</v>
      </c>
      <c r="D19" s="10" t="s">
        <v>37</v>
      </c>
      <c r="E19" s="10" t="s">
        <v>38</v>
      </c>
      <c r="F19" s="10">
        <v>1</v>
      </c>
      <c r="G19" s="10" t="s">
        <v>57</v>
      </c>
      <c r="H19" s="10" t="s">
        <v>54</v>
      </c>
      <c r="I19" s="10">
        <f t="shared" si="0"/>
        <v>120</v>
      </c>
      <c r="J19" s="10">
        <f t="shared" si="1"/>
        <v>1.2</v>
      </c>
      <c r="K19" s="9"/>
    </row>
    <row r="20" spans="1:12" ht="67.2" customHeight="1" x14ac:dyDescent="0.3">
      <c r="A20" s="10" t="s">
        <v>58</v>
      </c>
      <c r="B20" s="12" t="s">
        <v>59</v>
      </c>
      <c r="C20" s="10" t="s">
        <v>36</v>
      </c>
      <c r="D20" s="10" t="s">
        <v>49</v>
      </c>
      <c r="E20" s="10" t="s">
        <v>60</v>
      </c>
      <c r="F20" s="10">
        <v>1</v>
      </c>
      <c r="G20" s="10" t="s">
        <v>39</v>
      </c>
      <c r="H20" s="10" t="s">
        <v>61</v>
      </c>
      <c r="I20" s="10">
        <f t="shared" si="0"/>
        <v>150</v>
      </c>
      <c r="J20" s="10">
        <f t="shared" si="1"/>
        <v>1.5</v>
      </c>
      <c r="K20" s="9"/>
    </row>
    <row r="21" spans="1:12" ht="67.2" customHeight="1" x14ac:dyDescent="0.3">
      <c r="A21" s="10" t="s">
        <v>62</v>
      </c>
      <c r="B21" s="12" t="s">
        <v>63</v>
      </c>
      <c r="C21" s="13" t="s">
        <v>44</v>
      </c>
      <c r="D21" s="10" t="s">
        <v>64</v>
      </c>
      <c r="E21" s="10" t="s">
        <v>38</v>
      </c>
      <c r="F21" s="10">
        <v>1</v>
      </c>
      <c r="G21" s="10" t="s">
        <v>57</v>
      </c>
      <c r="H21" s="10" t="s">
        <v>61</v>
      </c>
      <c r="I21" s="10">
        <f t="shared" si="0"/>
        <v>120</v>
      </c>
      <c r="J21" s="10">
        <f t="shared" si="1"/>
        <v>1.2</v>
      </c>
      <c r="K21" s="9"/>
    </row>
    <row r="22" spans="1:12" ht="67.2" customHeight="1" x14ac:dyDescent="0.3">
      <c r="A22" s="10" t="s">
        <v>65</v>
      </c>
      <c r="B22" s="12" t="s">
        <v>66</v>
      </c>
      <c r="C22" s="10" t="s">
        <v>36</v>
      </c>
      <c r="D22" s="10" t="s">
        <v>49</v>
      </c>
      <c r="E22" s="10" t="s">
        <v>38</v>
      </c>
      <c r="F22" s="10">
        <v>1</v>
      </c>
      <c r="G22" s="10" t="s">
        <v>39</v>
      </c>
      <c r="H22" s="10" t="s">
        <v>61</v>
      </c>
      <c r="I22" s="10">
        <f t="shared" si="0"/>
        <v>150</v>
      </c>
      <c r="J22" s="10">
        <f t="shared" si="1"/>
        <v>1.5</v>
      </c>
      <c r="K22" s="9"/>
    </row>
    <row r="23" spans="1:12" ht="67.2" customHeight="1" x14ac:dyDescent="0.3">
      <c r="A23" s="10" t="s">
        <v>67</v>
      </c>
      <c r="B23" s="12" t="s">
        <v>68</v>
      </c>
      <c r="C23" s="10" t="s">
        <v>44</v>
      </c>
      <c r="D23" s="10" t="s">
        <v>69</v>
      </c>
      <c r="E23" s="10" t="s">
        <v>45</v>
      </c>
      <c r="F23" s="10" t="s">
        <v>70</v>
      </c>
      <c r="G23" s="10" t="s">
        <v>39</v>
      </c>
      <c r="H23" s="10" t="s">
        <v>61</v>
      </c>
      <c r="I23" s="10">
        <f t="shared" si="0"/>
        <v>150</v>
      </c>
      <c r="J23" s="10">
        <f t="shared" si="1"/>
        <v>1.5</v>
      </c>
      <c r="K23" s="9"/>
      <c r="L23" s="25" t="s">
        <v>71</v>
      </c>
    </row>
    <row r="24" spans="1:12" ht="67.2" customHeight="1" x14ac:dyDescent="0.3">
      <c r="A24" s="10" t="s">
        <v>72</v>
      </c>
      <c r="B24" s="12" t="s">
        <v>73</v>
      </c>
      <c r="C24" s="10" t="s">
        <v>44</v>
      </c>
      <c r="D24" s="10" t="s">
        <v>37</v>
      </c>
      <c r="E24" s="10" t="s">
        <v>74</v>
      </c>
      <c r="F24" s="10">
        <v>2</v>
      </c>
      <c r="G24" s="10" t="s">
        <v>57</v>
      </c>
      <c r="H24" s="10" t="s">
        <v>75</v>
      </c>
      <c r="I24" s="10">
        <f t="shared" si="0"/>
        <v>120</v>
      </c>
      <c r="J24" s="10">
        <f t="shared" si="1"/>
        <v>1.2</v>
      </c>
      <c r="K24" s="9"/>
    </row>
    <row r="25" spans="1:12" ht="100.8" customHeight="1" x14ac:dyDescent="0.3">
      <c r="A25" s="10" t="s">
        <v>76</v>
      </c>
      <c r="B25" s="12" t="s">
        <v>77</v>
      </c>
      <c r="C25" s="10" t="s">
        <v>78</v>
      </c>
      <c r="D25" s="10" t="s">
        <v>37</v>
      </c>
      <c r="E25" s="10" t="s">
        <v>79</v>
      </c>
      <c r="F25" s="10">
        <v>2</v>
      </c>
      <c r="G25" s="10" t="s">
        <v>57</v>
      </c>
      <c r="H25" s="10" t="s">
        <v>61</v>
      </c>
      <c r="I25" s="10">
        <f t="shared" si="0"/>
        <v>120</v>
      </c>
      <c r="J25" s="10">
        <f t="shared" si="1"/>
        <v>1.2</v>
      </c>
      <c r="K25" s="9"/>
    </row>
    <row r="26" spans="1:12" ht="117.6" customHeight="1" x14ac:dyDescent="0.3">
      <c r="A26" s="10" t="s">
        <v>80</v>
      </c>
      <c r="B26" s="12" t="s">
        <v>81</v>
      </c>
      <c r="C26" s="10" t="s">
        <v>44</v>
      </c>
      <c r="D26" s="10" t="s">
        <v>37</v>
      </c>
      <c r="E26" s="10" t="s">
        <v>82</v>
      </c>
      <c r="F26" s="10">
        <v>2</v>
      </c>
      <c r="G26" s="10" t="s">
        <v>39</v>
      </c>
      <c r="H26" s="10" t="s">
        <v>61</v>
      </c>
      <c r="I26" s="10">
        <f t="shared" si="0"/>
        <v>150</v>
      </c>
      <c r="J26" s="10">
        <f t="shared" si="1"/>
        <v>1.5</v>
      </c>
      <c r="K26" s="9"/>
    </row>
    <row r="27" spans="1:12" ht="84" customHeight="1" x14ac:dyDescent="0.3">
      <c r="A27" s="10" t="s">
        <v>83</v>
      </c>
      <c r="B27" s="12" t="s">
        <v>84</v>
      </c>
      <c r="C27" s="10" t="s">
        <v>78</v>
      </c>
      <c r="D27" s="10" t="s">
        <v>37</v>
      </c>
      <c r="E27" s="10" t="s">
        <v>85</v>
      </c>
      <c r="F27" s="10">
        <v>2</v>
      </c>
      <c r="G27" s="10" t="s">
        <v>57</v>
      </c>
      <c r="H27" s="10" t="s">
        <v>54</v>
      </c>
      <c r="I27" s="10">
        <f t="shared" si="0"/>
        <v>120</v>
      </c>
      <c r="J27" s="10">
        <f t="shared" si="1"/>
        <v>1.2</v>
      </c>
      <c r="K27" s="9"/>
    </row>
    <row r="28" spans="1:12" ht="100.8" customHeight="1" x14ac:dyDescent="0.3">
      <c r="A28" s="10" t="s">
        <v>86</v>
      </c>
      <c r="B28" s="12" t="s">
        <v>87</v>
      </c>
      <c r="C28" s="10" t="s">
        <v>44</v>
      </c>
      <c r="D28" s="10" t="s">
        <v>37</v>
      </c>
      <c r="E28" s="10" t="s">
        <v>88</v>
      </c>
      <c r="F28" s="10">
        <v>1</v>
      </c>
      <c r="G28" s="10" t="s">
        <v>89</v>
      </c>
      <c r="H28" s="10" t="s">
        <v>61</v>
      </c>
      <c r="I28" s="10">
        <f t="shared" si="0"/>
        <v>200</v>
      </c>
      <c r="J28" s="10">
        <f t="shared" si="1"/>
        <v>2</v>
      </c>
      <c r="K28" s="9"/>
    </row>
    <row r="29" spans="1:12" ht="26.55" customHeight="1" x14ac:dyDescent="0.3">
      <c r="A29" s="11">
        <v>2</v>
      </c>
      <c r="B29" s="41" t="s">
        <v>90</v>
      </c>
      <c r="C29" s="29"/>
      <c r="D29" s="29"/>
      <c r="E29" s="29"/>
      <c r="F29" s="29"/>
      <c r="G29" s="29"/>
      <c r="H29" s="29"/>
      <c r="I29" s="29"/>
      <c r="J29" s="29"/>
      <c r="K29" s="30"/>
    </row>
    <row r="30" spans="1:12" ht="67.2" customHeight="1" x14ac:dyDescent="0.3">
      <c r="A30" s="10" t="s">
        <v>91</v>
      </c>
      <c r="B30" s="12" t="s">
        <v>92</v>
      </c>
      <c r="C30" s="10" t="s">
        <v>44</v>
      </c>
      <c r="D30" s="10" t="s">
        <v>69</v>
      </c>
      <c r="E30" s="10" t="s">
        <v>93</v>
      </c>
      <c r="F30" s="14">
        <v>2</v>
      </c>
      <c r="G30" s="10" t="s">
        <v>39</v>
      </c>
      <c r="H30" s="10" t="s">
        <v>40</v>
      </c>
      <c r="I30" s="10">
        <f>IF(G30="Khó và phức tạp",200,IF(G30="Cao",150,IF(G30="Trung bình",120,100)))</f>
        <v>150</v>
      </c>
      <c r="J30" s="10">
        <f>I30*0.01</f>
        <v>1.5</v>
      </c>
      <c r="K30" s="10"/>
    </row>
    <row r="31" spans="1:12" s="15" customFormat="1" ht="63" customHeight="1" x14ac:dyDescent="0.25">
      <c r="A31" s="10" t="s">
        <v>94</v>
      </c>
      <c r="B31" s="12" t="s">
        <v>95</v>
      </c>
      <c r="C31" s="10" t="s">
        <v>44</v>
      </c>
      <c r="D31" s="10" t="s">
        <v>69</v>
      </c>
      <c r="E31" s="10" t="s">
        <v>93</v>
      </c>
      <c r="F31" s="10">
        <v>4</v>
      </c>
      <c r="G31" s="10" t="s">
        <v>39</v>
      </c>
      <c r="H31" s="10" t="s">
        <v>40</v>
      </c>
      <c r="I31" s="10">
        <f>IF(G31="Khó và phức tạp",200,IF(G31="Cao",150,IF(G31="Trung bình",120,100)))</f>
        <v>150</v>
      </c>
      <c r="J31" s="10">
        <f>I31*0.01</f>
        <v>1.5</v>
      </c>
      <c r="K31" s="10"/>
    </row>
    <row r="32" spans="1:12" s="15" customFormat="1" ht="84" customHeight="1" x14ac:dyDescent="0.25">
      <c r="A32" s="10" t="s">
        <v>96</v>
      </c>
      <c r="B32" s="12" t="s">
        <v>97</v>
      </c>
      <c r="C32" s="10" t="s">
        <v>44</v>
      </c>
      <c r="D32" s="10" t="s">
        <v>37</v>
      </c>
      <c r="E32" s="10" t="s">
        <v>98</v>
      </c>
      <c r="F32" s="10">
        <v>2</v>
      </c>
      <c r="G32" s="10" t="s">
        <v>39</v>
      </c>
      <c r="H32" s="10" t="s">
        <v>54</v>
      </c>
      <c r="I32" s="10">
        <f>IF(G32="Khó và phức tạp",200,IF(G32="Cao",150,IF(G32="Trung bình",120,100)))</f>
        <v>150</v>
      </c>
      <c r="J32" s="10">
        <f>I32*0.01</f>
        <v>1.5</v>
      </c>
      <c r="K32" s="9"/>
    </row>
    <row r="33" spans="1:12" s="15" customFormat="1" ht="84" customHeight="1" x14ac:dyDescent="0.25">
      <c r="A33" s="10" t="s">
        <v>99</v>
      </c>
      <c r="B33" s="12" t="s">
        <v>100</v>
      </c>
      <c r="C33" s="10" t="s">
        <v>44</v>
      </c>
      <c r="D33" s="10" t="s">
        <v>37</v>
      </c>
      <c r="E33" s="10" t="s">
        <v>101</v>
      </c>
      <c r="F33" s="10">
        <v>1</v>
      </c>
      <c r="G33" s="10" t="s">
        <v>57</v>
      </c>
      <c r="H33" s="10" t="s">
        <v>61</v>
      </c>
      <c r="I33" s="10">
        <f>IF(G33="Khó và phức tạp",200,IF(G33="Cao",150,IF(G33="Trung bình",120,100)))</f>
        <v>120</v>
      </c>
      <c r="J33" s="10">
        <f>I33*0.01</f>
        <v>1.2</v>
      </c>
      <c r="K33" s="9"/>
    </row>
    <row r="34" spans="1:12" s="15" customFormat="1" ht="100.8" customHeight="1" x14ac:dyDescent="0.25">
      <c r="A34" s="10" t="s">
        <v>102</v>
      </c>
      <c r="B34" s="12" t="s">
        <v>103</v>
      </c>
      <c r="C34" s="10" t="s">
        <v>104</v>
      </c>
      <c r="D34" s="10" t="s">
        <v>105</v>
      </c>
      <c r="E34" s="10" t="s">
        <v>38</v>
      </c>
      <c r="F34" s="10">
        <v>1</v>
      </c>
      <c r="G34" s="10" t="s">
        <v>39</v>
      </c>
      <c r="H34" s="10" t="s">
        <v>61</v>
      </c>
      <c r="I34" s="10">
        <f>IF(G34="Khó và phức tạp",200,IF(G34="Cao",150,IF(G34="Trung bình",120,100)))</f>
        <v>150</v>
      </c>
      <c r="J34" s="10">
        <f>I34*0.01</f>
        <v>1.5</v>
      </c>
      <c r="K34" s="9"/>
    </row>
    <row r="35" spans="1:12" ht="16.8" customHeight="1" x14ac:dyDescent="0.3">
      <c r="A35" s="11">
        <v>3</v>
      </c>
      <c r="B35" s="41" t="s">
        <v>106</v>
      </c>
      <c r="C35" s="29"/>
      <c r="D35" s="29"/>
      <c r="E35" s="29"/>
      <c r="F35" s="29"/>
      <c r="G35" s="29"/>
      <c r="H35" s="29"/>
      <c r="I35" s="29"/>
      <c r="J35" s="29"/>
      <c r="K35" s="30"/>
    </row>
    <row r="36" spans="1:12" ht="84" customHeight="1" x14ac:dyDescent="0.3">
      <c r="A36" s="10" t="s">
        <v>107</v>
      </c>
      <c r="B36" s="12" t="s">
        <v>108</v>
      </c>
      <c r="C36" s="10" t="s">
        <v>44</v>
      </c>
      <c r="D36" s="10" t="s">
        <v>49</v>
      </c>
      <c r="E36" s="10" t="s">
        <v>53</v>
      </c>
      <c r="F36" s="10">
        <v>1</v>
      </c>
      <c r="G36" s="10" t="s">
        <v>39</v>
      </c>
      <c r="H36" s="10" t="s">
        <v>40</v>
      </c>
      <c r="I36" s="10">
        <f t="shared" ref="I36:I41" si="2">IF(G36="Khó và phức tạp",200,IF(G36="Cao",150,IF(G36="Trung bình",120,100)))</f>
        <v>150</v>
      </c>
      <c r="J36" s="10">
        <f t="shared" ref="J36:J41" si="3">I36*0.01</f>
        <v>1.5</v>
      </c>
      <c r="K36" s="9"/>
    </row>
    <row r="37" spans="1:12" ht="84" customHeight="1" x14ac:dyDescent="0.3">
      <c r="A37" s="10">
        <v>3.2</v>
      </c>
      <c r="B37" s="12" t="s">
        <v>109</v>
      </c>
      <c r="C37" s="10" t="s">
        <v>44</v>
      </c>
      <c r="D37" s="10" t="s">
        <v>49</v>
      </c>
      <c r="E37" s="10" t="s">
        <v>45</v>
      </c>
      <c r="F37" s="10">
        <v>1</v>
      </c>
      <c r="G37" s="10" t="s">
        <v>89</v>
      </c>
      <c r="H37" s="10" t="s">
        <v>40</v>
      </c>
      <c r="I37" s="10">
        <f t="shared" si="2"/>
        <v>200</v>
      </c>
      <c r="J37" s="10">
        <f t="shared" si="3"/>
        <v>2</v>
      </c>
      <c r="K37" s="10"/>
      <c r="L37" s="25" t="s">
        <v>110</v>
      </c>
    </row>
    <row r="38" spans="1:12" ht="151.19999999999999" customHeight="1" x14ac:dyDescent="0.3">
      <c r="A38" s="10">
        <v>3.3</v>
      </c>
      <c r="B38" s="12" t="s">
        <v>111</v>
      </c>
      <c r="C38" s="10" t="s">
        <v>44</v>
      </c>
      <c r="D38" s="10" t="s">
        <v>49</v>
      </c>
      <c r="E38" s="10" t="s">
        <v>45</v>
      </c>
      <c r="F38" s="10">
        <v>1</v>
      </c>
      <c r="G38" s="10" t="s">
        <v>89</v>
      </c>
      <c r="H38" s="10" t="s">
        <v>40</v>
      </c>
      <c r="I38" s="10">
        <f t="shared" si="2"/>
        <v>200</v>
      </c>
      <c r="J38" s="10">
        <f t="shared" si="3"/>
        <v>2</v>
      </c>
      <c r="K38" s="10"/>
      <c r="L38" s="25" t="s">
        <v>110</v>
      </c>
    </row>
    <row r="39" spans="1:12" ht="84" customHeight="1" x14ac:dyDescent="0.3">
      <c r="A39" s="10">
        <v>3.4</v>
      </c>
      <c r="B39" s="12" t="s">
        <v>112</v>
      </c>
      <c r="C39" s="10" t="s">
        <v>44</v>
      </c>
      <c r="D39" s="10" t="s">
        <v>49</v>
      </c>
      <c r="E39" s="10" t="s">
        <v>38</v>
      </c>
      <c r="F39" s="10">
        <v>1</v>
      </c>
      <c r="G39" s="10" t="s">
        <v>57</v>
      </c>
      <c r="H39" s="10" t="s">
        <v>40</v>
      </c>
      <c r="I39" s="10">
        <f t="shared" si="2"/>
        <v>120</v>
      </c>
      <c r="J39" s="10">
        <f t="shared" si="3"/>
        <v>1.2</v>
      </c>
      <c r="K39" s="10"/>
      <c r="L39" s="25" t="s">
        <v>110</v>
      </c>
    </row>
    <row r="40" spans="1:12" ht="151.19999999999999" customHeight="1" x14ac:dyDescent="0.3">
      <c r="A40" s="10">
        <v>3.5</v>
      </c>
      <c r="B40" s="12" t="s">
        <v>113</v>
      </c>
      <c r="C40" s="10" t="s">
        <v>44</v>
      </c>
      <c r="D40" s="10" t="s">
        <v>37</v>
      </c>
      <c r="E40" s="10" t="s">
        <v>114</v>
      </c>
      <c r="F40" s="10">
        <v>3</v>
      </c>
      <c r="G40" s="10" t="s">
        <v>89</v>
      </c>
      <c r="H40" s="10" t="s">
        <v>54</v>
      </c>
      <c r="I40" s="10">
        <f t="shared" si="2"/>
        <v>200</v>
      </c>
      <c r="J40" s="10">
        <f t="shared" si="3"/>
        <v>2</v>
      </c>
      <c r="K40" s="10"/>
      <c r="L40" s="25" t="s">
        <v>110</v>
      </c>
    </row>
    <row r="41" spans="1:12" ht="84" customHeight="1" x14ac:dyDescent="0.3">
      <c r="A41" s="10">
        <v>3.6</v>
      </c>
      <c r="B41" s="12" t="s">
        <v>115</v>
      </c>
      <c r="C41" s="10" t="s">
        <v>44</v>
      </c>
      <c r="D41" s="10" t="s">
        <v>37</v>
      </c>
      <c r="E41" s="10" t="s">
        <v>116</v>
      </c>
      <c r="F41" s="10">
        <v>1</v>
      </c>
      <c r="G41" s="10" t="s">
        <v>39</v>
      </c>
      <c r="H41" s="10" t="s">
        <v>61</v>
      </c>
      <c r="I41" s="10">
        <f t="shared" si="2"/>
        <v>150</v>
      </c>
      <c r="J41" s="10">
        <f t="shared" si="3"/>
        <v>1.5</v>
      </c>
      <c r="K41" s="10"/>
    </row>
    <row r="42" spans="1:12" s="16" customFormat="1" ht="16.8" customHeight="1" x14ac:dyDescent="0.3">
      <c r="A42" s="9">
        <v>4</v>
      </c>
      <c r="B42" s="28" t="s">
        <v>117</v>
      </c>
      <c r="C42" s="29"/>
      <c r="D42" s="29"/>
      <c r="E42" s="29"/>
      <c r="F42" s="29"/>
      <c r="G42" s="29"/>
      <c r="H42" s="29"/>
      <c r="I42" s="29"/>
      <c r="J42" s="29"/>
      <c r="K42" s="30"/>
    </row>
    <row r="43" spans="1:12" ht="100.8" customHeight="1" x14ac:dyDescent="0.3">
      <c r="A43" s="10" t="s">
        <v>118</v>
      </c>
      <c r="B43" s="12" t="s">
        <v>119</v>
      </c>
      <c r="C43" s="13" t="s">
        <v>44</v>
      </c>
      <c r="D43" s="10" t="s">
        <v>120</v>
      </c>
      <c r="E43" s="10" t="s">
        <v>38</v>
      </c>
      <c r="F43" s="10">
        <v>1</v>
      </c>
      <c r="G43" s="10" t="s">
        <v>39</v>
      </c>
      <c r="H43" s="10" t="s">
        <v>61</v>
      </c>
      <c r="I43" s="10">
        <f>IF(G43="Khó và phức tạp",200,IF(G43="Cao",150,IF(G43="Trung bình",120,100)))</f>
        <v>150</v>
      </c>
      <c r="J43" s="10">
        <f>I43*0.01</f>
        <v>1.5</v>
      </c>
      <c r="K43" s="9"/>
    </row>
    <row r="44" spans="1:12" ht="117.6" customHeight="1" x14ac:dyDescent="0.3">
      <c r="A44" s="10" t="s">
        <v>121</v>
      </c>
      <c r="B44" s="21" t="s">
        <v>122</v>
      </c>
      <c r="C44" s="10" t="s">
        <v>36</v>
      </c>
      <c r="D44" s="20" t="s">
        <v>123</v>
      </c>
      <c r="E44" s="10" t="s">
        <v>38</v>
      </c>
      <c r="F44" s="9">
        <v>1</v>
      </c>
      <c r="G44" s="10" t="s">
        <v>39</v>
      </c>
      <c r="H44" s="10" t="s">
        <v>61</v>
      </c>
      <c r="I44" s="10">
        <f>IF(G44="Khó và phức tạp",200,IF(G44="Cao",150,IF(G44="Trung bình",120,100)))</f>
        <v>150</v>
      </c>
      <c r="J44" s="10">
        <f>I44*0.01</f>
        <v>1.5</v>
      </c>
      <c r="K44" s="9"/>
      <c r="L44" s="25" t="s">
        <v>124</v>
      </c>
    </row>
    <row r="45" spans="1:12" ht="67.2" customHeight="1" x14ac:dyDescent="0.3">
      <c r="A45" s="10" t="s">
        <v>125</v>
      </c>
      <c r="B45" s="21" t="s">
        <v>126</v>
      </c>
      <c r="C45" s="10" t="s">
        <v>36</v>
      </c>
      <c r="D45" s="20" t="s">
        <v>123</v>
      </c>
      <c r="E45" s="10" t="s">
        <v>38</v>
      </c>
      <c r="F45" s="9">
        <v>1</v>
      </c>
      <c r="G45" s="10" t="s">
        <v>39</v>
      </c>
      <c r="H45" s="10" t="s">
        <v>127</v>
      </c>
      <c r="I45" s="10">
        <f>IF(G45="Khó và phức tạp",200,IF(G45="Cao",150,IF(G45="Trung bình",120,100)))</f>
        <v>150</v>
      </c>
      <c r="J45" s="10">
        <f>I45*0.01</f>
        <v>1.5</v>
      </c>
      <c r="K45" s="9"/>
    </row>
    <row r="46" spans="1:12" ht="67.2" customHeight="1" x14ac:dyDescent="0.3">
      <c r="A46" s="10" t="s">
        <v>128</v>
      </c>
      <c r="B46" s="12" t="s">
        <v>129</v>
      </c>
      <c r="C46" s="10" t="s">
        <v>130</v>
      </c>
      <c r="D46" s="10" t="s">
        <v>131</v>
      </c>
      <c r="E46" s="10" t="s">
        <v>38</v>
      </c>
      <c r="F46" s="10">
        <v>1</v>
      </c>
      <c r="G46" s="10" t="s">
        <v>89</v>
      </c>
      <c r="H46" s="10" t="s">
        <v>61</v>
      </c>
      <c r="I46" s="10">
        <f>IF(G46="Khó và phức tạp",200,IF(G46="Cao",150,IF(G46="Trung bình",120,100)))</f>
        <v>200</v>
      </c>
      <c r="J46" s="10">
        <f>I46*0.01</f>
        <v>2</v>
      </c>
      <c r="K46" s="10"/>
    </row>
    <row r="47" spans="1:12" ht="100.8" customHeight="1" x14ac:dyDescent="0.3">
      <c r="A47" s="10" t="s">
        <v>132</v>
      </c>
      <c r="B47" s="12" t="s">
        <v>133</v>
      </c>
      <c r="C47" s="10" t="s">
        <v>134</v>
      </c>
      <c r="D47" s="10" t="s">
        <v>135</v>
      </c>
      <c r="E47" s="10" t="s">
        <v>136</v>
      </c>
      <c r="F47" s="10">
        <v>2</v>
      </c>
      <c r="G47" s="10" t="s">
        <v>89</v>
      </c>
      <c r="H47" s="10" t="s">
        <v>61</v>
      </c>
      <c r="I47" s="10">
        <f>IF(G47="Khó và phức tạp",200,IF(G47="Cao",150,IF(G47="Trung bình",120,100)))</f>
        <v>200</v>
      </c>
      <c r="J47" s="10">
        <f>I47*0.01</f>
        <v>2</v>
      </c>
      <c r="K47" s="10"/>
    </row>
    <row r="48" spans="1:12" ht="16.8" customHeight="1" x14ac:dyDescent="0.3">
      <c r="A48" s="11">
        <v>5</v>
      </c>
      <c r="B48" s="41" t="s">
        <v>137</v>
      </c>
      <c r="C48" s="29"/>
      <c r="D48" s="29"/>
      <c r="E48" s="29"/>
      <c r="F48" s="29"/>
      <c r="G48" s="29"/>
      <c r="H48" s="29"/>
      <c r="I48" s="29"/>
      <c r="J48" s="29"/>
      <c r="K48" s="30"/>
    </row>
    <row r="49" spans="1:12" s="2" customFormat="1" ht="67.2" customHeight="1" x14ac:dyDescent="0.3">
      <c r="A49" s="17" t="s">
        <v>138</v>
      </c>
      <c r="B49" s="12" t="s">
        <v>139</v>
      </c>
      <c r="C49" s="10" t="s">
        <v>44</v>
      </c>
      <c r="D49" s="10" t="s">
        <v>120</v>
      </c>
      <c r="E49" s="10" t="s">
        <v>38</v>
      </c>
      <c r="F49" s="10">
        <v>1</v>
      </c>
      <c r="G49" s="10" t="s">
        <v>57</v>
      </c>
      <c r="H49" s="10" t="s">
        <v>54</v>
      </c>
      <c r="I49" s="10">
        <f t="shared" ref="I49:I54" si="4">IF(G49="Khó và phức tạp",200,IF(G49="Cao",150,IF(G49="Trung bình",120,100)))</f>
        <v>120</v>
      </c>
      <c r="J49" s="10">
        <f t="shared" ref="J49:J54" si="5">I49*0.01</f>
        <v>1.2</v>
      </c>
      <c r="K49" s="9"/>
    </row>
    <row r="50" spans="1:12" ht="117.6" customHeight="1" x14ac:dyDescent="0.3">
      <c r="A50" s="17" t="s">
        <v>140</v>
      </c>
      <c r="B50" s="12" t="s">
        <v>141</v>
      </c>
      <c r="C50" s="13" t="s">
        <v>44</v>
      </c>
      <c r="D50" s="10" t="s">
        <v>120</v>
      </c>
      <c r="E50" s="10" t="s">
        <v>142</v>
      </c>
      <c r="F50" s="10">
        <v>1</v>
      </c>
      <c r="G50" s="10" t="s">
        <v>57</v>
      </c>
      <c r="H50" s="10" t="s">
        <v>61</v>
      </c>
      <c r="I50" s="10">
        <f t="shared" si="4"/>
        <v>120</v>
      </c>
      <c r="J50" s="10">
        <f t="shared" si="5"/>
        <v>1.2</v>
      </c>
      <c r="K50" s="9"/>
    </row>
    <row r="51" spans="1:12" ht="67.2" customHeight="1" x14ac:dyDescent="0.3">
      <c r="A51" s="17" t="s">
        <v>143</v>
      </c>
      <c r="B51" s="12" t="s">
        <v>144</v>
      </c>
      <c r="C51" s="10" t="s">
        <v>36</v>
      </c>
      <c r="D51" s="10" t="s">
        <v>145</v>
      </c>
      <c r="E51" s="10" t="s">
        <v>38</v>
      </c>
      <c r="F51" s="9">
        <v>1</v>
      </c>
      <c r="G51" s="10" t="s">
        <v>39</v>
      </c>
      <c r="H51" s="10" t="s">
        <v>61</v>
      </c>
      <c r="I51" s="10">
        <f t="shared" si="4"/>
        <v>150</v>
      </c>
      <c r="J51" s="10">
        <f t="shared" si="5"/>
        <v>1.5</v>
      </c>
      <c r="K51" s="9"/>
      <c r="L51" s="25" t="s">
        <v>124</v>
      </c>
    </row>
    <row r="52" spans="1:12" ht="67.2" customHeight="1" x14ac:dyDescent="0.3">
      <c r="A52" s="17" t="s">
        <v>146</v>
      </c>
      <c r="B52" s="12" t="s">
        <v>147</v>
      </c>
      <c r="C52" s="10" t="s">
        <v>36</v>
      </c>
      <c r="D52" s="10" t="s">
        <v>145</v>
      </c>
      <c r="E52" s="10" t="s">
        <v>38</v>
      </c>
      <c r="F52" s="26">
        <v>1</v>
      </c>
      <c r="G52" s="10" t="s">
        <v>39</v>
      </c>
      <c r="H52" s="10" t="s">
        <v>54</v>
      </c>
      <c r="I52" s="10">
        <f t="shared" si="4"/>
        <v>150</v>
      </c>
      <c r="J52" s="10">
        <f t="shared" si="5"/>
        <v>1.5</v>
      </c>
      <c r="K52" s="9"/>
      <c r="L52" s="27" t="s">
        <v>148</v>
      </c>
    </row>
    <row r="53" spans="1:12" ht="84" customHeight="1" x14ac:dyDescent="0.3">
      <c r="A53" s="17" t="s">
        <v>149</v>
      </c>
      <c r="B53" s="12" t="s">
        <v>150</v>
      </c>
      <c r="C53" s="10" t="s">
        <v>134</v>
      </c>
      <c r="D53" s="10" t="s">
        <v>151</v>
      </c>
      <c r="E53" s="10" t="s">
        <v>152</v>
      </c>
      <c r="F53" s="10">
        <v>1</v>
      </c>
      <c r="G53" s="10" t="s">
        <v>57</v>
      </c>
      <c r="H53" s="10" t="s">
        <v>40</v>
      </c>
      <c r="I53" s="10">
        <f t="shared" si="4"/>
        <v>120</v>
      </c>
      <c r="J53" s="10">
        <f t="shared" si="5"/>
        <v>1.2</v>
      </c>
      <c r="K53" s="9"/>
      <c r="L53" s="25" t="s">
        <v>124</v>
      </c>
    </row>
    <row r="54" spans="1:12" ht="67.2" customHeight="1" x14ac:dyDescent="0.3">
      <c r="A54" s="17" t="s">
        <v>153</v>
      </c>
      <c r="B54" s="12" t="s">
        <v>154</v>
      </c>
      <c r="C54" s="10" t="s">
        <v>134</v>
      </c>
      <c r="D54" s="10" t="s">
        <v>155</v>
      </c>
      <c r="E54" s="10" t="s">
        <v>38</v>
      </c>
      <c r="F54" s="10">
        <v>1</v>
      </c>
      <c r="G54" s="10" t="s">
        <v>39</v>
      </c>
      <c r="H54" s="10" t="s">
        <v>54</v>
      </c>
      <c r="I54" s="10">
        <f t="shared" si="4"/>
        <v>150</v>
      </c>
      <c r="J54" s="10">
        <f t="shared" si="5"/>
        <v>1.5</v>
      </c>
      <c r="K54" s="9"/>
    </row>
    <row r="55" spans="1:12" ht="16.8" customHeight="1" x14ac:dyDescent="0.3">
      <c r="A55" s="11">
        <v>6</v>
      </c>
      <c r="B55" s="28" t="s">
        <v>156</v>
      </c>
      <c r="C55" s="29"/>
      <c r="D55" s="29"/>
      <c r="E55" s="29"/>
      <c r="F55" s="29"/>
      <c r="G55" s="29"/>
      <c r="H55" s="29"/>
      <c r="I55" s="29"/>
      <c r="J55" s="29"/>
      <c r="K55" s="30"/>
    </row>
    <row r="56" spans="1:12" ht="84" customHeight="1" x14ac:dyDescent="0.3">
      <c r="A56" s="10" t="s">
        <v>157</v>
      </c>
      <c r="B56" s="12" t="s">
        <v>158</v>
      </c>
      <c r="C56" s="10" t="s">
        <v>44</v>
      </c>
      <c r="D56" s="10" t="s">
        <v>159</v>
      </c>
      <c r="E56" s="10" t="s">
        <v>160</v>
      </c>
      <c r="F56" s="10">
        <v>3</v>
      </c>
      <c r="G56" s="10" t="s">
        <v>161</v>
      </c>
      <c r="H56" s="10" t="s">
        <v>162</v>
      </c>
      <c r="I56" s="10">
        <f>IF(G56="Khó và phức tạp",200,IF(G56="Cao",150,IF(G56="Trung bình",120,100)))</f>
        <v>100</v>
      </c>
      <c r="J56" s="10">
        <f>I56*0.01</f>
        <v>1</v>
      </c>
      <c r="K56" s="10"/>
      <c r="L56" s="25" t="s">
        <v>163</v>
      </c>
    </row>
    <row r="57" spans="1:12" ht="67.2" customHeight="1" x14ac:dyDescent="0.3">
      <c r="A57" s="10">
        <v>6.2</v>
      </c>
      <c r="B57" s="12" t="s">
        <v>164</v>
      </c>
      <c r="C57" s="10" t="s">
        <v>44</v>
      </c>
      <c r="D57" s="10" t="s">
        <v>49</v>
      </c>
      <c r="E57" s="10" t="s">
        <v>165</v>
      </c>
      <c r="F57" s="10">
        <v>4</v>
      </c>
      <c r="G57" s="10" t="s">
        <v>89</v>
      </c>
      <c r="H57" s="10" t="s">
        <v>40</v>
      </c>
      <c r="I57" s="10">
        <f>IF(G57="Khó và phức tạp",200,IF(G57="Cao",150,IF(G57="Trung bình",120,100)))</f>
        <v>200</v>
      </c>
      <c r="J57" s="10">
        <f>I57*0.01</f>
        <v>2</v>
      </c>
      <c r="K57" s="10"/>
      <c r="L57" s="25" t="s">
        <v>110</v>
      </c>
    </row>
    <row r="58" spans="1:12" ht="16.8" customHeight="1" x14ac:dyDescent="0.3">
      <c r="A58" s="11" t="s">
        <v>166</v>
      </c>
      <c r="B58" s="41" t="s">
        <v>167</v>
      </c>
      <c r="C58" s="29"/>
      <c r="D58" s="29"/>
      <c r="E58" s="29"/>
      <c r="F58" s="29"/>
      <c r="G58" s="29"/>
      <c r="H58" s="29"/>
      <c r="I58" s="29"/>
      <c r="J58" s="29"/>
      <c r="K58" s="30"/>
      <c r="L58" s="27" t="s">
        <v>168</v>
      </c>
    </row>
    <row r="59" spans="1:12" ht="50.4" customHeight="1" x14ac:dyDescent="0.3">
      <c r="A59" s="14">
        <v>1</v>
      </c>
      <c r="B59" s="12" t="s">
        <v>169</v>
      </c>
      <c r="C59" s="10" t="s">
        <v>44</v>
      </c>
      <c r="D59" s="10" t="s">
        <v>37</v>
      </c>
      <c r="E59" s="10" t="s">
        <v>170</v>
      </c>
      <c r="F59" s="10">
        <v>1</v>
      </c>
      <c r="G59" s="10" t="s">
        <v>57</v>
      </c>
      <c r="H59" s="10" t="s">
        <v>171</v>
      </c>
      <c r="I59" s="10">
        <f t="shared" ref="I59:I81" si="6">IF(G59="Khó và phức tạp",200,IF(G59="Cao",150,IF(G59="Trung bình",120,100)))</f>
        <v>120</v>
      </c>
      <c r="J59" s="10">
        <f t="shared" ref="J59:J81" si="7">I59*0.01</f>
        <v>1.2</v>
      </c>
      <c r="K59" s="14" t="s">
        <v>172</v>
      </c>
      <c r="L59" s="24" t="s">
        <v>173</v>
      </c>
    </row>
    <row r="60" spans="1:12" ht="67.2" customHeight="1" x14ac:dyDescent="0.3">
      <c r="A60" s="10">
        <v>2</v>
      </c>
      <c r="B60" s="12" t="s">
        <v>174</v>
      </c>
      <c r="C60" s="10" t="s">
        <v>44</v>
      </c>
      <c r="D60" s="10" t="s">
        <v>37</v>
      </c>
      <c r="E60" s="10" t="s">
        <v>175</v>
      </c>
      <c r="F60" s="10">
        <v>1</v>
      </c>
      <c r="G60" s="10" t="s">
        <v>57</v>
      </c>
      <c r="H60" s="10" t="s">
        <v>171</v>
      </c>
      <c r="I60" s="10">
        <f t="shared" si="6"/>
        <v>120</v>
      </c>
      <c r="J60" s="10">
        <f t="shared" si="7"/>
        <v>1.2</v>
      </c>
      <c r="K60" s="14" t="s">
        <v>172</v>
      </c>
      <c r="L60" s="24" t="s">
        <v>176</v>
      </c>
    </row>
    <row r="61" spans="1:12" ht="67.2" customHeight="1" x14ac:dyDescent="0.3">
      <c r="A61" s="14">
        <v>3</v>
      </c>
      <c r="B61" s="12" t="s">
        <v>177</v>
      </c>
      <c r="C61" s="10" t="s">
        <v>44</v>
      </c>
      <c r="D61" s="10" t="s">
        <v>37</v>
      </c>
      <c r="E61" s="10" t="s">
        <v>178</v>
      </c>
      <c r="F61" s="10">
        <v>1</v>
      </c>
      <c r="G61" s="10" t="s">
        <v>89</v>
      </c>
      <c r="H61" s="10" t="s">
        <v>171</v>
      </c>
      <c r="I61" s="10">
        <f t="shared" si="6"/>
        <v>200</v>
      </c>
      <c r="J61" s="10">
        <f t="shared" si="7"/>
        <v>2</v>
      </c>
      <c r="K61" s="14" t="s">
        <v>172</v>
      </c>
      <c r="L61" s="24" t="s">
        <v>179</v>
      </c>
    </row>
    <row r="62" spans="1:12" ht="134.4" customHeight="1" x14ac:dyDescent="0.3">
      <c r="A62" s="10">
        <v>4</v>
      </c>
      <c r="B62" s="12" t="s">
        <v>180</v>
      </c>
      <c r="C62" s="10" t="s">
        <v>44</v>
      </c>
      <c r="D62" s="10" t="s">
        <v>181</v>
      </c>
      <c r="E62" s="10" t="s">
        <v>38</v>
      </c>
      <c r="F62" s="9">
        <v>1</v>
      </c>
      <c r="G62" s="10" t="s">
        <v>39</v>
      </c>
      <c r="H62" s="10" t="s">
        <v>40</v>
      </c>
      <c r="I62" s="10">
        <f t="shared" si="6"/>
        <v>150</v>
      </c>
      <c r="J62" s="10">
        <f t="shared" si="7"/>
        <v>1.5</v>
      </c>
      <c r="K62" s="14" t="s">
        <v>172</v>
      </c>
    </row>
    <row r="63" spans="1:12" ht="285.60000000000002" customHeight="1" x14ac:dyDescent="0.3">
      <c r="A63" s="14">
        <v>5</v>
      </c>
      <c r="B63" s="12" t="s">
        <v>182</v>
      </c>
      <c r="C63" s="10" t="s">
        <v>44</v>
      </c>
      <c r="D63" s="10" t="s">
        <v>49</v>
      </c>
      <c r="E63" s="10" t="s">
        <v>45</v>
      </c>
      <c r="F63" s="9">
        <v>1</v>
      </c>
      <c r="G63" s="10" t="s">
        <v>57</v>
      </c>
      <c r="H63" s="10" t="s">
        <v>40</v>
      </c>
      <c r="I63" s="10">
        <f t="shared" si="6"/>
        <v>120</v>
      </c>
      <c r="J63" s="10">
        <f t="shared" si="7"/>
        <v>1.2</v>
      </c>
      <c r="K63" s="14" t="s">
        <v>172</v>
      </c>
    </row>
    <row r="64" spans="1:12" ht="67.2" customHeight="1" x14ac:dyDescent="0.3">
      <c r="A64" s="10">
        <v>6</v>
      </c>
      <c r="B64" s="12" t="s">
        <v>183</v>
      </c>
      <c r="C64" s="10" t="s">
        <v>44</v>
      </c>
      <c r="D64" s="18" t="s">
        <v>120</v>
      </c>
      <c r="E64" s="10" t="s">
        <v>184</v>
      </c>
      <c r="F64" s="10">
        <v>1</v>
      </c>
      <c r="G64" s="10" t="s">
        <v>39</v>
      </c>
      <c r="H64" s="10" t="s">
        <v>40</v>
      </c>
      <c r="I64" s="10">
        <f t="shared" si="6"/>
        <v>150</v>
      </c>
      <c r="J64" s="10">
        <f t="shared" si="7"/>
        <v>1.5</v>
      </c>
      <c r="K64" s="14" t="s">
        <v>185</v>
      </c>
    </row>
    <row r="65" spans="1:12" ht="67.2" customHeight="1" x14ac:dyDescent="0.3">
      <c r="A65" s="14">
        <v>7</v>
      </c>
      <c r="B65" s="12" t="s">
        <v>186</v>
      </c>
      <c r="C65" s="22" t="s">
        <v>44</v>
      </c>
      <c r="D65" s="22" t="s">
        <v>49</v>
      </c>
      <c r="E65" s="22" t="s">
        <v>187</v>
      </c>
      <c r="F65" s="22">
        <v>1</v>
      </c>
      <c r="G65" s="22" t="s">
        <v>39</v>
      </c>
      <c r="H65" s="10" t="s">
        <v>40</v>
      </c>
      <c r="I65" s="10">
        <f t="shared" si="6"/>
        <v>150</v>
      </c>
      <c r="J65" s="10">
        <f t="shared" si="7"/>
        <v>1.5</v>
      </c>
      <c r="K65" s="14" t="s">
        <v>188</v>
      </c>
    </row>
    <row r="66" spans="1:12" ht="67.2" customHeight="1" x14ac:dyDescent="0.3">
      <c r="A66" s="10">
        <v>8</v>
      </c>
      <c r="B66" s="12" t="s">
        <v>189</v>
      </c>
      <c r="C66" s="10" t="s">
        <v>44</v>
      </c>
      <c r="D66" s="10" t="s">
        <v>49</v>
      </c>
      <c r="E66" s="10" t="s">
        <v>190</v>
      </c>
      <c r="F66" s="10">
        <v>1</v>
      </c>
      <c r="G66" s="10" t="s">
        <v>89</v>
      </c>
      <c r="H66" s="10" t="s">
        <v>40</v>
      </c>
      <c r="I66" s="10">
        <f t="shared" si="6"/>
        <v>200</v>
      </c>
      <c r="J66" s="10">
        <f t="shared" si="7"/>
        <v>2</v>
      </c>
      <c r="K66" s="14" t="s">
        <v>188</v>
      </c>
    </row>
    <row r="67" spans="1:12" ht="50.4" customHeight="1" x14ac:dyDescent="0.3">
      <c r="A67" s="14">
        <v>9</v>
      </c>
      <c r="B67" s="12" t="s">
        <v>191</v>
      </c>
      <c r="C67" s="10" t="s">
        <v>44</v>
      </c>
      <c r="D67" s="10" t="s">
        <v>49</v>
      </c>
      <c r="E67" s="10" t="s">
        <v>192</v>
      </c>
      <c r="F67" s="10">
        <v>1</v>
      </c>
      <c r="G67" s="10" t="s">
        <v>39</v>
      </c>
      <c r="H67" s="10" t="s">
        <v>171</v>
      </c>
      <c r="I67" s="10">
        <f t="shared" si="6"/>
        <v>150</v>
      </c>
      <c r="J67" s="10">
        <f t="shared" si="7"/>
        <v>1.5</v>
      </c>
      <c r="K67" s="14" t="s">
        <v>188</v>
      </c>
      <c r="L67" s="24" t="s">
        <v>193</v>
      </c>
    </row>
    <row r="68" spans="1:12" ht="67.2" customHeight="1" x14ac:dyDescent="0.3">
      <c r="A68" s="10">
        <v>10</v>
      </c>
      <c r="B68" s="12" t="s">
        <v>194</v>
      </c>
      <c r="C68" s="10" t="s">
        <v>44</v>
      </c>
      <c r="D68" s="18" t="s">
        <v>120</v>
      </c>
      <c r="E68" s="10" t="s">
        <v>38</v>
      </c>
      <c r="F68" s="10">
        <v>1</v>
      </c>
      <c r="G68" s="10" t="s">
        <v>89</v>
      </c>
      <c r="H68" s="10" t="s">
        <v>195</v>
      </c>
      <c r="I68" s="10">
        <f t="shared" si="6"/>
        <v>200</v>
      </c>
      <c r="J68" s="10">
        <f t="shared" si="7"/>
        <v>2</v>
      </c>
      <c r="K68" s="14" t="s">
        <v>196</v>
      </c>
      <c r="L68" s="27" t="s">
        <v>197</v>
      </c>
    </row>
    <row r="69" spans="1:12" ht="84" customHeight="1" x14ac:dyDescent="0.3">
      <c r="A69" s="14">
        <v>11</v>
      </c>
      <c r="B69" s="12" t="s">
        <v>198</v>
      </c>
      <c r="C69" s="10" t="s">
        <v>199</v>
      </c>
      <c r="D69" s="10" t="s">
        <v>200</v>
      </c>
      <c r="E69" s="10" t="s">
        <v>201</v>
      </c>
      <c r="F69" s="10">
        <v>1</v>
      </c>
      <c r="G69" s="10" t="s">
        <v>57</v>
      </c>
      <c r="H69" s="10" t="s">
        <v>40</v>
      </c>
      <c r="I69" s="10">
        <f t="shared" si="6"/>
        <v>120</v>
      </c>
      <c r="J69" s="10">
        <f t="shared" si="7"/>
        <v>1.2</v>
      </c>
      <c r="K69" s="14" t="s">
        <v>196</v>
      </c>
    </row>
    <row r="70" spans="1:12" ht="67.2" customHeight="1" x14ac:dyDescent="0.3">
      <c r="A70" s="10">
        <v>12</v>
      </c>
      <c r="B70" s="12" t="s">
        <v>202</v>
      </c>
      <c r="C70" s="10" t="s">
        <v>203</v>
      </c>
      <c r="D70" s="10" t="s">
        <v>204</v>
      </c>
      <c r="E70" s="10" t="s">
        <v>170</v>
      </c>
      <c r="F70" s="10">
        <v>1</v>
      </c>
      <c r="G70" s="10" t="s">
        <v>57</v>
      </c>
      <c r="H70" s="10" t="s">
        <v>40</v>
      </c>
      <c r="I70" s="10">
        <f t="shared" si="6"/>
        <v>120</v>
      </c>
      <c r="J70" s="10">
        <f t="shared" si="7"/>
        <v>1.2</v>
      </c>
      <c r="K70" s="14" t="s">
        <v>196</v>
      </c>
      <c r="L70" s="25" t="s">
        <v>124</v>
      </c>
    </row>
    <row r="71" spans="1:12" ht="67.2" customHeight="1" x14ac:dyDescent="0.3">
      <c r="A71" s="14">
        <v>13</v>
      </c>
      <c r="B71" s="12" t="s">
        <v>205</v>
      </c>
      <c r="C71" s="10" t="s">
        <v>203</v>
      </c>
      <c r="D71" s="10" t="s">
        <v>204</v>
      </c>
      <c r="E71" s="10" t="s">
        <v>170</v>
      </c>
      <c r="F71" s="10">
        <v>1</v>
      </c>
      <c r="G71" s="10" t="s">
        <v>57</v>
      </c>
      <c r="H71" s="10" t="s">
        <v>40</v>
      </c>
      <c r="I71" s="10">
        <f t="shared" si="6"/>
        <v>120</v>
      </c>
      <c r="J71" s="10">
        <f t="shared" si="7"/>
        <v>1.2</v>
      </c>
      <c r="K71" s="14" t="s">
        <v>196</v>
      </c>
      <c r="L71" s="25" t="s">
        <v>124</v>
      </c>
    </row>
    <row r="72" spans="1:12" ht="67.2" customHeight="1" x14ac:dyDescent="0.3">
      <c r="A72" s="10">
        <v>14</v>
      </c>
      <c r="B72" s="12" t="s">
        <v>206</v>
      </c>
      <c r="C72" s="10" t="s">
        <v>134</v>
      </c>
      <c r="D72" s="10" t="s">
        <v>207</v>
      </c>
      <c r="E72" s="10" t="s">
        <v>38</v>
      </c>
      <c r="F72" s="10">
        <v>1</v>
      </c>
      <c r="G72" s="10" t="s">
        <v>39</v>
      </c>
      <c r="H72" s="10" t="s">
        <v>171</v>
      </c>
      <c r="I72" s="10">
        <f t="shared" si="6"/>
        <v>150</v>
      </c>
      <c r="J72" s="10">
        <f t="shared" si="7"/>
        <v>1.5</v>
      </c>
      <c r="K72" s="14" t="s">
        <v>196</v>
      </c>
      <c r="L72" s="24" t="s">
        <v>208</v>
      </c>
    </row>
    <row r="73" spans="1:12" ht="50.4" customHeight="1" x14ac:dyDescent="0.3">
      <c r="A73" s="14">
        <v>15</v>
      </c>
      <c r="B73" s="12" t="s">
        <v>209</v>
      </c>
      <c r="C73" s="23" t="s">
        <v>44</v>
      </c>
      <c r="D73" s="23" t="s">
        <v>37</v>
      </c>
      <c r="E73" s="23" t="s">
        <v>38</v>
      </c>
      <c r="F73" s="23">
        <v>1</v>
      </c>
      <c r="G73" s="23" t="s">
        <v>57</v>
      </c>
      <c r="H73" s="10" t="s">
        <v>171</v>
      </c>
      <c r="I73" s="10">
        <f t="shared" si="6"/>
        <v>120</v>
      </c>
      <c r="J73" s="10">
        <f t="shared" si="7"/>
        <v>1.2</v>
      </c>
      <c r="K73" s="14" t="s">
        <v>196</v>
      </c>
      <c r="L73" s="24" t="s">
        <v>210</v>
      </c>
    </row>
    <row r="74" spans="1:12" ht="134.4" customHeight="1" x14ac:dyDescent="0.3">
      <c r="A74" s="10">
        <v>16</v>
      </c>
      <c r="B74" s="12" t="s">
        <v>211</v>
      </c>
      <c r="C74" s="10" t="s">
        <v>44</v>
      </c>
      <c r="D74" s="10" t="s">
        <v>159</v>
      </c>
      <c r="E74" s="10" t="s">
        <v>38</v>
      </c>
      <c r="F74" s="10">
        <v>1</v>
      </c>
      <c r="G74" s="10" t="s">
        <v>57</v>
      </c>
      <c r="H74" s="10" t="s">
        <v>40</v>
      </c>
      <c r="I74" s="10">
        <f t="shared" si="6"/>
        <v>120</v>
      </c>
      <c r="J74" s="10">
        <f t="shared" si="7"/>
        <v>1.2</v>
      </c>
      <c r="K74" s="14" t="s">
        <v>196</v>
      </c>
      <c r="L74" s="25" t="s">
        <v>163</v>
      </c>
    </row>
    <row r="75" spans="1:12" ht="201.6" customHeight="1" x14ac:dyDescent="0.3">
      <c r="A75" s="14">
        <v>17</v>
      </c>
      <c r="B75" s="12" t="s">
        <v>212</v>
      </c>
      <c r="C75" s="10" t="s">
        <v>203</v>
      </c>
      <c r="D75" s="10" t="s">
        <v>200</v>
      </c>
      <c r="E75" s="10" t="s">
        <v>38</v>
      </c>
      <c r="F75" s="10">
        <v>1</v>
      </c>
      <c r="G75" s="10" t="s">
        <v>57</v>
      </c>
      <c r="H75" s="10" t="s">
        <v>171</v>
      </c>
      <c r="I75" s="10">
        <f t="shared" si="6"/>
        <v>120</v>
      </c>
      <c r="J75" s="10">
        <f t="shared" si="7"/>
        <v>1.2</v>
      </c>
      <c r="K75" s="14" t="s">
        <v>196</v>
      </c>
      <c r="L75" s="27" t="s">
        <v>213</v>
      </c>
    </row>
    <row r="76" spans="1:12" ht="67.2" customHeight="1" x14ac:dyDescent="0.3">
      <c r="A76" s="10">
        <v>18</v>
      </c>
      <c r="B76" s="12" t="s">
        <v>214</v>
      </c>
      <c r="C76" s="10" t="s">
        <v>44</v>
      </c>
      <c r="D76" s="10" t="s">
        <v>64</v>
      </c>
      <c r="E76" s="10" t="s">
        <v>215</v>
      </c>
      <c r="F76" s="10">
        <v>1</v>
      </c>
      <c r="G76" s="10" t="s">
        <v>39</v>
      </c>
      <c r="H76" s="10" t="s">
        <v>40</v>
      </c>
      <c r="I76" s="10">
        <f t="shared" si="6"/>
        <v>150</v>
      </c>
      <c r="J76" s="10">
        <f t="shared" si="7"/>
        <v>1.5</v>
      </c>
      <c r="K76" s="14" t="s">
        <v>216</v>
      </c>
      <c r="L76" s="27" t="s">
        <v>217</v>
      </c>
    </row>
    <row r="77" spans="1:12" ht="151.19999999999999" customHeight="1" x14ac:dyDescent="0.3">
      <c r="A77" s="14">
        <v>19</v>
      </c>
      <c r="B77" s="12" t="s">
        <v>218</v>
      </c>
      <c r="C77" s="10" t="s">
        <v>44</v>
      </c>
      <c r="D77" s="10" t="s">
        <v>64</v>
      </c>
      <c r="E77" s="10" t="s">
        <v>38</v>
      </c>
      <c r="F77" s="10">
        <v>1</v>
      </c>
      <c r="G77" s="10" t="s">
        <v>39</v>
      </c>
      <c r="H77" s="10" t="s">
        <v>40</v>
      </c>
      <c r="I77" s="10">
        <f t="shared" si="6"/>
        <v>150</v>
      </c>
      <c r="J77" s="10">
        <f t="shared" si="7"/>
        <v>1.5</v>
      </c>
      <c r="K77" s="14" t="s">
        <v>216</v>
      </c>
    </row>
    <row r="78" spans="1:12" ht="134.4" customHeight="1" x14ac:dyDescent="0.3">
      <c r="A78" s="10">
        <v>20</v>
      </c>
      <c r="B78" s="12" t="s">
        <v>219</v>
      </c>
      <c r="C78" s="10" t="s">
        <v>44</v>
      </c>
      <c r="D78" s="10" t="s">
        <v>64</v>
      </c>
      <c r="E78" s="10" t="s">
        <v>220</v>
      </c>
      <c r="F78" s="10">
        <v>1</v>
      </c>
      <c r="G78" s="10" t="s">
        <v>57</v>
      </c>
      <c r="H78" s="10" t="s">
        <v>171</v>
      </c>
      <c r="I78" s="10">
        <f t="shared" si="6"/>
        <v>120</v>
      </c>
      <c r="J78" s="10">
        <f t="shared" si="7"/>
        <v>1.2</v>
      </c>
      <c r="K78" s="14" t="s">
        <v>216</v>
      </c>
      <c r="L78" s="25" t="s">
        <v>221</v>
      </c>
    </row>
    <row r="79" spans="1:12" ht="84" customHeight="1" x14ac:dyDescent="0.3">
      <c r="A79" s="14">
        <v>21</v>
      </c>
      <c r="B79" s="12" t="s">
        <v>222</v>
      </c>
      <c r="C79" s="10" t="s">
        <v>44</v>
      </c>
      <c r="D79" s="10" t="s">
        <v>64</v>
      </c>
      <c r="E79" s="10" t="s">
        <v>223</v>
      </c>
      <c r="F79" s="10">
        <v>1</v>
      </c>
      <c r="G79" s="10" t="s">
        <v>57</v>
      </c>
      <c r="H79" s="10" t="s">
        <v>40</v>
      </c>
      <c r="I79" s="10">
        <f t="shared" si="6"/>
        <v>120</v>
      </c>
      <c r="J79" s="10">
        <f t="shared" si="7"/>
        <v>1.2</v>
      </c>
      <c r="K79" s="14" t="s">
        <v>216</v>
      </c>
    </row>
    <row r="80" spans="1:12" ht="84" customHeight="1" x14ac:dyDescent="0.3">
      <c r="A80" s="10">
        <v>22</v>
      </c>
      <c r="B80" s="12" t="s">
        <v>224</v>
      </c>
      <c r="C80" s="10" t="s">
        <v>44</v>
      </c>
      <c r="D80" s="10" t="s">
        <v>49</v>
      </c>
      <c r="E80" s="10" t="s">
        <v>38</v>
      </c>
      <c r="F80" s="10">
        <v>1</v>
      </c>
      <c r="G80" s="10" t="s">
        <v>57</v>
      </c>
      <c r="H80" s="10" t="s">
        <v>171</v>
      </c>
      <c r="I80" s="10">
        <f t="shared" si="6"/>
        <v>120</v>
      </c>
      <c r="J80" s="10">
        <f t="shared" si="7"/>
        <v>1.2</v>
      </c>
      <c r="K80" s="14" t="s">
        <v>216</v>
      </c>
      <c r="L80" s="24" t="s">
        <v>210</v>
      </c>
    </row>
    <row r="81" spans="1:12" ht="50.4" customHeight="1" x14ac:dyDescent="0.3">
      <c r="A81" s="14">
        <v>23</v>
      </c>
      <c r="B81" s="12" t="s">
        <v>225</v>
      </c>
      <c r="C81" s="10" t="s">
        <v>44</v>
      </c>
      <c r="D81" s="18" t="s">
        <v>120</v>
      </c>
      <c r="E81" s="10" t="s">
        <v>226</v>
      </c>
      <c r="F81" s="10">
        <v>1</v>
      </c>
      <c r="G81" s="10" t="s">
        <v>39</v>
      </c>
      <c r="H81" s="10" t="s">
        <v>171</v>
      </c>
      <c r="I81" s="10">
        <f t="shared" si="6"/>
        <v>150</v>
      </c>
      <c r="J81" s="10">
        <f t="shared" si="7"/>
        <v>1.5</v>
      </c>
      <c r="K81" s="14" t="s">
        <v>227</v>
      </c>
      <c r="L81" s="24" t="s">
        <v>228</v>
      </c>
    </row>
    <row r="83" spans="1:12" s="19" customFormat="1" ht="161.55000000000001" customHeight="1" x14ac:dyDescent="0.35">
      <c r="A83" s="51" t="s">
        <v>229</v>
      </c>
      <c r="B83" s="45"/>
      <c r="E83" s="44" t="s">
        <v>230</v>
      </c>
      <c r="F83" s="45"/>
      <c r="G83" s="45"/>
      <c r="H83" s="45"/>
      <c r="I83" s="45"/>
      <c r="J83" s="45"/>
      <c r="K83" s="45"/>
    </row>
  </sheetData>
  <mergeCells count="31">
    <mergeCell ref="E1:K1"/>
    <mergeCell ref="A5:K5"/>
    <mergeCell ref="B42:K42"/>
    <mergeCell ref="I10:I11"/>
    <mergeCell ref="A8:K8"/>
    <mergeCell ref="K10:K11"/>
    <mergeCell ref="D10:D11"/>
    <mergeCell ref="B14:K14"/>
    <mergeCell ref="A1:C1"/>
    <mergeCell ref="B13:K13"/>
    <mergeCell ref="B29:K29"/>
    <mergeCell ref="F10:F11"/>
    <mergeCell ref="H10:H11"/>
    <mergeCell ref="J10:J11"/>
    <mergeCell ref="L10:L11"/>
    <mergeCell ref="L13"/>
    <mergeCell ref="E83:K83"/>
    <mergeCell ref="B58:K58"/>
    <mergeCell ref="B48:K48"/>
    <mergeCell ref="A83:B83"/>
    <mergeCell ref="B55:K55"/>
    <mergeCell ref="A3:C3"/>
    <mergeCell ref="C10:C11"/>
    <mergeCell ref="E10:E11"/>
    <mergeCell ref="G10:G11"/>
    <mergeCell ref="A6:K6"/>
    <mergeCell ref="E3:K3"/>
    <mergeCell ref="A7:K7"/>
    <mergeCell ref="B35:K35"/>
    <mergeCell ref="B10:B11"/>
    <mergeCell ref="A10:A11"/>
  </mergeCells>
  <conditionalFormatting sqref="B15">
    <cfRule type="dataBar" priority="47">
      <dataBar>
        <cfvo type="min"/>
        <cfvo type="max"/>
        <color rgb="FF638EC6"/>
      </dataBar>
    </cfRule>
  </conditionalFormatting>
  <conditionalFormatting sqref="B16">
    <cfRule type="dataBar" priority="46">
      <dataBar>
        <cfvo type="min"/>
        <cfvo type="max"/>
        <color rgb="FF638EC6"/>
      </dataBar>
    </cfRule>
  </conditionalFormatting>
  <conditionalFormatting sqref="B17">
    <cfRule type="dataBar" priority="23">
      <dataBar>
        <cfvo type="min"/>
        <cfvo type="max"/>
        <color rgb="FF638EC6"/>
      </dataBar>
    </cfRule>
  </conditionalFormatting>
  <conditionalFormatting sqref="B20">
    <cfRule type="dataBar" priority="15">
      <dataBar>
        <cfvo type="min"/>
        <cfvo type="max"/>
        <color rgb="FF638EC6"/>
      </dataBar>
    </cfRule>
    <cfRule type="dataBar" priority="18">
      <dataBar>
        <cfvo type="min"/>
        <cfvo type="max"/>
        <color rgb="FF638EC6"/>
      </dataBar>
    </cfRule>
  </conditionalFormatting>
  <conditionalFormatting sqref="B22:B23">
    <cfRule type="dataBar" priority="773">
      <dataBar>
        <cfvo type="min"/>
        <cfvo type="max"/>
        <color rgb="FF638EC6"/>
      </dataBar>
    </cfRule>
  </conditionalFormatting>
  <conditionalFormatting sqref="B24:B28">
    <cfRule type="dataBar" priority="845">
      <dataBar>
        <cfvo type="min"/>
        <cfvo type="max"/>
        <color rgb="FF638EC6"/>
      </dataBar>
    </cfRule>
  </conditionalFormatting>
  <conditionalFormatting sqref="B36">
    <cfRule type="dataBar" priority="10">
      <dataBar>
        <cfvo type="min"/>
        <cfvo type="max"/>
        <color rgb="FF638EC6"/>
      </dataBar>
    </cfRule>
    <cfRule type="dataBar" priority="11">
      <dataBar>
        <cfvo type="min"/>
        <cfvo type="max"/>
        <color rgb="FF638EC6"/>
      </dataBar>
    </cfRule>
  </conditionalFormatting>
  <conditionalFormatting sqref="B37:B38 B40:B41">
    <cfRule type="dataBar" priority="825">
      <dataBar>
        <cfvo type="min"/>
        <cfvo type="max"/>
        <color rgb="FF638EC6"/>
      </dataBar>
    </cfRule>
    <cfRule type="dataBar" priority="824">
      <dataBar>
        <cfvo type="min"/>
        <cfvo type="max"/>
        <color rgb="FF638EC6"/>
      </dataBar>
    </cfRule>
  </conditionalFormatting>
  <conditionalFormatting sqref="B39">
    <cfRule type="dataBar" priority="8">
      <dataBar>
        <cfvo type="min"/>
        <cfvo type="max"/>
        <color rgb="FF638EC6"/>
      </dataBar>
    </cfRule>
    <cfRule type="dataBar" priority="9">
      <dataBar>
        <cfvo type="min"/>
        <cfvo type="max"/>
        <color rgb="FF638EC6"/>
      </dataBar>
    </cfRule>
  </conditionalFormatting>
  <conditionalFormatting sqref="B46:B47">
    <cfRule type="dataBar" priority="835">
      <dataBar>
        <cfvo type="min"/>
        <cfvo type="max"/>
        <color rgb="FF638EC6"/>
      </dataBar>
    </cfRule>
  </conditionalFormatting>
  <conditionalFormatting sqref="B49 B19">
    <cfRule type="dataBar" priority="721">
      <dataBar>
        <cfvo type="min"/>
        <cfvo type="max"/>
        <color rgb="FF638EC6"/>
      </dataBar>
    </cfRule>
  </conditionalFormatting>
  <conditionalFormatting sqref="B15:B16 B18:B19 B21:B23 B43 B49:B54">
    <cfRule type="dataBar" priority="756">
      <dataBar>
        <cfvo type="min"/>
        <cfvo type="max"/>
        <color rgb="FF638EC6"/>
      </dataBar>
    </cfRule>
  </conditionalFormatting>
  <conditionalFormatting sqref="B60">
    <cfRule type="dataBar" priority="26">
      <dataBar>
        <cfvo type="min"/>
        <cfvo type="max"/>
        <color rgb="FF638EC6"/>
      </dataBar>
    </cfRule>
  </conditionalFormatting>
  <conditionalFormatting sqref="B61:B64 B59 B68:B81">
    <cfRule type="dataBar" priority="837">
      <dataBar>
        <cfvo type="min"/>
        <cfvo type="max"/>
        <color rgb="FF638EC6"/>
      </dataBar>
    </cfRule>
  </conditionalFormatting>
  <conditionalFormatting sqref="B65">
    <cfRule type="dataBar" priority="3">
      <dataBar>
        <cfvo type="min"/>
        <cfvo type="max"/>
        <color rgb="FF638EC6"/>
      </dataBar>
    </cfRule>
  </conditionalFormatting>
  <conditionalFormatting sqref="B66:B67">
    <cfRule type="dataBar" priority="1">
      <dataBar>
        <cfvo type="min"/>
        <cfvo type="max"/>
        <color rgb="FF638EC6"/>
      </dataBar>
    </cfRule>
  </conditionalFormatting>
  <conditionalFormatting sqref="B17:D17">
    <cfRule type="dataBar" priority="19">
      <dataBar>
        <cfvo type="min"/>
        <cfvo type="max"/>
        <color rgb="FF638EC6"/>
      </dataBar>
    </cfRule>
    <cfRule type="dataBar" priority="21">
      <dataBar>
        <cfvo type="min"/>
        <cfvo type="max"/>
        <color rgb="FF638EC6"/>
      </dataBar>
    </cfRule>
  </conditionalFormatting>
  <conditionalFormatting sqref="B30:E30 G30 K30:K31">
    <cfRule type="dataBar" priority="776">
      <dataBar>
        <cfvo type="min"/>
        <cfvo type="max"/>
        <color rgb="FF638EC6"/>
      </dataBar>
    </cfRule>
    <cfRule type="dataBar" priority="775">
      <dataBar>
        <cfvo type="min"/>
        <cfvo type="max"/>
        <color rgb="FF638EC6"/>
      </dataBar>
    </cfRule>
  </conditionalFormatting>
  <conditionalFormatting sqref="C15:C16">
    <cfRule type="dataBar" priority="57">
      <dataBar>
        <cfvo type="min"/>
        <cfvo type="max"/>
        <color rgb="FF638EC6"/>
      </dataBar>
    </cfRule>
  </conditionalFormatting>
  <conditionalFormatting sqref="C20">
    <cfRule type="dataBar" priority="14">
      <dataBar>
        <cfvo type="min"/>
        <cfvo type="max"/>
        <color rgb="FF638EC6"/>
      </dataBar>
    </cfRule>
  </conditionalFormatting>
  <conditionalFormatting sqref="C22:C23">
    <cfRule type="dataBar" priority="774">
      <dataBar>
        <cfvo type="min"/>
        <cfvo type="max"/>
        <color rgb="FF638EC6"/>
      </dataBar>
    </cfRule>
  </conditionalFormatting>
  <conditionalFormatting sqref="C24:C28">
    <cfRule type="dataBar" priority="847">
      <dataBar>
        <cfvo type="min"/>
        <cfvo type="max"/>
        <color rgb="FF638EC6"/>
      </dataBar>
    </cfRule>
  </conditionalFormatting>
  <conditionalFormatting sqref="C31:C34">
    <cfRule type="dataBar" priority="782">
      <dataBar>
        <cfvo type="min"/>
        <cfvo type="max"/>
        <color rgb="FF638EC6"/>
      </dataBar>
    </cfRule>
    <cfRule type="dataBar" priority="781">
      <dataBar>
        <cfvo type="min"/>
        <cfvo type="max"/>
        <color rgb="FF638EC6"/>
      </dataBar>
    </cfRule>
  </conditionalFormatting>
  <conditionalFormatting sqref="C36">
    <cfRule type="dataBar" priority="12">
      <dataBar>
        <cfvo type="min"/>
        <cfvo type="max"/>
        <color rgb="FF638EC6"/>
      </dataBar>
    </cfRule>
    <cfRule type="dataBar" priority="13">
      <dataBar>
        <cfvo type="min"/>
        <cfvo type="max"/>
        <color rgb="FF638EC6"/>
      </dataBar>
    </cfRule>
  </conditionalFormatting>
  <conditionalFormatting sqref="C37:C38">
    <cfRule type="dataBar" priority="855">
      <dataBar>
        <cfvo type="min"/>
        <cfvo type="max"/>
        <color rgb="FF638EC6"/>
      </dataBar>
    </cfRule>
    <cfRule type="dataBar" priority="856">
      <dataBar>
        <cfvo type="min"/>
        <cfvo type="max"/>
        <color rgb="FF638EC6"/>
      </dataBar>
    </cfRule>
  </conditionalFormatting>
  <conditionalFormatting sqref="C39">
    <cfRule type="dataBar" priority="6">
      <dataBar>
        <cfvo type="min"/>
        <cfvo type="max"/>
        <color rgb="FF638EC6"/>
      </dataBar>
    </cfRule>
    <cfRule type="dataBar" priority="7">
      <dataBar>
        <cfvo type="min"/>
        <cfvo type="max"/>
        <color rgb="FF638EC6"/>
      </dataBar>
    </cfRule>
  </conditionalFormatting>
  <conditionalFormatting sqref="C40:C41">
    <cfRule type="dataBar" priority="828">
      <dataBar>
        <cfvo type="min"/>
        <cfvo type="max"/>
        <color rgb="FF638EC6"/>
      </dataBar>
    </cfRule>
    <cfRule type="dataBar" priority="829">
      <dataBar>
        <cfvo type="min"/>
        <cfvo type="max"/>
        <color rgb="FF638EC6"/>
      </dataBar>
    </cfRule>
  </conditionalFormatting>
  <conditionalFormatting sqref="C44">
    <cfRule type="dataBar" priority="35">
      <dataBar>
        <cfvo type="min"/>
        <cfvo type="max"/>
        <color rgb="FF638EC6"/>
      </dataBar>
    </cfRule>
  </conditionalFormatting>
  <conditionalFormatting sqref="C45">
    <cfRule type="dataBar" priority="34">
      <dataBar>
        <cfvo type="min"/>
        <cfvo type="max"/>
        <color rgb="FF638EC6"/>
      </dataBar>
    </cfRule>
  </conditionalFormatting>
  <conditionalFormatting sqref="C46:C47">
    <cfRule type="dataBar" priority="729">
      <dataBar>
        <cfvo type="min"/>
        <cfvo type="max"/>
        <color rgb="FF638EC6"/>
      </dataBar>
    </cfRule>
    <cfRule type="dataBar" priority="728">
      <dataBar>
        <cfvo type="min"/>
        <cfvo type="max"/>
        <color rgb="FF638EC6"/>
      </dataBar>
    </cfRule>
  </conditionalFormatting>
  <conditionalFormatting sqref="C49">
    <cfRule type="dataBar" priority="586">
      <dataBar>
        <cfvo type="min"/>
        <cfvo type="max"/>
        <color rgb="FF638EC6"/>
      </dataBar>
    </cfRule>
    <cfRule type="dataBar" priority="288">
      <dataBar>
        <cfvo type="min"/>
        <cfvo type="max"/>
        <color rgb="FF638EC6"/>
      </dataBar>
    </cfRule>
  </conditionalFormatting>
  <conditionalFormatting sqref="C51:C54">
    <cfRule type="dataBar" priority="819">
      <dataBar>
        <cfvo type="min"/>
        <cfvo type="max"/>
        <color rgb="FF638EC6"/>
      </dataBar>
    </cfRule>
    <cfRule type="dataBar" priority="820">
      <dataBar>
        <cfvo type="min"/>
        <cfvo type="max"/>
        <color rgb="FF638EC6"/>
      </dataBar>
    </cfRule>
  </conditionalFormatting>
  <conditionalFormatting sqref="C56">
    <cfRule type="dataBar" priority="130">
      <dataBar>
        <cfvo type="min"/>
        <cfvo type="max"/>
        <color rgb="FF638EC6"/>
      </dataBar>
    </cfRule>
    <cfRule type="dataBar" priority="598">
      <dataBar>
        <cfvo type="min"/>
        <cfvo type="max"/>
        <color rgb="FF638EC6"/>
      </dataBar>
    </cfRule>
  </conditionalFormatting>
  <conditionalFormatting sqref="C57">
    <cfRule type="dataBar" priority="4">
      <dataBar>
        <cfvo type="min"/>
        <cfvo type="max"/>
        <color rgb="FF638EC6"/>
      </dataBar>
    </cfRule>
    <cfRule type="dataBar" priority="5">
      <dataBar>
        <cfvo type="min"/>
        <cfvo type="max"/>
        <color rgb="FF638EC6"/>
      </dataBar>
    </cfRule>
  </conditionalFormatting>
  <conditionalFormatting sqref="C59">
    <cfRule type="dataBar" priority="87">
      <dataBar>
        <cfvo type="min"/>
        <cfvo type="max"/>
        <color rgb="FF638EC6"/>
      </dataBar>
    </cfRule>
    <cfRule type="dataBar" priority="88">
      <dataBar>
        <cfvo type="min"/>
        <cfvo type="max"/>
        <color rgb="FF638EC6"/>
      </dataBar>
    </cfRule>
  </conditionalFormatting>
  <conditionalFormatting sqref="C60">
    <cfRule type="dataBar" priority="24">
      <dataBar>
        <cfvo type="min"/>
        <cfvo type="max"/>
        <color rgb="FF638EC6"/>
      </dataBar>
    </cfRule>
    <cfRule type="dataBar" priority="25">
      <dataBar>
        <cfvo type="min"/>
        <cfvo type="max"/>
        <color rgb="FF638EC6"/>
      </dataBar>
    </cfRule>
  </conditionalFormatting>
  <conditionalFormatting sqref="C62">
    <cfRule type="dataBar" priority="83">
      <dataBar>
        <cfvo type="min"/>
        <cfvo type="max"/>
        <color rgb="FF638EC6"/>
      </dataBar>
    </cfRule>
    <cfRule type="dataBar" priority="84">
      <dataBar>
        <cfvo type="min"/>
        <cfvo type="max"/>
        <color rgb="FF638EC6"/>
      </dataBar>
    </cfRule>
  </conditionalFormatting>
  <conditionalFormatting sqref="C63">
    <cfRule type="dataBar" priority="81">
      <dataBar>
        <cfvo type="min"/>
        <cfvo type="max"/>
        <color rgb="FF638EC6"/>
      </dataBar>
    </cfRule>
    <cfRule type="dataBar" priority="82">
      <dataBar>
        <cfvo type="min"/>
        <cfvo type="max"/>
        <color rgb="FF638EC6"/>
      </dataBar>
    </cfRule>
  </conditionalFormatting>
  <conditionalFormatting sqref="C65">
    <cfRule type="dataBar" priority="2">
      <dataBar>
        <cfvo type="min"/>
        <cfvo type="max"/>
        <color rgb="FF638EC6"/>
      </dataBar>
    </cfRule>
  </conditionalFormatting>
  <conditionalFormatting sqref="C69">
    <cfRule type="dataBar" priority="73">
      <dataBar>
        <cfvo type="min"/>
        <cfvo type="max"/>
        <color rgb="FF638EC6"/>
      </dataBar>
    </cfRule>
    <cfRule type="dataBar" priority="74">
      <dataBar>
        <cfvo type="min"/>
        <cfvo type="max"/>
        <color rgb="FF638EC6"/>
      </dataBar>
    </cfRule>
  </conditionalFormatting>
  <conditionalFormatting sqref="C70:C71">
    <cfRule type="dataBar" priority="71">
      <dataBar>
        <cfvo type="min"/>
        <cfvo type="max"/>
        <color rgb="FF638EC6"/>
      </dataBar>
    </cfRule>
    <cfRule type="dataBar" priority="70">
      <dataBar>
        <cfvo type="min"/>
        <cfvo type="max"/>
        <color rgb="FF638EC6"/>
      </dataBar>
    </cfRule>
  </conditionalFormatting>
  <conditionalFormatting sqref="C72">
    <cfRule type="dataBar" priority="69">
      <dataBar>
        <cfvo type="min"/>
        <cfvo type="max"/>
        <color rgb="FF638EC6"/>
      </dataBar>
    </cfRule>
    <cfRule type="dataBar" priority="68">
      <dataBar>
        <cfvo type="min"/>
        <cfvo type="max"/>
        <color rgb="FF638EC6"/>
      </dataBar>
    </cfRule>
  </conditionalFormatting>
  <conditionalFormatting sqref="C73">
    <cfRule type="dataBar" priority="67">
      <dataBar>
        <cfvo type="min"/>
        <cfvo type="max"/>
        <color rgb="FF638EC6"/>
      </dataBar>
    </cfRule>
  </conditionalFormatting>
  <conditionalFormatting sqref="C74">
    <cfRule type="dataBar" priority="66">
      <dataBar>
        <cfvo type="min"/>
        <cfvo type="max"/>
        <color rgb="FF638EC6"/>
      </dataBar>
    </cfRule>
  </conditionalFormatting>
  <conditionalFormatting sqref="C76:C77">
    <cfRule type="dataBar" priority="63">
      <dataBar>
        <cfvo type="min"/>
        <cfvo type="max"/>
        <color rgb="FF638EC6"/>
      </dataBar>
    </cfRule>
  </conditionalFormatting>
  <conditionalFormatting sqref="C78">
    <cfRule type="dataBar" priority="62">
      <dataBar>
        <cfvo type="min"/>
        <cfvo type="max"/>
        <color rgb="FF638EC6"/>
      </dataBar>
    </cfRule>
  </conditionalFormatting>
  <conditionalFormatting sqref="C79:C80">
    <cfRule type="dataBar" priority="60">
      <dataBar>
        <cfvo type="min"/>
        <cfvo type="max"/>
        <color rgb="FF638EC6"/>
      </dataBar>
    </cfRule>
  </conditionalFormatting>
  <conditionalFormatting sqref="C75:D75">
    <cfRule type="dataBar" priority="64">
      <dataBar>
        <cfvo type="min"/>
        <cfvo type="max"/>
        <color rgb="FF638EC6"/>
      </dataBar>
    </cfRule>
    <cfRule type="dataBar" priority="65">
      <dataBar>
        <cfvo type="min"/>
        <cfvo type="max"/>
        <color rgb="FF638EC6"/>
      </dataBar>
    </cfRule>
  </conditionalFormatting>
  <conditionalFormatting sqref="C18:E19">
    <cfRule type="dataBar" priority="543">
      <dataBar>
        <cfvo type="min"/>
        <cfvo type="max"/>
        <color rgb="FF638EC6"/>
      </dataBar>
    </cfRule>
    <cfRule type="dataBar" priority="583">
      <dataBar>
        <cfvo type="min"/>
        <cfvo type="max"/>
        <color rgb="FF638EC6"/>
      </dataBar>
    </cfRule>
  </conditionalFormatting>
  <conditionalFormatting sqref="C68:E68">
    <cfRule type="dataBar" priority="78">
      <dataBar>
        <cfvo type="min"/>
        <cfvo type="max"/>
        <color rgb="FF638EC6"/>
      </dataBar>
    </cfRule>
    <cfRule type="dataBar" priority="76">
      <dataBar>
        <cfvo type="min"/>
        <cfvo type="max"/>
        <color rgb="FF638EC6"/>
      </dataBar>
    </cfRule>
  </conditionalFormatting>
  <conditionalFormatting sqref="D31:D34">
    <cfRule type="dataBar" priority="788">
      <dataBar>
        <cfvo type="min"/>
        <cfvo type="max"/>
        <color rgb="FF638EC6"/>
      </dataBar>
    </cfRule>
    <cfRule type="dataBar" priority="789">
      <dataBar>
        <cfvo type="min"/>
        <cfvo type="max"/>
        <color rgb="FF638EC6"/>
      </dataBar>
    </cfRule>
  </conditionalFormatting>
  <conditionalFormatting sqref="D56">
    <cfRule type="dataBar" priority="608">
      <dataBar>
        <cfvo type="min"/>
        <cfvo type="max"/>
        <color rgb="FF638EC6"/>
      </dataBar>
    </cfRule>
    <cfRule type="dataBar" priority="129">
      <dataBar>
        <cfvo type="min"/>
        <cfvo type="max"/>
        <color rgb="FF638EC6"/>
      </dataBar>
    </cfRule>
  </conditionalFormatting>
  <conditionalFormatting sqref="D69">
    <cfRule type="dataBar" priority="72">
      <dataBar>
        <cfvo type="min"/>
        <cfvo type="max"/>
        <color rgb="FF638EC6"/>
      </dataBar>
    </cfRule>
    <cfRule type="dataBar" priority="75">
      <dataBar>
        <cfvo type="min"/>
        <cfvo type="max"/>
        <color rgb="FF638EC6"/>
      </dataBar>
    </cfRule>
  </conditionalFormatting>
  <conditionalFormatting sqref="E31:E34">
    <cfRule type="dataBar" priority="790">
      <dataBar>
        <cfvo type="min"/>
        <cfvo type="max"/>
        <color rgb="FF638EC6"/>
      </dataBar>
    </cfRule>
    <cfRule type="dataBar" priority="791">
      <dataBar>
        <cfvo type="min"/>
        <cfvo type="max"/>
        <color rgb="FF638EC6"/>
      </dataBar>
    </cfRule>
  </conditionalFormatting>
  <conditionalFormatting sqref="E49">
    <cfRule type="dataBar" priority="52">
      <dataBar>
        <cfvo type="min"/>
        <cfvo type="max"/>
        <color rgb="FF638EC6"/>
      </dataBar>
    </cfRule>
    <cfRule type="dataBar" priority="53">
      <dataBar>
        <cfvo type="min"/>
        <cfvo type="max"/>
        <color rgb="FF638EC6"/>
      </dataBar>
    </cfRule>
  </conditionalFormatting>
  <conditionalFormatting sqref="G17">
    <cfRule type="dataBar" priority="20">
      <dataBar>
        <cfvo type="min"/>
        <cfvo type="max"/>
        <color rgb="FF638EC6"/>
      </dataBar>
    </cfRule>
    <cfRule type="dataBar" priority="22">
      <dataBar>
        <cfvo type="min"/>
        <cfvo type="max"/>
        <color rgb="FF638EC6"/>
      </dataBar>
    </cfRule>
  </conditionalFormatting>
  <conditionalFormatting sqref="G18:G19 G16">
    <cfRule type="dataBar" priority="551">
      <dataBar>
        <cfvo type="min"/>
        <cfvo type="max"/>
        <color rgb="FF638EC6"/>
      </dataBar>
    </cfRule>
    <cfRule type="dataBar" priority="611">
      <dataBar>
        <cfvo type="min"/>
        <cfvo type="max"/>
        <color rgb="FF638EC6"/>
      </dataBar>
    </cfRule>
  </conditionalFormatting>
  <conditionalFormatting sqref="G20">
    <cfRule type="dataBar" priority="17">
      <dataBar>
        <cfvo type="min"/>
        <cfvo type="max"/>
        <color rgb="FF638EC6"/>
      </dataBar>
    </cfRule>
    <cfRule type="dataBar" priority="16">
      <dataBar>
        <cfvo type="min"/>
        <cfvo type="max"/>
        <color rgb="FF638EC6"/>
      </dataBar>
    </cfRule>
  </conditionalFormatting>
  <conditionalFormatting sqref="G68">
    <cfRule type="dataBar" priority="77">
      <dataBar>
        <cfvo type="min"/>
        <cfvo type="max"/>
        <color rgb="FF638EC6"/>
      </dataBar>
    </cfRule>
    <cfRule type="dataBar" priority="79">
      <dataBar>
        <cfvo type="min"/>
        <cfvo type="max"/>
        <color rgb="FF638EC6"/>
      </dataBar>
    </cfRule>
  </conditionalFormatting>
  <conditionalFormatting sqref="K37:K41">
    <cfRule type="dataBar" priority="832">
      <dataBar>
        <cfvo type="min"/>
        <cfvo type="max"/>
        <color rgb="FF638EC6"/>
      </dataBar>
    </cfRule>
    <cfRule type="dataBar" priority="833">
      <dataBar>
        <cfvo type="min"/>
        <cfvo type="max"/>
        <color rgb="FF638EC6"/>
      </dataBar>
    </cfRule>
  </conditionalFormatting>
  <conditionalFormatting sqref="K56:K57">
    <cfRule type="dataBar" priority="128">
      <dataBar>
        <cfvo type="min"/>
        <cfvo type="max"/>
        <color rgb="FF638EC6"/>
      </dataBar>
    </cfRule>
    <cfRule type="dataBar" priority="616">
      <dataBar>
        <cfvo type="min"/>
        <cfvo type="max"/>
        <color rgb="FF638EC6"/>
      </dataBar>
    </cfRule>
  </conditionalFormatting>
  <dataValidations count="10">
    <dataValidation type="list" allowBlank="1" showInputMessage="1" sqref="G15:G28 G30:G33 G36:G41 G43:G45 G49:G52 G56:G57 G59:G63 G65:G66 G68:G75 G77:G80" xr:uid="{00000000-0002-0000-0000-000000000000}">
      <formula1>"Thấp,Trung bình,Cao,Khó và phức tạp"</formula1>
    </dataValidation>
    <dataValidation type="list" allowBlank="1" showInputMessage="1" sqref="E18:E28 E30:E34 E37:E41 E43:E46 E49:E52 E54 E57 E59:E60 E62:E63 E65 E68:E73 E75" xr:uid="{00000000-0002-0000-0000-000001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17:C19 C30:C33 C36:C39 C44:C45 C49 C51:C52 C56:C57 C59:C60 C62:C63 C65 C68:C80" xr:uid="{00000000-0002-0000-0000-000002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5:D28 D30:D33 D36:D41 D43 D49:D50 D56:D57 D59:D60 D68:D69 D74:D75 D77:D78 E51:E52 E54 E72" xr:uid="{00000000-0002-0000-0000-000003000000}">
      <formula1>"Phòng QLĐT&amp;BĐCL, Phòng TH-HC&amp;QT, Phòng QLKHCN&amp;HTPT, Phòng TC-KT, Phòng  TCCB&amp;CTHSSV, Khoa Sư phạm, Khoa CKHCB, Khoa KT&amp;NL, Khoa Y – Dược, Khoa ĐT&amp;SHLX, Khoa KT&amp;CN"</formula1>
    </dataValidation>
    <dataValidation allowBlank="1" showInputMessage="1" sqref="E74 E77:E78 H15:K28 H30:K34 H36:K41 H43:K47 H49:K54 H56:K57 H59:J81" xr:uid="{00000000-0002-0000-0000-000004000000}"/>
    <dataValidation type="list" allowBlank="1" showInputMessage="1" sqref="D62:D63 D65 D73 D79:D80" xr:uid="{00000000-0002-0000-0000-000005000000}">
      <formula1>"Phòng QLĐT &amp;BĐCL, Phòng TH -HC&amp;QT, Phòng QLKHCN &amp;HTPT, Phòng TC-KT, Phòng  TCCB&amp;CTHSSV, Khoa Sư phạm, Khoa CKHCB, Khoa KT&amp;NL, Khoa Y – Dược, Khoa ĐT&amp;SHLX, Khoa KT&amp;CN"</formula1>
    </dataValidation>
    <dataValidation type="list" allowBlank="1" showErrorMessage="1" sqref="E15:E17 E36 E62:E63 E65 E73 E80" xr:uid="{00000000-0002-0000-0000-000006000000}">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ErrorMessage="1" sqref="C15:C16 C43 C50" xr:uid="{00000000-0002-0000-0000-000007000000}">
      <formula1>"Hiệu trưởng,PHT Nguyễn Trung Hiếu,PHT Huỳnh Văn Chung,PHT Dương Văn Anh Dũng"</formula1>
    </dataValidation>
    <dataValidation type="list" allowBlank="1" sqref="C40:C41" xr:uid="{00000000-0002-0000-0000-000008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howInputMessage="1" showErrorMessage="1" sqref="C20:C28" xr:uid="{00000000-0002-0000-0000-000009000000}">
      <formula1>"Hiệu trưởng, PHT Nguyễn Trung Hiếu, PHT Huỳnh Văn Chung, PHT Dương Văn Anh Dũng"</formula1>
    </dataValidation>
  </dataValidations>
  <printOptions horizontalCentered="1"/>
  <pageMargins left="0.7" right="0.7" top="0.6" bottom="0.5" header="0.3" footer="0.3"/>
  <pageSetup paperSize="9" orientation="landscape"/>
  <headerFooter differentFirst="1">
    <oddHeader>&amp;C&amp;"Times New Roman,Regular"&amp;14 &amp;P</oddHeader>
  </headerFooter>
  <rowBreaks count="6" manualBreakCount="6">
    <brk id="15" max="10" man="1"/>
    <brk id="42" max="10" man="1"/>
    <brk id="30" max="10" man="1"/>
    <brk id="44" max="10" man="1"/>
    <brk id="54" max="10" man="1"/>
    <brk id="6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KH Quý IV</vt:lpstr>
      <vt:lpstr>'KH Quý IV'!Print_Area</vt:lpstr>
      <vt:lpstr>'KH Quý IV'!Print_Titles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Nguyễn Phục</cp:lastModifiedBy>
  <cp:lastPrinted>2026-08-25T10:14:10Z</cp:lastPrinted>
  <dcterms:created xsi:type="dcterms:W3CDTF">2026-08-21T08:35:30Z</dcterms:created>
  <dcterms:modified xsi:type="dcterms:W3CDTF">2026-09-22T03:51:54Z</dcterms:modified>
</cp:coreProperties>
</file>