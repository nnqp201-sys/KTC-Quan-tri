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CLAUDE code\KTC-Quan-tri\30-Ket-Qua\2026-10-23\Bao-cao-thang-10\"/>
    </mc:Choice>
  </mc:AlternateContent>
  <xr:revisionPtr revIDLastSave="0" documentId="13_ncr:1_{CE27CCD1-8BDA-49EF-804D-239F7FFC58FA}" xr6:coauthVersionLast="47" xr6:coauthVersionMax="47" xr10:uidLastSave="{00000000-0000-0000-0000-000000000000}"/>
  <bookViews>
    <workbookView xWindow="3276" yWindow="2172" windowWidth="10428" windowHeight="10068" firstSheet="1" activeTab="1" xr2:uid="{00000000-000D-0000-FFFF-FFFF00000000}"/>
  </bookViews>
  <sheets>
    <sheet name="Quy ước màu" sheetId="1" r:id="rId1"/>
    <sheet name="BC Kết quả tháng 10" sheetId="2" r:id="rId2"/>
  </sheets>
  <definedNames>
    <definedName name="_xlnm.Print_Area" localSheetId="1">'BC Kết quả tháng 10'!$A$1:$P$42</definedName>
    <definedName name="_xlnm.Print_Titles" localSheetId="1">'BC Kết quả tháng 10'!$5:$6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2" i="2" l="1"/>
  <c r="O42" i="2" s="1"/>
  <c r="H42" i="2"/>
  <c r="I42" i="2" s="1"/>
  <c r="K41" i="2"/>
  <c r="H41" i="2"/>
  <c r="I41" i="2" s="1"/>
  <c r="K40" i="2"/>
  <c r="O40" i="2" s="1"/>
  <c r="H40" i="2"/>
  <c r="I40" i="2" s="1"/>
  <c r="K39" i="2"/>
  <c r="O39" i="2" s="1"/>
  <c r="H39" i="2"/>
  <c r="I39" i="2" s="1"/>
  <c r="K38" i="2"/>
  <c r="O38" i="2" s="1"/>
  <c r="H38" i="2"/>
  <c r="I38" i="2" s="1"/>
  <c r="K37" i="2"/>
  <c r="O37" i="2" s="1"/>
  <c r="H37" i="2"/>
  <c r="I37" i="2" s="1"/>
  <c r="J37" i="2" s="1"/>
  <c r="K36" i="2"/>
  <c r="O36" i="2" s="1"/>
  <c r="H36" i="2"/>
  <c r="I36" i="2" s="1"/>
  <c r="K35" i="2"/>
  <c r="O35" i="2" s="1"/>
  <c r="H35" i="2"/>
  <c r="I35" i="2" s="1"/>
  <c r="K34" i="2"/>
  <c r="O34" i="2" s="1"/>
  <c r="H34" i="2"/>
  <c r="I34" i="2" s="1"/>
  <c r="K32" i="2"/>
  <c r="H32" i="2"/>
  <c r="I32" i="2" s="1"/>
  <c r="O31" i="2"/>
  <c r="N31" i="2"/>
  <c r="K31" i="2"/>
  <c r="M31" i="2" s="1"/>
  <c r="H31" i="2"/>
  <c r="I31" i="2" s="1"/>
  <c r="K29" i="2"/>
  <c r="H29" i="2"/>
  <c r="I29" i="2" s="1"/>
  <c r="J29" i="2" s="1"/>
  <c r="J28" i="2" s="1"/>
  <c r="K27" i="2"/>
  <c r="H27" i="2"/>
  <c r="I27" i="2" s="1"/>
  <c r="K26" i="2"/>
  <c r="O26" i="2" s="1"/>
  <c r="H26" i="2"/>
  <c r="I26" i="2" s="1"/>
  <c r="K25" i="2"/>
  <c r="K24" i="2"/>
  <c r="M24" i="2" s="1"/>
  <c r="H24" i="2"/>
  <c r="I24" i="2" s="1"/>
  <c r="K23" i="2"/>
  <c r="O23" i="2" s="1"/>
  <c r="H23" i="2"/>
  <c r="I23" i="2" s="1"/>
  <c r="K22" i="2"/>
  <c r="H22" i="2"/>
  <c r="I22" i="2" s="1"/>
  <c r="K21" i="2"/>
  <c r="M21" i="2" s="1"/>
  <c r="H21" i="2"/>
  <c r="I21" i="2" s="1"/>
  <c r="K20" i="2"/>
  <c r="H20" i="2"/>
  <c r="I20" i="2" s="1"/>
  <c r="K17" i="2"/>
  <c r="M17" i="2" s="1"/>
  <c r="H17" i="2"/>
  <c r="I17" i="2" s="1"/>
  <c r="K16" i="2"/>
  <c r="M16" i="2" s="1"/>
  <c r="H16" i="2"/>
  <c r="I16" i="2" s="1"/>
  <c r="K15" i="2"/>
  <c r="O15" i="2" s="1"/>
  <c r="H15" i="2"/>
  <c r="I15" i="2" s="1"/>
  <c r="K14" i="2"/>
  <c r="O14" i="2" s="1"/>
  <c r="H14" i="2"/>
  <c r="I14" i="2" s="1"/>
  <c r="K13" i="2"/>
  <c r="M13" i="2" s="1"/>
  <c r="H13" i="2"/>
  <c r="I13" i="2" s="1"/>
  <c r="K12" i="2"/>
  <c r="O12" i="2" s="1"/>
  <c r="H12" i="2"/>
  <c r="I12" i="2" s="1"/>
  <c r="O11" i="2"/>
  <c r="K11" i="2"/>
  <c r="M11" i="2" s="1"/>
  <c r="N11" i="2" s="1"/>
  <c r="H11" i="2"/>
  <c r="I11" i="2" s="1"/>
  <c r="K10" i="2"/>
  <c r="H10" i="2"/>
  <c r="I10" i="2" s="1"/>
  <c r="J15" i="2" l="1"/>
  <c r="P15" i="2"/>
  <c r="J11" i="2"/>
  <c r="P11" i="2"/>
  <c r="M15" i="2"/>
  <c r="N15" i="2" s="1"/>
  <c r="O16" i="2"/>
  <c r="P16" i="2" s="1"/>
  <c r="M42" i="2"/>
  <c r="N42" i="2" s="1"/>
  <c r="M38" i="2"/>
  <c r="O13" i="2"/>
  <c r="P13" i="2" s="1"/>
  <c r="M34" i="2"/>
  <c r="M33" i="2" s="1"/>
  <c r="O17" i="2"/>
  <c r="M23" i="2"/>
  <c r="N23" i="2" s="1"/>
  <c r="O21" i="2"/>
  <c r="M12" i="2"/>
  <c r="N13" i="2"/>
  <c r="J13" i="2"/>
  <c r="P39" i="2"/>
  <c r="J39" i="2"/>
  <c r="N17" i="2"/>
  <c r="J17" i="2"/>
  <c r="P17" i="2"/>
  <c r="N35" i="2"/>
  <c r="P35" i="2"/>
  <c r="J35" i="2"/>
  <c r="P21" i="2"/>
  <c r="J21" i="2"/>
  <c r="N21" i="2"/>
  <c r="J23" i="2"/>
  <c r="P23" i="2"/>
  <c r="P10" i="2"/>
  <c r="P14" i="2"/>
  <c r="P32" i="2"/>
  <c r="J40" i="2"/>
  <c r="P40" i="2"/>
  <c r="J10" i="2"/>
  <c r="N12" i="2"/>
  <c r="J12" i="2"/>
  <c r="J14" i="2"/>
  <c r="N16" i="2"/>
  <c r="J16" i="2"/>
  <c r="L26" i="2"/>
  <c r="O29" i="2"/>
  <c r="O28" i="2" s="1"/>
  <c r="K28" i="2"/>
  <c r="M29" i="2"/>
  <c r="M28" i="2" s="1"/>
  <c r="J32" i="2"/>
  <c r="O10" i="2"/>
  <c r="K9" i="2"/>
  <c r="M26" i="2"/>
  <c r="L29" i="2"/>
  <c r="L28" i="2" s="1"/>
  <c r="O32" i="2"/>
  <c r="O30" i="2" s="1"/>
  <c r="M32" i="2"/>
  <c r="N32" i="2" s="1"/>
  <c r="N30" i="2" s="1"/>
  <c r="L32" i="2"/>
  <c r="P37" i="2"/>
  <c r="L40" i="2"/>
  <c r="L10" i="2"/>
  <c r="L12" i="2"/>
  <c r="L14" i="2"/>
  <c r="L16" i="2"/>
  <c r="N24" i="2"/>
  <c r="J24" i="2"/>
  <c r="K30" i="2"/>
  <c r="P38" i="2"/>
  <c r="J38" i="2"/>
  <c r="M40" i="2"/>
  <c r="N40" i="2" s="1"/>
  <c r="M10" i="2"/>
  <c r="N10" i="2" s="1"/>
  <c r="M14" i="2"/>
  <c r="N14" i="2" s="1"/>
  <c r="J27" i="2"/>
  <c r="K33" i="2"/>
  <c r="P12" i="2"/>
  <c r="J20" i="2"/>
  <c r="J22" i="2"/>
  <c r="L24" i="2"/>
  <c r="M27" i="2"/>
  <c r="N27" i="2" s="1"/>
  <c r="L27" i="2"/>
  <c r="J36" i="2"/>
  <c r="P36" i="2"/>
  <c r="J41" i="2"/>
  <c r="K19" i="2"/>
  <c r="M20" i="2"/>
  <c r="O22" i="2"/>
  <c r="P22" i="2" s="1"/>
  <c r="M22" i="2"/>
  <c r="N22" i="2" s="1"/>
  <c r="O24" i="2"/>
  <c r="P24" i="2" s="1"/>
  <c r="N38" i="2"/>
  <c r="M41" i="2"/>
  <c r="N41" i="2" s="1"/>
  <c r="L41" i="2"/>
  <c r="L20" i="2"/>
  <c r="L22" i="2"/>
  <c r="O27" i="2"/>
  <c r="O25" i="2" s="1"/>
  <c r="P31" i="2"/>
  <c r="J31" i="2"/>
  <c r="L36" i="2"/>
  <c r="L11" i="2"/>
  <c r="L15" i="2"/>
  <c r="O20" i="2"/>
  <c r="M30" i="2"/>
  <c r="P34" i="2"/>
  <c r="J34" i="2"/>
  <c r="M36" i="2"/>
  <c r="N36" i="2" s="1"/>
  <c r="O41" i="2"/>
  <c r="P41" i="2" s="1"/>
  <c r="P42" i="2"/>
  <c r="J42" i="2"/>
  <c r="L23" i="2"/>
  <c r="J26" i="2"/>
  <c r="P26" i="2"/>
  <c r="N29" i="2"/>
  <c r="N28" i="2" s="1"/>
  <c r="N34" i="2"/>
  <c r="M37" i="2"/>
  <c r="N37" i="2" s="1"/>
  <c r="L37" i="2"/>
  <c r="L35" i="2"/>
  <c r="L39" i="2"/>
  <c r="L13" i="2"/>
  <c r="L17" i="2"/>
  <c r="M35" i="2"/>
  <c r="M39" i="2"/>
  <c r="N39" i="2" s="1"/>
  <c r="L21" i="2"/>
  <c r="L31" i="2"/>
  <c r="L30" i="2" s="1"/>
  <c r="L34" i="2"/>
  <c r="L38" i="2"/>
  <c r="L42" i="2"/>
  <c r="M25" i="2" l="1"/>
  <c r="P30" i="2"/>
  <c r="M19" i="2"/>
  <c r="O9" i="2"/>
  <c r="P29" i="2"/>
  <c r="P28" i="2" s="1"/>
  <c r="N9" i="2"/>
  <c r="N20" i="2"/>
  <c r="N19" i="2" s="1"/>
  <c r="J9" i="2"/>
  <c r="N33" i="2"/>
  <c r="L33" i="2"/>
  <c r="J33" i="2"/>
  <c r="P33" i="2"/>
  <c r="L9" i="2"/>
  <c r="N26" i="2"/>
  <c r="N25" i="2" s="1"/>
  <c r="O19" i="2"/>
  <c r="P20" i="2"/>
  <c r="P19" i="2" s="1"/>
  <c r="M9" i="2"/>
  <c r="L25" i="2"/>
  <c r="O33" i="2"/>
  <c r="P9" i="2"/>
  <c r="L19" i="2"/>
  <c r="J25" i="2"/>
  <c r="P27" i="2"/>
  <c r="P25" i="2" s="1"/>
  <c r="J30" i="2"/>
  <c r="J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B17" authorId="0" shapeId="0" xr:uid="{00000000-0006-0000-0100-000001000000}">
      <text>
        <r>
          <rPr>
            <sz val="11"/>
            <color theme="1"/>
            <rFont val="Calibri"/>
            <family val="2"/>
            <scheme val="minor"/>
          </rPr>
          <t>Chờ xác nhận: Đối chiếu gần đúng: 4 báo cáo khảo sát (BC 431, 433, 454, 437) của Phòng QLKHCN&amp;HTPT khớp SL 4 của KH-983 mục 1.8, nhưng BC 431 là rà soát người dạy nghề. Đề nghị đơn vị xác nhận.</t>
        </r>
      </text>
    </comment>
    <comment ref="B24" authorId="0" shapeId="0" xr:uid="{00000000-0006-0000-0100-000002000000}">
      <text>
        <r>
          <rPr>
            <sz val="11"/>
            <color theme="1"/>
            <rFont val="Calibri"/>
            <family val="2"/>
            <scheme val="minor"/>
          </rPr>
          <t>Chờ xác nhận: Không có báo cáo của Khoa CKHCB hay Phòng QLKHCN&amp;HTPT về công cụ học liệu dạy học tích hợp (Phụ lục IIa, IIb). Dự thảo ghi hoàn thành 100%. Đề nghị đơn vị xác nhận trước khi chốt.</t>
        </r>
      </text>
    </comment>
    <comment ref="D24" authorId="0" shapeId="0" xr:uid="{00000000-0006-0000-0100-000003000000}">
      <text>
        <r>
          <rPr>
            <sz val="11"/>
            <color theme="1"/>
            <rFont val="Calibri"/>
            <family val="2"/>
            <scheme val="minor"/>
          </rPr>
          <t>Giá trị cũ: Phòng QLKHCN&amp;HTPT
Lý do: Kế hoạch số 983/KH-CĐKT mục 3.12 giao Khoa CKHCB chủ trì; dự thảo ghi Phòng QLKHCN&amp;HTPT.</t>
        </r>
      </text>
    </comment>
    <comment ref="K26" authorId="0" shapeId="0" xr:uid="{00000000-0006-0000-0100-000004000000}">
      <text>
        <r>
          <rPr>
            <sz val="11"/>
            <color theme="1"/>
            <rFont val="Calibri"/>
            <family val="2"/>
            <scheme val="minor"/>
          </rPr>
          <t>Chờ xác nhận: BPVPĐU chưa nộp báo cáo kết quả. KPI số lượng 50% (2,5/5) do người lập đặt, chưa có căn cứ trong hồ sơ.</t>
        </r>
      </text>
    </comment>
    <comment ref="M29" authorId="0" shapeId="0" xr:uid="{00000000-0006-0000-0100-000005000000}">
      <text>
        <r>
          <rPr>
            <sz val="11"/>
            <color theme="1"/>
            <rFont val="Calibri"/>
            <family val="2"/>
            <scheme val="minor"/>
          </rPr>
          <t>Giá trị cũ: =K29*1
Lý do: Phòng TCCB&amp;CTHSSV tự chấm KPI chất lượng 0,75 (Phụ lục IIb dòng 1.4); dự thảo ghi 1.</t>
        </r>
      </text>
    </comment>
    <comment ref="O29" authorId="0" shapeId="0" xr:uid="{00000000-0006-0000-0100-000006000000}">
      <text>
        <r>
          <rPr>
            <sz val="11"/>
            <color theme="1"/>
            <rFont val="Calibri"/>
            <family val="2"/>
            <scheme val="minor"/>
          </rPr>
          <t>Giá trị cũ: =K29*1
Lý do: Phòng TCCB&amp;CTHSSV tự chấm KPI tiến độ 0,5 (Phụ lục IIb dòng 1.4); dự thảo ghi 1.</t>
        </r>
      </text>
    </comment>
    <comment ref="B33" authorId="0" shapeId="0" xr:uid="{00000000-0006-0000-0100-000007000000}">
      <text>
        <r>
          <rPr>
            <sz val="11"/>
            <color theme="1"/>
            <rFont val="Calibri"/>
            <family val="2"/>
            <scheme val="minor"/>
          </rPr>
          <t>Giá trị cũ: CÁC NHIỆM VỤ CHƯA HOÀN THÀNH, ĐANG TRIỂN KHAI THỰC HIỆN (CHUYỂN SANG THÁNG SAU)
Lý do: Tiêu đề cũ “Các nhiệm vụ chưa hoàn thành, đang triển khai thực hiện (chuyển sang tháng sau)” không khớp nội dung: 5/5 dòng cũ có KPI 100%. Dùng đúng tiêu đề mục II của Kế hoạch số 983/KH-CĐKT.</t>
        </r>
      </text>
    </comment>
    <comment ref="B34" authorId="0" shapeId="0" xr:uid="{00000000-0006-0000-0100-000008000000}">
      <text>
        <r>
          <rPr>
            <sz val="11"/>
            <color theme="1"/>
            <rFont val="Calibri"/>
            <family val="2"/>
            <scheme val="minor"/>
          </rPr>
          <t>Chờ xác nhận: Không tìm thấy nội dung “thanh lý tài sản” trong bất kỳ báo cáo đơn vị nào (Phòng TH-HC&amp;QT chưa điền kết quả Phụ lục IIb). Báo cáo Word mục I.1 ghi đã thực hiện nhưng mục III.5 lại ghi “tiếp tục”. Đề nghị Phòng TH-HC&amp;QT xác nhận.</t>
        </r>
      </text>
    </comment>
    <comment ref="B37" authorId="0" shapeId="0" xr:uid="{00000000-0006-0000-0100-000009000000}">
      <text>
        <r>
          <rPr>
            <sz val="11"/>
            <color theme="1"/>
            <rFont val="Calibri"/>
            <family val="2"/>
            <scheme val="minor"/>
          </rPr>
          <t>Chờ xác nhận: BPVPĐU chưa nộp báo cáo. Hồ sơ Phòng QLKHCN&amp;HTPT chỉ ghi Báo cáo số 120-BC/ĐU ngày 06/10/2026 về nhiệm vụ tháng 9, không phải báo cáo sơ kết quý III. Đề nghị Văn phòng Đảng ủy xác nhận.</t>
        </r>
      </text>
    </comment>
    <comment ref="B38" authorId="0" shapeId="0" xr:uid="{00000000-0006-0000-0100-00000A000000}">
      <text>
        <r>
          <rPr>
            <sz val="11"/>
            <color theme="1"/>
            <rFont val="Calibri"/>
            <family val="2"/>
            <scheme val="minor"/>
          </rPr>
          <t>Chờ xác nhận: Công đoàn cơ sở tự ghi “Cơ bản hoàn thành (khám sức khỏe đang thực hiện)”; dự thảo tính KPI 100%.</t>
        </r>
      </text>
    </comment>
    <comment ref="A39" authorId="0" shapeId="0" xr:uid="{00000000-0006-0000-0100-00000B000000}">
      <text>
        <r>
          <rPr>
            <sz val="11"/>
            <color theme="1"/>
            <rFont val="Calibri"/>
            <family val="2"/>
            <scheme val="minor"/>
          </rPr>
          <t>Giá trị cũ: 1.6 (mục I, Trục 1)
Lý do: Chuyển từ mục I (dòng 1.6 cũ) sang mục II vì đây là nhiệm vụ mục II.2 của Kế hoạch số 983/KH-CĐKT (đột xuất, chuyển từ tháng trước sang).</t>
        </r>
      </text>
    </comment>
    <comment ref="B41" authorId="0" shapeId="0" xr:uid="{00000000-0006-0000-0100-00000C000000}">
      <text>
        <r>
          <rPr>
            <sz val="11"/>
            <color theme="1"/>
            <rFont val="Calibri"/>
            <family val="2"/>
            <scheme val="minor"/>
          </rPr>
          <t>Chờ xác nhận: Đối chiếu gần đúng: Kế hoạch số 957/KH-CĐKT triển khai Công văn 2514-CV/ĐU về Nghị quyết 398/NQ-UBTVQH16 và Phong trào Bình dân học vụ số. Chưa có Task_ID để khẳng định cùng một nhiệm vụ.</t>
        </r>
      </text>
    </comment>
  </commentList>
</comments>
</file>

<file path=xl/sharedStrings.xml><?xml version="1.0" encoding="utf-8"?>
<sst xmlns="http://schemas.openxmlformats.org/spreadsheetml/2006/main" count="327" uniqueCount="211">
  <si>
    <t>QUY ƯỚC MÀU — Phụ lục kết quả công tác tháng 10 năm 2026 (bản rà soát)</t>
  </si>
  <si>
    <t>Bản sao từ “2. Phu luc chi tiet ket qua cong tac thang 10.2026.xlsx”. Tệp gốc giữ nguyên. Đối chiếu với Kế hoạch số 983/KH-CĐKT (kế hoạch tháng 10) và Phụ lục IIb các đơn vị nộp. Chưa có cột Task_ID nên mọi đối chiếu là GẦN ĐÚNG.</t>
  </si>
  <si>
    <t>Mẫu</t>
  </si>
  <si>
    <t>Ô đã sửa</t>
  </si>
  <si>
    <t>Chữ đỏ đậm + nền vàng nhạt; di chuột vào ô để xem giá trị cũ và lý do</t>
  </si>
  <si>
    <t>Nội dung bổ sung mới</t>
  </si>
  <si>
    <t>Chữ xanh dương (cả dòng nhiệm vụ thêm mới)</t>
  </si>
  <si>
    <t>Chờ quyết</t>
  </si>
  <si>
    <t>Nền cam nhạt: chưa sửa số, chờ đơn vị / người có thẩm quyền xác nhận</t>
  </si>
  <si>
    <t>Đề nghị bỏ</t>
  </si>
  <si>
    <t>Chữ đỏ gạch ngang + nền vàng nhạt (dòng đã hoàn thành hoặc trùng)</t>
  </si>
  <si>
    <t>NHẬT KÝ SỬA ĐỔI</t>
  </si>
  <si>
    <t>STT</t>
  </si>
  <si>
    <t>Loại</t>
  </si>
  <si>
    <t>Vị trí</t>
  </si>
  <si>
    <t>Nội dung cũ</t>
  </si>
  <si>
    <t>Nội dung mới / đề xuất</t>
  </si>
  <si>
    <t>Căn cứ</t>
  </si>
  <si>
    <t>Bổ sung</t>
  </si>
  <si>
    <t>Dòng 15 (1.6)</t>
  </si>
  <si>
    <t>Đánh giá ngoài chất lượng chương trình đào tạo ngành, nghề Lâm sinh | Phòng QLĐT&amp;BĐCL</t>
  </si>
  <si>
    <t>Phụ lục IIb Phòng QLĐT&amp;BĐCL dòng 1.6 (KPI 1/1/1); báo cáo IIa mục 1.1b; KH-983 mục 1.6</t>
  </si>
  <si>
    <t>Dòng 16 (1.7)</t>
  </si>
  <si>
    <t>Thẩm định, ban hành quy trình bảo đảm chất lượng đợt 2 năm 2026 | Phòng QLĐT&amp;BĐCL</t>
  </si>
  <si>
    <t>Phụ lục IIb Phòng QLĐT&amp;BĐCL dòng 1.7 (SL 3, KPI 3/3/3); KH-983 mục 1.7</t>
  </si>
  <si>
    <t>Dòng 17 (1.8)</t>
  </si>
  <si>
    <t>Báo cáo kết quả khảo sát các bên liên quan về hoạt động của nhà trường và chất lượng các CTĐT năm 2026 | Phòng QLKHCN&amp;HTPT</t>
  </si>
  <si>
    <t>Phụ lục IIb Phòng QLKHCN&amp;HTPT dòng 9-12 (BC số 431, 433, 454, 437/BC-CĐKT, KPI 1/1/1); KH-983 mục 1.8. ĐỐI CHIẾU GẦN ĐÚNG (chưa có Task_ID)</t>
  </si>
  <si>
    <t>Dòng 40 (7)</t>
  </si>
  <si>
    <t>Rà soát, đăng ký loại bỏ các ngành, nghề đào tạo không còn phù hợp, nguồn tuyển sinh hạn chế | Phòng QLĐT&amp;BĐCL</t>
  </si>
  <si>
    <t>Phụ lục IIb Phòng QLĐT&amp;BĐCL dòng 1.8 (KPI 1/1/1); KH-983 mục II.1</t>
  </si>
  <si>
    <t>Dòng 41 (8)</t>
  </si>
  <si>
    <t>Kế hoạch triển khai thực hiện Nghị quyết số 398/NQ-UBTVQH16 ngày 08/8/2026 về việc phê chuẩn bộ học liệu đa phương tiện (tập 1) - bài giảng và câu hỏi trắc nghi | Phòng QLKHCN&amp;HTPT</t>
  </si>
  <si>
    <t>Phụ lục IIb Phòng QLKHCN&amp;HTPT dòng 1 (Kế hoạch số 957/KH-CĐKT ngày 29/9/2026, KPI 1/1/1); KH-983 mục II.20. ĐỐI CHIẾU GẦN ĐÚNG</t>
  </si>
  <si>
    <t>Dòng 42 (9)</t>
  </si>
  <si>
    <t>Xây dựng Chương trình Công tác Đoàn và phong trào thanh niên năm học 2026-2027 | Đoàn TN - Hội SV</t>
  </si>
  <si>
    <t>Phụ lục IIb Đoàn TN dòng 4.1 (KPI 1/0,75/1); KH-983 mục II.13</t>
  </si>
  <si>
    <t>Sửa</t>
  </si>
  <si>
    <t>B33</t>
  </si>
  <si>
    <t>CÁC NHIỆM VỤ CHƯA HOÀN THÀNH, ĐANG TRIỂN KHAI THỰC HIỆN (CHUYỂN SANG THÁNG SAU)</t>
  </si>
  <si>
    <t>Các nhiệm vụ đột xuất, phát sinh khác ngoài kế hoạch, từ tháng trước chuyển sang</t>
  </si>
  <si>
    <t>Tiêu đề cũ “Các nhiệm vụ chưa hoàn thành, đang triển khai thực hiện (chuyển sang tháng sau)” không khớp nội dung: 5/5 dòng cũ có KPI 100%. Dùng đúng tiêu đề mục II của Kế hoạch số 983/KH-CĐKT.</t>
  </si>
  <si>
    <t>Cột (10) các dòng tổng Trục và mục II (J9, J19, J25, J28, J30, J33)</t>
  </si>
  <si>
    <t>để trống</t>
  </si>
  <si>
    <t>=SUM(...) như PL-375</t>
  </si>
  <si>
    <t>Bản dự thảo thiếu tổng cột (10) “Số lượng quy đổi”; PL-375 đã ban hành có tổng cột này.</t>
  </si>
  <si>
    <t>M29</t>
  </si>
  <si>
    <t>=K29*1</t>
  </si>
  <si>
    <t>=K29*0.75</t>
  </si>
  <si>
    <t>Phòng TCCB&amp;CTHSSV tự chấm KPI chất lượng 0,75 (Phụ lục IIb dòng 1.4); dự thảo ghi 1.</t>
  </si>
  <si>
    <t>O29</t>
  </si>
  <si>
    <t>=K29*0.5</t>
  </si>
  <si>
    <t>Phòng TCCB&amp;CTHSSV tự chấm KPI tiến độ 0,5 (Phụ lục IIb dòng 1.4); dự thảo ghi 1.</t>
  </si>
  <si>
    <t>D24</t>
  </si>
  <si>
    <t>Phòng QLKHCN&amp;HTPT</t>
  </si>
  <si>
    <t>Khoa CKHCB</t>
  </si>
  <si>
    <t>Kế hoạch số 983/KH-CĐKT mục 3.12 giao Khoa CKHCB chủ trì; dự thảo ghi Phòng QLKHCN&amp;HTPT.</t>
  </si>
  <si>
    <t>B24</t>
  </si>
  <si>
    <t>Xây dựng công cụ thiết kế bộ học liệu hỗ trợ dạy học tích hợp (bảng quy trình, phiếu đánh giá thực hiện, phiếu học tập, phiếu hướng dẫn luyện tập)</t>
  </si>
  <si>
    <t>(giữ nguyên)</t>
  </si>
  <si>
    <t>Không có báo cáo của Khoa CKHCB hay Phòng QLKHCN&amp;HTPT về công cụ học liệu dạy học tích hợp (Phụ lục IIa, IIb). Dự thảo ghi hoàn thành 100%. Đề nghị đơn vị xác nhận trước khi chốt.</t>
  </si>
  <si>
    <t>K26</t>
  </si>
  <si>
    <t>=F26*0.5</t>
  </si>
  <si>
    <t>BPVPĐU chưa nộp báo cáo kết quả. KPI số lượng 50% (2,5/5) do người lập đặt, chưa có căn cứ trong hồ sơ.</t>
  </si>
  <si>
    <t>B34</t>
  </si>
  <si>
    <t>Rà soát, đánh giá, thanh lý tài sản năm 2026</t>
  </si>
  <si>
    <t>Không tìm thấy nội dung “thanh lý tài sản” trong bất kỳ báo cáo đơn vị nào (Phòng TH-HC&amp;QT chưa điền kết quả Phụ lục IIb). Báo cáo Word mục I.1 ghi đã thực hiện nhưng mục III.5 lại ghi “tiếp tục”. Đề nghị Phòng TH-HC&amp;QT xác nhận.</t>
  </si>
  <si>
    <t>B37</t>
  </si>
  <si>
    <t>Báo cáo sơ kết công tác quý III và phương hướng, nhiệm vụ công tác quý IV năm 2026 của Đảng ủy Trường.</t>
  </si>
  <si>
    <t>BPVPĐU chưa nộp báo cáo. Hồ sơ Phòng QLKHCN&amp;HTPT chỉ ghi Báo cáo số 120-BC/ĐU ngày 06/10/2026 về nhiệm vụ tháng 9, không phải báo cáo sơ kết quý III. Đề nghị Văn phòng Đảng ủy xác nhận.</t>
  </si>
  <si>
    <t>B38</t>
  </si>
  <si>
    <t>Tổ chức các hoạt động chào mừng Ngày Phụ nữ Việt Nam 20/10</t>
  </si>
  <si>
    <t>Công đoàn cơ sở tự ghi “Cơ bản hoàn thành (khám sức khỏe đang thực hiện)”; dự thảo tính KPI 100%.</t>
  </si>
  <si>
    <t>A39</t>
  </si>
  <si>
    <t>1.6 (mục I, Trục 1)</t>
  </si>
  <si>
    <t>6</t>
  </si>
  <si>
    <t>Chuyển từ mục I (dòng 1.6 cũ) sang mục II vì đây là nhiệm vụ mục II.2 của Kế hoạch số 983/KH-CĐKT (đột xuất, chuyển từ tháng trước sang).</t>
  </si>
  <si>
    <t>Bản cũ dòng 1.6</t>
  </si>
  <si>
    <t>Mục I Trục 1, số thứ tự 1.6</t>
  </si>
  <si>
    <t>Mục II, dòng 39</t>
  </si>
  <si>
    <t>Nhiệm vụ này thuộc mục II của KH-983; số 1.6 nay dành cho “Đánh giá ngoài chương trình đào tạo nghề Lâm sinh” (KH-983 mục 1.6)</t>
  </si>
  <si>
    <t>B41</t>
  </si>
  <si>
    <t>Kế hoạch triển khai thực hiện Nghị quyết số 398/NQ-UBTVQH16 ngày 08/8/2026 về việc phê chuẩn bộ học liệu đa phương tiện (tập 1) - bài giảng và câu hỏi trắc nghiệm kiến thức, kỹ năng số cơ bản (micro-learning) dùng cho cán bộ, công chức, viên chức và người lao động trong khối cơ quan nhà nước; lan tỏa phong trào “bình dân học vụ số” cho các tổ chức, cơ quan, đơn vị, địa phương trong toàn hệ thống c</t>
  </si>
  <si>
    <t>Đối chiếu gần đúng: Kế hoạch số 957/KH-CĐKT triển khai Công văn 2514-CV/ĐU về Nghị quyết 398/NQ-UBTVQH16 và Phong trào Bình dân học vụ số. Chưa có Task_ID để khẳng định cùng một nhiệm vụ.</t>
  </si>
  <si>
    <t>B17</t>
  </si>
  <si>
    <t>Báo cáo kết quả khảo sát các bên liên quan về hoạt động của nhà trường và chất lượng các CTĐT năm 2026</t>
  </si>
  <si>
    <t>Đối chiếu gần đúng: 4 báo cáo khảo sát (BC 431, 433, 454, 437) của Phòng QLKHCN&amp;HTPT khớp SL 4 của KH-983 mục 1.8, nhưng BC 431 là rà soát người dạy nghề. Đề nghị đơn vị xác nhận.</t>
  </si>
  <si>
    <t>UBND TỈNH QUẢNG NGÃI</t>
  </si>
  <si>
    <t>CỘNG HÒA XÃ HỘI CHỦ NGHĨA VIỆT NAM</t>
  </si>
  <si>
    <t>TRƯỜNG CAO ĐẲNG KON TUM</t>
  </si>
  <si>
    <t>Độc lập - Tự do - Hạnh phúc</t>
  </si>
  <si>
    <t>Phụ lục
KẾT QUẢ THỰC HIỆN CÔNG TÁC THÁNG 10 NĂM 2026 CỦA TRƯỜNG CAO ĐẲNG KON TUM</t>
  </si>
  <si>
    <t>TT</t>
  </si>
  <si>
    <t>NỘI DUNG CÔNG VIỆC</t>
  </si>
  <si>
    <t>Người trực tiếp chỉ đạo</t>
  </si>
  <si>
    <t>Đơn vị chủ trì</t>
  </si>
  <si>
    <t>Sản phẩm/ Công việc</t>
  </si>
  <si>
    <t>Số lượng</t>
  </si>
  <si>
    <t>Độ khó, mới, phức tạp; phạm vi tác
động</t>
  </si>
  <si>
    <t>Điểm chấm công việc</t>
  </si>
  <si>
    <t>Hệ số quy đổi</t>
  </si>
  <si>
    <t>Số lượng quy đổi</t>
  </si>
  <si>
    <t>KPI (số lượng)</t>
  </si>
  <si>
    <t>KPI (chất lượng)</t>
  </si>
  <si>
    <t>KPI (tiến độ)</t>
  </si>
  <si>
    <t>Thực tế hoàn thành</t>
  </si>
  <si>
    <t>Quy đổi</t>
  </si>
  <si>
    <t>(1)</t>
  </si>
  <si>
    <t>(2)</t>
  </si>
  <si>
    <t>(3)</t>
  </si>
  <si>
    <t>(4)</t>
  </si>
  <si>
    <t>(5)</t>
  </si>
  <si>
    <t>(6)</t>
  </si>
  <si>
    <t>(7)</t>
  </si>
  <si>
    <t>(8)</t>
  </si>
  <si>
    <t>(9)= (8)* 1%</t>
  </si>
  <si>
    <t>(10)= (6)* (9)</t>
  </si>
  <si>
    <t>(11)=(6)* [Tỷ lệ hoàn thành khối lượng]
Thiếu 1 = 75% (trừ 0,25)</t>
  </si>
  <si>
    <t>(12)= (9)* (11)</t>
  </si>
  <si>
    <t>(13)=(11)*[Tỷ lệ hoàn thành chất lượng]
Sửa đổi 1-2 lần 75% (trừ 0,25)</t>
  </si>
  <si>
    <t>(14)= (9)* (13)</t>
  </si>
  <si>
    <t>(15)=(11)*[Tỷ lệ hoàn thành tiến độ]
Chậm tiến độ 75% (trừ 0,25)</t>
  </si>
  <si>
    <t>(16)= (9)* (15)</t>
  </si>
  <si>
    <t>I</t>
  </si>
  <si>
    <t> Các nhiệm vụ theo kế hoạch (chương trình) công tác đã đề ra từ đầu tháng</t>
  </si>
  <si>
    <t xml:space="preserve">Trục (1) - Thực hiện mục tiêu phát triển Kinh tế - xã hội và nhiệm vụ chính trị được giao </t>
  </si>
  <si>
    <t>1.1</t>
  </si>
  <si>
    <t>Xây dựng, ban hành Quy định Hội giảng nhà giáo lần thứ VII, năm học 2026 – 2027 (tiêu chí, biểu mẫu, quy trình)</t>
  </si>
  <si>
    <t>PHT Dương Văn Anh Dũng</t>
  </si>
  <si>
    <t>Phòng QLĐT&amp;BĐCL</t>
  </si>
  <si>
    <t>Quy định; Biểu mẫu</t>
  </si>
  <si>
    <t>Trung bình</t>
  </si>
  <si>
    <t>1.2</t>
  </si>
  <si>
    <t>Ban hành kế hoạch triển khai thực hiện Thông tư số 76/2026/TT-BGDĐT ngày 18/9/2026 của Bộ trưởng Bộ Giáo dục và Đào tạo ban hành Quy chế tuyển sinh trong giáo dục nghề nghiệp</t>
  </si>
  <si>
    <t>Hiệu trưởng</t>
  </si>
  <si>
    <t>Kế hoạch</t>
  </si>
  <si>
    <t>1.3</t>
  </si>
  <si>
    <t>Ban hành kế hoạch triển khai thực hiện Nghị định số 361/2026/NĐ-CP ngày 17/9/2026 của Chính phủ quy định về điều kiện đầu tư và hoạt động trong giáo dục nghề nghiệp, giáo dục đại học và kiểm định chất lượng giáo dục</t>
  </si>
  <si>
    <t>1.4</t>
  </si>
  <si>
    <t>Ban hành kế hoạch triển khai thực hiện Thông tư số 77/2026/TT-BGDĐT ngày 25/9/2026 của Bộ trưởng Bộ Giáo dục và Đào tạo ban hành danh mục ngành, nghề đào tạo trong giáo dục nghề nghiệp</t>
  </si>
  <si>
    <t>1.5</t>
  </si>
  <si>
    <t>Ban hành kế hoạch triển khai thực hiện Thông tư số 79/2026/TT-BGDĐT ngày 25/9/2026 của Bộ trưởng Bộ Giáo dục và Đào tạo ban hành Quy chế đào tạo trong giáo dục nghề nghiệp</t>
  </si>
  <si>
    <t>1.6</t>
  </si>
  <si>
    <t>Đánh giá ngoài chất lượng chương trình đào tạo ngành, nghề Lâm sinh</t>
  </si>
  <si>
    <t>PHT Huỳnh Văn Chung</t>
  </si>
  <si>
    <t>Cao</t>
  </si>
  <si>
    <t>1.7</t>
  </si>
  <si>
    <t>Thẩm định, ban hành quy trình bảo đảm chất lượng đợt 2 năm 2026</t>
  </si>
  <si>
    <t>Quyết định</t>
  </si>
  <si>
    <t>1.8</t>
  </si>
  <si>
    <t>Báo cáo</t>
  </si>
  <si>
    <t>Trục (2) - Hoàn thiện thể chế, đẩy mạnh phân cấp, phân quyền gắn với kiểm tra, giám sát</t>
  </si>
  <si>
    <t>Trục (3) - Thúc đẩy phát triển khoa học, công nghệ, đổi mới sáng tạo và chuyển đổi số</t>
  </si>
  <si>
    <t>3.1</t>
  </si>
  <si>
    <t>Tổ chức Hội thảo khoa học "Chuyển đổi số toàn diện trong quản trị nhà trường gắn với nâng cao chất lượng đào tạo"</t>
  </si>
  <si>
    <t>Hồ sơ chuyên môn</t>
  </si>
  <si>
    <t>3.2</t>
  </si>
  <si>
    <t>Xây dựng Kế hoạch xây dựng, quản lý, khai thác, kết nối, chia sẻ và phát triển cơ sở dữ liệu giai đoạn 2026 - 2030</t>
  </si>
  <si>
    <t>3.3</t>
  </si>
  <si>
    <t>Xây dựng công cụ AI hỗ trợ biên soạn, cập nhật giáo trình đào tạo</t>
  </si>
  <si>
    <t>Bộ công cụ đóng gói: Skills, Prompt, quy trình, thông báo</t>
  </si>
  <si>
    <t>Khó và phức tạp</t>
  </si>
  <si>
    <t>3.4</t>
  </si>
  <si>
    <t>Số hóa dữ liệu văn bằng, chứng chỉ đã cấp (kể cả do các trường tiền thân cấp); đối soát, nghiệm thu, ký số trên Hệ thống CSDL VBCC của Bộ GD&amp;ĐT — giai đoạn 1986–1999</t>
  </si>
  <si>
    <t>Dữ liệu VBCC trên hệ thống; Biên bản số hóa</t>
  </si>
  <si>
    <t>3.5</t>
  </si>
  <si>
    <t>Trục (4) - Xây dựng đảng và hệ thống chính trị trong sạch, vững mạnh; giữ gìn đoàn kết, thống nhất nội bộ; phòng, chống tham nhũng, lãng phí, tiêu cực</t>
  </si>
  <si>
    <t>4.1</t>
  </si>
  <si>
    <t>Tổ chức nghiên cứu, học tập, quán triệt, tuyên truyền các nghị quyết, chỉ thị, quy định, kết luận và chương trình, kế hoạch thực hiện Nghị quyết Hội nghị lần thứ ba Ban Chấp hành Trung ương Đảng khóa XIV</t>
  </si>
  <si>
    <t>Bí thư Đảng ủy</t>
  </si>
  <si>
    <t>BPVPĐU</t>
  </si>
  <si>
    <t>Báo cáo kết quả quán triệt</t>
  </si>
  <si>
    <t>4.2</t>
  </si>
  <si>
    <t>Kế hoạch tổ chức Đại hội các Chi đoàn học sinh, sinh viên nhiệm kỳ 2026- 2027</t>
  </si>
  <si>
    <t>Đoàn TN - Hội SV</t>
  </si>
  <si>
    <t>Trục (5) - Phát triển văn hóa, con người, bảo đảm an sinh xã hội, nâng cao đời sống nhân dân</t>
  </si>
  <si>
    <t>5.1</t>
  </si>
  <si>
    <t>Tổ chức Tuần lễ hưởng ứng học tập suốt đời năm 2026 (từ ngày 01/10 đến ngày 07/10/2026); báo cáo kết quả gửi Sở Giáo dục và Đào tạo</t>
  </si>
  <si>
    <t>Phòng TCCB&amp;CTHSSV</t>
  </si>
  <si>
    <t>Trục (6) - Củng cố quốc phòng, an ninh, giữ vững ổn định chính trị - xã hội, nâng cao hiệu quả đối ngoại và hội nhập quốc tế</t>
  </si>
  <si>
    <t>6.1</t>
  </si>
  <si>
    <t>Duy trì ổn định chính trị nội bộ, bảo đảm an ninh trật tự trường học và thực hiện Đề án xây dựng xã hội trật tự, kỷ cương</t>
  </si>
  <si>
    <t>Theo dõi, Giám sát, Báo cáo</t>
  </si>
  <si>
    <t>Thấp</t>
  </si>
  <si>
    <t>6.2</t>
  </si>
  <si>
    <t>Tổ chức Đoàn ra tới thăm và làm việc với Sở Giáo dục và Thể thao các tỉnh Nam Lào</t>
  </si>
  <si>
    <t>Quyết định, Kế hoạch, Báo cáo</t>
  </si>
  <si>
    <t>II</t>
  </si>
  <si>
    <t>1</t>
  </si>
  <si>
    <t>Phòng TH-HC&amp;QT</t>
  </si>
  <si>
    <t>Biên bản; hồ sơ thanh lý</t>
  </si>
  <si>
    <t>2</t>
  </si>
  <si>
    <t>Thông báo hướng dẫn sử dụng Skill rà soát Hồ sơ đề tài KH&amp;CN, sáng kiến</t>
  </si>
  <si>
    <t>Văn bản</t>
  </si>
  <si>
    <t>3</t>
  </si>
  <si>
    <t>Quyết định ban hành Quy chế hỗ trợ học sinh, sinh viên khởi nghiệp sáng tạo</t>
  </si>
  <si>
    <t>4</t>
  </si>
  <si>
    <t>Phó Bí thư Đảng ủy</t>
  </si>
  <si>
    <t>5</t>
  </si>
  <si>
    <t>Chủ tịch Công đoàn</t>
  </si>
  <si>
    <t>Ban Nữ công; BCH CĐCS</t>
  </si>
  <si>
    <t>Chuẩn bị điều kiện đánh giá ngoài chương trình đào tạo nghề Lâm sinh năm 2026</t>
  </si>
  <si>
    <t>Hồ sơ minh chứng; báo cáo rà soát</t>
  </si>
  <si>
    <t>7</t>
  </si>
  <si>
    <t>Rà soát, đăng ký loại bỏ các ngành, nghề đào tạo không còn phù hợp, nguồn tuyển sinh hạn chế</t>
  </si>
  <si>
    <t>Kế hoạch; Công văn</t>
  </si>
  <si>
    <t>8</t>
  </si>
  <si>
    <t>Kế hoạch triển khai thực hiện Nghị quyết số 398/NQ-UBTVQH16 ngày 08/8/2026 về việc phê chuẩn bộ học liệu đa phương tiện (tập 1) - bài giảng và câu hỏi trắc nghiệm kiến thức, kỹ năng số cơ bản (micro-learning) dùng cho cán bộ, công chức, viên chức và người lao động trong khối cơ quan nhà nước; lan tỏa phong trào “bình dân học vụ số” cho các tổ chức, cơ quan, đơn vị, địa phương trong toàn hệ thống chính trị và Phong trào “Bình dân học vụ số”</t>
  </si>
  <si>
    <t>9</t>
  </si>
  <si>
    <t>Xây dựng Chương trình Công tác Đoàn và phong trào thanh niên năm học 2026-2027</t>
  </si>
  <si>
    <t>Chương trình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</si>
</sst>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4" x14ac:knownFonts="1">
    <font>
      <sz val="11"/>
      <color theme="1"/>
      <name val="Calibri"/>
      <family val="2"/>
      <scheme val="minor"/>
    </font>
    <font>
      <b/>
      <sz val="14"/>
      <color theme="1"/>
      <name val="Times New Roman"/>
      <family val="1"/>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sz val="12"/>
      <name val="Times New Roman"/>
      <family val="1"/>
    </font>
    <font>
      <sz val="12"/>
      <name val="Times New Roman"/>
      <family val="1"/>
      <charset val="163"/>
    </font>
    <font>
      <sz val="13"/>
      <color theme="1"/>
      <name val="Times New Roman"/>
      <family val="1"/>
    </font>
    <font>
      <sz val="11"/>
      <color theme="1"/>
      <name val="Calibri"/>
      <family val="2"/>
      <scheme val="minor"/>
    </font>
    <font>
      <b/>
      <sz val="12"/>
      <name val="Times New Roman"/>
      <family val="1"/>
    </font>
    <font>
      <b/>
      <sz val="12"/>
      <name val="Times New Roman"/>
      <family val="1"/>
      <charset val="163"/>
    </font>
    <font>
      <sz val="10"/>
      <color theme="1"/>
      <name val="Calibri"/>
      <family val="2"/>
      <scheme val="minor"/>
    </font>
    <font>
      <sz val="13"/>
      <name val="Times New Roman"/>
      <family val="1"/>
    </font>
    <font>
      <sz val="12"/>
      <color rgb="FF0000FF"/>
      <name val="Times New Roman"/>
    </font>
    <font>
      <b/>
      <sz val="12"/>
      <color rgb="FFC00000"/>
      <name val="Times New Roman"/>
    </font>
    <font>
      <sz val="11"/>
      <color theme="1"/>
      <name val="Times New Roman"/>
    </font>
    <font>
      <b/>
      <sz val="14"/>
      <name val="Times New Roman"/>
    </font>
    <font>
      <i/>
      <sz val="12"/>
      <name val="Times New Roman"/>
    </font>
    <font>
      <b/>
      <sz val="12"/>
      <name val="Times New Roman"/>
    </font>
    <font>
      <sz val="12"/>
      <name val="Times New Roman"/>
    </font>
    <font>
      <b/>
      <strike/>
      <sz val="12"/>
      <color rgb="FFC00000"/>
      <name val="Times New Roman"/>
    </font>
    <font>
      <b/>
      <sz val="13"/>
      <name val="Times New Roman"/>
    </font>
  </fonts>
  <fills count="5">
    <fill>
      <patternFill patternType="none"/>
    </fill>
    <fill>
      <patternFill patternType="gray125"/>
    </fill>
    <fill>
      <patternFill patternType="solid">
        <fgColor rgb="FFFFF2CC"/>
      </patternFill>
    </fill>
    <fill>
      <patternFill patternType="solid">
        <fgColor rgb="FFFCE4D6"/>
      </patternFill>
    </fill>
    <fill>
      <patternFill patternType="solid">
        <fgColor rgb="FFD9D9D9"/>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43" fontId="10" fillId="0" borderId="0"/>
  </cellStyleXfs>
  <cellXfs count="55">
    <xf numFmtId="0" fontId="0" fillId="0" borderId="0" xfId="0"/>
    <xf numFmtId="164" fontId="11" fillId="0" borderId="2" xfId="1" applyNumberFormat="1" applyFont="1" applyBorder="1" applyAlignment="1">
      <alignment horizontal="center" vertical="center"/>
    </xf>
    <xf numFmtId="0" fontId="4" fillId="0" borderId="0" xfId="0" applyFont="1" applyAlignment="1">
      <alignment vertical="center"/>
    </xf>
    <xf numFmtId="0" fontId="5" fillId="0" borderId="0" xfId="0" applyFont="1" applyAlignment="1">
      <alignment vertical="center" wrapText="1"/>
    </xf>
    <xf numFmtId="0" fontId="3"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11" fillId="0" borderId="2" xfId="0" applyFont="1" applyBorder="1" applyAlignment="1">
      <alignment horizontal="center" vertical="center" wrapText="1"/>
    </xf>
    <xf numFmtId="2" fontId="11" fillId="0" borderId="2" xfId="0" applyNumberFormat="1" applyFont="1" applyBorder="1" applyAlignment="1">
      <alignment horizontal="center" vertical="center" wrapText="1"/>
    </xf>
    <xf numFmtId="0" fontId="8" fillId="0" borderId="2" xfId="0" quotePrefix="1" applyFont="1" applyBorder="1" applyAlignment="1">
      <alignment horizontal="center" vertical="center" wrapText="1"/>
    </xf>
    <xf numFmtId="0" fontId="13" fillId="0" borderId="0" xfId="0" applyFont="1" applyAlignment="1">
      <alignment vertical="center"/>
    </xf>
    <xf numFmtId="0" fontId="11" fillId="0" borderId="2" xfId="0" applyFont="1" applyBorder="1" applyAlignment="1">
      <alignment vertical="center" wrapText="1"/>
    </xf>
    <xf numFmtId="0" fontId="11" fillId="0" borderId="2" xfId="0" applyFont="1" applyBorder="1" applyAlignment="1">
      <alignment horizontal="center" vertical="center"/>
    </xf>
    <xf numFmtId="0" fontId="8" fillId="0" borderId="2" xfId="0" applyFont="1" applyBorder="1" applyAlignment="1">
      <alignment horizontal="center" vertical="center" wrapText="1"/>
    </xf>
    <xf numFmtId="0" fontId="7" fillId="0" borderId="2" xfId="0" applyFont="1" applyBorder="1" applyAlignment="1">
      <alignment horizontal="justify" vertical="center" wrapText="1"/>
    </xf>
    <xf numFmtId="0" fontId="7" fillId="0" borderId="2" xfId="0" applyFont="1" applyBorder="1" applyAlignment="1">
      <alignment horizontal="center" vertical="center" wrapText="1"/>
    </xf>
    <xf numFmtId="0" fontId="6" fillId="0" borderId="0" xfId="0" applyFont="1" applyAlignment="1">
      <alignment vertical="center"/>
    </xf>
    <xf numFmtId="0" fontId="14" fillId="0" borderId="0" xfId="0" applyFont="1"/>
    <xf numFmtId="0" fontId="18" fillId="0" borderId="0" xfId="0" applyFont="1"/>
    <xf numFmtId="0" fontId="16" fillId="2" borderId="0" xfId="0" applyFont="1" applyFill="1"/>
    <xf numFmtId="0" fontId="20" fillId="0" borderId="0" xfId="0" applyFont="1"/>
    <xf numFmtId="0" fontId="15" fillId="0" borderId="0" xfId="0" applyFont="1"/>
    <xf numFmtId="0" fontId="21" fillId="3" borderId="0" xfId="0" applyFont="1" applyFill="1"/>
    <xf numFmtId="0" fontId="22" fillId="2" borderId="0" xfId="0" applyFont="1" applyFill="1"/>
    <xf numFmtId="0" fontId="23" fillId="0" borderId="0" xfId="0" applyFont="1"/>
    <xf numFmtId="0" fontId="20" fillId="4" borderId="6" xfId="0" applyFont="1" applyFill="1" applyBorder="1" applyAlignment="1">
      <alignment horizontal="center" vertical="center" wrapText="1"/>
    </xf>
    <xf numFmtId="0" fontId="21" fillId="0" borderId="6" xfId="0" applyFont="1" applyBorder="1" applyAlignment="1">
      <alignment vertical="top" wrapText="1"/>
    </xf>
    <xf numFmtId="0" fontId="17" fillId="2" borderId="4" xfId="0" applyFont="1" applyFill="1" applyBorder="1"/>
    <xf numFmtId="0" fontId="15" fillId="0" borderId="2" xfId="0" applyFont="1" applyBorder="1" applyAlignment="1">
      <alignment horizontal="center" vertical="center" wrapText="1"/>
    </xf>
    <xf numFmtId="0" fontId="15" fillId="0" borderId="2" xfId="0" applyFont="1" applyBorder="1" applyAlignment="1">
      <alignment horizontal="justify" vertical="center" wrapText="1"/>
    </xf>
    <xf numFmtId="0" fontId="15" fillId="3" borderId="2" xfId="0" applyFont="1" applyFill="1" applyBorder="1" applyAlignment="1">
      <alignment horizontal="justify" vertical="center" wrapText="1"/>
    </xf>
    <xf numFmtId="0" fontId="17" fillId="0" borderId="4" xfId="0" applyFont="1" applyBorder="1"/>
    <xf numFmtId="0" fontId="7" fillId="3" borderId="2" xfId="0" applyFont="1" applyFill="1" applyBorder="1" applyAlignment="1">
      <alignment horizontal="justify" vertical="center" wrapText="1"/>
    </xf>
    <xf numFmtId="0" fontId="16" fillId="2"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9" fillId="0" borderId="0" xfId="0" applyFont="1" applyAlignment="1">
      <alignment vertical="top" wrapText="1"/>
    </xf>
    <xf numFmtId="0" fontId="0" fillId="0" borderId="0" xfId="0"/>
    <xf numFmtId="0" fontId="21" fillId="0" borderId="0" xfId="0" applyFont="1"/>
    <xf numFmtId="0" fontId="11" fillId="0" borderId="2" xfId="0" applyFont="1" applyBorder="1" applyAlignment="1">
      <alignment horizontal="center" vertical="center" wrapText="1"/>
    </xf>
    <xf numFmtId="0" fontId="0" fillId="0" borderId="5" xfId="0" applyBorder="1"/>
    <xf numFmtId="0" fontId="11" fillId="0" borderId="2" xfId="0" applyFont="1" applyBorder="1" applyAlignment="1">
      <alignment vertical="center" wrapText="1"/>
    </xf>
    <xf numFmtId="0" fontId="0" fillId="0" borderId="3" xfId="0" applyBorder="1"/>
    <xf numFmtId="0" fontId="0" fillId="0" borderId="4" xfId="0" applyBorder="1"/>
    <xf numFmtId="2" fontId="11" fillId="0" borderId="2" xfId="0" applyNumberFormat="1" applyFont="1" applyBorder="1" applyAlignment="1">
      <alignment horizontal="center" vertical="center" wrapText="1"/>
    </xf>
    <xf numFmtId="0" fontId="9" fillId="0" borderId="0" xfId="0" applyFont="1" applyAlignment="1">
      <alignment horizontal="center" vertical="center"/>
    </xf>
    <xf numFmtId="0" fontId="4" fillId="0" borderId="0" xfId="0" applyFont="1" applyAlignment="1">
      <alignment vertical="center"/>
    </xf>
    <xf numFmtId="0" fontId="5" fillId="0" borderId="0" xfId="0" applyFont="1" applyAlignment="1">
      <alignment horizontal="center" vertical="center" wrapText="1"/>
    </xf>
    <xf numFmtId="0" fontId="2" fillId="0" borderId="1" xfId="0" applyFont="1" applyBorder="1" applyAlignment="1">
      <alignment horizontal="left" vertical="center"/>
    </xf>
    <xf numFmtId="0" fontId="0" fillId="0" borderId="1" xfId="0" applyBorder="1"/>
    <xf numFmtId="0" fontId="1" fillId="0" borderId="0" xfId="0" applyFont="1" applyAlignment="1">
      <alignment horizontal="center" vertical="center" wrapText="1"/>
    </xf>
    <xf numFmtId="0" fontId="12" fillId="0" borderId="2" xfId="0" applyFont="1" applyBorder="1" applyAlignment="1">
      <alignment horizontal="center" vertical="center" wrapText="1"/>
    </xf>
    <xf numFmtId="0" fontId="5" fillId="0" borderId="0" xfId="0" applyFont="1" applyAlignment="1">
      <alignment horizontal="center" vertical="center"/>
    </xf>
    <xf numFmtId="0" fontId="16" fillId="2" borderId="2" xfId="0" applyFont="1" applyFill="1" applyBorder="1" applyAlignment="1">
      <alignment vertical="center" wrapText="1"/>
    </xf>
    <xf numFmtId="0" fontId="0" fillId="0" borderId="0" xfId="0" applyAlignment="1">
      <alignment vertical="center"/>
    </xf>
    <xf numFmtId="0" fontId="6" fillId="0" borderId="0" xfId="0" applyFont="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showGridLines="0" workbookViewId="0"/>
  </sheetViews>
  <sheetFormatPr defaultRowHeight="14.4" x14ac:dyDescent="0.3"/>
  <cols>
    <col min="1" max="1" width="14" customWidth="1"/>
    <col min="2" max="2" width="16" customWidth="1"/>
    <col min="3" max="3" width="26" customWidth="1"/>
    <col min="4" max="5" width="52" customWidth="1"/>
    <col min="6" max="6" width="58" customWidth="1"/>
  </cols>
  <sheetData>
    <row r="1" spans="1:6" ht="17.399999999999999" x14ac:dyDescent="0.3">
      <c r="A1" s="18" t="s">
        <v>0</v>
      </c>
    </row>
    <row r="2" spans="1:6" ht="61.95" customHeight="1" x14ac:dyDescent="0.3">
      <c r="A2" s="35" t="s">
        <v>1</v>
      </c>
      <c r="B2" s="36"/>
      <c r="C2" s="36"/>
      <c r="D2" s="36"/>
      <c r="E2" s="36"/>
      <c r="F2" s="36"/>
    </row>
    <row r="4" spans="1:6" ht="15.6" x14ac:dyDescent="0.3">
      <c r="A4" s="19" t="s">
        <v>2</v>
      </c>
      <c r="B4" s="20" t="s">
        <v>3</v>
      </c>
      <c r="C4" s="37" t="s">
        <v>4</v>
      </c>
      <c r="D4" s="36"/>
      <c r="E4" s="36"/>
      <c r="F4" s="36"/>
    </row>
    <row r="5" spans="1:6" ht="15.6" x14ac:dyDescent="0.3">
      <c r="A5" s="21" t="s">
        <v>2</v>
      </c>
      <c r="B5" s="20" t="s">
        <v>5</v>
      </c>
      <c r="C5" s="37" t="s">
        <v>6</v>
      </c>
      <c r="D5" s="36"/>
      <c r="E5" s="36"/>
      <c r="F5" s="36"/>
    </row>
    <row r="6" spans="1:6" ht="15.6" x14ac:dyDescent="0.3">
      <c r="A6" s="22" t="s">
        <v>2</v>
      </c>
      <c r="B6" s="20" t="s">
        <v>7</v>
      </c>
      <c r="C6" s="37" t="s">
        <v>8</v>
      </c>
      <c r="D6" s="36"/>
      <c r="E6" s="36"/>
      <c r="F6" s="36"/>
    </row>
    <row r="7" spans="1:6" ht="15.6" x14ac:dyDescent="0.3">
      <c r="A7" s="23" t="s">
        <v>2</v>
      </c>
      <c r="B7" s="20" t="s">
        <v>9</v>
      </c>
      <c r="C7" s="37" t="s">
        <v>10</v>
      </c>
      <c r="D7" s="36"/>
      <c r="E7" s="36"/>
      <c r="F7" s="36"/>
    </row>
    <row r="9" spans="1:6" ht="16.8" x14ac:dyDescent="0.3">
      <c r="A9" s="24" t="s">
        <v>11</v>
      </c>
    </row>
    <row r="10" spans="1:6" ht="15.6" x14ac:dyDescent="0.3">
      <c r="A10" s="25" t="s">
        <v>12</v>
      </c>
      <c r="B10" s="25" t="s">
        <v>13</v>
      </c>
      <c r="C10" s="25" t="s">
        <v>14</v>
      </c>
      <c r="D10" s="25" t="s">
        <v>15</v>
      </c>
      <c r="E10" s="25" t="s">
        <v>16</v>
      </c>
      <c r="F10" s="25" t="s">
        <v>17</v>
      </c>
    </row>
    <row r="11" spans="1:6" ht="31.2" x14ac:dyDescent="0.3">
      <c r="A11" s="26">
        <v>1</v>
      </c>
      <c r="B11" s="26" t="s">
        <v>18</v>
      </c>
      <c r="C11" s="26" t="s">
        <v>19</v>
      </c>
      <c r="D11" s="26"/>
      <c r="E11" s="26" t="s">
        <v>20</v>
      </c>
      <c r="F11" s="26" t="s">
        <v>21</v>
      </c>
    </row>
    <row r="12" spans="1:6" ht="31.2" x14ac:dyDescent="0.3">
      <c r="A12" s="26">
        <v>2</v>
      </c>
      <c r="B12" s="26" t="s">
        <v>18</v>
      </c>
      <c r="C12" s="26" t="s">
        <v>22</v>
      </c>
      <c r="D12" s="26"/>
      <c r="E12" s="26" t="s">
        <v>23</v>
      </c>
      <c r="F12" s="26" t="s">
        <v>24</v>
      </c>
    </row>
    <row r="13" spans="1:6" ht="46.8" x14ac:dyDescent="0.3">
      <c r="A13" s="26">
        <v>3</v>
      </c>
      <c r="B13" s="26" t="s">
        <v>18</v>
      </c>
      <c r="C13" s="26" t="s">
        <v>25</v>
      </c>
      <c r="D13" s="26"/>
      <c r="E13" s="26" t="s">
        <v>26</v>
      </c>
      <c r="F13" s="26" t="s">
        <v>27</v>
      </c>
    </row>
    <row r="14" spans="1:6" ht="46.8" x14ac:dyDescent="0.3">
      <c r="A14" s="26">
        <v>4</v>
      </c>
      <c r="B14" s="26" t="s">
        <v>18</v>
      </c>
      <c r="C14" s="26" t="s">
        <v>28</v>
      </c>
      <c r="D14" s="26"/>
      <c r="E14" s="26" t="s">
        <v>29</v>
      </c>
      <c r="F14" s="26" t="s">
        <v>30</v>
      </c>
    </row>
    <row r="15" spans="1:6" ht="62.4" x14ac:dyDescent="0.3">
      <c r="A15" s="26">
        <v>5</v>
      </c>
      <c r="B15" s="26" t="s">
        <v>18</v>
      </c>
      <c r="C15" s="26" t="s">
        <v>31</v>
      </c>
      <c r="D15" s="26"/>
      <c r="E15" s="26" t="s">
        <v>32</v>
      </c>
      <c r="F15" s="26" t="s">
        <v>33</v>
      </c>
    </row>
    <row r="16" spans="1:6" ht="31.2" x14ac:dyDescent="0.3">
      <c r="A16" s="26">
        <v>6</v>
      </c>
      <c r="B16" s="26" t="s">
        <v>18</v>
      </c>
      <c r="C16" s="26" t="s">
        <v>34</v>
      </c>
      <c r="D16" s="26"/>
      <c r="E16" s="26" t="s">
        <v>35</v>
      </c>
      <c r="F16" s="26" t="s">
        <v>36</v>
      </c>
    </row>
    <row r="17" spans="1:6" ht="62.4" x14ac:dyDescent="0.3">
      <c r="A17" s="26">
        <v>7</v>
      </c>
      <c r="B17" s="26" t="s">
        <v>37</v>
      </c>
      <c r="C17" s="26" t="s">
        <v>38</v>
      </c>
      <c r="D17" s="26" t="s">
        <v>39</v>
      </c>
      <c r="E17" s="26" t="s">
        <v>40</v>
      </c>
      <c r="F17" s="26" t="s">
        <v>41</v>
      </c>
    </row>
    <row r="18" spans="1:6" ht="46.8" x14ac:dyDescent="0.3">
      <c r="A18" s="26">
        <v>8</v>
      </c>
      <c r="B18" s="26" t="s">
        <v>37</v>
      </c>
      <c r="C18" s="26" t="s">
        <v>42</v>
      </c>
      <c r="D18" s="26" t="s">
        <v>43</v>
      </c>
      <c r="E18" s="26" t="s">
        <v>44</v>
      </c>
      <c r="F18" s="26" t="s">
        <v>45</v>
      </c>
    </row>
    <row r="19" spans="1:6" ht="31.2" x14ac:dyDescent="0.3">
      <c r="A19" s="26">
        <v>9</v>
      </c>
      <c r="B19" s="26" t="s">
        <v>37</v>
      </c>
      <c r="C19" s="26" t="s">
        <v>46</v>
      </c>
      <c r="D19" s="26" t="s">
        <v>47</v>
      </c>
      <c r="E19" s="26" t="s">
        <v>48</v>
      </c>
      <c r="F19" s="26" t="s">
        <v>49</v>
      </c>
    </row>
    <row r="20" spans="1:6" ht="31.2" x14ac:dyDescent="0.3">
      <c r="A20" s="26">
        <v>10</v>
      </c>
      <c r="B20" s="26" t="s">
        <v>37</v>
      </c>
      <c r="C20" s="26" t="s">
        <v>50</v>
      </c>
      <c r="D20" s="26" t="s">
        <v>47</v>
      </c>
      <c r="E20" s="26" t="s">
        <v>51</v>
      </c>
      <c r="F20" s="26" t="s">
        <v>52</v>
      </c>
    </row>
    <row r="21" spans="1:6" ht="31.2" x14ac:dyDescent="0.3">
      <c r="A21" s="26">
        <v>11</v>
      </c>
      <c r="B21" s="26" t="s">
        <v>37</v>
      </c>
      <c r="C21" s="26" t="s">
        <v>53</v>
      </c>
      <c r="D21" s="26" t="s">
        <v>54</v>
      </c>
      <c r="E21" s="26" t="s">
        <v>55</v>
      </c>
      <c r="F21" s="26" t="s">
        <v>56</v>
      </c>
    </row>
    <row r="22" spans="1:6" ht="62.4" x14ac:dyDescent="0.3">
      <c r="A22" s="26">
        <v>12</v>
      </c>
      <c r="B22" s="26" t="s">
        <v>7</v>
      </c>
      <c r="C22" s="26" t="s">
        <v>57</v>
      </c>
      <c r="D22" s="26" t="s">
        <v>58</v>
      </c>
      <c r="E22" s="26" t="s">
        <v>59</v>
      </c>
      <c r="F22" s="26" t="s">
        <v>60</v>
      </c>
    </row>
    <row r="23" spans="1:6" ht="31.2" x14ac:dyDescent="0.3">
      <c r="A23" s="26">
        <v>13</v>
      </c>
      <c r="B23" s="26" t="s">
        <v>7</v>
      </c>
      <c r="C23" s="26" t="s">
        <v>61</v>
      </c>
      <c r="D23" s="26" t="s">
        <v>62</v>
      </c>
      <c r="E23" s="26" t="s">
        <v>59</v>
      </c>
      <c r="F23" s="26" t="s">
        <v>63</v>
      </c>
    </row>
    <row r="24" spans="1:6" ht="62.4" x14ac:dyDescent="0.3">
      <c r="A24" s="26">
        <v>14</v>
      </c>
      <c r="B24" s="26" t="s">
        <v>7</v>
      </c>
      <c r="C24" s="26" t="s">
        <v>64</v>
      </c>
      <c r="D24" s="26" t="s">
        <v>65</v>
      </c>
      <c r="E24" s="26" t="s">
        <v>59</v>
      </c>
      <c r="F24" s="26" t="s">
        <v>66</v>
      </c>
    </row>
    <row r="25" spans="1:6" ht="62.4" x14ac:dyDescent="0.3">
      <c r="A25" s="26">
        <v>15</v>
      </c>
      <c r="B25" s="26" t="s">
        <v>7</v>
      </c>
      <c r="C25" s="26" t="s">
        <v>67</v>
      </c>
      <c r="D25" s="26" t="s">
        <v>68</v>
      </c>
      <c r="E25" s="26" t="s">
        <v>59</v>
      </c>
      <c r="F25" s="26" t="s">
        <v>69</v>
      </c>
    </row>
    <row r="26" spans="1:6" ht="31.2" x14ac:dyDescent="0.3">
      <c r="A26" s="26">
        <v>16</v>
      </c>
      <c r="B26" s="26" t="s">
        <v>7</v>
      </c>
      <c r="C26" s="26" t="s">
        <v>70</v>
      </c>
      <c r="D26" s="26" t="s">
        <v>71</v>
      </c>
      <c r="E26" s="26" t="s">
        <v>59</v>
      </c>
      <c r="F26" s="26" t="s">
        <v>72</v>
      </c>
    </row>
    <row r="27" spans="1:6" ht="46.8" x14ac:dyDescent="0.3">
      <c r="A27" s="26">
        <v>17</v>
      </c>
      <c r="B27" s="26" t="s">
        <v>37</v>
      </c>
      <c r="C27" s="26" t="s">
        <v>73</v>
      </c>
      <c r="D27" s="26" t="s">
        <v>74</v>
      </c>
      <c r="E27" s="26" t="s">
        <v>75</v>
      </c>
      <c r="F27" s="26" t="s">
        <v>76</v>
      </c>
    </row>
    <row r="28" spans="1:6" ht="46.8" x14ac:dyDescent="0.3">
      <c r="A28" s="26">
        <v>18</v>
      </c>
      <c r="B28" s="26" t="s">
        <v>37</v>
      </c>
      <c r="C28" s="26" t="s">
        <v>77</v>
      </c>
      <c r="D28" s="26" t="s">
        <v>78</v>
      </c>
      <c r="E28" s="26" t="s">
        <v>79</v>
      </c>
      <c r="F28" s="26" t="s">
        <v>80</v>
      </c>
    </row>
    <row r="29" spans="1:6" ht="124.8" x14ac:dyDescent="0.3">
      <c r="A29" s="26">
        <v>19</v>
      </c>
      <c r="B29" s="26" t="s">
        <v>7</v>
      </c>
      <c r="C29" s="26" t="s">
        <v>81</v>
      </c>
      <c r="D29" s="26" t="s">
        <v>82</v>
      </c>
      <c r="E29" s="26" t="s">
        <v>59</v>
      </c>
      <c r="F29" s="26" t="s">
        <v>83</v>
      </c>
    </row>
    <row r="30" spans="1:6" ht="62.4" x14ac:dyDescent="0.3">
      <c r="A30" s="26">
        <v>20</v>
      </c>
      <c r="B30" s="26" t="s">
        <v>7</v>
      </c>
      <c r="C30" s="26" t="s">
        <v>84</v>
      </c>
      <c r="D30" s="26" t="s">
        <v>85</v>
      </c>
      <c r="E30" s="26" t="s">
        <v>59</v>
      </c>
      <c r="F30" s="26" t="s">
        <v>86</v>
      </c>
    </row>
  </sheetData>
  <mergeCells count="5">
    <mergeCell ref="A2:F2"/>
    <mergeCell ref="C4:F4"/>
    <mergeCell ref="C6:F6"/>
    <mergeCell ref="C7:F7"/>
    <mergeCell ref="C5:F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2"/>
  <sheetViews>
    <sheetView tabSelected="1" topLeftCell="A20" zoomScale="85" zoomScaleNormal="85" zoomScaleSheetLayoutView="70" workbookViewId="0">
      <selection activeCell="G22" sqref="G22"/>
    </sheetView>
  </sheetViews>
  <sheetFormatPr defaultColWidth="8.88671875" defaultRowHeight="32.549999999999997" customHeight="1" x14ac:dyDescent="0.3"/>
  <cols>
    <col min="1" max="1" width="5.44140625" style="6" customWidth="1"/>
    <col min="2" max="2" width="25.33203125" style="6" customWidth="1"/>
    <col min="3" max="3" width="10.21875" style="6" customWidth="1"/>
    <col min="4" max="4" width="10.77734375" style="6" customWidth="1"/>
    <col min="5" max="5" width="10.44140625" style="6" customWidth="1"/>
    <col min="6" max="6" width="6.6640625" style="6" customWidth="1"/>
    <col min="7" max="7" width="8.77734375" style="6" customWidth="1"/>
    <col min="8" max="8" width="7" style="6" customWidth="1"/>
    <col min="9" max="9" width="6.109375" style="6" customWidth="1"/>
    <col min="10" max="10" width="5.6640625" style="6" customWidth="1"/>
    <col min="11" max="12" width="6.109375" style="16" customWidth="1"/>
    <col min="13" max="14" width="6.44140625" style="16" customWidth="1"/>
    <col min="15" max="15" width="6.88671875" style="16" customWidth="1"/>
    <col min="16" max="16" width="6.109375" style="16" customWidth="1"/>
    <col min="17" max="17" width="8.88671875" style="6" customWidth="1"/>
    <col min="18" max="16384" width="8.88671875" style="6"/>
  </cols>
  <sheetData>
    <row r="1" spans="1:17" s="2" customFormat="1" ht="16.5" hidden="1" customHeight="1" x14ac:dyDescent="0.3">
      <c r="A1" s="44" t="s">
        <v>87</v>
      </c>
      <c r="B1" s="45"/>
      <c r="E1" s="3"/>
      <c r="F1" s="3"/>
      <c r="G1" s="46" t="s">
        <v>88</v>
      </c>
      <c r="H1" s="45"/>
      <c r="I1" s="45"/>
      <c r="J1" s="45"/>
      <c r="K1" s="45"/>
      <c r="L1" s="45"/>
      <c r="M1" s="45"/>
      <c r="N1" s="45"/>
      <c r="O1" s="45"/>
      <c r="P1" s="45"/>
    </row>
    <row r="2" spans="1:17" s="2" customFormat="1" ht="17.55" hidden="1" customHeight="1" x14ac:dyDescent="0.3">
      <c r="A2" s="51" t="s">
        <v>89</v>
      </c>
      <c r="B2" s="45"/>
      <c r="C2" s="4"/>
      <c r="E2" s="5"/>
      <c r="F2" s="5"/>
      <c r="G2" s="49" t="s">
        <v>90</v>
      </c>
      <c r="H2" s="45"/>
      <c r="I2" s="45"/>
      <c r="J2" s="45"/>
      <c r="K2" s="45"/>
      <c r="L2" s="45"/>
      <c r="M2" s="45"/>
      <c r="N2" s="45"/>
      <c r="O2" s="45"/>
      <c r="P2" s="45"/>
    </row>
    <row r="3" spans="1:17" ht="38.25" customHeight="1" x14ac:dyDescent="0.3">
      <c r="A3" s="49" t="s">
        <v>91</v>
      </c>
      <c r="B3" s="53"/>
      <c r="C3" s="53"/>
      <c r="D3" s="53"/>
      <c r="E3" s="53"/>
      <c r="F3" s="53"/>
      <c r="G3" s="53"/>
      <c r="H3" s="53"/>
      <c r="I3" s="53"/>
      <c r="J3" s="53"/>
      <c r="K3" s="54"/>
      <c r="L3" s="54"/>
      <c r="M3" s="54"/>
      <c r="N3" s="54"/>
      <c r="O3" s="54"/>
      <c r="P3" s="54"/>
    </row>
    <row r="4" spans="1:17" ht="24.6" customHeight="1" x14ac:dyDescent="0.3">
      <c r="A4" s="47"/>
      <c r="B4" s="48"/>
      <c r="C4" s="48"/>
      <c r="D4" s="48"/>
      <c r="E4" s="48"/>
      <c r="F4" s="48"/>
      <c r="G4" s="48"/>
      <c r="H4" s="48"/>
      <c r="I4" s="48"/>
      <c r="J4" s="48"/>
      <c r="K4" s="48"/>
      <c r="L4" s="48"/>
      <c r="M4" s="48"/>
      <c r="N4" s="48"/>
      <c r="O4" s="48"/>
      <c r="P4" s="48"/>
    </row>
    <row r="5" spans="1:17" ht="30.75" customHeight="1" x14ac:dyDescent="0.3">
      <c r="A5" s="38" t="s">
        <v>92</v>
      </c>
      <c r="B5" s="38" t="s">
        <v>93</v>
      </c>
      <c r="C5" s="38" t="s">
        <v>94</v>
      </c>
      <c r="D5" s="38" t="s">
        <v>95</v>
      </c>
      <c r="E5" s="38" t="s">
        <v>96</v>
      </c>
      <c r="F5" s="38" t="s">
        <v>97</v>
      </c>
      <c r="G5" s="50" t="s">
        <v>98</v>
      </c>
      <c r="H5" s="38" t="s">
        <v>99</v>
      </c>
      <c r="I5" s="38" t="s">
        <v>100</v>
      </c>
      <c r="J5" s="38" t="s">
        <v>101</v>
      </c>
      <c r="K5" s="43" t="s">
        <v>102</v>
      </c>
      <c r="L5" s="42"/>
      <c r="M5" s="43" t="s">
        <v>103</v>
      </c>
      <c r="N5" s="42"/>
      <c r="O5" s="43" t="s">
        <v>104</v>
      </c>
      <c r="P5" s="42"/>
      <c r="Q5" s="2"/>
    </row>
    <row r="6" spans="1:17" ht="65.25" customHeight="1" x14ac:dyDescent="0.3">
      <c r="A6" s="39"/>
      <c r="B6" s="39"/>
      <c r="C6" s="39"/>
      <c r="D6" s="39"/>
      <c r="E6" s="39"/>
      <c r="F6" s="39"/>
      <c r="G6" s="39"/>
      <c r="H6" s="39"/>
      <c r="I6" s="39"/>
      <c r="J6" s="39"/>
      <c r="K6" s="8" t="s">
        <v>105</v>
      </c>
      <c r="L6" s="8" t="s">
        <v>106</v>
      </c>
      <c r="M6" s="8" t="s">
        <v>105</v>
      </c>
      <c r="N6" s="8" t="s">
        <v>106</v>
      </c>
      <c r="O6" s="8" t="s">
        <v>105</v>
      </c>
      <c r="P6" s="8" t="s">
        <v>106</v>
      </c>
      <c r="Q6" s="2"/>
    </row>
    <row r="7" spans="1:17" s="10" customFormat="1" ht="18" hidden="1" customHeight="1" x14ac:dyDescent="0.3">
      <c r="A7" s="9" t="s">
        <v>107</v>
      </c>
      <c r="B7" s="9" t="s">
        <v>108</v>
      </c>
      <c r="C7" s="9" t="s">
        <v>109</v>
      </c>
      <c r="D7" s="9" t="s">
        <v>110</v>
      </c>
      <c r="E7" s="9" t="s">
        <v>111</v>
      </c>
      <c r="F7" s="9" t="s">
        <v>112</v>
      </c>
      <c r="G7" s="9" t="s">
        <v>113</v>
      </c>
      <c r="H7" s="9" t="s">
        <v>114</v>
      </c>
      <c r="I7" s="9" t="s">
        <v>115</v>
      </c>
      <c r="J7" s="9" t="s">
        <v>116</v>
      </c>
      <c r="K7" s="9" t="s">
        <v>117</v>
      </c>
      <c r="L7" s="9" t="s">
        <v>118</v>
      </c>
      <c r="M7" s="9" t="s">
        <v>119</v>
      </c>
      <c r="N7" s="9" t="s">
        <v>120</v>
      </c>
      <c r="O7" s="9" t="s">
        <v>121</v>
      </c>
      <c r="P7" s="9" t="s">
        <v>122</v>
      </c>
    </row>
    <row r="8" spans="1:17" ht="15" customHeight="1" x14ac:dyDescent="0.3">
      <c r="A8" s="7" t="s">
        <v>123</v>
      </c>
      <c r="B8" s="40" t="s">
        <v>124</v>
      </c>
      <c r="C8" s="41"/>
      <c r="D8" s="41"/>
      <c r="E8" s="41"/>
      <c r="F8" s="41"/>
      <c r="G8" s="41"/>
      <c r="H8" s="41"/>
      <c r="I8" s="41"/>
      <c r="J8" s="42"/>
      <c r="K8" s="11"/>
      <c r="L8" s="11"/>
      <c r="M8" s="11"/>
      <c r="N8" s="11"/>
      <c r="O8" s="11"/>
      <c r="P8" s="11"/>
    </row>
    <row r="9" spans="1:17" ht="31.5" customHeight="1" x14ac:dyDescent="0.3">
      <c r="A9" s="12">
        <v>1</v>
      </c>
      <c r="B9" s="40" t="s">
        <v>125</v>
      </c>
      <c r="C9" s="41"/>
      <c r="D9" s="41"/>
      <c r="E9" s="41"/>
      <c r="F9" s="41"/>
      <c r="G9" s="41"/>
      <c r="H9" s="41"/>
      <c r="I9" s="42"/>
      <c r="J9" s="27">
        <f t="shared" ref="J9:P9" si="0">SUM(J10:J17)</f>
        <v>18</v>
      </c>
      <c r="K9" s="1">
        <f t="shared" si="0"/>
        <v>13</v>
      </c>
      <c r="L9" s="1">
        <f t="shared" si="0"/>
        <v>18</v>
      </c>
      <c r="M9" s="1">
        <f t="shared" si="0"/>
        <v>13</v>
      </c>
      <c r="N9" s="1">
        <f t="shared" si="0"/>
        <v>18</v>
      </c>
      <c r="O9" s="1">
        <f t="shared" si="0"/>
        <v>13</v>
      </c>
      <c r="P9" s="1">
        <f t="shared" si="0"/>
        <v>18</v>
      </c>
    </row>
    <row r="10" spans="1:17" ht="77.55" customHeight="1" x14ac:dyDescent="0.3">
      <c r="A10" s="13" t="s">
        <v>126</v>
      </c>
      <c r="B10" s="14" t="s">
        <v>127</v>
      </c>
      <c r="C10" s="15" t="s">
        <v>128</v>
      </c>
      <c r="D10" s="15" t="s">
        <v>129</v>
      </c>
      <c r="E10" s="15" t="s">
        <v>130</v>
      </c>
      <c r="F10" s="15">
        <v>1</v>
      </c>
      <c r="G10" s="15" t="s">
        <v>131</v>
      </c>
      <c r="H10" s="15">
        <f t="shared" ref="H10:H17" si="1">IF(G10="Khó và phức tạp",200,IF(G10="Cao",150,IF(G10="Trung bình",120,IF(G10="Thấp",100))))</f>
        <v>120</v>
      </c>
      <c r="I10" s="15">
        <f t="shared" ref="I10:I17" si="2">H10*0.01</f>
        <v>1.2</v>
      </c>
      <c r="J10" s="15">
        <f t="shared" ref="J10:J17" si="3">F10*I10</f>
        <v>1.2</v>
      </c>
      <c r="K10" s="15">
        <f t="shared" ref="K10:K17" si="4">F10*1</f>
        <v>1</v>
      </c>
      <c r="L10" s="15">
        <f t="shared" ref="L10:L17" si="5">K10*I10</f>
        <v>1.2</v>
      </c>
      <c r="M10" s="15">
        <f t="shared" ref="M10:M17" si="6">K10*1</f>
        <v>1</v>
      </c>
      <c r="N10" s="15">
        <f t="shared" ref="N10:N17" si="7">I10*M10</f>
        <v>1.2</v>
      </c>
      <c r="O10" s="15">
        <f t="shared" ref="O10:O17" si="8">K10*1</f>
        <v>1</v>
      </c>
      <c r="P10" s="15">
        <f t="shared" ref="P10:P17" si="9">I10*O10</f>
        <v>1.2</v>
      </c>
    </row>
    <row r="11" spans="1:17" ht="108.45" customHeight="1" x14ac:dyDescent="0.3">
      <c r="A11" s="13" t="s">
        <v>132</v>
      </c>
      <c r="B11" s="14" t="s">
        <v>133</v>
      </c>
      <c r="C11" s="15" t="s">
        <v>134</v>
      </c>
      <c r="D11" s="15" t="s">
        <v>129</v>
      </c>
      <c r="E11" s="15" t="s">
        <v>135</v>
      </c>
      <c r="F11" s="15">
        <v>1</v>
      </c>
      <c r="G11" s="15" t="s">
        <v>131</v>
      </c>
      <c r="H11" s="15">
        <f t="shared" si="1"/>
        <v>120</v>
      </c>
      <c r="I11" s="15">
        <f t="shared" si="2"/>
        <v>1.2</v>
      </c>
      <c r="J11" s="15">
        <f t="shared" si="3"/>
        <v>1.2</v>
      </c>
      <c r="K11" s="15">
        <f t="shared" si="4"/>
        <v>1</v>
      </c>
      <c r="L11" s="15">
        <f t="shared" si="5"/>
        <v>1.2</v>
      </c>
      <c r="M11" s="15">
        <f t="shared" si="6"/>
        <v>1</v>
      </c>
      <c r="N11" s="15">
        <f t="shared" si="7"/>
        <v>1.2</v>
      </c>
      <c r="O11" s="15">
        <f t="shared" si="8"/>
        <v>1</v>
      </c>
      <c r="P11" s="15">
        <f t="shared" si="9"/>
        <v>1.2</v>
      </c>
    </row>
    <row r="12" spans="1:17" ht="124.05" customHeight="1" x14ac:dyDescent="0.3">
      <c r="A12" s="13" t="s">
        <v>136</v>
      </c>
      <c r="B12" s="14" t="s">
        <v>137</v>
      </c>
      <c r="C12" s="15" t="s">
        <v>134</v>
      </c>
      <c r="D12" s="15" t="s">
        <v>129</v>
      </c>
      <c r="E12" s="15" t="s">
        <v>135</v>
      </c>
      <c r="F12" s="15">
        <v>1</v>
      </c>
      <c r="G12" s="15" t="s">
        <v>131</v>
      </c>
      <c r="H12" s="15">
        <f t="shared" si="1"/>
        <v>120</v>
      </c>
      <c r="I12" s="15">
        <f t="shared" si="2"/>
        <v>1.2</v>
      </c>
      <c r="J12" s="15">
        <f t="shared" si="3"/>
        <v>1.2</v>
      </c>
      <c r="K12" s="15">
        <f t="shared" si="4"/>
        <v>1</v>
      </c>
      <c r="L12" s="15">
        <f t="shared" si="5"/>
        <v>1.2</v>
      </c>
      <c r="M12" s="15">
        <f t="shared" si="6"/>
        <v>1</v>
      </c>
      <c r="N12" s="15">
        <f t="shared" si="7"/>
        <v>1.2</v>
      </c>
      <c r="O12" s="15">
        <f t="shared" si="8"/>
        <v>1</v>
      </c>
      <c r="P12" s="15">
        <f t="shared" si="9"/>
        <v>1.2</v>
      </c>
    </row>
    <row r="13" spans="1:17" ht="108.45" customHeight="1" x14ac:dyDescent="0.3">
      <c r="A13" s="13" t="s">
        <v>138</v>
      </c>
      <c r="B13" s="14" t="s">
        <v>139</v>
      </c>
      <c r="C13" s="15" t="s">
        <v>134</v>
      </c>
      <c r="D13" s="15" t="s">
        <v>129</v>
      </c>
      <c r="E13" s="15" t="s">
        <v>135</v>
      </c>
      <c r="F13" s="15">
        <v>1</v>
      </c>
      <c r="G13" s="15" t="s">
        <v>131</v>
      </c>
      <c r="H13" s="15">
        <f t="shared" si="1"/>
        <v>120</v>
      </c>
      <c r="I13" s="15">
        <f t="shared" si="2"/>
        <v>1.2</v>
      </c>
      <c r="J13" s="15">
        <f t="shared" si="3"/>
        <v>1.2</v>
      </c>
      <c r="K13" s="15">
        <f t="shared" si="4"/>
        <v>1</v>
      </c>
      <c r="L13" s="15">
        <f t="shared" si="5"/>
        <v>1.2</v>
      </c>
      <c r="M13" s="15">
        <f t="shared" si="6"/>
        <v>1</v>
      </c>
      <c r="N13" s="15">
        <f t="shared" si="7"/>
        <v>1.2</v>
      </c>
      <c r="O13" s="15">
        <f t="shared" si="8"/>
        <v>1</v>
      </c>
      <c r="P13" s="15">
        <f t="shared" si="9"/>
        <v>1.2</v>
      </c>
    </row>
    <row r="14" spans="1:17" ht="108.45" customHeight="1" x14ac:dyDescent="0.3">
      <c r="A14" s="13" t="s">
        <v>140</v>
      </c>
      <c r="B14" s="14" t="s">
        <v>141</v>
      </c>
      <c r="C14" s="15" t="s">
        <v>134</v>
      </c>
      <c r="D14" s="15" t="s">
        <v>129</v>
      </c>
      <c r="E14" s="15" t="s">
        <v>135</v>
      </c>
      <c r="F14" s="15">
        <v>1</v>
      </c>
      <c r="G14" s="15" t="s">
        <v>131</v>
      </c>
      <c r="H14" s="15">
        <f t="shared" si="1"/>
        <v>120</v>
      </c>
      <c r="I14" s="15">
        <f t="shared" si="2"/>
        <v>1.2</v>
      </c>
      <c r="J14" s="15">
        <f t="shared" si="3"/>
        <v>1.2</v>
      </c>
      <c r="K14" s="15">
        <f t="shared" si="4"/>
        <v>1</v>
      </c>
      <c r="L14" s="15">
        <f t="shared" si="5"/>
        <v>1.2</v>
      </c>
      <c r="M14" s="15">
        <f t="shared" si="6"/>
        <v>1</v>
      </c>
      <c r="N14" s="15">
        <f t="shared" si="7"/>
        <v>1.2</v>
      </c>
      <c r="O14" s="15">
        <f t="shared" si="8"/>
        <v>1</v>
      </c>
      <c r="P14" s="15">
        <f t="shared" si="9"/>
        <v>1.2</v>
      </c>
    </row>
    <row r="15" spans="1:17" ht="61.95" customHeight="1" x14ac:dyDescent="0.3">
      <c r="A15" s="28" t="s">
        <v>142</v>
      </c>
      <c r="B15" s="29" t="s">
        <v>143</v>
      </c>
      <c r="C15" s="28" t="s">
        <v>144</v>
      </c>
      <c r="D15" s="28" t="s">
        <v>129</v>
      </c>
      <c r="E15" s="28" t="s">
        <v>135</v>
      </c>
      <c r="F15" s="28">
        <v>1</v>
      </c>
      <c r="G15" s="28" t="s">
        <v>145</v>
      </c>
      <c r="H15" s="28">
        <f t="shared" si="1"/>
        <v>150</v>
      </c>
      <c r="I15" s="28">
        <f t="shared" si="2"/>
        <v>1.5</v>
      </c>
      <c r="J15" s="28">
        <f t="shared" si="3"/>
        <v>1.5</v>
      </c>
      <c r="K15" s="28">
        <f t="shared" si="4"/>
        <v>1</v>
      </c>
      <c r="L15" s="28">
        <f t="shared" si="5"/>
        <v>1.5</v>
      </c>
      <c r="M15" s="28">
        <f t="shared" si="6"/>
        <v>1</v>
      </c>
      <c r="N15" s="28">
        <f t="shared" si="7"/>
        <v>1.5</v>
      </c>
      <c r="O15" s="28">
        <f t="shared" si="8"/>
        <v>1</v>
      </c>
      <c r="P15" s="28">
        <f t="shared" si="9"/>
        <v>1.5</v>
      </c>
    </row>
    <row r="16" spans="1:17" ht="61.95" customHeight="1" x14ac:dyDescent="0.3">
      <c r="A16" s="28" t="s">
        <v>146</v>
      </c>
      <c r="B16" s="29" t="s">
        <v>147</v>
      </c>
      <c r="C16" s="28" t="s">
        <v>134</v>
      </c>
      <c r="D16" s="28" t="s">
        <v>129</v>
      </c>
      <c r="E16" s="28" t="s">
        <v>148</v>
      </c>
      <c r="F16" s="28">
        <v>3</v>
      </c>
      <c r="G16" s="28" t="s">
        <v>145</v>
      </c>
      <c r="H16" s="28">
        <f t="shared" si="1"/>
        <v>150</v>
      </c>
      <c r="I16" s="28">
        <f t="shared" si="2"/>
        <v>1.5</v>
      </c>
      <c r="J16" s="28">
        <f t="shared" si="3"/>
        <v>4.5</v>
      </c>
      <c r="K16" s="28">
        <f t="shared" si="4"/>
        <v>3</v>
      </c>
      <c r="L16" s="28">
        <f t="shared" si="5"/>
        <v>4.5</v>
      </c>
      <c r="M16" s="28">
        <f t="shared" si="6"/>
        <v>3</v>
      </c>
      <c r="N16" s="28">
        <f t="shared" si="7"/>
        <v>4.5</v>
      </c>
      <c r="O16" s="28">
        <f t="shared" si="8"/>
        <v>3</v>
      </c>
      <c r="P16" s="28">
        <f t="shared" si="9"/>
        <v>4.5</v>
      </c>
    </row>
    <row r="17" spans="1:16" ht="61.95" customHeight="1" x14ac:dyDescent="0.3">
      <c r="A17" s="28" t="s">
        <v>149</v>
      </c>
      <c r="B17" s="30" t="s">
        <v>85</v>
      </c>
      <c r="C17" s="28" t="s">
        <v>144</v>
      </c>
      <c r="D17" s="28" t="s">
        <v>54</v>
      </c>
      <c r="E17" s="28" t="s">
        <v>150</v>
      </c>
      <c r="F17" s="28">
        <v>4</v>
      </c>
      <c r="G17" s="28" t="s">
        <v>145</v>
      </c>
      <c r="H17" s="28">
        <f t="shared" si="1"/>
        <v>150</v>
      </c>
      <c r="I17" s="28">
        <f t="shared" si="2"/>
        <v>1.5</v>
      </c>
      <c r="J17" s="28">
        <f t="shared" si="3"/>
        <v>6</v>
      </c>
      <c r="K17" s="28">
        <f t="shared" si="4"/>
        <v>4</v>
      </c>
      <c r="L17" s="28">
        <f t="shared" si="5"/>
        <v>6</v>
      </c>
      <c r="M17" s="28">
        <f t="shared" si="6"/>
        <v>4</v>
      </c>
      <c r="N17" s="28">
        <f t="shared" si="7"/>
        <v>6</v>
      </c>
      <c r="O17" s="28">
        <f t="shared" si="8"/>
        <v>4</v>
      </c>
      <c r="P17" s="28">
        <f t="shared" si="9"/>
        <v>6</v>
      </c>
    </row>
    <row r="18" spans="1:16" ht="31.5" customHeight="1" x14ac:dyDescent="0.3">
      <c r="A18" s="12">
        <v>2</v>
      </c>
      <c r="B18" s="40" t="s">
        <v>151</v>
      </c>
      <c r="C18" s="41"/>
      <c r="D18" s="41"/>
      <c r="E18" s="41"/>
      <c r="F18" s="41"/>
      <c r="G18" s="41"/>
      <c r="H18" s="41"/>
      <c r="I18" s="42"/>
      <c r="J18" s="31">
        <v>0</v>
      </c>
      <c r="K18" s="1">
        <v>0</v>
      </c>
      <c r="L18" s="1">
        <v>0</v>
      </c>
      <c r="M18" s="1">
        <v>0</v>
      </c>
      <c r="N18" s="1">
        <v>0</v>
      </c>
      <c r="O18" s="1">
        <v>0</v>
      </c>
      <c r="P18" s="1">
        <v>0</v>
      </c>
    </row>
    <row r="19" spans="1:16" ht="31.5" customHeight="1" x14ac:dyDescent="0.3">
      <c r="A19" s="12">
        <v>3</v>
      </c>
      <c r="B19" s="40" t="s">
        <v>152</v>
      </c>
      <c r="C19" s="41"/>
      <c r="D19" s="41"/>
      <c r="E19" s="41"/>
      <c r="F19" s="41"/>
      <c r="G19" s="41"/>
      <c r="H19" s="41"/>
      <c r="I19" s="42"/>
      <c r="J19" s="27">
        <f t="shared" ref="J19:P19" si="10">SUM(J20:J24)</f>
        <v>8.1999999999999993</v>
      </c>
      <c r="K19" s="1">
        <f t="shared" si="10"/>
        <v>5</v>
      </c>
      <c r="L19" s="1">
        <f t="shared" si="10"/>
        <v>8.1999999999999993</v>
      </c>
      <c r="M19" s="1">
        <f t="shared" si="10"/>
        <v>5</v>
      </c>
      <c r="N19" s="1">
        <f t="shared" si="10"/>
        <v>8.1999999999999993</v>
      </c>
      <c r="O19" s="1">
        <f t="shared" si="10"/>
        <v>5</v>
      </c>
      <c r="P19" s="1">
        <f t="shared" si="10"/>
        <v>8.1999999999999993</v>
      </c>
    </row>
    <row r="20" spans="1:16" ht="77.55" customHeight="1" x14ac:dyDescent="0.3">
      <c r="A20" s="13" t="s">
        <v>153</v>
      </c>
      <c r="B20" s="14" t="s">
        <v>154</v>
      </c>
      <c r="C20" s="15" t="s">
        <v>134</v>
      </c>
      <c r="D20" s="15" t="s">
        <v>54</v>
      </c>
      <c r="E20" s="15" t="s">
        <v>155</v>
      </c>
      <c r="F20" s="15">
        <v>1</v>
      </c>
      <c r="G20" s="15" t="s">
        <v>145</v>
      </c>
      <c r="H20" s="15">
        <f>IF(G20="Khó và phức tạp",200,IF(G20="Cao",150,IF(G20="Trung bình",120,IF(G20="Thấp",100))))</f>
        <v>150</v>
      </c>
      <c r="I20" s="15">
        <f>H20*0.01</f>
        <v>1.5</v>
      </c>
      <c r="J20" s="15">
        <f>F20*I20</f>
        <v>1.5</v>
      </c>
      <c r="K20" s="15">
        <f>F20*1</f>
        <v>1</v>
      </c>
      <c r="L20" s="15">
        <f>K20*I20</f>
        <v>1.5</v>
      </c>
      <c r="M20" s="15">
        <f>K20*1</f>
        <v>1</v>
      </c>
      <c r="N20" s="15">
        <f>I20*M20</f>
        <v>1.5</v>
      </c>
      <c r="O20" s="15">
        <f>K20*1</f>
        <v>1</v>
      </c>
      <c r="P20" s="15">
        <f>I20*O20</f>
        <v>1.5</v>
      </c>
    </row>
    <row r="21" spans="1:16" ht="77.55" customHeight="1" x14ac:dyDescent="0.3">
      <c r="A21" s="13" t="s">
        <v>156</v>
      </c>
      <c r="B21" s="14" t="s">
        <v>157</v>
      </c>
      <c r="C21" s="15" t="s">
        <v>134</v>
      </c>
      <c r="D21" s="15" t="s">
        <v>54</v>
      </c>
      <c r="E21" s="15" t="s">
        <v>135</v>
      </c>
      <c r="F21" s="15">
        <v>1</v>
      </c>
      <c r="G21" s="15" t="s">
        <v>131</v>
      </c>
      <c r="H21" s="15">
        <f>IF(G21="Khó và phức tạp",200,IF(G21="Cao",150,IF(G21="Trung bình",120,IF(G21="Thấp",100))))</f>
        <v>120</v>
      </c>
      <c r="I21" s="15">
        <f>H21*0.01</f>
        <v>1.2</v>
      </c>
      <c r="J21" s="15">
        <f>F21*I21</f>
        <v>1.2</v>
      </c>
      <c r="K21" s="15">
        <f>F21*1</f>
        <v>1</v>
      </c>
      <c r="L21" s="15">
        <f>K21*I21</f>
        <v>1.2</v>
      </c>
      <c r="M21" s="15">
        <f>K21*1</f>
        <v>1</v>
      </c>
      <c r="N21" s="15">
        <f>I21*M21</f>
        <v>1.2</v>
      </c>
      <c r="O21" s="15">
        <f>K21*1</f>
        <v>1</v>
      </c>
      <c r="P21" s="15">
        <f>I21*O21</f>
        <v>1.2</v>
      </c>
    </row>
    <row r="22" spans="1:16" s="17" customFormat="1" ht="61.95" customHeight="1" x14ac:dyDescent="0.3">
      <c r="A22" s="13" t="s">
        <v>158</v>
      </c>
      <c r="B22" s="14" t="s">
        <v>159</v>
      </c>
      <c r="C22" s="15" t="s">
        <v>134</v>
      </c>
      <c r="D22" s="15" t="s">
        <v>129</v>
      </c>
      <c r="E22" s="15" t="s">
        <v>160</v>
      </c>
      <c r="F22" s="15">
        <v>1</v>
      </c>
      <c r="G22" s="15" t="s">
        <v>161</v>
      </c>
      <c r="H22" s="15">
        <f>IF(G22="Khó và phức tạp",200,IF(G22="Cao",150,IF(G22="Trung bình",120,IF(G22="Thấp",100))))</f>
        <v>200</v>
      </c>
      <c r="I22" s="15">
        <f>H22*0.01</f>
        <v>2</v>
      </c>
      <c r="J22" s="15">
        <f>F22*I22</f>
        <v>2</v>
      </c>
      <c r="K22" s="15">
        <f>F22*1</f>
        <v>1</v>
      </c>
      <c r="L22" s="15">
        <f>K22*I22</f>
        <v>2</v>
      </c>
      <c r="M22" s="15">
        <f>K22*1</f>
        <v>1</v>
      </c>
      <c r="N22" s="15">
        <f>I22*M22</f>
        <v>2</v>
      </c>
      <c r="O22" s="15">
        <f>K22*1</f>
        <v>1</v>
      </c>
      <c r="P22" s="15">
        <f>I22*O22</f>
        <v>2</v>
      </c>
    </row>
    <row r="23" spans="1:16" ht="108.45" customHeight="1" x14ac:dyDescent="0.3">
      <c r="A23" s="13" t="s">
        <v>162</v>
      </c>
      <c r="B23" s="14" t="s">
        <v>163</v>
      </c>
      <c r="C23" s="15" t="s">
        <v>134</v>
      </c>
      <c r="D23" s="15" t="s">
        <v>129</v>
      </c>
      <c r="E23" s="15" t="s">
        <v>164</v>
      </c>
      <c r="F23" s="15">
        <v>1</v>
      </c>
      <c r="G23" s="15" t="s">
        <v>145</v>
      </c>
      <c r="H23" s="15">
        <f>IF(G23="Khó và phức tạp",200,IF(G23="Cao",150,IF(G23="Trung bình",120,IF(G23="Thấp",100))))</f>
        <v>150</v>
      </c>
      <c r="I23" s="15">
        <f>H23*0.01</f>
        <v>1.5</v>
      </c>
      <c r="J23" s="15">
        <f>F23*I23</f>
        <v>1.5</v>
      </c>
      <c r="K23" s="15">
        <f>F23*1</f>
        <v>1</v>
      </c>
      <c r="L23" s="15">
        <f>K23*I23</f>
        <v>1.5</v>
      </c>
      <c r="M23" s="15">
        <f>K23*1</f>
        <v>1</v>
      </c>
      <c r="N23" s="15">
        <f>I23*M23</f>
        <v>1.5</v>
      </c>
      <c r="O23" s="15">
        <f>K23*1</f>
        <v>1</v>
      </c>
      <c r="P23" s="15">
        <f>I23*O23</f>
        <v>1.5</v>
      </c>
    </row>
    <row r="24" spans="1:16" ht="93" customHeight="1" x14ac:dyDescent="0.3">
      <c r="A24" s="13" t="s">
        <v>165</v>
      </c>
      <c r="B24" s="32" t="s">
        <v>58</v>
      </c>
      <c r="C24" s="15" t="s">
        <v>134</v>
      </c>
      <c r="D24" s="33" t="s">
        <v>55</v>
      </c>
      <c r="E24" s="15" t="s">
        <v>160</v>
      </c>
      <c r="F24" s="15">
        <v>1</v>
      </c>
      <c r="G24" s="15" t="s">
        <v>161</v>
      </c>
      <c r="H24" s="15">
        <f>IF(G24="Khó và phức tạp",200,IF(G24="Cao",150,IF(G24="Trung bình",120,IF(G24="Thấp",100))))</f>
        <v>200</v>
      </c>
      <c r="I24" s="15">
        <f>H24*0.01</f>
        <v>2</v>
      </c>
      <c r="J24" s="15">
        <f>F24*I24</f>
        <v>2</v>
      </c>
      <c r="K24" s="15">
        <f>F24*1</f>
        <v>1</v>
      </c>
      <c r="L24" s="15">
        <f>K24*I24</f>
        <v>2</v>
      </c>
      <c r="M24" s="15">
        <f>K24*1</f>
        <v>1</v>
      </c>
      <c r="N24" s="15">
        <f>I24*M24</f>
        <v>2</v>
      </c>
      <c r="O24" s="15">
        <f>K24*1</f>
        <v>1</v>
      </c>
      <c r="P24" s="15">
        <f>I24*O24</f>
        <v>2</v>
      </c>
    </row>
    <row r="25" spans="1:16" ht="31.5" customHeight="1" x14ac:dyDescent="0.3">
      <c r="A25" s="12">
        <v>4</v>
      </c>
      <c r="B25" s="40" t="s">
        <v>166</v>
      </c>
      <c r="C25" s="41"/>
      <c r="D25" s="41"/>
      <c r="E25" s="41"/>
      <c r="F25" s="41"/>
      <c r="G25" s="41"/>
      <c r="H25" s="41"/>
      <c r="I25" s="42"/>
      <c r="J25" s="27">
        <f t="shared" ref="J25:P25" si="11">SUM(J26:J27)</f>
        <v>7.5</v>
      </c>
      <c r="K25" s="1">
        <f t="shared" si="11"/>
        <v>3.5</v>
      </c>
      <c r="L25" s="1">
        <f t="shared" si="11"/>
        <v>4.5</v>
      </c>
      <c r="M25" s="1">
        <f t="shared" si="11"/>
        <v>3.5</v>
      </c>
      <c r="N25" s="1">
        <f t="shared" si="11"/>
        <v>4.5</v>
      </c>
      <c r="O25" s="1">
        <f t="shared" si="11"/>
        <v>3.5</v>
      </c>
      <c r="P25" s="1">
        <f t="shared" si="11"/>
        <v>4.5</v>
      </c>
    </row>
    <row r="26" spans="1:16" ht="124.05" customHeight="1" x14ac:dyDescent="0.3">
      <c r="A26" s="13" t="s">
        <v>167</v>
      </c>
      <c r="B26" s="14" t="s">
        <v>168</v>
      </c>
      <c r="C26" s="15" t="s">
        <v>169</v>
      </c>
      <c r="D26" s="15" t="s">
        <v>170</v>
      </c>
      <c r="E26" s="15" t="s">
        <v>171</v>
      </c>
      <c r="F26" s="15">
        <v>5</v>
      </c>
      <c r="G26" s="15" t="s">
        <v>131</v>
      </c>
      <c r="H26" s="15">
        <f>IF(G26="Khó và phức tạp",200,IF(G26="Cao",150,IF(G26="Trung bình",120,IF(G26="Thấp",100))))</f>
        <v>120</v>
      </c>
      <c r="I26" s="15">
        <f>H26*0.01</f>
        <v>1.2</v>
      </c>
      <c r="J26" s="15">
        <f>F26*I26</f>
        <v>6</v>
      </c>
      <c r="K26" s="34">
        <f>F26*0.5</f>
        <v>2.5</v>
      </c>
      <c r="L26" s="15">
        <f>K26*I26</f>
        <v>3</v>
      </c>
      <c r="M26" s="15">
        <f>K26*1</f>
        <v>2.5</v>
      </c>
      <c r="N26" s="15">
        <f>I26*M26</f>
        <v>3</v>
      </c>
      <c r="O26" s="15">
        <f>K26*1</f>
        <v>2.5</v>
      </c>
      <c r="P26" s="15">
        <f>I26*O26</f>
        <v>3</v>
      </c>
    </row>
    <row r="27" spans="1:16" ht="61.95" customHeight="1" x14ac:dyDescent="0.3">
      <c r="A27" s="13" t="s">
        <v>172</v>
      </c>
      <c r="B27" s="14" t="s">
        <v>173</v>
      </c>
      <c r="C27" s="15" t="s">
        <v>144</v>
      </c>
      <c r="D27" s="15" t="s">
        <v>174</v>
      </c>
      <c r="E27" s="15" t="s">
        <v>135</v>
      </c>
      <c r="F27" s="15">
        <v>1</v>
      </c>
      <c r="G27" s="15" t="s">
        <v>145</v>
      </c>
      <c r="H27" s="15">
        <f>IF(G27="Khó và phức tạp",200,IF(G27="Cao",150,IF(G27="Trung bình",120,IF(G27="Thấp",100))))</f>
        <v>150</v>
      </c>
      <c r="I27" s="15">
        <f>H27*0.01</f>
        <v>1.5</v>
      </c>
      <c r="J27" s="15">
        <f>F27*I27</f>
        <v>1.5</v>
      </c>
      <c r="K27" s="15">
        <f>F27*1</f>
        <v>1</v>
      </c>
      <c r="L27" s="15">
        <f>K27*I27</f>
        <v>1.5</v>
      </c>
      <c r="M27" s="15">
        <f>K27*1</f>
        <v>1</v>
      </c>
      <c r="N27" s="15">
        <f>I27*M27</f>
        <v>1.5</v>
      </c>
      <c r="O27" s="15">
        <f>K27*1</f>
        <v>1</v>
      </c>
      <c r="P27" s="15">
        <f>I27*O27</f>
        <v>1.5</v>
      </c>
    </row>
    <row r="28" spans="1:16" ht="31.5" customHeight="1" x14ac:dyDescent="0.3">
      <c r="A28" s="12">
        <v>5</v>
      </c>
      <c r="B28" s="40" t="s">
        <v>175</v>
      </c>
      <c r="C28" s="41"/>
      <c r="D28" s="41"/>
      <c r="E28" s="41"/>
      <c r="F28" s="41"/>
      <c r="G28" s="41"/>
      <c r="H28" s="41"/>
      <c r="I28" s="42"/>
      <c r="J28" s="27">
        <f t="shared" ref="J28:P28" si="12">SUM(J29:J29)</f>
        <v>1.2</v>
      </c>
      <c r="K28" s="1">
        <f t="shared" si="12"/>
        <v>1</v>
      </c>
      <c r="L28" s="1">
        <f t="shared" si="12"/>
        <v>1.2</v>
      </c>
      <c r="M28" s="1">
        <f t="shared" si="12"/>
        <v>0.75</v>
      </c>
      <c r="N28" s="1">
        <f t="shared" si="12"/>
        <v>0.89999999999999991</v>
      </c>
      <c r="O28" s="1">
        <f t="shared" si="12"/>
        <v>0.5</v>
      </c>
      <c r="P28" s="1">
        <f t="shared" si="12"/>
        <v>0.6</v>
      </c>
    </row>
    <row r="29" spans="1:16" ht="77.55" customHeight="1" x14ac:dyDescent="0.3">
      <c r="A29" s="13" t="s">
        <v>176</v>
      </c>
      <c r="B29" s="14" t="s">
        <v>177</v>
      </c>
      <c r="C29" s="15" t="s">
        <v>134</v>
      </c>
      <c r="D29" s="15" t="s">
        <v>178</v>
      </c>
      <c r="E29" s="15" t="s">
        <v>150</v>
      </c>
      <c r="F29" s="15">
        <v>1</v>
      </c>
      <c r="G29" s="15" t="s">
        <v>131</v>
      </c>
      <c r="H29" s="15">
        <f>IF(G29="Khó và phức tạp",200,IF(G29="Cao",150,IF(G29="Trung bình",120,IF(G29="Thấp",100))))</f>
        <v>120</v>
      </c>
      <c r="I29" s="15">
        <f>H29*0.01</f>
        <v>1.2</v>
      </c>
      <c r="J29" s="15">
        <f>F29*I29</f>
        <v>1.2</v>
      </c>
      <c r="K29" s="15">
        <f>F29*1</f>
        <v>1</v>
      </c>
      <c r="L29" s="15">
        <f>K29*I29</f>
        <v>1.2</v>
      </c>
      <c r="M29" s="33">
        <f>K29*0.75</f>
        <v>0.75</v>
      </c>
      <c r="N29" s="15">
        <f>I29*M29</f>
        <v>0.89999999999999991</v>
      </c>
      <c r="O29" s="33">
        <f>K29*0.5</f>
        <v>0.5</v>
      </c>
      <c r="P29" s="15">
        <f>I29*O29</f>
        <v>0.6</v>
      </c>
    </row>
    <row r="30" spans="1:16" ht="31.5" customHeight="1" x14ac:dyDescent="0.3">
      <c r="A30" s="12">
        <v>6</v>
      </c>
      <c r="B30" s="40" t="s">
        <v>179</v>
      </c>
      <c r="C30" s="41"/>
      <c r="D30" s="41"/>
      <c r="E30" s="41"/>
      <c r="F30" s="41"/>
      <c r="G30" s="41"/>
      <c r="H30" s="41"/>
      <c r="I30" s="42"/>
      <c r="J30" s="27">
        <f t="shared" ref="J30:P30" si="13">SUM(J31:J32)</f>
        <v>9</v>
      </c>
      <c r="K30" s="1">
        <f t="shared" si="13"/>
        <v>5</v>
      </c>
      <c r="L30" s="1">
        <f t="shared" si="13"/>
        <v>9</v>
      </c>
      <c r="M30" s="1">
        <f t="shared" si="13"/>
        <v>5</v>
      </c>
      <c r="N30" s="1">
        <f t="shared" si="13"/>
        <v>9</v>
      </c>
      <c r="O30" s="1">
        <f t="shared" si="13"/>
        <v>5</v>
      </c>
      <c r="P30" s="1">
        <f t="shared" si="13"/>
        <v>9</v>
      </c>
    </row>
    <row r="31" spans="1:16" ht="77.55" customHeight="1" x14ac:dyDescent="0.3">
      <c r="A31" s="13" t="s">
        <v>180</v>
      </c>
      <c r="B31" s="14" t="s">
        <v>181</v>
      </c>
      <c r="C31" s="15" t="s">
        <v>134</v>
      </c>
      <c r="D31" s="15" t="s">
        <v>178</v>
      </c>
      <c r="E31" s="15" t="s">
        <v>182</v>
      </c>
      <c r="F31" s="15">
        <v>1</v>
      </c>
      <c r="G31" s="15" t="s">
        <v>183</v>
      </c>
      <c r="H31" s="15">
        <f>IF(G31="Khó và phức tạp",200,IF(G31="Cao",150,IF(G31="Trung bình",120,IF(G31="Thấp",100))))</f>
        <v>100</v>
      </c>
      <c r="I31" s="15">
        <f>H31*0.01</f>
        <v>1</v>
      </c>
      <c r="J31" s="15">
        <f>F31*I31</f>
        <v>1</v>
      </c>
      <c r="K31" s="15">
        <f>F31*1</f>
        <v>1</v>
      </c>
      <c r="L31" s="15">
        <f>K31*I31</f>
        <v>1</v>
      </c>
      <c r="M31" s="15">
        <f>K31*1</f>
        <v>1</v>
      </c>
      <c r="N31" s="15">
        <f>I31*M31</f>
        <v>1</v>
      </c>
      <c r="O31" s="15">
        <f>K31*1</f>
        <v>1</v>
      </c>
      <c r="P31" s="15">
        <f>I31*O31</f>
        <v>1</v>
      </c>
    </row>
    <row r="32" spans="1:16" ht="61.95" customHeight="1" x14ac:dyDescent="0.3">
      <c r="A32" s="13" t="s">
        <v>184</v>
      </c>
      <c r="B32" s="14" t="s">
        <v>185</v>
      </c>
      <c r="C32" s="15" t="s">
        <v>134</v>
      </c>
      <c r="D32" s="15" t="s">
        <v>54</v>
      </c>
      <c r="E32" s="15" t="s">
        <v>186</v>
      </c>
      <c r="F32" s="15">
        <v>4</v>
      </c>
      <c r="G32" s="15" t="s">
        <v>161</v>
      </c>
      <c r="H32" s="15">
        <f>IF(G32="Khó và phức tạp",200,IF(G32="Cao",150,IF(G32="Trung bình",120,IF(G32="Thấp",100))))</f>
        <v>200</v>
      </c>
      <c r="I32" s="15">
        <f>H32*0.01</f>
        <v>2</v>
      </c>
      <c r="J32" s="15">
        <f>F32*I32</f>
        <v>8</v>
      </c>
      <c r="K32" s="15">
        <f>F32*1</f>
        <v>4</v>
      </c>
      <c r="L32" s="15">
        <f>K32*I32</f>
        <v>8</v>
      </c>
      <c r="M32" s="15">
        <f>K32*1</f>
        <v>4</v>
      </c>
      <c r="N32" s="15">
        <f>I32*M32</f>
        <v>8</v>
      </c>
      <c r="O32" s="15">
        <f>K32*1</f>
        <v>4</v>
      </c>
      <c r="P32" s="15">
        <f>I32*O32</f>
        <v>8</v>
      </c>
    </row>
    <row r="33" spans="1:16" ht="31.05" customHeight="1" x14ac:dyDescent="0.3">
      <c r="A33" s="7" t="s">
        <v>187</v>
      </c>
      <c r="B33" s="52" t="s">
        <v>40</v>
      </c>
      <c r="C33" s="41"/>
      <c r="D33" s="41"/>
      <c r="E33" s="41"/>
      <c r="F33" s="41"/>
      <c r="G33" s="41"/>
      <c r="H33" s="41"/>
      <c r="I33" s="42"/>
      <c r="J33" s="27">
        <f t="shared" ref="J33:P33" si="14">SUM(J34:J42)</f>
        <v>13.099999999999998</v>
      </c>
      <c r="K33" s="11">
        <f t="shared" si="14"/>
        <v>9</v>
      </c>
      <c r="L33" s="11">
        <f t="shared" si="14"/>
        <v>13.099999999999998</v>
      </c>
      <c r="M33" s="11">
        <f t="shared" si="14"/>
        <v>8.75</v>
      </c>
      <c r="N33" s="11">
        <f t="shared" si="14"/>
        <v>12.799999999999999</v>
      </c>
      <c r="O33" s="11">
        <f t="shared" si="14"/>
        <v>9</v>
      </c>
      <c r="P33" s="11">
        <f t="shared" si="14"/>
        <v>13.099999999999998</v>
      </c>
    </row>
    <row r="34" spans="1:16" ht="61.95" customHeight="1" x14ac:dyDescent="0.3">
      <c r="A34" s="13" t="s">
        <v>188</v>
      </c>
      <c r="B34" s="32" t="s">
        <v>65</v>
      </c>
      <c r="C34" s="15" t="s">
        <v>134</v>
      </c>
      <c r="D34" s="15" t="s">
        <v>189</v>
      </c>
      <c r="E34" s="15" t="s">
        <v>190</v>
      </c>
      <c r="F34" s="15">
        <v>1</v>
      </c>
      <c r="G34" s="15" t="s">
        <v>145</v>
      </c>
      <c r="H34" s="15">
        <f t="shared" ref="H34:H42" si="15">IF(G34="Khó và phức tạp",200,IF(G34="Cao",150,IF(G34="Trung bình",120,IF(G34="Thấp",100))))</f>
        <v>150</v>
      </c>
      <c r="I34" s="15">
        <f t="shared" ref="I34:I42" si="16">H34*0.01</f>
        <v>1.5</v>
      </c>
      <c r="J34" s="15">
        <f t="shared" ref="J34:J42" si="17">F34*I34</f>
        <v>1.5</v>
      </c>
      <c r="K34" s="15">
        <f t="shared" ref="K34:K42" si="18">F34*1</f>
        <v>1</v>
      </c>
      <c r="L34" s="15">
        <f t="shared" ref="L34:L42" si="19">K34*I34</f>
        <v>1.5</v>
      </c>
      <c r="M34" s="15">
        <f t="shared" ref="M34:M41" si="20">K34*1</f>
        <v>1</v>
      </c>
      <c r="N34" s="15">
        <f t="shared" ref="N34:N42" si="21">I34*M34</f>
        <v>1.5</v>
      </c>
      <c r="O34" s="15">
        <f t="shared" ref="O34:O42" si="22">K34*1</f>
        <v>1</v>
      </c>
      <c r="P34" s="15">
        <f t="shared" ref="P34:P42" si="23">I34*O34</f>
        <v>1.5</v>
      </c>
    </row>
    <row r="35" spans="1:16" ht="61.95" customHeight="1" x14ac:dyDescent="0.3">
      <c r="A35" s="13" t="s">
        <v>191</v>
      </c>
      <c r="B35" s="14" t="s">
        <v>192</v>
      </c>
      <c r="C35" s="15" t="s">
        <v>134</v>
      </c>
      <c r="D35" s="15" t="s">
        <v>54</v>
      </c>
      <c r="E35" s="15" t="s">
        <v>193</v>
      </c>
      <c r="F35" s="15">
        <v>1</v>
      </c>
      <c r="G35" s="15" t="s">
        <v>145</v>
      </c>
      <c r="H35" s="15">
        <f t="shared" si="15"/>
        <v>150</v>
      </c>
      <c r="I35" s="15">
        <f t="shared" si="16"/>
        <v>1.5</v>
      </c>
      <c r="J35" s="15">
        <f t="shared" si="17"/>
        <v>1.5</v>
      </c>
      <c r="K35" s="15">
        <f t="shared" si="18"/>
        <v>1</v>
      </c>
      <c r="L35" s="15">
        <f t="shared" si="19"/>
        <v>1.5</v>
      </c>
      <c r="M35" s="15">
        <f t="shared" si="20"/>
        <v>1</v>
      </c>
      <c r="N35" s="15">
        <f t="shared" si="21"/>
        <v>1.5</v>
      </c>
      <c r="O35" s="15">
        <f t="shared" si="22"/>
        <v>1</v>
      </c>
      <c r="P35" s="15">
        <f t="shared" si="23"/>
        <v>1.5</v>
      </c>
    </row>
    <row r="36" spans="1:16" ht="61.95" customHeight="1" x14ac:dyDescent="0.3">
      <c r="A36" s="13" t="s">
        <v>194</v>
      </c>
      <c r="B36" s="14" t="s">
        <v>195</v>
      </c>
      <c r="C36" s="15" t="s">
        <v>134</v>
      </c>
      <c r="D36" s="15" t="s">
        <v>54</v>
      </c>
      <c r="E36" s="15" t="s">
        <v>148</v>
      </c>
      <c r="F36" s="15">
        <v>1</v>
      </c>
      <c r="G36" s="15" t="s">
        <v>145</v>
      </c>
      <c r="H36" s="15">
        <f t="shared" si="15"/>
        <v>150</v>
      </c>
      <c r="I36" s="15">
        <f t="shared" si="16"/>
        <v>1.5</v>
      </c>
      <c r="J36" s="15">
        <f t="shared" si="17"/>
        <v>1.5</v>
      </c>
      <c r="K36" s="15">
        <f t="shared" si="18"/>
        <v>1</v>
      </c>
      <c r="L36" s="15">
        <f t="shared" si="19"/>
        <v>1.5</v>
      </c>
      <c r="M36" s="15">
        <f t="shared" si="20"/>
        <v>1</v>
      </c>
      <c r="N36" s="15">
        <f t="shared" si="21"/>
        <v>1.5</v>
      </c>
      <c r="O36" s="15">
        <f t="shared" si="22"/>
        <v>1</v>
      </c>
      <c r="P36" s="15">
        <f t="shared" si="23"/>
        <v>1.5</v>
      </c>
    </row>
    <row r="37" spans="1:16" ht="61.95" customHeight="1" x14ac:dyDescent="0.3">
      <c r="A37" s="13" t="s">
        <v>196</v>
      </c>
      <c r="B37" s="32" t="s">
        <v>68</v>
      </c>
      <c r="C37" s="15" t="s">
        <v>197</v>
      </c>
      <c r="D37" s="15" t="s">
        <v>170</v>
      </c>
      <c r="E37" s="15" t="s">
        <v>150</v>
      </c>
      <c r="F37" s="15">
        <v>1</v>
      </c>
      <c r="G37" s="15" t="s">
        <v>131</v>
      </c>
      <c r="H37" s="15">
        <f t="shared" si="15"/>
        <v>120</v>
      </c>
      <c r="I37" s="15">
        <f t="shared" si="16"/>
        <v>1.2</v>
      </c>
      <c r="J37" s="15">
        <f t="shared" si="17"/>
        <v>1.2</v>
      </c>
      <c r="K37" s="15">
        <f t="shared" si="18"/>
        <v>1</v>
      </c>
      <c r="L37" s="15">
        <f t="shared" si="19"/>
        <v>1.2</v>
      </c>
      <c r="M37" s="15">
        <f t="shared" si="20"/>
        <v>1</v>
      </c>
      <c r="N37" s="15">
        <f t="shared" si="21"/>
        <v>1.2</v>
      </c>
      <c r="O37" s="15">
        <f t="shared" si="22"/>
        <v>1</v>
      </c>
      <c r="P37" s="15">
        <f t="shared" si="23"/>
        <v>1.2</v>
      </c>
    </row>
    <row r="38" spans="1:16" ht="61.95" customHeight="1" x14ac:dyDescent="0.3">
      <c r="A38" s="13" t="s">
        <v>198</v>
      </c>
      <c r="B38" s="32" t="s">
        <v>71</v>
      </c>
      <c r="C38" s="15" t="s">
        <v>199</v>
      </c>
      <c r="D38" s="15" t="s">
        <v>200</v>
      </c>
      <c r="E38" s="15" t="s">
        <v>135</v>
      </c>
      <c r="F38" s="15">
        <v>1</v>
      </c>
      <c r="G38" s="15" t="s">
        <v>145</v>
      </c>
      <c r="H38" s="15">
        <f t="shared" si="15"/>
        <v>150</v>
      </c>
      <c r="I38" s="15">
        <f t="shared" si="16"/>
        <v>1.5</v>
      </c>
      <c r="J38" s="15">
        <f t="shared" si="17"/>
        <v>1.5</v>
      </c>
      <c r="K38" s="15">
        <f t="shared" si="18"/>
        <v>1</v>
      </c>
      <c r="L38" s="15">
        <f t="shared" si="19"/>
        <v>1.5</v>
      </c>
      <c r="M38" s="15">
        <f t="shared" si="20"/>
        <v>1</v>
      </c>
      <c r="N38" s="15">
        <f t="shared" si="21"/>
        <v>1.5</v>
      </c>
      <c r="O38" s="15">
        <f t="shared" si="22"/>
        <v>1</v>
      </c>
      <c r="P38" s="15">
        <f t="shared" si="23"/>
        <v>1.5</v>
      </c>
    </row>
    <row r="39" spans="1:16" ht="61.95" customHeight="1" x14ac:dyDescent="0.3">
      <c r="A39" s="33" t="s">
        <v>75</v>
      </c>
      <c r="B39" s="14" t="s">
        <v>201</v>
      </c>
      <c r="C39" s="15" t="s">
        <v>134</v>
      </c>
      <c r="D39" s="15" t="s">
        <v>129</v>
      </c>
      <c r="E39" s="15" t="s">
        <v>202</v>
      </c>
      <c r="F39" s="15">
        <v>1</v>
      </c>
      <c r="G39" s="15" t="s">
        <v>161</v>
      </c>
      <c r="H39" s="15">
        <f t="shared" si="15"/>
        <v>200</v>
      </c>
      <c r="I39" s="15">
        <f t="shared" si="16"/>
        <v>2</v>
      </c>
      <c r="J39" s="15">
        <f t="shared" si="17"/>
        <v>2</v>
      </c>
      <c r="K39" s="15">
        <f t="shared" si="18"/>
        <v>1</v>
      </c>
      <c r="L39" s="15">
        <f t="shared" si="19"/>
        <v>2</v>
      </c>
      <c r="M39" s="15">
        <f t="shared" si="20"/>
        <v>1</v>
      </c>
      <c r="N39" s="15">
        <f t="shared" si="21"/>
        <v>2</v>
      </c>
      <c r="O39" s="15">
        <f t="shared" si="22"/>
        <v>1</v>
      </c>
      <c r="P39" s="15">
        <f t="shared" si="23"/>
        <v>2</v>
      </c>
    </row>
    <row r="40" spans="1:16" ht="61.95" customHeight="1" x14ac:dyDescent="0.3">
      <c r="A40" s="28" t="s">
        <v>203</v>
      </c>
      <c r="B40" s="29" t="s">
        <v>204</v>
      </c>
      <c r="C40" s="28" t="s">
        <v>134</v>
      </c>
      <c r="D40" s="28" t="s">
        <v>129</v>
      </c>
      <c r="E40" s="28" t="s">
        <v>205</v>
      </c>
      <c r="F40" s="28">
        <v>1</v>
      </c>
      <c r="G40" s="28" t="s">
        <v>131</v>
      </c>
      <c r="H40" s="28">
        <f t="shared" si="15"/>
        <v>120</v>
      </c>
      <c r="I40" s="28">
        <f t="shared" si="16"/>
        <v>1.2</v>
      </c>
      <c r="J40" s="28">
        <f t="shared" si="17"/>
        <v>1.2</v>
      </c>
      <c r="K40" s="28">
        <f t="shared" si="18"/>
        <v>1</v>
      </c>
      <c r="L40" s="28">
        <f t="shared" si="19"/>
        <v>1.2</v>
      </c>
      <c r="M40" s="28">
        <f t="shared" si="20"/>
        <v>1</v>
      </c>
      <c r="N40" s="28">
        <f t="shared" si="21"/>
        <v>1.2</v>
      </c>
      <c r="O40" s="28">
        <f t="shared" si="22"/>
        <v>1</v>
      </c>
      <c r="P40" s="28">
        <f t="shared" si="23"/>
        <v>1.2</v>
      </c>
    </row>
    <row r="41" spans="1:16" ht="263.55" customHeight="1" x14ac:dyDescent="0.3">
      <c r="A41" s="28" t="s">
        <v>206</v>
      </c>
      <c r="B41" s="30" t="s">
        <v>207</v>
      </c>
      <c r="C41" s="28" t="s">
        <v>134</v>
      </c>
      <c r="D41" s="28" t="s">
        <v>54</v>
      </c>
      <c r="E41" s="28" t="s">
        <v>135</v>
      </c>
      <c r="F41" s="28">
        <v>1</v>
      </c>
      <c r="G41" s="28" t="s">
        <v>145</v>
      </c>
      <c r="H41" s="28">
        <f t="shared" si="15"/>
        <v>150</v>
      </c>
      <c r="I41" s="28">
        <f t="shared" si="16"/>
        <v>1.5</v>
      </c>
      <c r="J41" s="28">
        <f t="shared" si="17"/>
        <v>1.5</v>
      </c>
      <c r="K41" s="28">
        <f t="shared" si="18"/>
        <v>1</v>
      </c>
      <c r="L41" s="28">
        <f t="shared" si="19"/>
        <v>1.5</v>
      </c>
      <c r="M41" s="28">
        <f t="shared" si="20"/>
        <v>1</v>
      </c>
      <c r="N41" s="28">
        <f t="shared" si="21"/>
        <v>1.5</v>
      </c>
      <c r="O41" s="28">
        <f t="shared" si="22"/>
        <v>1</v>
      </c>
      <c r="P41" s="28">
        <f t="shared" si="23"/>
        <v>1.5</v>
      </c>
    </row>
    <row r="42" spans="1:16" ht="61.95" customHeight="1" x14ac:dyDescent="0.3">
      <c r="A42" s="28" t="s">
        <v>208</v>
      </c>
      <c r="B42" s="29" t="s">
        <v>209</v>
      </c>
      <c r="C42" s="28" t="s">
        <v>169</v>
      </c>
      <c r="D42" s="28" t="s">
        <v>174</v>
      </c>
      <c r="E42" s="28" t="s">
        <v>210</v>
      </c>
      <c r="F42" s="28">
        <v>1</v>
      </c>
      <c r="G42" s="28" t="s">
        <v>131</v>
      </c>
      <c r="H42" s="28">
        <f t="shared" si="15"/>
        <v>120</v>
      </c>
      <c r="I42" s="28">
        <f t="shared" si="16"/>
        <v>1.2</v>
      </c>
      <c r="J42" s="28">
        <f t="shared" si="17"/>
        <v>1.2</v>
      </c>
      <c r="K42" s="28">
        <f t="shared" si="18"/>
        <v>1</v>
      </c>
      <c r="L42" s="28">
        <f t="shared" si="19"/>
        <v>1.2</v>
      </c>
      <c r="M42" s="28">
        <f>K42*0.75</f>
        <v>0.75</v>
      </c>
      <c r="N42" s="28">
        <f t="shared" si="21"/>
        <v>0.89999999999999991</v>
      </c>
      <c r="O42" s="28">
        <f t="shared" si="22"/>
        <v>1</v>
      </c>
      <c r="P42" s="28">
        <f t="shared" si="23"/>
        <v>1.2</v>
      </c>
    </row>
  </sheetData>
  <mergeCells count="27">
    <mergeCell ref="B30:I30"/>
    <mergeCell ref="J5:J6"/>
    <mergeCell ref="B33:I33"/>
    <mergeCell ref="A3:P3"/>
    <mergeCell ref="C5:C6"/>
    <mergeCell ref="B28:I28"/>
    <mergeCell ref="B19:I19"/>
    <mergeCell ref="B5:B6"/>
    <mergeCell ref="D5:D6"/>
    <mergeCell ref="B9:I9"/>
    <mergeCell ref="H5:H6"/>
    <mergeCell ref="A1:B1"/>
    <mergeCell ref="G1:P1"/>
    <mergeCell ref="F5:F6"/>
    <mergeCell ref="A4:P4"/>
    <mergeCell ref="B18:I18"/>
    <mergeCell ref="O5:P5"/>
    <mergeCell ref="G2:P2"/>
    <mergeCell ref="I5:I6"/>
    <mergeCell ref="A5:A6"/>
    <mergeCell ref="G5:G6"/>
    <mergeCell ref="A2:B2"/>
    <mergeCell ref="E5:E6"/>
    <mergeCell ref="B25:I25"/>
    <mergeCell ref="K5:L5"/>
    <mergeCell ref="B8:J8"/>
    <mergeCell ref="M5:N5"/>
  </mergeCells>
  <conditionalFormatting sqref="B15">
    <cfRule type="dataBar" priority="1">
      <dataBar>
        <cfvo type="min"/>
        <cfvo type="max"/>
        <color rgb="FF638EC6"/>
      </dataBar>
    </cfRule>
  </conditionalFormatting>
  <conditionalFormatting sqref="B27">
    <cfRule type="dataBar" priority="8">
      <dataBar>
        <cfvo type="min"/>
        <cfvo type="max"/>
        <color rgb="FF638EC6"/>
      </dataBar>
    </cfRule>
  </conditionalFormatting>
  <conditionalFormatting sqref="C10:C14">
    <cfRule type="dataBar" priority="81">
      <dataBar>
        <cfvo type="min"/>
        <cfvo type="max"/>
        <color rgb="FF638EC6"/>
      </dataBar>
    </cfRule>
  </conditionalFormatting>
  <conditionalFormatting sqref="C18:C21">
    <cfRule type="dataBar" priority="84">
      <dataBar>
        <cfvo type="min"/>
        <cfvo type="max"/>
        <color rgb="FF638EC6"/>
      </dataBar>
    </cfRule>
  </conditionalFormatting>
  <conditionalFormatting sqref="C24:C25">
    <cfRule type="dataBar" priority="85">
      <dataBar>
        <cfvo type="min"/>
        <cfvo type="max"/>
        <color rgb="FF638EC6"/>
      </dataBar>
    </cfRule>
  </conditionalFormatting>
  <conditionalFormatting sqref="C27">
    <cfRule type="dataBar" priority="9">
      <dataBar>
        <cfvo type="min"/>
        <cfvo type="max"/>
        <color rgb="FF638EC6"/>
      </dataBar>
    </cfRule>
  </conditionalFormatting>
  <conditionalFormatting sqref="C29:C30">
    <cfRule type="dataBar" priority="80">
      <dataBar>
        <cfvo type="min"/>
        <cfvo type="max"/>
        <color rgb="FF638EC6"/>
      </dataBar>
    </cfRule>
  </conditionalFormatting>
  <conditionalFormatting sqref="C32:C36">
    <cfRule type="dataBar" priority="100">
      <dataBar>
        <cfvo type="min"/>
        <cfvo type="max"/>
        <color rgb="FF638EC6"/>
      </dataBar>
    </cfRule>
  </conditionalFormatting>
  <conditionalFormatting sqref="D27">
    <cfRule type="dataBar" priority="6">
      <dataBar>
        <cfvo type="min"/>
        <cfvo type="max"/>
        <color rgb="FF638EC6"/>
      </dataBar>
    </cfRule>
  </conditionalFormatting>
  <conditionalFormatting sqref="D29:D30">
    <cfRule type="dataBar" priority="79">
      <dataBar>
        <cfvo type="min"/>
        <cfvo type="max"/>
        <color rgb="FF638EC6"/>
      </dataBar>
    </cfRule>
  </conditionalFormatting>
  <conditionalFormatting sqref="D32:D36">
    <cfRule type="dataBar" priority="101">
      <dataBar>
        <cfvo type="min"/>
        <cfvo type="max"/>
        <color rgb="FF638EC6"/>
      </dataBar>
    </cfRule>
  </conditionalFormatting>
  <conditionalFormatting sqref="E27">
    <cfRule type="dataBar" priority="7">
      <dataBar>
        <cfvo type="min"/>
        <cfvo type="max"/>
        <color rgb="FF638EC6"/>
      </dataBar>
    </cfRule>
  </conditionalFormatting>
  <dataValidations count="8">
    <dataValidation type="list" allowBlank="1" showInputMessage="1" sqref="D10" xr:uid="{00000000-0002-0000-0100-000000000000}">
      <formula1>"Phòng QLĐT&amp;BĐCL, Phòng TH-HC&amp;QT, Phòng QLKHCN&amp;HTPT, Phòng TC-KT, Phòng  TCCB&amp;CTHSSV, Khoa Sư phạm, Khoa CKHCB, Khoa KT&amp;NL, Khoa Y – Dược, Khoa ĐT&amp;SHLX, Khoa KT&amp;CN"</formula1>
    </dataValidation>
    <dataValidation type="list" allowBlank="1" showInputMessage="1" sqref="C10:C14 C18 C20:C22 C24:C25 C27 C29:C30" xr:uid="{00000000-0002-0000-0100-000001000000}">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10:G15 G18 G20:G22 G24:G25 G27 G29:G30" xr:uid="{00000000-0002-0000-0100-000002000000}">
      <formula1>"Thấp,Trung bình,Cao,Khó và phức tạp"</formula1>
    </dataValidation>
    <dataValidation allowBlank="1" showInputMessage="1" sqref="H10:K15 H18:J18 H20:K22 H24:K25 H27:K27 H29:K30 K18:K19" xr:uid="{00000000-0002-0000-0100-000003000000}"/>
    <dataValidation type="list" allowBlank="1" showErrorMessage="1" sqref="E27" xr:uid="{00000000-0002-0000-0100-000004000000}">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type="list" allowBlank="1" showInputMessage="1" sqref="E11:E14 E18 E20:E22 E24:E25" xr:uid="{00000000-0002-0000-0100-000005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D11:D14 D18 D20:D21 D24:D25 D27" xr:uid="{00000000-0002-0000-0100-000006000000}">
      <formula1>"Phòng QLĐT &amp;BĐCL, Phòng TH -HC&amp;QT, Phòng QLKHCN &amp;HTPT, Phòng TC-KT, Phòng  TCCB&amp;CTHSSV, Khoa Sư phạm, Khoa CKHCB, Khoa KT&amp;NL, Khoa Y – Dược, Khoa ĐT&amp;SHLX, Khoa KT&amp;CN"</formula1>
    </dataValidation>
    <dataValidation type="list" allowBlank="1" sqref="C22" xr:uid="{00000000-0002-0000-0100-000007000000}">
      <formula1>"Hiệu trưởng,PHT Nguyễn Trung Hiếu,PHT Huỳnh Văn Chung,PHT Dương Văn Anh Dũng,Bí thư Đảng uỷ,Phó Bí thư Đảng uỷ,Uỷ viên BTV,Chủ tịch Công đoàn,Bí thư ĐTN,Chủ tịch HSV"</formula1>
    </dataValidation>
  </dataValidations>
  <printOptions horizontalCentered="1"/>
  <pageMargins left="0.56496062999999996" right="0.56496062999999996" top="0.893700787" bottom="0.39370078740157499" header="0.31496062992126" footer="0.31496062992126"/>
  <pageSetup paperSize="9" orientation="landscape"/>
  <headerFooter>
    <oddHeader>&amp;L
&amp;C&amp;"Times New Roman,Regular"&amp;14 &amp;P</oddHead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Quy ước màu</vt:lpstr>
      <vt:lpstr>BC Kết quả tháng 10</vt:lpstr>
      <vt:lpstr>'BC Kết quả tháng 10'!Print_Area</vt:lpstr>
      <vt:lpstr>'BC Kết quả tháng 10'!Print_Titles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Nguyễn Phục</cp:lastModifiedBy>
  <cp:lastPrinted>2026-09-29T03:02:48Z</cp:lastPrinted>
  <dcterms:created xsi:type="dcterms:W3CDTF">2026-05-27T07:08:41Z</dcterms:created>
  <dcterms:modified xsi:type="dcterms:W3CDTF">2026-10-23T09:36:32Z</dcterms:modified>
</cp:coreProperties>
</file>