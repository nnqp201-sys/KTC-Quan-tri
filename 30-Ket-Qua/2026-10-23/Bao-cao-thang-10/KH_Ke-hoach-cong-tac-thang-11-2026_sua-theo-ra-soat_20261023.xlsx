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LAUDE code\KTC-Quan-tri\30-Ket-Qua\2026-10-23\Bao-cao-thang-10\"/>
    </mc:Choice>
  </mc:AlternateContent>
  <xr:revisionPtr revIDLastSave="0" documentId="13_ncr:1_{EBB50714-C223-4493-B7BC-F0ED571E31FB}" xr6:coauthVersionLast="47" xr6:coauthVersionMax="47" xr10:uidLastSave="{00000000-0000-0000-0000-000000000000}"/>
  <bookViews>
    <workbookView xWindow="3276" yWindow="2172" windowWidth="10428" windowHeight="10068" activeTab="1" xr2:uid="{00000000-000D-0000-FFFF-FFFF00000000}"/>
  </bookViews>
  <sheets>
    <sheet name="Quy ước màu" sheetId="1" r:id="rId1"/>
    <sheet name="KH tháng 11" sheetId="2" r:id="rId2"/>
  </sheets>
  <definedNames>
    <definedName name="_xlnm.Print_Area" localSheetId="1">'KH tháng 11'!$A$1:$K$125</definedName>
    <definedName name="_xlnm.Print_Titles" localSheetId="1">'KH tháng 11'!$8:$9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3" i="2" l="1"/>
  <c r="J123" i="2" s="1"/>
  <c r="I122" i="2"/>
  <c r="J122" i="2" s="1"/>
  <c r="I121" i="2"/>
  <c r="J121" i="2" s="1"/>
  <c r="I120" i="2"/>
  <c r="J120" i="2" s="1"/>
  <c r="I119" i="2"/>
  <c r="J119" i="2" s="1"/>
  <c r="I118" i="2"/>
  <c r="J118" i="2" s="1"/>
  <c r="I117" i="2"/>
  <c r="J117" i="2" s="1"/>
  <c r="I116" i="2"/>
  <c r="J116" i="2" s="1"/>
  <c r="I115" i="2"/>
  <c r="J115" i="2" s="1"/>
  <c r="I114" i="2"/>
  <c r="J114" i="2" s="1"/>
  <c r="I113" i="2"/>
  <c r="J113" i="2" s="1"/>
  <c r="I112" i="2"/>
  <c r="J112" i="2" s="1"/>
  <c r="I111" i="2"/>
  <c r="J111" i="2" s="1"/>
  <c r="I110" i="2"/>
  <c r="J110" i="2" s="1"/>
  <c r="I109" i="2"/>
  <c r="J109" i="2" s="1"/>
  <c r="I108" i="2"/>
  <c r="J108" i="2" s="1"/>
  <c r="I107" i="2"/>
  <c r="J107" i="2" s="1"/>
  <c r="I106" i="2"/>
  <c r="J106" i="2" s="1"/>
  <c r="I105" i="2"/>
  <c r="J105" i="2" s="1"/>
  <c r="I104" i="2"/>
  <c r="J104" i="2" s="1"/>
  <c r="I103" i="2"/>
  <c r="J103" i="2" s="1"/>
  <c r="I102" i="2"/>
  <c r="J102" i="2" s="1"/>
  <c r="I101" i="2"/>
  <c r="J101" i="2" s="1"/>
  <c r="I100" i="2"/>
  <c r="J100" i="2" s="1"/>
  <c r="I99" i="2"/>
  <c r="J99" i="2" s="1"/>
  <c r="I98" i="2"/>
  <c r="J98" i="2" s="1"/>
  <c r="I97" i="2"/>
  <c r="J97" i="2" s="1"/>
  <c r="I96" i="2"/>
  <c r="J96" i="2" s="1"/>
  <c r="I95" i="2"/>
  <c r="J95" i="2" s="1"/>
  <c r="I94" i="2"/>
  <c r="J94" i="2" s="1"/>
  <c r="I93" i="2"/>
  <c r="J93" i="2" s="1"/>
  <c r="I92" i="2"/>
  <c r="J92" i="2" s="1"/>
  <c r="I91" i="2"/>
  <c r="J91" i="2" s="1"/>
  <c r="I90" i="2"/>
  <c r="J90" i="2" s="1"/>
  <c r="I89" i="2"/>
  <c r="J89" i="2" s="1"/>
  <c r="I88" i="2"/>
  <c r="J88" i="2" s="1"/>
  <c r="I87" i="2"/>
  <c r="J87" i="2" s="1"/>
  <c r="I85" i="2"/>
  <c r="J85" i="2" s="1"/>
  <c r="I84" i="2"/>
  <c r="J84" i="2" s="1"/>
  <c r="I83" i="2"/>
  <c r="J83" i="2" s="1"/>
  <c r="I81" i="2"/>
  <c r="J81" i="2" s="1"/>
  <c r="I80" i="2"/>
  <c r="J80" i="2" s="1"/>
  <c r="I79" i="2"/>
  <c r="J79" i="2" s="1"/>
  <c r="I78" i="2"/>
  <c r="J78" i="2" s="1"/>
  <c r="I77" i="2"/>
  <c r="J77" i="2" s="1"/>
  <c r="I76" i="2"/>
  <c r="J76" i="2" s="1"/>
  <c r="I75" i="2"/>
  <c r="J75" i="2" s="1"/>
  <c r="I73" i="2"/>
  <c r="J73" i="2" s="1"/>
  <c r="I72" i="2"/>
  <c r="J72" i="2" s="1"/>
  <c r="I70" i="2"/>
  <c r="J70" i="2" s="1"/>
  <c r="I69" i="2"/>
  <c r="J69" i="2" s="1"/>
  <c r="I68" i="2"/>
  <c r="J68" i="2" s="1"/>
  <c r="I67" i="2"/>
  <c r="J67" i="2" s="1"/>
  <c r="I66" i="2"/>
  <c r="J66" i="2" s="1"/>
  <c r="I65" i="2"/>
  <c r="J65" i="2" s="1"/>
  <c r="I64" i="2"/>
  <c r="J64" i="2" s="1"/>
  <c r="I63" i="2"/>
  <c r="J63" i="2" s="1"/>
  <c r="I61" i="2"/>
  <c r="J61" i="2" s="1"/>
  <c r="I60" i="2"/>
  <c r="J60" i="2" s="1"/>
  <c r="I59" i="2"/>
  <c r="J59" i="2" s="1"/>
  <c r="I58" i="2"/>
  <c r="J58" i="2" s="1"/>
  <c r="I57" i="2"/>
  <c r="J57" i="2" s="1"/>
  <c r="I56" i="2"/>
  <c r="J56" i="2" s="1"/>
  <c r="I55" i="2"/>
  <c r="J55" i="2" s="1"/>
  <c r="I54" i="2"/>
  <c r="J54" i="2" s="1"/>
  <c r="I53" i="2"/>
  <c r="J53" i="2" s="1"/>
  <c r="I52" i="2"/>
  <c r="J52" i="2" s="1"/>
  <c r="I51" i="2"/>
  <c r="J51" i="2" s="1"/>
  <c r="I50" i="2"/>
  <c r="J50" i="2" s="1"/>
  <c r="I49" i="2"/>
  <c r="J49" i="2" s="1"/>
  <c r="I48" i="2"/>
  <c r="J48" i="2" s="1"/>
  <c r="I46" i="2"/>
  <c r="J46" i="2" s="1"/>
  <c r="I45" i="2"/>
  <c r="J45" i="2" s="1"/>
  <c r="I44" i="2"/>
  <c r="J44" i="2" s="1"/>
  <c r="I43" i="2"/>
  <c r="J43" i="2" s="1"/>
  <c r="I42" i="2"/>
  <c r="J42" i="2" s="1"/>
  <c r="I41" i="2"/>
  <c r="J41" i="2" s="1"/>
  <c r="I40" i="2"/>
  <c r="J40" i="2" s="1"/>
  <c r="I39" i="2"/>
  <c r="J39" i="2" s="1"/>
  <c r="I38" i="2"/>
  <c r="J38" i="2" s="1"/>
  <c r="I37" i="2"/>
  <c r="J37" i="2" s="1"/>
  <c r="I36" i="2"/>
  <c r="J36" i="2" s="1"/>
  <c r="I35" i="2"/>
  <c r="J35" i="2" s="1"/>
  <c r="I34" i="2"/>
  <c r="J34" i="2" s="1"/>
  <c r="I33" i="2"/>
  <c r="J33" i="2" s="1"/>
  <c r="I32" i="2"/>
  <c r="J32" i="2" s="1"/>
  <c r="I31" i="2"/>
  <c r="J31" i="2" s="1"/>
  <c r="I30" i="2"/>
  <c r="J30" i="2" s="1"/>
  <c r="I29" i="2"/>
  <c r="J29" i="2" s="1"/>
  <c r="I28" i="2"/>
  <c r="J28" i="2" s="1"/>
  <c r="I27" i="2"/>
  <c r="J27" i="2" s="1"/>
  <c r="I26" i="2"/>
  <c r="J26" i="2" s="1"/>
  <c r="I25" i="2"/>
  <c r="J25" i="2" s="1"/>
  <c r="I24" i="2"/>
  <c r="J24" i="2" s="1"/>
  <c r="I23" i="2"/>
  <c r="J23" i="2" s="1"/>
  <c r="I22" i="2"/>
  <c r="J22" i="2" s="1"/>
  <c r="I21" i="2"/>
  <c r="J21" i="2" s="1"/>
  <c r="I20" i="2"/>
  <c r="J20" i="2" s="1"/>
  <c r="I19" i="2"/>
  <c r="J19" i="2" s="1"/>
  <c r="I18" i="2"/>
  <c r="J18" i="2" s="1"/>
  <c r="I17" i="2"/>
  <c r="J17" i="2" s="1"/>
  <c r="I16" i="2"/>
  <c r="J16" i="2" s="1"/>
  <c r="I15" i="2"/>
  <c r="J15" i="2" s="1"/>
  <c r="I14" i="2"/>
  <c r="J14" i="2" s="1"/>
  <c r="I13" i="2"/>
  <c r="J1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E3" authorId="0" shapeId="0" xr:uid="{00000000-0006-0000-0100-000001000000}">
      <text>
        <r>
          <rPr>
            <sz val="11"/>
            <color theme="1"/>
            <rFont val="Calibri"/>
            <family val="2"/>
            <scheme val="minor"/>
          </rPr>
          <t>Giá trị cũ: Quảng Ngãi, ngày 23 tháng 11 năm 2026
Lý do: Ngày ký không thể ở tháng 11 khi kế hoạch lập ngày 23/10; đề nghị đặt “tháng 10” (hoặc để trống ngày/tháng cho Văn phòng điền khi ký).</t>
        </r>
      </text>
    </comment>
    <comment ref="A7" authorId="0" shapeId="0" xr:uid="{00000000-0006-0000-0100-000002000000}">
      <text>
        <r>
          <rPr>
            <sz val="11"/>
            <color theme="1"/>
            <rFont val="Calibri"/>
            <family val="2"/>
            <scheme val="minor"/>
          </rPr>
          <t>Giá trị cũ: …đề xuất kế hoạch công tác tháng 10 năm 2026…
Lý do: Căn cứ ghi “tháng 10” (sao chép từ Kế hoạch tháng 10); phải là kế hoạch công tác tháng 11 năm 2026.</t>
        </r>
      </text>
    </comment>
    <comment ref="B17" authorId="0" shapeId="0" xr:uid="{00000000-0006-0000-0100-000003000000}">
      <text>
        <r>
          <rPr>
            <sz val="11"/>
            <color theme="1"/>
            <rFont val="Calibri"/>
            <family val="2"/>
            <scheme val="minor"/>
          </rPr>
          <t>Giá trị cũ: Ban hành kế hoạch triển khai thực hiện Thông tư số c ngày 30/9/2026 của Bộ trưởng Bộ Giáo dục và Đào tạo quy 3 định về tổ chức hoạt động giáo dục tích hợp khoa học, công nghệ, kĩ thuật và toán học trong giáo dục phổ thông
Lý do: Nội dung hỏng khi nhập (“Thông tư số c … quy 3 định”). Số hiệu 86/2026/TT-BGDĐT lấy theo báo cáo Word (mục III.1); chưa có văn bản này trong KTC-Database — cần đối chiếu bản gốc.</t>
        </r>
      </text>
    </comment>
    <comment ref="K20" authorId="0" shapeId="0" xr:uid="{00000000-0006-0000-0100-000004000000}">
      <text>
        <r>
          <rPr>
            <sz val="11"/>
            <color theme="1"/>
            <rFont val="Calibri"/>
            <family val="2"/>
            <scheme val="minor"/>
          </rPr>
          <t>Giá trị cũ: (trống)
Lý do: Nhiệm vụ không có trong Kế hoạch quý IV (KH-975); ghi nguồn kế hoạch chuyên đề theo mẫu KH-983.</t>
        </r>
      </text>
    </comment>
    <comment ref="K21" authorId="0" shapeId="0" xr:uid="{00000000-0006-0000-0100-000005000000}">
      <text>
        <r>
          <rPr>
            <sz val="11"/>
            <color theme="1"/>
            <rFont val="Calibri"/>
            <family val="2"/>
            <scheme val="minor"/>
          </rPr>
          <t>Giá trị cũ: (trống)
Lý do: Nhiệm vụ không có trong Kế hoạch quý IV (KH-975); ghi nguồn kế hoạch chuyên đề theo mẫu KH-983.</t>
        </r>
      </text>
    </comment>
    <comment ref="A22" authorId="0" shapeId="0" xr:uid="{00000000-0006-0000-0100-000006000000}">
      <text>
        <r>
          <rPr>
            <sz val="11"/>
            <color theme="1"/>
            <rFont val="Calibri"/>
            <family val="2"/>
            <scheme val="minor"/>
          </rPr>
          <t>Giá trị cũ: 1.1
Lý do: Số thứ tự bị Excel đổi thành số (1.10 → 1.1) hoặc lệch sau khi bổ sung dòng.</t>
        </r>
      </text>
    </comment>
    <comment ref="K22" authorId="0" shapeId="0" xr:uid="{00000000-0006-0000-0100-000007000000}">
      <text>
        <r>
          <rPr>
            <sz val="11"/>
            <color theme="1"/>
            <rFont val="Calibri"/>
            <family val="2"/>
            <scheme val="minor"/>
          </rPr>
          <t>Giá trị cũ: (trống)
Lý do: Nhiệm vụ không có trong Kế hoạch quý IV (KH-975); ghi nguồn kế hoạch chuyên đề theo mẫu KH-983.</t>
        </r>
      </text>
    </comment>
    <comment ref="H23" authorId="0" shapeId="0" xr:uid="{00000000-0006-0000-0100-000008000000}">
      <text>
        <r>
          <rPr>
            <sz val="11"/>
            <color theme="1"/>
            <rFont val="Calibri"/>
            <family val="2"/>
            <scheme val="minor"/>
          </rPr>
          <t>Giá trị cũ: 2026-10-11 00:00:00
Lý do: Excel đọc “10/11/2026” thành ngày 11/10/2026; KH 1042/KH-CĐKT nhiệm vụ 4 ghi “Trước ngày 10/11/2026”.</t>
        </r>
      </text>
    </comment>
    <comment ref="K23" authorId="0" shapeId="0" xr:uid="{00000000-0006-0000-0100-000009000000}">
      <text>
        <r>
          <rPr>
            <sz val="11"/>
            <color theme="1"/>
            <rFont val="Calibri"/>
            <family val="2"/>
            <scheme val="minor"/>
          </rPr>
          <t>Giá trị cũ: (trống)
Lý do: Nhiệm vụ không có trong Kế hoạch quý IV (KH-975); ghi nguồn kế hoạch chuyên đề theo mẫu KH-983.</t>
        </r>
      </text>
    </comment>
    <comment ref="H41" authorId="0" shapeId="0" xr:uid="{00000000-0006-0000-0100-00000A000000}">
      <text>
        <r>
          <rPr>
            <sz val="11"/>
            <color theme="1"/>
            <rFont val="Calibri"/>
            <family val="2"/>
            <scheme val="minor"/>
          </rPr>
          <t>Chờ xác nhận: Đơn vị ghi thời hạn “None”; tạm ghi 30/11/2026.</t>
        </r>
      </text>
    </comment>
    <comment ref="H42" authorId="0" shapeId="0" xr:uid="{00000000-0006-0000-0100-00000B000000}">
      <text>
        <r>
          <rPr>
            <sz val="11"/>
            <color theme="1"/>
            <rFont val="Calibri"/>
            <family val="2"/>
            <scheme val="minor"/>
          </rPr>
          <t>Chờ xác nhận: Đơn vị ghi thời hạn “None”; tạm ghi 30/11/2026.</t>
        </r>
      </text>
    </comment>
    <comment ref="H43" authorId="0" shapeId="0" xr:uid="{00000000-0006-0000-0100-00000C000000}">
      <text>
        <r>
          <rPr>
            <sz val="11"/>
            <color theme="1"/>
            <rFont val="Calibri"/>
            <family val="2"/>
            <scheme val="minor"/>
          </rPr>
          <t>Chờ xác nhận: Đơn vị ghi thời hạn “None”; tạm ghi 30/11/2026.</t>
        </r>
      </text>
    </comment>
    <comment ref="H44" authorId="0" shapeId="0" xr:uid="{00000000-0006-0000-0100-00000D000000}">
      <text>
        <r>
          <rPr>
            <sz val="11"/>
            <color theme="1"/>
            <rFont val="Calibri"/>
            <family val="2"/>
            <scheme val="minor"/>
          </rPr>
          <t>Chờ xác nhận: Đơn vị ghi thời hạn “None”; tạm ghi 30/11/2026.</t>
        </r>
      </text>
    </comment>
    <comment ref="H45" authorId="0" shapeId="0" xr:uid="{00000000-0006-0000-0100-00000E000000}">
      <text>
        <r>
          <rPr>
            <sz val="11"/>
            <color theme="1"/>
            <rFont val="Calibri"/>
            <family val="2"/>
            <scheme val="minor"/>
          </rPr>
          <t>Chờ xác nhận: Đơn vị ghi thời hạn “None”; tạm ghi 30/11/2026.</t>
        </r>
      </text>
    </comment>
    <comment ref="C46" authorId="0" shapeId="0" xr:uid="{00000000-0006-0000-0100-00000F000000}">
      <text>
        <r>
          <rPr>
            <sz val="11"/>
            <color theme="1"/>
            <rFont val="Calibri"/>
            <family val="2"/>
            <scheme val="minor"/>
          </rPr>
          <t>Chờ xác nhận: Phụ lục Ib Khoa CKHCB ghi người chỉ đạo là Phó Trưởng khoa; Kế hoạch giao cấp Trường. Tạm ghi Hiệu trưởng; đề nghị xác định người chỉ đạo, thời hạn (đơn vị ghi 25/10 và 30/10/2026).</t>
        </r>
      </text>
    </comment>
    <comment ref="K51" authorId="0" shapeId="0" xr:uid="{00000000-0006-0000-0100-000010000000}">
      <text>
        <r>
          <rPr>
            <sz val="11"/>
            <color theme="1"/>
            <rFont val="Calibri"/>
            <family val="2"/>
            <scheme val="minor"/>
          </rPr>
          <t>Giá trị cũ: (trống)
Lý do: Nhiệm vụ không có trong Kế hoạch quý IV (KH-975); ghi nguồn kế hoạch chuyên đề theo mẫu KH-983.</t>
        </r>
      </text>
    </comment>
    <comment ref="K52" authorId="0" shapeId="0" xr:uid="{00000000-0006-0000-0100-000011000000}">
      <text>
        <r>
          <rPr>
            <sz val="11"/>
            <color theme="1"/>
            <rFont val="Calibri"/>
            <family val="2"/>
            <scheme val="minor"/>
          </rPr>
          <t>Giá trị cũ: (trống)
Lý do: Nhiệm vụ không có trong Kế hoạch quý IV (KH-975); ghi nguồn kế hoạch chuyên đề theo mẫu KH-983.</t>
        </r>
      </text>
    </comment>
    <comment ref="B67" authorId="0" shapeId="0" xr:uid="{00000000-0006-0000-0100-000012000000}">
      <text>
        <r>
          <rPr>
            <sz val="11"/>
            <color theme="1"/>
            <rFont val="Calibri"/>
            <family val="2"/>
            <scheme val="minor"/>
          </rPr>
          <t>Giá trị cũ: ban hành Quy trình ứng phó khi xảy ra sự cố lộ dữ liệu (theo Luật Bảo vệ dữ liệu cá nhân, Luật Dữ liệu, Luật An ninh mạng và các văn bản liên quan)
Lý do: Viết hoa chữ đầu câu.</t>
        </r>
      </text>
    </comment>
    <comment ref="H68" authorId="0" shapeId="0" xr:uid="{00000000-0006-0000-0100-000013000000}">
      <text>
        <r>
          <rPr>
            <sz val="11"/>
            <color theme="1"/>
            <rFont val="Calibri"/>
            <family val="2"/>
            <scheme val="minor"/>
          </rPr>
          <t>Chờ xác nhận: Hạn 30/10/2026 trước ngày ban hành kế hoạch tháng 11; nếu chưa làm xong, cần xác định lại mốc.</t>
        </r>
      </text>
    </comment>
    <comment ref="G69" authorId="0" shapeId="0" xr:uid="{00000000-0006-0000-0100-000014000000}">
      <text>
        <r>
          <rPr>
            <sz val="11"/>
            <color theme="1"/>
            <rFont val="Calibri"/>
            <family val="2"/>
            <scheme val="minor"/>
          </rPr>
          <t>Chờ xác nhận: KH 995 không ghi độ khó/điểm; tạm “Trung bình” (120). Người chỉ đạo ghi Hiệu trưởng theo nhóm nhiệm vụ của Kế hoạch.</t>
        </r>
      </text>
    </comment>
    <comment ref="H70" authorId="0" shapeId="0" xr:uid="{00000000-0006-0000-0100-000015000000}">
      <text>
        <r>
          <rPr>
            <sz val="11"/>
            <color theme="1"/>
            <rFont val="Calibri"/>
            <family val="2"/>
            <scheme val="minor"/>
          </rPr>
          <t>Chờ xác nhận: Đơn vị ghi thời hạn “None”; tạm ghi 30/11/2026.</t>
        </r>
      </text>
    </comment>
    <comment ref="H80" authorId="0" shapeId="0" xr:uid="{00000000-0006-0000-0100-000016000000}">
      <text>
        <r>
          <rPr>
            <sz val="11"/>
            <color theme="1"/>
            <rFont val="Calibri"/>
            <family val="2"/>
            <scheme val="minor"/>
          </rPr>
          <t>Chờ xác nhận: Đơn vị ghi thời hạn “None”; tạm ghi 30/11/2026.</t>
        </r>
      </text>
    </comment>
    <comment ref="H81" authorId="0" shapeId="0" xr:uid="{00000000-0006-0000-0100-000017000000}">
      <text>
        <r>
          <rPr>
            <sz val="11"/>
            <color theme="1"/>
            <rFont val="Calibri"/>
            <family val="2"/>
            <scheme val="minor"/>
          </rPr>
          <t>Chờ xác nhận: Đơn vị ghi thời hạn “None”; tạm ghi 30/11/2026.</t>
        </r>
      </text>
    </comment>
    <comment ref="H83" authorId="0" shapeId="0" xr:uid="{00000000-0006-0000-0100-000018000000}">
      <text>
        <r>
          <rPr>
            <sz val="11"/>
            <color theme="1"/>
            <rFont val="Calibri"/>
            <family val="2"/>
            <scheme val="minor"/>
          </rPr>
          <t>Giá trị cũ: 31/10/2026
Lý do: Hạn 31/10/2026 đã qua trước khi ban hành kế hoạch tháng 11; KH-975 mục 6.1 ghi “Hằng tháng đến 31/12/2026”.</t>
        </r>
      </text>
    </comment>
    <comment ref="H85" authorId="0" shapeId="0" xr:uid="{00000000-0006-0000-0100-000019000000}">
      <text>
        <r>
          <rPr>
            <sz val="11"/>
            <color theme="1"/>
            <rFont val="Calibri"/>
            <family val="2"/>
            <scheme val="minor"/>
          </rPr>
          <t>Chờ xác nhận: Đơn vị ghi thời hạn “None”; tạm ghi 30/11/2026.</t>
        </r>
      </text>
    </comment>
    <comment ref="B87" authorId="0" shapeId="0" xr:uid="{00000000-0006-0000-0100-00001A000000}">
      <text>
        <r>
          <rPr>
            <sz val="11"/>
            <color theme="1"/>
            <rFont val="Calibri"/>
            <family val="2"/>
            <scheme val="minor"/>
          </rPr>
          <t>Đề nghị bỏ khỏi kế hoạch tháng 11.
Lý do: Phòng QLĐT&amp;BĐCL đã báo cáo hoàn thành (Phụ lục IIb dòng 1.7, SL 3, KPI 3/3/3); báo cáo Word mục I.1 ghi đã thực hiện; đã đưa vào Phụ lục kết quả tháng 10.</t>
        </r>
      </text>
    </comment>
    <comment ref="B88" authorId="0" shapeId="0" xr:uid="{00000000-0006-0000-0100-00001B000000}">
      <text>
        <r>
          <rPr>
            <sz val="11"/>
            <color theme="1"/>
            <rFont val="Calibri"/>
            <family val="2"/>
            <scheme val="minor"/>
          </rPr>
          <t>Đề nghị bỏ khỏi kế hoạch tháng 11.
Lý do: Phòng QLKHCN&amp;HTPT đã báo cáo BC 431, 433, 454, 437/BC-CĐKT (Phụ lục IIb dòng 9-12); đã đưa vào Phụ lục kết quả tháng 10 (đối chiếu gần đúng).</t>
        </r>
      </text>
    </comment>
    <comment ref="H89" authorId="0" shapeId="0" xr:uid="{00000000-0006-0000-0100-00001C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0" authorId="0" shapeId="0" xr:uid="{00000000-0006-0000-0100-00001D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1" authorId="0" shapeId="0" xr:uid="{00000000-0006-0000-0100-00001E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B92" authorId="0" shapeId="0" xr:uid="{00000000-0006-0000-0100-00001F000000}">
      <text>
        <r>
          <rPr>
            <sz val="11"/>
            <color theme="1"/>
            <rFont val="Calibri"/>
            <family val="2"/>
            <scheme val="minor"/>
          </rPr>
          <t>Chờ xác nhận: Báo cáo Word mục I.1 (Công tác kế hoạch, tổng hợp) ghi đã thực hiện kiểm kê, rà soát; Phòng TH-HC&amp;QT chưa điền kết quả Phụ lục IIb (chỉ ghi tên “Báo cáo kết quả rà soát tiêu chuẩn, định mức thiết bị…”). Đề nghị xác nhận hoàn thành hay chuyển tháng 11.</t>
        </r>
      </text>
    </comment>
    <comment ref="H92" authorId="0" shapeId="0" xr:uid="{00000000-0006-0000-0100-000020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3" authorId="0" shapeId="0" xr:uid="{00000000-0006-0000-0100-000021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4" authorId="0" shapeId="0" xr:uid="{00000000-0006-0000-0100-000022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5" authorId="0" shapeId="0" xr:uid="{00000000-0006-0000-0100-000023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6" authorId="0" shapeId="0" xr:uid="{00000000-0006-0000-0100-000024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7" authorId="0" shapeId="0" xr:uid="{00000000-0006-0000-0100-000025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8" authorId="0" shapeId="0" xr:uid="{00000000-0006-0000-0100-000026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99" authorId="0" shapeId="0" xr:uid="{00000000-0006-0000-0100-000027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0" authorId="0" shapeId="0" xr:uid="{00000000-0006-0000-0100-000028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1" authorId="0" shapeId="0" xr:uid="{00000000-0006-0000-0100-000029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2" authorId="0" shapeId="0" xr:uid="{00000000-0006-0000-0100-00002A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3" authorId="0" shapeId="0" xr:uid="{00000000-0006-0000-0100-00002B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4" authorId="0" shapeId="0" xr:uid="{00000000-0006-0000-0100-00002C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5" authorId="0" shapeId="0" xr:uid="{00000000-0006-0000-0100-00002D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B106" authorId="0" shapeId="0" xr:uid="{00000000-0006-0000-0100-00002E000000}">
      <text>
        <r>
          <rPr>
            <sz val="11"/>
            <color theme="1"/>
            <rFont val="Calibri"/>
            <family val="2"/>
            <scheme val="minor"/>
          </rPr>
          <t>Đề nghị bỏ khỏi kế hoạch tháng 11.
Lý do: Phòng QLĐT&amp;BĐCL đã báo cáo hoàn thành (Phụ lục IIb dòng 1.8, KPI 1/1/1); báo cáo Word mục I.1 ghi đã thực hiện.</t>
        </r>
      </text>
    </comment>
    <comment ref="B107" authorId="0" shapeId="0" xr:uid="{00000000-0006-0000-0100-00002F000000}">
      <text>
        <r>
          <rPr>
            <sz val="11"/>
            <color theme="1"/>
            <rFont val="Calibri"/>
            <family val="2"/>
            <scheme val="minor"/>
          </rPr>
          <t>Đề nghị bỏ khỏi kế hoạch tháng 11.
Lý do: Phòng QLĐT&amp;BĐCL đã báo cáo hoàn thành (Phụ lục IIb dòng 1.6, KPI 1/1/1); báo cáo Word mục I.1 và II ghi đã tổ chức.</t>
        </r>
      </text>
    </comment>
    <comment ref="H108" authorId="0" shapeId="0" xr:uid="{00000000-0006-0000-0100-000030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09" authorId="0" shapeId="0" xr:uid="{00000000-0006-0000-0100-000031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0" authorId="0" shapeId="0" xr:uid="{00000000-0006-0000-0100-000032000000}">
      <text>
        <r>
          <rPr>
            <sz val="11"/>
            <color theme="1"/>
            <rFont val="Calibri"/>
            <family val="2"/>
            <scheme val="minor"/>
          </rPr>
          <t>Giá trị cũ: 20/10/2026
Lý do: Hạn gốc ở tháng 10 đã qua; nhiệm vụ chuyển sang tháng 11 cần mốc hoàn thành mới. ĐỀ XUẤT 30/11/2026, chờ đơn vị chủ trì xác nhận.</t>
        </r>
      </text>
    </comment>
    <comment ref="H111" authorId="0" shapeId="0" xr:uid="{00000000-0006-0000-0100-000033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2" authorId="0" shapeId="0" xr:uid="{00000000-0006-0000-0100-000034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3" authorId="0" shapeId="0" xr:uid="{00000000-0006-0000-0100-000035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B114" authorId="0" shapeId="0" xr:uid="{00000000-0006-0000-0100-000036000000}">
      <text>
        <r>
          <rPr>
            <sz val="11"/>
            <color theme="1"/>
            <rFont val="Calibri"/>
            <family val="2"/>
            <scheme val="minor"/>
          </rPr>
          <t>Đề nghị bỏ khỏi kế hoạch tháng 11.
Lý do: Đoàn TN đã báo cáo hoàn thành (Phụ lục IIb dòng 4.1, KPI 1/0,75/1); báo cáo Word mục I.4 ghi đã ban hành.</t>
        </r>
      </text>
    </comment>
    <comment ref="B115" authorId="0" shapeId="0" xr:uid="{00000000-0006-0000-0100-000037000000}">
      <text>
        <r>
          <rPr>
            <sz val="11"/>
            <color theme="1"/>
            <rFont val="Calibri"/>
            <family val="2"/>
            <scheme val="minor"/>
          </rPr>
          <t>Chờ xác nhận: Phụ lục IIb của Đoàn TN chỉ có một dòng “Chương trình Công tác Đoàn…” (đơn vị chủ trì ghi Hội SV), không có dòng riêng cho Chương trình Công tác Hội. Chưa rõ đã hoàn thành. Đề nghị Đoàn TN – Hội SV xác nhận.</t>
        </r>
      </text>
    </comment>
    <comment ref="H115" authorId="0" shapeId="0" xr:uid="{00000000-0006-0000-0100-000038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6" authorId="0" shapeId="0" xr:uid="{00000000-0006-0000-0100-000039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7" authorId="0" shapeId="0" xr:uid="{00000000-0006-0000-0100-00003A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8" authorId="0" shapeId="0" xr:uid="{00000000-0006-0000-0100-00003B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H119" authorId="0" shapeId="0" xr:uid="{00000000-0006-0000-0100-00003C000000}">
      <text>
        <r>
          <rPr>
            <sz val="11"/>
            <color theme="1"/>
            <rFont val="Calibri"/>
            <family val="2"/>
            <scheme val="minor"/>
          </rPr>
          <t>Giá trị cũ: 31/10/2026
Lý do: Hạn gốc ở tháng 10 đã qua; nhiệm vụ chuyển sang tháng 11 cần mốc hoàn thành mới. ĐỀ XUẤT 30/11/2026, chờ đơn vị chủ trì xác nhận.</t>
        </r>
      </text>
    </comment>
    <comment ref="B120" authorId="0" shapeId="0" xr:uid="{00000000-0006-0000-0100-00003D000000}">
      <text>
        <r>
          <rPr>
            <sz val="11"/>
            <color theme="1"/>
            <rFont val="Calibri"/>
            <family val="2"/>
            <scheme val="minor"/>
          </rPr>
          <t>Chờ xác nhận: Hạn gốc 31/10/2026 (trước ngày ban hành KH). Chưa có báo cáo kết quả của Phòng QLĐT&amp;BĐCL; đề nghị xác nhận đã xong hay chuyển tháng 11.</t>
        </r>
      </text>
    </comment>
    <comment ref="B121" authorId="0" shapeId="0" xr:uid="{00000000-0006-0000-0100-00003E000000}">
      <text>
        <r>
          <rPr>
            <sz val="11"/>
            <color theme="1"/>
            <rFont val="Calibri"/>
            <family val="2"/>
            <scheme val="minor"/>
          </rPr>
          <t>Chờ xác nhận: Hạn gốc 31/10/2026 (trước ngày ban hành KH). Chưa có báo cáo kết quả của Phòng QLĐT&amp;BĐCL; đề nghị xác nhận đã xong hay chuyển tháng 11.</t>
        </r>
      </text>
    </comment>
    <comment ref="B122" authorId="0" shapeId="0" xr:uid="{00000000-0006-0000-0100-00003F000000}">
      <text>
        <r>
          <rPr>
            <sz val="11"/>
            <color theme="1"/>
            <rFont val="Calibri"/>
            <family val="2"/>
            <scheme val="minor"/>
          </rPr>
          <t>Chờ xác nhận: Nhiệm vụ KH-983 mục II.6. Dự thảo phụ lục tháng 10 ghi hoàn thành; báo cáo Word mục III.5 ghi “tiếp tục”; không có báo cáo kết quả của đơn vị. Giữ trong kế hoạch tháng 11 chờ Phòng TH-HC&amp;QT xác nhận.</t>
        </r>
      </text>
    </comment>
    <comment ref="B123" authorId="0" shapeId="0" xr:uid="{00000000-0006-0000-0100-000040000000}">
      <text>
        <r>
          <rPr>
            <sz val="11"/>
            <color theme="1"/>
            <rFont val="Calibri"/>
            <family val="2"/>
            <scheme val="minor"/>
          </rPr>
          <t>Chờ xác nhận: Đơn vị ghi hạn 23/10/2026 (trước ngày ban hành KH tháng 11). Báo cáo Word mục III.2 đã đưa vào tháng 11. Mốc 30/11/2026 là ĐỀ XUẤT, chờ Phòng QLKHCN&amp;HTPT xác nhận.</t>
        </r>
      </text>
    </comment>
  </commentList>
</comments>
</file>

<file path=xl/sharedStrings.xml><?xml version="1.0" encoding="utf-8"?>
<sst xmlns="http://schemas.openxmlformats.org/spreadsheetml/2006/main" count="1398" uniqueCount="596">
  <si>
    <t>QUY ƯỚC MÀU — Kế hoạch công tác tháng 11 năm 2026 (bản rà soát)</t>
  </si>
  <si>
    <t>Bản sao từ “KH_Ke-hoach-cong-tac-thang-11-2026.xlsx”. Tệp gốc giữ nguyên. Đối chiếu với Kế hoạch quý IV (975/KH-CĐKT), Kế hoạch tháng 10 (983/KH-CĐKT), Phụ lục IIb/Ib các đơn vị và 12 kế hoạch chuyên đề (987–1055/KH-CĐKT). Mốc tháng 10 của mục II được đề xuất lại là 30/11/2026, chờ đơn vị xác nhận.</t>
  </si>
  <si>
    <t>Mẫu</t>
  </si>
  <si>
    <t>Ô đã sửa</t>
  </si>
  <si>
    <t>Chữ đỏ đậm + nền vàng nhạt; di chuột vào ô để xem giá trị cũ và lý do</t>
  </si>
  <si>
    <t>Nội dung bổ sung mới</t>
  </si>
  <si>
    <t>Chữ xanh dương (cả dòng nhiệm vụ thêm mới)</t>
  </si>
  <si>
    <t>Chờ quyết</t>
  </si>
  <si>
    <t>Nền cam nhạt: chưa sửa số, chờ đơn vị / người có thẩm quyền xác nhận</t>
  </si>
  <si>
    <t>Đề nghị bỏ</t>
  </si>
  <si>
    <t>Chữ đỏ gạch ngang + nền vàng nhạt (dòng đã hoàn thành hoặc trùng)</t>
  </si>
  <si>
    <t>NHẬT KÝ SỬA ĐỔI</t>
  </si>
  <si>
    <t>STT</t>
  </si>
  <si>
    <t>Loại</t>
  </si>
  <si>
    <t>Vị trí</t>
  </si>
  <si>
    <t>Nội dung cũ</t>
  </si>
  <si>
    <t>Nội dung mới / đề xuất</t>
  </si>
  <si>
    <t>Căn cứ</t>
  </si>
  <si>
    <t>Sửa</t>
  </si>
  <si>
    <t>B17</t>
  </si>
  <si>
    <t>Ban hành kế hoạch triển khai thực hiện Thông tư số c ngày 30/9/2026 của Bộ trưởng Bộ Giáo dục và Đào tạo quy 3 định về tổ chức hoạt động giáo dục tích hợp khoa học, công nghệ, kĩ thuật và toán học trong giáo dục phổ thông</t>
  </si>
  <si>
    <t>Ban hành kế hoạch triển khai thực hiện Thông tư số 86/2026/TT-BGDĐT ngày 30/9/2026 của Bộ trưởng Bộ Giáo dục và Đào tạo quy định về tổ chức hoạt động giáo dục tích hợp khoa học, công nghệ, kĩ thuật và toán học (STEM) trong giáo dục phổ thông</t>
  </si>
  <si>
    <t>Nội dung hỏng khi nhập (“Thông tư số c … quy 3 định”). Số hiệu 86/2026/TT-BGDĐT lấy theo báo cáo Word (mục III.1); chưa có văn bản này trong KTC-Database — cần đối chiếu bản gốc.</t>
  </si>
  <si>
    <t>K20</t>
  </si>
  <si>
    <t>(trống)</t>
  </si>
  <si>
    <t>KH 987/KH-CĐKT</t>
  </si>
  <si>
    <t>Nhiệm vụ không có trong Kế hoạch quý IV (KH-975); ghi nguồn kế hoạch chuyên đề theo mẫu KH-983.</t>
  </si>
  <si>
    <t>K21</t>
  </si>
  <si>
    <t>KH 1043/KH-CĐKT</t>
  </si>
  <si>
    <t>A22</t>
  </si>
  <si>
    <t>1.1</t>
  </si>
  <si>
    <t>1.10</t>
  </si>
  <si>
    <t>Số thứ tự bị Excel đổi thành số (1.10 → 1.1) hoặc lệch sau khi bổ sung dòng.</t>
  </si>
  <si>
    <t>K22</t>
  </si>
  <si>
    <t>K23</t>
  </si>
  <si>
    <t>KH 1042/KH-CĐKT</t>
  </si>
  <si>
    <t>H23</t>
  </si>
  <si>
    <t>2026-10-11 00:00:00</t>
  </si>
  <si>
    <t>10/11/2026</t>
  </si>
  <si>
    <t>Excel đọc “10/11/2026” thành ngày 11/10/2026; KH 1042/KH-CĐKT nhiệm vụ 4 ghi “Trước ngày 10/11/2026”.</t>
  </si>
  <si>
    <t>Bổ sung</t>
  </si>
  <si>
    <t>Dòng 24 (1.12)</t>
  </si>
  <si>
    <t>Tổ chức biên soạn và hoàn thành hồ sơ đề nghị thẩm định chương trình các môn học Ngoại ngữ, Năng lực số, Pháp luật, Giáo dục thể chất | Khoa các Khoa học cơ bản | 10/11/2026</t>
  </si>
  <si>
    <t>KH 1054/KH-CĐKT</t>
  </si>
  <si>
    <t>Dòng 25 (1.13)</t>
  </si>
  <si>
    <t>Tổ chức thẩm định, ban hành chương trình các môn học Ngoại ngữ, Năng lực số, Pháp luật, Giáo dục thể chất | Phòng QLĐT&amp;BĐCL | 20/11/2026</t>
  </si>
  <si>
    <t>Dòng 26 (1.14)</t>
  </si>
  <si>
    <t>Tổ chức biên soạn và hoàn thành hồ sơ đề nghị thẩm định chương trình giáo dục trung học nghề | Khoa KT&amp;CN; Khoa KT&amp;NL | 08/11/2026</t>
  </si>
  <si>
    <t>KH 1055/KH-CĐKT</t>
  </si>
  <si>
    <t>Dòng 27 (1.15)</t>
  </si>
  <si>
    <t>Tổ chức thẩm định, ban hành chương trình giáo dục trung học nghề | Phòng QLĐT&amp;BĐCL | 15/11/2026</t>
  </si>
  <si>
    <t>Dòng 28 (1.16)</t>
  </si>
  <si>
    <t>Tổ chức lựa chọn giáo trình, tài liệu giảng dạy và hoàn thành hồ sơ đề nghị thẩm định (lựa chọn trước ngày 17/11/2026; biên soạn trước ngày 26/3/2027) | Khoa KT&amp;CN; Khoa KT&amp;NL | 17/11/2026</t>
  </si>
  <si>
    <t>Dòng 29 (1.17)</t>
  </si>
  <si>
    <t>Tổ chức thẩm định, ban hành lựa chọn giáo trình, tài liệu giảng dạy (thẩm định lựa chọn trước ngày 20/11/2026; thẩm định biên soạn trước ngày 30/4/202 | Phòng QLĐT&amp;BĐCL | 20/11/2026</t>
  </si>
  <si>
    <t>Dòng 30 (1.18)</t>
  </si>
  <si>
    <t>Rà soát, báo cáo điều kiện đội ngũ nhà giáo; đề xuất phương án bố trí nhà giáo; lập hồ sơ minh chứng; xây dựng phương án bổ nhiệm chức danh nghề nghiệ | Phòng TCCB&amp;CTHSSV | 08/11/2026</t>
  </si>
  <si>
    <t>Dòng 31 (1.19)</t>
  </si>
  <si>
    <t>Rà soát, báo cáo điều kiện cơ sở vật chất, thiết bị; lập hồ sơ minh chứng | Phòng TH-HC&amp;QT | 08/11/2026</t>
  </si>
  <si>
    <t>Dòng 32 (1.20)</t>
  </si>
  <si>
    <t>Thẩm định hồ sơ điều kiện bảo đảm hoạt động giáo dục trung học nghề; các đơn vị hoàn thiện hồ sơ theo kết quả thẩm định | Phòng QLĐT&amp;BĐCL | 25/11/2026</t>
  </si>
  <si>
    <t>Dòng 33 (1.21)</t>
  </si>
  <si>
    <t>Gửi hồ sơ đề nghị cấp phép hoạt động giáo dục nghề nghiệp đối với chương trình giáo dục trung học nghề gửi Bộ Giáo dục và Đào tạo | Phòng QLĐT&amp;BĐCL | 30/11/2026</t>
  </si>
  <si>
    <t>KH 1055/KH-CĐKT; KH 1053/KH-CĐKT (nhiệm vụ 4)</t>
  </si>
  <si>
    <t>Dòng 34 (1.22)</t>
  </si>
  <si>
    <t>Rà soát thời gian đào tạo, khối lượng học tập tối thiểu của các chương trình đào tạo trình độ cao đẳng, trung cấp theo đầu vào; điều chỉnh, cập nhật c | Phòng QLĐT&amp;BĐCL | 10/11/2026</t>
  </si>
  <si>
    <t>KH 1043/KH-CĐKT (trước khi thông báo tuyển sinh các khóa từ 10/11/2026)</t>
  </si>
  <si>
    <t>Dòng 35 (1.23)</t>
  </si>
  <si>
    <t>Chuẩn hóa quy trình nhập học, xếp lớp; cấp mã số người học gắn với số định danh cá nhân, đồng bộ với cơ sở dữ liệu chuyên ngành; số hóa hồ sơ người họ | Phòng QLĐT&amp;BĐCL | 10/11/2026</t>
  </si>
  <si>
    <t>KH 1043/KH-CĐKT (ban hành quy trình trước đợt nhập học đầu tiên của khóa tuyển sinh từ 10/11/2026)</t>
  </si>
  <si>
    <t>Dòng 36 (1.24)</t>
  </si>
  <si>
    <t>Tập huấn Quy chế đào tạo trong giáo dục nghề nghiệp (đợt 1, Thông tư số 79/2026/TT-BGDĐT) | Phòng QLĐT&amp;BĐCL | 30/11/2026</t>
  </si>
  <si>
    <t>KH 1043/KH-CĐKT (đợt 1: tháng 11/2026)</t>
  </si>
  <si>
    <t>Dòng 37 (1.25)</t>
  </si>
  <si>
    <t>Cập nhật tên, mã ngành, nghề đào tạo trên phần mềm quản lý đào tạo, hồ sơ tuyển sinh, thông tin in trên văn bằng, chứng chỉ, biểu mẫu quản lý người họ | Phòng QLĐT&amp;BĐCL | 30/11/2026</t>
  </si>
  <si>
    <t>Dòng 38 (1.26)</t>
  </si>
  <si>
    <t>Rà soát danh mục đối tác, đề xuất nội dung và tổ chức ký kết thỏa thuận, hợp đồng hợp tác hằng năm theo các nội dung tại Điều 5 | Phòng QLKHCN&amp;HTPT | 30/11/2026</t>
  </si>
  <si>
    <t>KH 987/KH-CĐKT (rà soát danh mục trong tháng 11 hằng năm)</t>
  </si>
  <si>
    <t>Dòng 39 (1.27)</t>
  </si>
  <si>
    <t>Xây dựng Báo cáo tổng kết công tác công đoàn năm 2026, phương hướng nhiệm vụ năm 2027 theo hướng dẫn của LĐLĐ tỉnh. | BCH CĐCS | 30/11/2026</t>
  </si>
  <si>
    <t>Đề xuất của Công đoàn cơ sở (Phụ lục Ib)</t>
  </si>
  <si>
    <t>Dòng 40 (1.28)</t>
  </si>
  <si>
    <t>Nghiên cứu "Sổ tay hướng dẫn hợp tác công tư trong lĩnh vực khoa học, công nghệ, đổi mới sáng tạo và chuyển đổi số" để tham mưu những nội dung triển k | Phòng QLKHCN&amp;HTPT | 30/11/2026</t>
  </si>
  <si>
    <t>Đề xuất của Phòng QLKHCN&amp;HTPT (Phụ lục Ib)</t>
  </si>
  <si>
    <t>Dòng 41 (1.29)</t>
  </si>
  <si>
    <t>Hợp đồng, ứng và thanh toán các lớp dạy nghề cho người lao động | Phòng TC-KT | 30/11/2026</t>
  </si>
  <si>
    <t>Đề xuất của Phòng TC-KT (Phụ lục Ib)</t>
  </si>
  <si>
    <t>H41</t>
  </si>
  <si>
    <t>30/11/2026</t>
  </si>
  <si>
    <t>(giữ nguyên)</t>
  </si>
  <si>
    <t>Đơn vị ghi thời hạn “None”; tạm ghi 30/11/2026.</t>
  </si>
  <si>
    <t>Dòng 42 (1.30)</t>
  </si>
  <si>
    <t>Ban hành Quyết định phân khai kinh phí cấp bổ sung cải cách tiền lương năm 2026 | Phòng TC-KT | 30/11/2026</t>
  </si>
  <si>
    <t>H42</t>
  </si>
  <si>
    <t>Dòng 43 (1.31)</t>
  </si>
  <si>
    <t>Thực hiện theo dõi và báo cáo thường xuyên tình hình sử dụng nguồn kinh phí Chương trình mục tiêu quốc gia xây dựng nông thôn mới, giảm nghèo bền vững | Phòng TC-KT | 30/11/2026</t>
  </si>
  <si>
    <t>H43</t>
  </si>
  <si>
    <t>Dòng 44 (1.32)</t>
  </si>
  <si>
    <t>Liên kết, phối hợp với Báo và phát thanh truyền hình Quảng Ngãi thực hiện Chuyên mục Giáo dục nghề nghiệp (theo Hợp đồng đã ký) | Ban Truyền thông | 30/11/2026</t>
  </si>
  <si>
    <t>Đề xuất của Ban Truyền thông (Phụ lục Ib)</t>
  </si>
  <si>
    <t>H44</t>
  </si>
  <si>
    <t>Dòng 45 (1.33)</t>
  </si>
  <si>
    <t>Xây dựng kịch bản chi tiết các chương trình, sự kiện lớn của Trường (lễ Tốt nghiệp,…) | Ban Truyền thông | 30/11/2026</t>
  </si>
  <si>
    <t>H45</t>
  </si>
  <si>
    <t>Dòng 46 (1.34)</t>
  </si>
  <si>
    <t>Hoàn thiện hồ sơ đăng ký mở mã ngành Truyền thông đa phương tiện và Trí tuệ nhân tạo (Kế hoạch số 768/KH-CĐKT, 784/KH-CĐKT) | Khoa CKHCB | 30/11/2026</t>
  </si>
  <si>
    <t>Đề xuất của Khoa CKHCB (Phụ lục Ib)</t>
  </si>
  <si>
    <t>C46</t>
  </si>
  <si>
    <t>Hiệu trưởng</t>
  </si>
  <si>
    <t>Phụ lục Ib Khoa CKHCB ghi người chỉ đạo là Phó Trưởng khoa; Kế hoạch giao cấp Trường. Tạm ghi Hiệu trưởng; đề nghị xác định người chỉ đạo, thời hạn (đơn vị ghi 25/10 và 30/10/2026).</t>
  </si>
  <si>
    <t>K51</t>
  </si>
  <si>
    <t>KH 1004/KH-CĐKT</t>
  </si>
  <si>
    <t>K52</t>
  </si>
  <si>
    <t>KH 1007/KH-CĐKT</t>
  </si>
  <si>
    <t>Dòng 54 (2.7)</t>
  </si>
  <si>
    <t>Xây dựng, ban hành quy định về công tác chủ nhiệm lớp, cố vấn học tập (Điều 16 Quy chế); phân công nhà giáo chủ nhiệm, cố vấn học tập; phổ biến Quy ch | Phòng TCCB&amp;CTHSSV | 30/11/2026</t>
  </si>
  <si>
    <t>Dòng 55 (2.8)</t>
  </si>
  <si>
    <t>Sửa đổi, bổ sung quy trình tổ chức thi kết thúc môn học, mô đun; nội quy thi, kiểm tra và quy định xử lý vi phạm (thi hộ, gian lận, sử dụng thiết bị t | Phòng QLĐT&amp;BĐCL | 30/11/2026</t>
  </si>
  <si>
    <t>Dòng 56 (2.9)</t>
  </si>
  <si>
    <t>Quyết định thành lập/kiện toàn Hội đồng tuyển sinh; Chủ tịch Hội đồng tuyển sinh quyết định thành lập Ban thư ký và các ban chuyên môn, ban giúp việc  | Phòng QLĐT&amp;BĐCL | 30/11/2026</t>
  </si>
  <si>
    <t>KH 1007/KH-CĐKT (kiện toàn theo Quy chế mới, tháng 11/2026)</t>
  </si>
  <si>
    <t>Dòng 57 (2.10)</t>
  </si>
  <si>
    <t>Chuẩn hóa hồ sơ, biểu mẫu tuyển sinh: Phiếu đăng ký dự tuyển theo Phụ lục II Quy chế; Phiếu đăng ký dự tuyển trình độ sơ cấp và các chương trình đào t | Phòng QLĐT&amp;BĐCL | 03/11/2026</t>
  </si>
  <si>
    <t>Dòng 58 (2.11)</t>
  </si>
  <si>
    <t>Rà soát, sửa đổi, bổ sung, ban hành quy định tổ chức liên kết thực hiện chương trình đào tạo cấp văn bằng, chứng chỉ, bảo đảm phù hợp với nguyên tắc l | Phòng QLĐT&amp;BĐCL | 30/11/2026</t>
  </si>
  <si>
    <t>KH 987/KH-CĐKT (tháng 11/2026)</t>
  </si>
  <si>
    <t>Dòng 59 (2.12)</t>
  </si>
  <si>
    <t>Xây dựng, ban hành mẫu Hợp đồng liên kết thực hiện chương trình đào tạo cấp văn bằng, chứng chỉ theo nội dung tối thiểu quy định tại Điều 10 | Phòng QLĐT&amp;BĐCL | 30/11/2026</t>
  </si>
  <si>
    <t>Dòng 60 (2.13)</t>
  </si>
  <si>
    <t>Rà soát văn bản nội bộ về tổ chức hoạt động giáo dục nghề nghiệp; đề xuất sửa đổi, bổ sung cho phù hợp Nghị định số 361/2026/NĐ-CP | Phòng QLĐT&amp;BĐCL | 30/11/2026</t>
  </si>
  <si>
    <t>KH 1053/KH-CĐKT (tháng 11/2026)</t>
  </si>
  <si>
    <t>Dòng 61 (2.14)</t>
  </si>
  <si>
    <t>Ban hành Kế hoạch, Quyết định và tổ chức kiểm tra công tác tài chính công đoàn năm 2026 | Ủy ban kiểm tra Công đoàn | 30/11/2026</t>
  </si>
  <si>
    <t>B67</t>
  </si>
  <si>
    <t>ban hành Quy trình ứng phó khi xảy ra sự cố lộ dữ liệu (theo Luật Bảo vệ dữ liệu cá nhân, Luật Dữ liệu, Luật An ninh mạng và các văn bản liên quan)</t>
  </si>
  <si>
    <t>Ban hành Quy trình ứng phó khi xảy ra sự cố lộ dữ liệu (theo Luật Bảo vệ dữ liệu cá nhân, Luật Dữ liệu, Luật An ninh mạng và các văn bản liên quan)</t>
  </si>
  <si>
    <t>Viết hoa chữ đầu câu.</t>
  </si>
  <si>
    <t>H68</t>
  </si>
  <si>
    <t>30/10/2026</t>
  </si>
  <si>
    <t>Hạn 30/10/2026 trước ngày ban hành kế hoạch tháng 11; nếu chưa làm xong, cần xác định lại mốc.</t>
  </si>
  <si>
    <t>Dòng 69 (3.7)</t>
  </si>
  <si>
    <t>Lập hồ sơ đề xuất cấp độ đối với hệ thống thông tin của Cơ sở 2, Cơ sở 3 theo Điều 21, Điều 22 Nghị định số 331/2026/NĐ-CP, phương án bảo đảm an ninh  | Phòng QLKHCN&amp;HTPT | 30/11/2026</t>
  </si>
  <si>
    <t>KH 995/KH-CĐKT</t>
  </si>
  <si>
    <t>G69</t>
  </si>
  <si>
    <t>Trung bình</t>
  </si>
  <si>
    <t>KH 995 không ghi độ khó/điểm; tạm “Trung bình” (120). Người chỉ đạo ghi Hiệu trưởng theo nhóm nhiệm vụ của Kế hoạch.</t>
  </si>
  <si>
    <t>Dòng 70 (3.8)</t>
  </si>
  <si>
    <t>Truyền thông các hội thảo khoa học công nghệ, đổi mới sáng tạo và chuyển đổi số | Ban Truyền thông | 30/11/2026</t>
  </si>
  <si>
    <t>H70</t>
  </si>
  <si>
    <t>Dòng 73 (4.2)</t>
  </si>
  <si>
    <t>Quán triệt, triển khai Kế hoạch số 73/KH-CĐCS ngày 12/10/2026 về phòng, chống tham nhũng, lãng phí, tiêu cực và thực hành tiết kiệm đến các Tổ công đo | Ủy ban kiểm tra Công đoàn | 30/11/2026</t>
  </si>
  <si>
    <t>Dòng 79 (5.5)</t>
  </si>
  <si>
    <t>Công khai kết quả vận động ủng hộ Chương trình nhà ở "Mái ấm Công đoàn" năm 2026 đến đoàn viên (kinh phí chuyển nộp về LĐLĐ tỉnh trước ngày 31/10/2026 | Bộ phận Tài chính CĐ | 30/11/2026</t>
  </si>
  <si>
    <t>Dòng 80 (5.6)</t>
  </si>
  <si>
    <t>Truyền thông kết nối doanh nghiệp, hợp tác chuyên môn, hội thảo | Ban Truyền thông | 30/11/2026</t>
  </si>
  <si>
    <t>H80</t>
  </si>
  <si>
    <t>Dòng 81 (5.7)</t>
  </si>
  <si>
    <t>Truyền thông phong trào xanh hoá Nhà trường | Ban Truyền thông | 30/11/2026</t>
  </si>
  <si>
    <t>H81</t>
  </si>
  <si>
    <t>H83</t>
  </si>
  <si>
    <t>31/10/2026</t>
  </si>
  <si>
    <t>Hạn 31/10/2026 đã qua trước khi ban hành kế hoạch tháng 11; KH-975 mục 6.1 ghi “Hằng tháng đến 31/12/2026”.</t>
  </si>
  <si>
    <t>Dòng 84 (6.2)</t>
  </si>
  <si>
    <t>Tổ chức Đoàn ra tới thăm và làm việc với Sở Giáo dục và Thể thao các tỉnh Nam Lào | Phòng QLKHCN&amp;HTPT | 30/11/2026</t>
  </si>
  <si>
    <t>Dòng 85 (6.3)</t>
  </si>
  <si>
    <t>Truyền thông hoạt động hợp tác, kết nối và hội nhập | Ban Truyền thông | 30/11/2026</t>
  </si>
  <si>
    <t>H85</t>
  </si>
  <si>
    <t>Bỏ</t>
  </si>
  <si>
    <t>Dòng 87 (mục II.1)</t>
  </si>
  <si>
    <t>Thẩm định, ban hành quy trình bảo đảm chất lượng đợt 2 năm 2026 | Phòng QLĐT&amp;BĐCL</t>
  </si>
  <si>
    <t>(đề nghị bỏ)</t>
  </si>
  <si>
    <t>Phòng QLĐT&amp;BĐCL đã báo cáo hoàn thành (Phụ lục IIb dòng 1.7, SL 3, KPI 3/3/3); báo cáo Word mục I.1 ghi đã thực hiện; đã đưa vào Phụ lục kết quả tháng 10.</t>
  </si>
  <si>
    <t>Dòng 88 (mục II.2)</t>
  </si>
  <si>
    <t>Báo cáo kết quả khảo sát các bên liên quan về hoạt động của nhà trường và chất lượng các CTĐT năm 2026 | Phòng QLKHCN&amp;HTPT</t>
  </si>
  <si>
    <t>Phòng QLKHCN&amp;HTPT đã báo cáo BC 431, 433, 454, 437/BC-CĐKT (Phụ lục IIb dòng 9-12); đã đưa vào Phụ lục kết quả tháng 10 (đối chiếu gần đúng).</t>
  </si>
  <si>
    <t>H89</t>
  </si>
  <si>
    <t>Hạn gốc ở tháng 10 đã qua; nhiệm vụ chuyển sang tháng 11 cần mốc hoàn thành mới. ĐỀ XUẤT 30/11/2026, chờ đơn vị chủ trì xác nhận.</t>
  </si>
  <si>
    <t>H90</t>
  </si>
  <si>
    <t>H91</t>
  </si>
  <si>
    <t>B92</t>
  </si>
  <si>
    <t>Kiểm kê, rà soát hiện trạng máy móc, thiết bị chuyên dùng hiện có đối với thiết bị thuộc phạm vi áp dụng của TT 66 (nhóm ngành đào tạo giáo viên); rà soát tiêu chuẩn, định mức đã ban hành (Quyết định số 1763/QĐ-CĐKT ngày 13/8/2026, Phụ lục 11 Quyết định số 1039/QĐ-CĐKT ngày 15/05/2026) theo Điều 7 Thông tư số 66/2026/TT-BGDĐT ngày 11/8/2026</t>
  </si>
  <si>
    <t>Báo cáo Word mục I.1 (Công tác kế hoạch, tổng hợp) ghi đã thực hiện kiểm kê, rà soát; Phòng TH-HC&amp;QT chưa điền kết quả Phụ lục IIb (chỉ ghi tên “Báo cáo kết quả rà soát tiêu chuẩn, định mức thiết bị…”). Đề nghị xác nhận hoàn thành hay chuyển tháng 11.</t>
  </si>
  <si>
    <t>H92</t>
  </si>
  <si>
    <t>H93</t>
  </si>
  <si>
    <t>H94</t>
  </si>
  <si>
    <t>H95</t>
  </si>
  <si>
    <t>H96</t>
  </si>
  <si>
    <t>H97</t>
  </si>
  <si>
    <t>H98</t>
  </si>
  <si>
    <t>H99</t>
  </si>
  <si>
    <t>H100</t>
  </si>
  <si>
    <t>H101</t>
  </si>
  <si>
    <t>H102</t>
  </si>
  <si>
    <t>H103</t>
  </si>
  <si>
    <t>H104</t>
  </si>
  <si>
    <t>H105</t>
  </si>
  <si>
    <t>Dòng 106 (mục II.20)</t>
  </si>
  <si>
    <t>Rà soát, đăng ký loại bỏ các ngành, nghề đào tạo không còn phù hợp, nguồn tuyển sinh hạn chế | Phòng QLĐT&amp;BĐCL</t>
  </si>
  <si>
    <t>Phòng QLĐT&amp;BĐCL đã báo cáo hoàn thành (Phụ lục IIb dòng 1.8, KPI 1/1/1); báo cáo Word mục I.1 ghi đã thực hiện.</t>
  </si>
  <si>
    <t>Dòng 107 (mục II.21)</t>
  </si>
  <si>
    <t>Đánh giá ngoài chất lượng chương trình đào tạo ngành, nghề Lâm sinh | Phòng QLĐT&amp;BĐCL</t>
  </si>
  <si>
    <t>Phòng QLĐT&amp;BĐCL đã báo cáo hoàn thành (Phụ lục IIb dòng 1.6, KPI 1/1/1); báo cáo Word mục I.1 và II ghi đã tổ chức.</t>
  </si>
  <si>
    <t>H108</t>
  </si>
  <si>
    <t>H109</t>
  </si>
  <si>
    <t>H110</t>
  </si>
  <si>
    <t>20/10/2026</t>
  </si>
  <si>
    <t>H111</t>
  </si>
  <si>
    <t>H112</t>
  </si>
  <si>
    <t>H113</t>
  </si>
  <si>
    <t>Dòng 114 (mục II.28)</t>
  </si>
  <si>
    <t>Xây dựng Chương trình Công tác Đoàn và phong trào thanh niên năm học 2026-2027 | Đoàn TN - Hội SV</t>
  </si>
  <si>
    <t>Đoàn TN đã báo cáo hoàn thành (Phụ lục IIb dòng 4.1, KPI 1/0,75/1); báo cáo Word mục I.4 ghi đã ban hành.</t>
  </si>
  <si>
    <t>B115</t>
  </si>
  <si>
    <t>Xây dựng Chương trình Công tác Hội và phong trào Sinh viên năm học 2026-2027</t>
  </si>
  <si>
    <t>Phụ lục IIb của Đoàn TN chỉ có một dòng “Chương trình Công tác Đoàn…” (đơn vị chủ trì ghi Hội SV), không có dòng riêng cho Chương trình Công tác Hội. Chưa rõ đã hoàn thành. Đề nghị Đoàn TN – Hội SV xác nhận.</t>
  </si>
  <si>
    <t>H115</t>
  </si>
  <si>
    <t>H116</t>
  </si>
  <si>
    <t>H117</t>
  </si>
  <si>
    <t>H118</t>
  </si>
  <si>
    <t>H119</t>
  </si>
  <si>
    <t>Dòng 120 (mục II.34)</t>
  </si>
  <si>
    <t>Rà soát các quy chế, quy định, quy trình, biểu mẫu nội bộ về đào tạo đang áp dụng theo các Thông tư hết hiệu lực kể từ ngày 10/11/2026 và Thông tư số  | Phòng QLĐT&amp;BĐCL</t>
  </si>
  <si>
    <t>KH 1043/KH-CĐKT (hạn gốc 31/10/2026)</t>
  </si>
  <si>
    <t>B120</t>
  </si>
  <si>
    <t>Rà soát các quy chế, quy định, quy trình, biểu mẫu nội bộ về đào tạo đang áp dụng theo các Thông tư hết hiệu lực kể từ ngày 10/11/2026 và Thông tư số 31/2017/TT-BLĐTBXH; lập danh mục văn bản cần sửa đổi, bổ sung, thay thế, bãi bỏ</t>
  </si>
  <si>
    <t>Hạn gốc 31/10/2026 (trước ngày ban hành KH). Chưa có báo cáo kết quả của Phòng QLĐT&amp;BĐCL; đề nghị xác nhận đã xong hay chuyển tháng 11.</t>
  </si>
  <si>
    <t>Dòng 121 (mục II.35)</t>
  </si>
  <si>
    <t>Thống kê, thông báo công khai các khóa, lớp áp dụng quy định chuyển tiếp (Điều 48 Quy chế); rà soát kế hoạch tuyển sinh, khai giảng các khóa, lớp từ n | Phòng QLĐT&amp;BĐCL</t>
  </si>
  <si>
    <t>B121</t>
  </si>
  <si>
    <t>Thống kê, thông báo công khai các khóa, lớp áp dụng quy định chuyển tiếp (Điều 48 Quy chế); rà soát kế hoạch tuyển sinh, khai giảng các khóa, lớp từ ngày 10/11/2026 đến khi Quy chế đào tạo của Trường được công khai đủ 45 ngày (khoản 3 Điều 46 Quy chế), báo cáo Hiệu trưởng phương án điều chỉnh thời điểm khai giảng hoặc áp dụng trực tiếp Quy chế kèm theo Thông tư số 79</t>
  </si>
  <si>
    <t>Dòng 122 (mục II.36)</t>
  </si>
  <si>
    <t>Rà soát, đánh giá, thanh lý tài sản năm 2026 | Phòng TH-HC&amp;QT</t>
  </si>
  <si>
    <t>Trục 1</t>
  </si>
  <si>
    <t>B122</t>
  </si>
  <si>
    <t>Rà soát, đánh giá, thanh lý tài sản năm 2026</t>
  </si>
  <si>
    <t>Nhiệm vụ KH-983 mục II.6. Dự thảo phụ lục tháng 10 ghi hoàn thành; báo cáo Word mục III.5 ghi “tiếp tục”; không có báo cáo kết quả của đơn vị. Giữ trong kế hoạch tháng 11 chờ Phòng TH-HC&amp;QT xác nhận.</t>
  </si>
  <si>
    <t>Dòng 123 (mục II.37)</t>
  </si>
  <si>
    <t>Ban hành Quyết định ban hành Quy tắc ứng xử về sử dụng trí tuệ nhân tạo (AI) | Phòng QLKHCN&amp;HTPT</t>
  </si>
  <si>
    <t>Đề xuất của Phòng QLKHCN&amp;HTPT (Phụ lục Ib); Trục 2</t>
  </si>
  <si>
    <t>B123</t>
  </si>
  <si>
    <t>Ban hành Quyết định ban hành Quy tắc ứng xử về sử dụng trí tuệ nhân tạo (AI)</t>
  </si>
  <si>
    <t>Đơn vị ghi hạn 23/10/2026 (trước ngày ban hành KH tháng 11). Báo cáo Word mục III.2 đã đưa vào tháng 11. Mốc 30/11/2026 là ĐỀ XUẤT, chờ Phòng QLKHCN&amp;HTPT xác nhận.</t>
  </si>
  <si>
    <t>A7</t>
  </si>
  <si>
    <t>…đề xuất kế hoạch công tác tháng 10 năm 2026…</t>
  </si>
  <si>
    <t xml:space="preserve">        Căn cứ Quyết định số 311/QĐ-CĐKT ngày 04/02/2026 của Hiệu trưởng Trường Cao đẳng Kon Tum ban hành Chương trình công tác trọng tâm năm 2026;
        Căn cứ Kế hoạch số 975/KH-CĐKT ngày 02/10/2026 của Trường Cao đẳng Kon Tum về kế hoạch công tác Quý IV năm 2026 và đề xuất kế hoạch công tác tháng 11 năm 2026 của các đơn vị thuộc Trường.
        Nhà trường ban hành Kế hoạch công tác tháng 11 n</t>
  </si>
  <si>
    <t>Căn cứ ghi “tháng 10” (sao chép từ Kế hoạch tháng 10); phải là kế hoạch công tác tháng 11 năm 2026.</t>
  </si>
  <si>
    <t>E3</t>
  </si>
  <si>
    <t>Quảng Ngãi, ngày 23 tháng 11 năm 2026</t>
  </si>
  <si>
    <t>Quảng Ngãi, ngày 23 tháng 10 năm 2026</t>
  </si>
  <si>
    <t>Ngày ký không thể ở tháng 11 khi kế hoạch lập ngày 23/10; đề nghị đặt “tháng 10” (hoặc để trống ngày/tháng cho Văn phòng điền khi ký).</t>
  </si>
  <si>
    <t>UBND TỈNH QUẢNG NGÃI</t>
  </si>
  <si>
    <t>CỘNG HÒA XÃ HỘI CHỦ NGHĨA VIỆT NAM</t>
  </si>
  <si>
    <t>TRƯỜNG CAO ĐẲNG KON TUM</t>
  </si>
  <si>
    <t>Độc lập - Tự do - Hạnh phúc</t>
  </si>
  <si>
    <t>Số:       /KH-CĐKT</t>
  </si>
  <si>
    <t>KẾ HOẠCH
công tác tháng 11 năm 2026</t>
  </si>
  <si>
    <t xml:space="preserve">        Căn cứ Quyết định số 311/QĐ-CĐKT ngày 04/02/2026 của Hiệu trưởng Trường Cao đẳng Kon Tum ban hành Chương trình công tác trọng tâm năm 2026;
        Căn cứ Kế hoạch số 975/KH-CĐKT ngày 02/10/2026 của Trường Cao đẳng Kon Tum về kế hoạch công tác Quý IV năm 2026 và đề xuất kế hoạch công tác tháng 11 năm 2026 của các đơn vị thuộc Trường.
        Nhà trường ban hành Kế hoạch công tác tháng 11 năm 2026, cụ thể như sau:</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</si>
  <si>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</si>
  <si>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</si>
  <si>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</si>
  <si>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</si>
  <si>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</si>
  <si>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</si>
  <si>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</si>
  <si>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</si>
  <si>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</si>
  <si>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</si>
  <si>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</si>
  <si>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</si>
  <si>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</si>
  <si>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</si>
  <si>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</si>
  <si>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</si>
  <si>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</si>
  <si>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</si>
  <si>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</si>
  <si>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</si>
  <si>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</si>
  <si>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(11)</t>
  </si>
  <si>
    <t>I</t>
  </si>
  <si>
    <t>Các nhiệm vụ theo kế hoạch công tác đã đề ra từ đầu quý</t>
  </si>
  <si>
    <t>1</t>
  </si>
  <si>
    <t xml:space="preserve">Trục (1) - Thực hiện mục tiêu phát triển Kinh tế - xã hội và nhiệm vụ chính trị được giao </t>
  </si>
  <si>
    <t>Theo dõi, kiểm tra việc triển khai Kế hoạch số 850/KH-CĐKT ngày 04/09/2026; tổng hợp kết quả, khó khăn, vướng mắc; báo cáo định kỳ</t>
  </si>
  <si>
    <t>Phòng QLĐT&amp;BĐCL</t>
  </si>
  <si>
    <t>Báo cáo</t>
  </si>
  <si>
    <t>Cao</t>
  </si>
  <si>
    <t>1.2</t>
  </si>
  <si>
    <t>Tổ chức Cuộc thi Khởi nghiệp sáng tạo cấp Trường</t>
  </si>
  <si>
    <t>PHT Huỳnh Văn Chung</t>
  </si>
  <si>
    <t>Phòng QLKHCN&amp;HTPT</t>
  </si>
  <si>
    <t>Hồ sơ chuyên môn</t>
  </si>
  <si>
    <t>1.3</t>
  </si>
  <si>
    <t>Đánh giá hệ thống bảo đảm chất lượng</t>
  </si>
  <si>
    <t>Kế hoạch</t>
  </si>
  <si>
    <t>1.4</t>
  </si>
  <si>
    <t>Rà soát, cập nhật, chuẩn hóa chương trình đào tạo, giáo trình đào tạo theo quy định mới hoặc yêu cầu phát sinh</t>
  </si>
  <si>
    <t>PHT Dương Văn Anh Dũng</t>
  </si>
  <si>
    <t>Chương trình đào tạo; Giáo trình đào tạo</t>
  </si>
  <si>
    <t>1.5</t>
  </si>
  <si>
    <t>Khoa CKHCB</t>
  </si>
  <si>
    <t>06/11/2026</t>
  </si>
  <si>
    <t>Kết luận giao ban</t>
  </si>
  <si>
    <t>1.6</t>
  </si>
  <si>
    <t>Ban hành kế hoạch triển khai thực hiện Thông tư số 87/2026/TT-BGDĐT ngày 08/10/2026 của Bộ trưởng Bộ Giáo dục và Đào tạo quy định khung chương trình bồi dưỡng năng lực thực hành nghề cho giảng viên, giáo viên giáo dục nghề nghiệp dạy thực hành</t>
  </si>
  <si>
    <t>1.7</t>
  </si>
  <si>
    <t>Ban hành hướng dẫn việc biên soạn chương trình và giáo trình các môn thuộc phần kiến thức trung học phổ thông trong chương trình đào tạo trung học nghề</t>
  </si>
  <si>
    <t>Hướng dẫn</t>
  </si>
  <si>
    <t>20/11/2026</t>
  </si>
  <si>
    <t>1.8</t>
  </si>
  <si>
    <t>Ban hành quy định về tổ chức hoạt động hợp tác trong giáo dục nghề nghiệp, bảo đảm phù hợp với nguyên tắc thực hiện hoạt động hợp tác, nội dung và hình thức hợp tác, yêu cầu trong hợp tác của Thông tư số 72/2026/TT-BGDĐT ngày 28/ 8/2026</t>
  </si>
  <si>
    <t>Quyết định</t>
  </si>
  <si>
    <t>1.9</t>
  </si>
  <si>
    <t xml:space="preserve">Ban hành Quy chế đào tạo giáo dục nghề nghiệp của Trường áp dụng chung cho trình độ cao đẳng, trình độ trung cấp, trình độ sơ cấp, các chương trình đào tạo nghề khác và chương trình giáo dục trung học nghề </t>
  </si>
  <si>
    <t>Ban hành quy định về hình thức đào tạo chính quy và quy định về hình thức đào tạo thường xuyên của Trường</t>
  </si>
  <si>
    <t>1.11</t>
  </si>
  <si>
    <t>Tổng hợp kết quả rà soát ngành, nghề đào tạo của các khoa; xác định nội dung cần cập nhật, báo cáo Hiệu trưởng phương án xử lý; chỉ đề xuất xin ý kiến hướng dẫn của cơ quan có thẩm quyền khi có vướng mắc chưa rõ quy định</t>
  </si>
  <si>
    <t>Bảng tổng hợp</t>
  </si>
  <si>
    <t>1.12</t>
  </si>
  <si>
    <t>Tổ chức biên soạn và hoàn thành hồ sơ đề nghị thẩm định chương trình các môn học Ngoại ngữ, Năng lực số, Pháp luật, Giáo dục thể chất</t>
  </si>
  <si>
    <t>Khoa các Khoa học cơ bản</t>
  </si>
  <si>
    <t>Chương trình môn học</t>
  </si>
  <si>
    <t>8</t>
  </si>
  <si>
    <t>1.13</t>
  </si>
  <si>
    <t>Tổ chức thẩm định, ban hành chương trình các môn học Ngoại ngữ, Năng lực số, Pháp luật, Giáo dục thể chất</t>
  </si>
  <si>
    <t>1.14</t>
  </si>
  <si>
    <t>Tổ chức biên soạn và hoàn thành hồ sơ đề nghị thẩm định chương trình giáo dục trung học nghề</t>
  </si>
  <si>
    <t>PHT Nguyễn Trung Hiếu; PHT Huỳnh Văn Chung</t>
  </si>
  <si>
    <t>Khoa KT&amp;CN; Khoa KT&amp;NL</t>
  </si>
  <si>
    <t>Theo thực tế</t>
  </si>
  <si>
    <t>Khó và phức tạp</t>
  </si>
  <si>
    <t>08/11/2026</t>
  </si>
  <si>
    <t>1.15</t>
  </si>
  <si>
    <t>Tổ chức thẩm định, ban hành chương trình giáo dục trung học nghề</t>
  </si>
  <si>
    <t>Quyết định ban hành</t>
  </si>
  <si>
    <t>15/11/2026</t>
  </si>
  <si>
    <t>1.16</t>
  </si>
  <si>
    <t>Tổ chức lựa chọn giáo trình, tài liệu giảng dạy và hoàn thành hồ sơ đề nghị thẩm định (lựa chọn trước ngày 17/11/2026; biên soạn trước ngày 26/3/2027)</t>
  </si>
  <si>
    <t>Giáo trình, tài liệu giảng dạy</t>
  </si>
  <si>
    <t>17/11/2026</t>
  </si>
  <si>
    <t>1.17</t>
  </si>
  <si>
    <t>Tổ chức thẩm định, ban hành lựa chọn giáo trình, tài liệu giảng dạy (thẩm định lựa chọn trước ngày 20/11/2026; thẩm định biên soạn trước ngày 30/4/2027)</t>
  </si>
  <si>
    <t>1.18</t>
  </si>
  <si>
    <t>Rà soát, báo cáo điều kiện đội ngũ nhà giáo; đề xuất phương án bố trí nhà giáo; lập hồ sơ minh chứng; xây dựng phương án bổ nhiệm chức danh nghề nghiệp và xếp lương đối với nhà giáo thuộc phạm vi áp dụng Thông tư số 64/2026/TT-BGDĐT.</t>
  </si>
  <si>
    <t>Phòng TCCB&amp;CTHSSV</t>
  </si>
  <si>
    <t>Báo cáo; phương án bố trí nhà giáo; hồ sơ minh chứng</t>
  </si>
  <si>
    <t>3</t>
  </si>
  <si>
    <t>1.19</t>
  </si>
  <si>
    <t>Rà soát, báo cáo điều kiện cơ sở vật chất, thiết bị; lập hồ sơ minh chứng</t>
  </si>
  <si>
    <t>Phòng TH-HC&amp;QT</t>
  </si>
  <si>
    <t>Báo cáo; hồ sơ minh chứng</t>
  </si>
  <si>
    <t>2</t>
  </si>
  <si>
    <t>1.20</t>
  </si>
  <si>
    <t>Thẩm định hồ sơ điều kiện bảo đảm hoạt động giáo dục trung học nghề; các đơn vị hoàn thiện hồ sơ theo kết quả thẩm định</t>
  </si>
  <si>
    <t>Quyết định; biên bản</t>
  </si>
  <si>
    <t>25/11/2026</t>
  </si>
  <si>
    <t>1.21</t>
  </si>
  <si>
    <t>Gửi hồ sơ đề nghị cấp phép hoạt động giáo dục nghề nghiệp đối với chương trình giáo dục trung học nghề gửi Bộ Giáo dục và Đào tạo</t>
  </si>
  <si>
    <t>Văn bản đề nghị; hồ sơ minh chứng</t>
  </si>
  <si>
    <t>1.22</t>
  </si>
  <si>
    <t>Rà soát thời gian đào tạo, khối lượng học tập tối thiểu của các chương trình đào tạo trình độ cao đẳng, trung cấp theo đầu vào; điều chỉnh, cập nhật chương trình và dữ liệu trên cơ sở dữ liệu chuyên ngành; công khai thay đổi trước khi áp dụng</t>
  </si>
  <si>
    <t>Báo cáo rà soát chương trình đào tạo; chương trình đào tạo được điều chỉnh, cập nhật; dữ liệu chương trình đào tạo trên cơ sở dữ liệu chuyên ngành</t>
  </si>
  <si>
    <t>1.23</t>
  </si>
  <si>
    <t>Chuẩn hóa quy trình nhập học, xếp lớp; cấp mã số người học gắn với số định danh cá nhân, đồng bộ với cơ sở dữ liệu chuyên ngành; số hóa hồ sơ người học (khoản 3 Điều 10 Quy chế)</t>
  </si>
  <si>
    <t>Phó Hiệu trưởng phụ trách đào tạo</t>
  </si>
  <si>
    <t>Quy trình nhập học, cấp mã số người học; dữ liệu người học được số hóa, đồng bộ</t>
  </si>
  <si>
    <t>1.24</t>
  </si>
  <si>
    <t>Tập huấn Quy chế đào tạo trong giáo dục nghề nghiệp (đợt 1, Thông tư số 79/2026/TT-BGDĐT)</t>
  </si>
  <si>
    <t>Kế hoạch, tài liệu tập huấn; danh sách viên chức, nhà giáo được tập huấn</t>
  </si>
  <si>
    <t>1.25</t>
  </si>
  <si>
    <t>Cập nhật tên, mã ngành, nghề đào tạo trên phần mềm quản lý đào tạo, hồ sơ tuyển sinh, thông tin in trên văn bằng, chứng chỉ, biểu mẫu quản lý người học và công khai trên Trang thông tin điện tử của Trường (điểm b khoản 3 Điều 6 Thông tư số 77); áp dụng đối với các lớp tuyển sinh, đào tạo từ ngày 01/12/2026</t>
  </si>
  <si>
    <t>Danh mục ngành, nghề được cập nhật trên hệ thống quản lý đào tạo và Trang thông tin điện tử của Trường</t>
  </si>
  <si>
    <t>1.26</t>
  </si>
  <si>
    <t>Rà soát danh mục đối tác, đề xuất nội dung và tổ chức ký kết thỏa thuận, hợp đồng hợp tác hằng năm theo các nội dung tại Điều 5</t>
  </si>
  <si>
    <t>Danh mục đối tác được rà soát; thỏa thuận/hợp đồng hợp tác được ký kết</t>
  </si>
  <si>
    <t>1.27</t>
  </si>
  <si>
    <t>Xây dựng Báo cáo tổng kết công tác công đoàn năm 2026, phương hướng nhiệm vụ năm 2027 theo hướng dẫn của LĐLĐ tỉnh.</t>
  </si>
  <si>
    <t>Chủ tịch Công đoàn</t>
  </si>
  <si>
    <t>BCH CĐCS</t>
  </si>
  <si>
    <t>Báo cáo (dự thảo)</t>
  </si>
  <si>
    <t>1.28</t>
  </si>
  <si>
    <t>Nghiên cứu "Sổ tay hướng dẫn hợp tác công tư trong lĩnh vực khoa học, công nghệ, đổi mới sáng tạo và chuyển đổi số" để tham mưu những nội dung triển khai thực hiện cụ thể và phù hợp với tình hình thực tế của Trường</t>
  </si>
  <si>
    <t>Sổ tay</t>
  </si>
  <si>
    <t>1.29</t>
  </si>
  <si>
    <t>Hợp đồng, ứng và thanh toán các lớp dạy nghề cho người lao động</t>
  </si>
  <si>
    <t>Phòng TC-KT</t>
  </si>
  <si>
    <t>1.30</t>
  </si>
  <si>
    <t>Ban hành Quyết định phân khai kinh phí cấp bổ sung cải cách tiền lương năm 2026</t>
  </si>
  <si>
    <t>1.31</t>
  </si>
  <si>
    <t>Thực hiện theo dõi và báo cáo thường xuyên tình hình sử dụng nguồn kinh phí Chương trình mục tiêu quốc gia xây dựng nông thôn mới, giảm nghèo bền vững và phát triển kinh tế - xã hội vùng đồng bào dân tộc thiểu số và miền núi giai đoạn 2026 - 2035, giai đoạn I: từ năm 2026 đến năm 2030 là 260 tr</t>
  </si>
  <si>
    <t>1.32</t>
  </si>
  <si>
    <t>Liên kết, phối hợp với Báo và phát thanh truyền hình Quảng Ngãi thực hiện Chuyên mục Giáo dục nghề nghiệp (theo Hợp đồng đã ký)</t>
  </si>
  <si>
    <t>Ban Truyền thông</t>
  </si>
  <si>
    <t>Phóng sự</t>
  </si>
  <si>
    <t>1.33</t>
  </si>
  <si>
    <t>Xây dựng kịch bản chi tiết các chương trình, sự kiện lớn của Trường (lễ Tốt nghiệp,…)</t>
  </si>
  <si>
    <t>Sự kiện</t>
  </si>
  <si>
    <t>1.34</t>
  </si>
  <si>
    <t>Hoàn thiện hồ sơ đăng ký mở mã ngành Truyền thông đa phương tiện và Trí tuệ nhân tạo (Kế hoạch số 768/KH-CĐKT, 784/KH-CĐKT)</t>
  </si>
  <si>
    <t>Hồ sơ mở mã ngành</t>
  </si>
  <si>
    <t>Trục (2) - Hoàn thiện thể chế, đẩy mạnh phân cấp, phân quyền gắn với kiểm tra, giám sát</t>
  </si>
  <si>
    <t>2.1</t>
  </si>
  <si>
    <t>Xây dựng dự thảo Quyết định tiêu chuẩn, định mức sử dụng máy móc, thiết bị chuyên dùng trong lĩnh vực giáo dục và đào tạo của Trường</t>
  </si>
  <si>
    <t>Dự thảo Quyết định và Phụ lục</t>
  </si>
  <si>
    <t>2.2</t>
  </si>
  <si>
    <t>Hội đồng khoa học và đào tạo thẩm định danh mục máy móc, thiết bị chuyên dùng (sự cần thiết, thông số kỹ thuật, mức độ phù hợp)</t>
  </si>
  <si>
    <t>Hiệu trưởng, Chủ tịch Hội đồng</t>
  </si>
  <si>
    <t>Thông báo kết luận</t>
  </si>
  <si>
    <t>2.3</t>
  </si>
  <si>
    <t>Tổ chức kiểm tra theo Kế hoạch kiểm tra năm học 2026-2027 (đợt 1) đối với các khoa thuộc Trường</t>
  </si>
  <si>
    <t>Kế hoạch kiểm tra; Biên bản; Thông báo kết luận</t>
  </si>
  <si>
    <t>2.4</t>
  </si>
  <si>
    <t>Ban hành quyết định thành lập Tổ hỗ trợ số hóa hồ sơ và phân công nhiệm vụ cho thành viên</t>
  </si>
  <si>
    <t>2.5</t>
  </si>
  <si>
    <t>Ban hành Quy chế tuyển sinh của Trường theo Thông tư số 76, thay thế các nội dung về tuyển sinh trình độ cao đẳng, trung cấp, giáo dục trung học nghề, sơ cấp và các chương trình đào tạo nghề khác tại Quy chế tuyển sinh năm 2026</t>
  </si>
  <si>
    <t>03/11/2026</t>
  </si>
  <si>
    <t>2.6</t>
  </si>
  <si>
    <t>Ban hành Quyết định thành lập Ban đánh giá hệ thống bảo đảm chất lượng nhà trường</t>
  </si>
  <si>
    <t>KH 1035/KH-CĐKT</t>
  </si>
  <si>
    <t>2.7</t>
  </si>
  <si>
    <t>Xây dựng, ban hành quy định về công tác chủ nhiệm lớp, cố vấn học tập (Điều 16 Quy chế); phân công nhà giáo chủ nhiệm, cố vấn học tập; phổ biến Quy chế đào tạo của Trường cho người học đầu khóa</t>
  </si>
  <si>
    <t>Quy định công tác chủ nhiệm lớp, cố vấn học tập; quyết định phân công nhà giáo chủ nhiệm, cố vấn học tập; kế hoạch sinh hoạt đầu khóa</t>
  </si>
  <si>
    <t>2.8</t>
  </si>
  <si>
    <t>Sửa đổi, bổ sung quy trình tổ chức thi kết thúc môn học, mô đun; nội quy thi, kiểm tra và quy định xử lý vi phạm (thi hộ, gian lận, sử dụng thiết bị trái phép) theo khoản 6 Điều 19, Điều 22, Điều 23 Quy chế</t>
  </si>
  <si>
    <t>Quy trình tổ chức thi; nội quy thi, kiểm tra; quy định xử lý vi phạm</t>
  </si>
  <si>
    <t>2.9</t>
  </si>
  <si>
    <t>Quyết định thành lập/kiện toàn Hội đồng tuyển sinh; Chủ tịch Hội đồng tuyển sinh quyết định thành lập Ban thư ký và các ban chuyên môn, ban giúp việc khác của Hội đồng tuyển sinh</t>
  </si>
  <si>
    <t>Quyết định thành lập/kiện toàn Hội đồng tuyển sinh; quyết định thành lập các ban chuyên môn, ban giúp việc</t>
  </si>
  <si>
    <t>2.10</t>
  </si>
  <si>
    <t>Chuẩn hóa hồ sơ, biểu mẫu tuyển sinh: Phiếu đăng ký dự tuyển theo Phụ lục II Quy chế; Phiếu đăng ký dự tuyển trình độ sơ cấp và các chương trình đào tạo nghề khác của Trường; danh mục hồ sơ dự tuyển, hồ sơ nhập học; mẫu biên bản, giấy báo kết quả, giấy triệu tập nhập học; quy trình tiếp nhận, kiểm tra, đối chiếu hồ sơ</t>
  </si>
  <si>
    <t>Bộ hồ sơ, biểu mẫu và quy trình tiếp nhận hồ sơ tuyển sinh được phê duyệt</t>
  </si>
  <si>
    <t>2.11</t>
  </si>
  <si>
    <t>Rà soát, sửa đổi, bổ sung, ban hành quy định tổ chức liên kết thực hiện chương trình đào tạo cấp văn bằng, chứng chỉ, bảo đảm phù hợp với nguyên tắc liên kết (Điều 7), phương thức tổ chức liên kết (Điều 8) và tổ chức liên kết thực hiện chương trình đào tạo (Điều 9)</t>
  </si>
  <si>
    <t>Quy định liên kết thực hiện chương trình đào tạo</t>
  </si>
  <si>
    <t>2.12</t>
  </si>
  <si>
    <t>Xây dựng, ban hành mẫu Hợp đồng liên kết thực hiện chương trình đào tạo cấp văn bằng, chứng chỉ theo nội dung tối thiểu quy định tại Điều 10</t>
  </si>
  <si>
    <t>Mẫu hợp đồng liên kết đào tạo</t>
  </si>
  <si>
    <t>2.13</t>
  </si>
  <si>
    <t>Rà soát văn bản nội bộ về tổ chức hoạt động giáo dục nghề nghiệp; đề xuất sửa đổi, bổ sung cho phù hợp Nghị định số 361/2026/NĐ-CP</t>
  </si>
  <si>
    <t>Báo cáo rà soát</t>
  </si>
  <si>
    <t>2.14</t>
  </si>
  <si>
    <t>Ban hành Kế hoạch, Quyết định và tổ chức kiểm tra công tác tài chính công đoàn năm 2026</t>
  </si>
  <si>
    <t>Phó Chủ tịch Công đoàn, Chủ nhiệm Ủy ban kiểm tra</t>
  </si>
  <si>
    <t>Ủy ban kiểm tra Công đoàn</t>
  </si>
  <si>
    <t>Kế hoạch, Quyết định; Biên bản / Kết luận kiểm tra</t>
  </si>
  <si>
    <t>Trục (3) - Thúc đẩy phát triển khoa học, công nghệ, đổi mới sáng tạo và chuyển đổi số</t>
  </si>
  <si>
    <t>3.1</t>
  </si>
  <si>
    <t>Xây dựng bộ công cụ kiểm tra, rà soát, chi trả học bổng khuyến khích học tập cho học sinh, sinh viên</t>
  </si>
  <si>
    <t>Bộ công cụ đóng gói: Skills, Prompt, quy trình, thông báo</t>
  </si>
  <si>
    <t>3.2</t>
  </si>
  <si>
    <t>Xây dựng công cụ AI hỗ trợ biên soạn, cập nhật chương trình đào tạo, tự đánh giá chất lượng giáo dục nghề nghiệp và rà soát kế hoạch tiến độ đào tạo của các đơn vị, kèm bộ dữ liệu chương trình đào tạo, khung chương trình và lịch năm học</t>
  </si>
  <si>
    <t>3.3</t>
  </si>
  <si>
    <t>Xây dựng bộ công cụ kiểm tra, rà soát, dự thảo Quyết định ban hành mức thu học phí</t>
  </si>
  <si>
    <t>3.4</t>
  </si>
  <si>
    <t>Xây dựng bộ công cụ kiểm tra, rà soát bảng thanh toán lương và các khoản trích theo lương</t>
  </si>
  <si>
    <t>3.5</t>
  </si>
  <si>
    <t>3.6</t>
  </si>
  <si>
    <t>Ban hành văn bản chấn chỉnh tình trạng một số đơn vị, tổ chức, cá nhân sử dụng trí tuệ nhân tạo chưa theo đúng hướng dẫn của nhà trường gây tốn kém, lãng phí, mất thời gian, công sức và kéo dài thời gian thực hiện nhiệm vụ</t>
  </si>
  <si>
    <t>Công văn</t>
  </si>
  <si>
    <t>3.7</t>
  </si>
  <si>
    <t>Lập hồ sơ đề xuất cấp độ đối với hệ thống thông tin của Cơ sở 2, Cơ sở 3 theo Điều 21, Điều 22 Nghị định số 331/2026/NĐ-CP, phương án bảo đảm an ninh mạng theo TCVN 14423:2026, gửi Công an tỉnh thẩm định</t>
  </si>
  <si>
    <t>Hồ sơ đề xuất cấp độ</t>
  </si>
  <si>
    <t>3.8</t>
  </si>
  <si>
    <t>Truyền thông các hội thảo khoa học công nghệ, đổi mới sáng tạo và chuyển đổi số</t>
  </si>
  <si>
    <t>Tin/bài</t>
  </si>
  <si>
    <t>4</t>
  </si>
  <si>
    <t>Trục (4) - Xây dựng đảng và hệ thống chính trị trong sạch, vững mạnh; giữ gìn đoàn kết, thống nhất nội bộ; phòng, chống tham nhũng, lãng phí, tiêu cực</t>
  </si>
  <si>
    <t>4.1</t>
  </si>
  <si>
    <t>Xây dựng Phương án bổ nhiệm chức danh nghề nghiệp và xếp lương đối với nhà giáo thuộc phạm vi áp dụng Thông tư số 64/2026/TT-BGDĐT ngày 10/8/2026 theo chuẩn nghề nghiệp</t>
  </si>
  <si>
    <t>Quyết định; Phương án</t>
  </si>
  <si>
    <t>4.2</t>
  </si>
  <si>
    <t>Quán triệt, triển khai Kế hoạch số 73/KH-CĐCS ngày 12/10/2026 về phòng, chống tham nhũng, lãng phí, tiêu cực và thực hành tiết kiệm đến các Tổ công đoàn.</t>
  </si>
  <si>
    <t>Báo cáo / Minh chứng</t>
  </si>
  <si>
    <t>5</t>
  </si>
  <si>
    <t>Trục (5) - Phát triển văn hóa, con người, bảo đảm an sinh xã hội, nâng cao đời sống nhân dân</t>
  </si>
  <si>
    <t>5.1</t>
  </si>
  <si>
    <t xml:space="preserve">Tổ chức tọa đàm kỷ niệm ngày Nhà giáo Việt Nam 20/11 </t>
  </si>
  <si>
    <t>5.2</t>
  </si>
  <si>
    <t>Kế hoạch triển khai các hoạt động chào mừng Ngày Nhà giáo Việt Nam 20/11</t>
  </si>
  <si>
    <t>Đoàn TN - Hội SV</t>
  </si>
  <si>
    <t>5.3</t>
  </si>
  <si>
    <t>Tổ chức các hoạt động chào mừng Ngày Nhà giáo Việt Nam 20/11</t>
  </si>
  <si>
    <t>Ban Nữ công / BCH CĐCS</t>
  </si>
  <si>
    <t>5.4</t>
  </si>
  <si>
    <t>Tổ chức đối thoại giữa Hiệu trưởng với học sinh, sinh viên (học kỳ I, năm học 2026-2027)</t>
  </si>
  <si>
    <t>Kế hoạch; Thông báo; Kết luận; Báo cáo xử lý</t>
  </si>
  <si>
    <t>5.5</t>
  </si>
  <si>
    <t>Công khai kết quả vận động ủng hộ Chương trình nhà ở "Mái ấm Công đoàn" năm 2026 đến đoàn viên (kinh phí chuyển nộp về LĐLĐ tỉnh trước ngày 31/10/2026 theo Công văn số 777/LĐLĐ).</t>
  </si>
  <si>
    <t>Bộ phận Tài chính CĐ</t>
  </si>
  <si>
    <t>Thông báo công khai</t>
  </si>
  <si>
    <t>5.6</t>
  </si>
  <si>
    <t>Truyền thông kết nối doanh nghiệp, hợp tác chuyên môn, hội thảo</t>
  </si>
  <si>
    <t>Sự kiện, tin, bài, video</t>
  </si>
  <si>
    <t>5.7</t>
  </si>
  <si>
    <t>Truyền thông phong trào xanh hoá Nhà trường</t>
  </si>
  <si>
    <t>Tin/bài/video</t>
  </si>
  <si>
    <t>6</t>
  </si>
  <si>
    <t>Trục (6) - Củng cố quốc phòng, an ninh, giữ vững ổn định chính trị - xã hội, nâng cao hiệu quả đối ngoại và hội nhập quốc tế</t>
  </si>
  <si>
    <t>6.1</t>
  </si>
  <si>
    <t>Duy trì ổn định chính trị nội bộ, bảo đảm an ninh trật tự trường học và thực hiện Đề án xây dựng xã hội trật tự, kỷ cương</t>
  </si>
  <si>
    <t>Theo dõi, Giám sát, Báo cáo</t>
  </si>
  <si>
    <t>Thấp</t>
  </si>
  <si>
    <t>6.2</t>
  </si>
  <si>
    <t>Tổ chức Đoàn ra tới thăm và làm việc với Sở Giáo dục và Thể thao các tỉnh Nam Lào</t>
  </si>
  <si>
    <t>Bí thư Đảng uỷ</t>
  </si>
  <si>
    <t>Quyết định, Kế hoạch, Báo cáo</t>
  </si>
  <si>
    <t>6.3</t>
  </si>
  <si>
    <t>Truyền thông hoạt động hợp tác, kết nối và hội nhập</t>
  </si>
  <si>
    <t>II</t>
  </si>
  <si>
    <t>Các nhiệm vụ đột xuất, phát sinh khác ngoài kế hoạch, từ tháng trước chuyển sang</t>
  </si>
  <si>
    <t>Thẩm định, ban hành quy trình bảo đảm chất lượng đợt 2 năm 2026</t>
  </si>
  <si>
    <t>Báo cáo kết quả khảo sát các bên liên quan về hoạt động của nhà trường và chất lượng các CTĐT năm 2026</t>
  </si>
  <si>
    <t>Xây dựng, cập nhật danh mục cơ sở đào tạo, viện nghiên cứu, doanh nghiệp, chuyên gia có khả năng phối hợp đào tạo, tuyển dụng, nghiên cứu về công nghiệp bán dẫn</t>
  </si>
  <si>
    <t>Danh mục đối tác</t>
  </si>
  <si>
    <t>Ban hành định mức kinh tế kỹ thuật ngành nghề Y sỹ đa khoa và định giá đào tạo</t>
  </si>
  <si>
    <t>Quyết định + phụ lục định mức</t>
  </si>
  <si>
    <t>Trục 2</t>
  </si>
  <si>
    <t>Ban hành định mức kinh tế - kỹ thuật và định giá đào tạo lái xe</t>
  </si>
  <si>
    <t>Danh mục; Báo cáo kết quả rà soát, đối chiếu</t>
  </si>
  <si>
    <t>7</t>
  </si>
  <si>
    <t>Khảo sát, tổng hợp nhu cầu trang bị bổ sung máy móc, thiết bị chuyên dùng ngành Giáo dục Mầm non, trình độ cao đẳng</t>
  </si>
  <si>
    <t>Khoa Sư phạm</t>
  </si>
  <si>
    <t>Bảng tổng hợp danh mục thiết bị</t>
  </si>
  <si>
    <t>Ban hành Quyết định tạm thời khung kiến trúc dữ liệu, khung quản trị dữ liệu và từ điển dữ liệu của nhà trường</t>
  </si>
  <si>
    <t>Trục 3</t>
  </si>
  <si>
    <t>9</t>
  </si>
  <si>
    <t>Ban hành Quyết định tạm thời danh mục cơ sở dữ liệu dùng chung của nhà trường, trong đó quy định rõ khái niệm, nội hàm, trường dữ liệu, trách nhiệm tạo lập, cập nhật, chia sẻ, khai thác và giá trị pháp lý của dữ liệu</t>
  </si>
  <si>
    <t>10</t>
  </si>
  <si>
    <t>Xây dựng bộ công cụ kiểm tra, rà soát, dự thảo thông báo thu học phí</t>
  </si>
  <si>
    <t>11</t>
  </si>
  <si>
    <t>Xây dựng bộ công cụ kiểm tra, rà soát, chi trả chế độ, chính sách cho học sinh, sinh viên</t>
  </si>
  <si>
    <t>12</t>
  </si>
  <si>
    <t>Xây dựng công cụ rà soát, đề xuất xét chế độ chính sách đối với công tác học sinh, sinh viên</t>
  </si>
  <si>
    <t>13</t>
  </si>
  <si>
    <t>Xây dựng công cụ rà soát, đề xuất xét chế độ nâng lương, khen thưởng đối với công tác tổ chức cán bộ</t>
  </si>
  <si>
    <t>14</t>
  </si>
  <si>
    <t>Xây dựng công cụ rà soát, tham mưu quy trình bổ nhiệm, bổ nhiệm lại viên chức quản lý thuộc Trường, bộ môn thuộc khoa và tương đương</t>
  </si>
  <si>
    <t>15</t>
  </si>
  <si>
    <t>Xây dựng công cụ rà soát, thống nhất danh mục sản phẩm/công việc của các đơn vị; xác định sản phẩm/công việc chuẩn, định mức, đơn vị tính</t>
  </si>
  <si>
    <t>16</t>
  </si>
  <si>
    <t>Xây dựng công cụ rà soát, tư vấn chuyên môn về công tác tổng hợp, báo cáo, văn bản hành chính thông thường của Văn phòng Đảng ủy</t>
  </si>
  <si>
    <t>17</t>
  </si>
  <si>
    <t>Xây dựng công cụ hỗ trợ kiểm soát chất lượng đào tạo và sát hạch lái xe</t>
  </si>
  <si>
    <t>Khoa ĐT&amp;SHLX</t>
  </si>
  <si>
    <t>18</t>
  </si>
  <si>
    <t>Cập nhật, sửa đổi Quy định quản lý và tổ chức hoạt động khoa học, công nghệ, đổi mới sáng tạo của học sinh, sinh viên</t>
  </si>
  <si>
    <t>19</t>
  </si>
  <si>
    <t>Rà soát thực trạng đội ngũ nhà giáo thuộc phạm vi áp dụng Thông tư số 64/2026/TT-BGDĐT  ngày 10/8/2026 theo chuẩn nghề nghiệp</t>
  </si>
  <si>
    <t>Danh sách rà soát</t>
  </si>
  <si>
    <t>20</t>
  </si>
  <si>
    <t>Rà soát, đăng ký loại bỏ các ngành, nghề đào tạo không còn phù hợp, nguồn tuyển sinh hạn chế</t>
  </si>
  <si>
    <t>Kế hoạch; Công văn</t>
  </si>
  <si>
    <t>21</t>
  </si>
  <si>
    <t>Đánh giá ngoài chất lượng chương trình đào tạo ngành, nghề Lâm sinh</t>
  </si>
  <si>
    <t>22</t>
  </si>
  <si>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t>
  </si>
  <si>
    <t>23</t>
  </si>
  <si>
    <t>Ban hành kế hoạch triển khai chương trình giáo dục trung học nghề, chương trình giáo dục thường xuyên cấp THPT; giảng dạy, liên kết đào tạo và cấp chứng chỉ giáo dục quốc phòng và an ninh</t>
  </si>
  <si>
    <t>24</t>
  </si>
  <si>
    <t>Xây dựng Đề án vị trí việc làm sau khi sắp xếp lại các đơn vị thuộc Trường</t>
  </si>
  <si>
    <t>25</t>
  </si>
  <si>
    <t>Ban hành Chiến lược phát triển khoa các Khoa học cơ bản đến năm 2030 và tầm nhìn đến năm 2045</t>
  </si>
  <si>
    <t>26</t>
  </si>
  <si>
    <t>Ban hành Chiến lược phát triển khoa Kỹ thuật và Công nghệ đến năm 2030 và tầm nhìn đến năm 2045</t>
  </si>
  <si>
    <t>PHT Nguyễn Trung Hiếu</t>
  </si>
  <si>
    <t>Khoa KT&amp;CN</t>
  </si>
  <si>
    <t>27</t>
  </si>
  <si>
    <t>Xây dựng Chiến lược ứng dụng công nghệ giai đoạn 2026-2030</t>
  </si>
  <si>
    <t>Chiến lược; kế hoạch</t>
  </si>
  <si>
    <t>28</t>
  </si>
  <si>
    <t>Xây dựng Chương trình Công tác Đoàn và phong trào thanh niên năm học 2026-2027</t>
  </si>
  <si>
    <t>Bí thư Đảng ủy</t>
  </si>
  <si>
    <t>Chương trình</t>
  </si>
  <si>
    <t>Trục 4</t>
  </si>
  <si>
    <t>29</t>
  </si>
  <si>
    <t>30</t>
  </si>
  <si>
    <t>Kế hoạch triển khai thực hiện Kế hoạch số 101-KH/TU ngày 15/8/2026 của BTV Tỉnh ủy về phân công các cơ quan, đơn vị phụ trách, giúp đỡ xây dựng mô hình “Dân vận khéo” về vận động đồng bào dân tộc thiểu số thay đổi nếp nghĩ, cách làm để vươn lên thoát nghèo bền vững</t>
  </si>
  <si>
    <t>BPVPĐU</t>
  </si>
  <si>
    <t>31</t>
  </si>
  <si>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</si>
  <si>
    <t>Trục 5</t>
  </si>
  <si>
    <t>32</t>
  </si>
  <si>
    <t>Phương án sắp xếp, bố trí máy móc, thiết bị phục vụ công tác các chức danh và phục vụ hoạt động chung theo Quyết định số 1763/QĐ-CĐKT ngày 13/8/2026 của Hiệu trưởng nhà trường</t>
  </si>
  <si>
    <t>Phương án</t>
  </si>
  <si>
    <t>33</t>
  </si>
  <si>
    <t>Triển khai sửa chữa sân nền tiếp giáp giữa trục đường chính và lối vào Nhà để xe ô tô phía sau Khu hiệu bộ, Trụ sở chính</t>
  </si>
  <si>
    <t>Hồ sơ triển khai sửa chữa</t>
  </si>
  <si>
    <t>34</t>
  </si>
  <si>
    <t>Báo cáo kết quả rà soát; danh mục văn bản cần sửa đổi, bổ sung, thay thế, bãi bỏ</t>
  </si>
  <si>
    <t>35</t>
  </si>
  <si>
    <t>Danh sách khóa, lớp áp dụng quy định chuyển tiếp; thông báo công khai; phương án đối với khóa, lớp tuyển sinh từ ngày 10/11/2026</t>
  </si>
  <si>
    <t>36</t>
  </si>
  <si>
    <t>Biên bản; hồ sơ thanh lý</t>
  </si>
  <si>
    <t>37</t>
  </si>
  <si>
    <t>Nơi nhận:
- Đảng ủy Trường;
- Lãnh đạo Trường;
- Công đoàn Trường;
- Đoàn Trường;
- Các đơn vị thuộc Trường;
- Lưu: VT, THHCQT.</t>
  </si>
  <si>
    <t>HIỆU TRƯỞNG
Lê Trí Khải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</si>
</sst>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6" x14ac:knownFonts="1">
    <font>
      <sz val="11"/>
      <color theme="1"/>
      <name val="Calibri"/>
      <family val="2"/>
      <scheme val="minor"/>
    </font>
    <font>
      <sz val="14"/>
      <name val="Times New Roman"/>
      <family val="1"/>
    </font>
    <font>
      <b/>
      <sz val="14"/>
      <name val="Times New Roman"/>
      <family val="1"/>
    </font>
    <font>
      <sz val="11"/>
      <color theme="1"/>
      <name val="Calibri"/>
      <family val="2"/>
      <charset val="1"/>
    </font>
    <font>
      <sz val="11"/>
      <color rgb="FF000000"/>
      <name val="Calibri"/>
      <family val="2"/>
      <scheme val="minor"/>
    </font>
    <font>
      <sz val="12"/>
      <name val="Times New Roman"/>
      <family val="1"/>
    </font>
    <font>
      <sz val="11"/>
      <name val="Times New Roman"/>
      <family val="1"/>
    </font>
    <font>
      <sz val="13"/>
      <name val="Times New Roman"/>
      <family val="1"/>
    </font>
    <font>
      <b/>
      <sz val="13"/>
      <name val="Times New Roman"/>
      <family val="1"/>
    </font>
    <font>
      <sz val="11"/>
      <color theme="1"/>
      <name val="Arial"/>
      <family val="2"/>
    </font>
    <font>
      <sz val="11"/>
      <name val="Calibri"/>
      <family val="2"/>
      <scheme val="minor"/>
    </font>
    <font>
      <b/>
      <sz val="13"/>
      <color rgb="FFC00000"/>
      <name val="Times New Roman"/>
    </font>
    <font>
      <sz val="13"/>
      <color rgb="FF0000FF"/>
      <name val="Times New Roman"/>
    </font>
    <font>
      <b/>
      <sz val="13"/>
      <color rgb="FF0000FF"/>
      <name val="Times New Roman"/>
    </font>
    <font>
      <strike/>
      <sz val="13"/>
      <color rgb="FFC00000"/>
      <name val="Times New Roman"/>
    </font>
    <font>
      <b/>
      <strike/>
      <sz val="13"/>
      <color rgb="FFC00000"/>
      <name val="Times New Roman"/>
    </font>
    <font>
      <b/>
      <i/>
      <sz val="14"/>
      <color rgb="FFC00000"/>
      <name val="Times New Roman"/>
    </font>
    <font>
      <b/>
      <i/>
      <sz val="13"/>
      <color rgb="FFC00000"/>
      <name val="Times New Roman"/>
    </font>
    <font>
      <b/>
      <sz val="14"/>
      <name val="Times New Roman"/>
    </font>
    <font>
      <i/>
      <sz val="12"/>
      <name val="Times New Roman"/>
    </font>
    <font>
      <b/>
      <sz val="12"/>
      <color rgb="FFC00000"/>
      <name val="Times New Roman"/>
    </font>
    <font>
      <b/>
      <sz val="12"/>
      <name val="Times New Roman"/>
    </font>
    <font>
      <sz val="12"/>
      <name val="Times New Roman"/>
    </font>
    <font>
      <sz val="12"/>
      <color rgb="FF0000FF"/>
      <name val="Times New Roman"/>
    </font>
    <font>
      <b/>
      <strike/>
      <sz val="12"/>
      <color rgb="FFC00000"/>
      <name val="Times New Roman"/>
    </font>
    <font>
      <b/>
      <sz val="13"/>
      <name val="Times New Roman"/>
    </font>
  </fonts>
  <fills count="5">
    <fill>
      <patternFill patternType="none"/>
    </fill>
    <fill>
      <patternFill patternType="gray125"/>
    </fill>
    <fill>
      <patternFill patternType="solid">
        <fgColor rgb="FFFFF2CC"/>
      </patternFill>
    </fill>
    <fill>
      <patternFill patternType="solid">
        <fgColor rgb="FFFCE4D6"/>
      </patternFill>
    </fill>
    <fill>
      <patternFill patternType="solid">
        <fgColor rgb="FFD9D9D9"/>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s>
  <cellStyleXfs count="4">
    <xf numFmtId="0" fontId="0" fillId="0" borderId="0"/>
    <xf numFmtId="0" fontId="3" fillId="0" borderId="0"/>
    <xf numFmtId="0" fontId="4" fillId="0" borderId="0"/>
    <xf numFmtId="0" fontId="9" fillId="0" borderId="0"/>
  </cellStyleXfs>
  <cellXfs count="63">
    <xf numFmtId="0" fontId="0" fillId="0" borderId="0" xfId="0"/>
    <xf numFmtId="0" fontId="1" fillId="0" borderId="0" xfId="0" applyFont="1" applyAlignment="1">
      <alignment vertical="top"/>
    </xf>
    <xf numFmtId="0" fontId="7" fillId="0" borderId="0" xfId="0" applyFont="1"/>
    <xf numFmtId="0" fontId="1" fillId="0" borderId="0" xfId="0" applyFont="1"/>
    <xf numFmtId="0" fontId="10" fillId="0" borderId="0" xfId="0" applyFont="1"/>
    <xf numFmtId="0" fontId="1" fillId="0" borderId="0" xfId="0" applyFont="1" applyAlignment="1">
      <alignment horizontal="justify"/>
    </xf>
    <xf numFmtId="0" fontId="1" fillId="0" borderId="1" xfId="0" quotePrefix="1"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7" fillId="0" borderId="7" xfId="0" applyFont="1" applyBorder="1" applyAlignment="1">
      <alignment horizontal="center" vertical="center" wrapText="1"/>
    </xf>
    <xf numFmtId="0" fontId="7" fillId="0" borderId="7" xfId="0" applyFont="1" applyBorder="1" applyAlignment="1">
      <alignment horizontal="justify" vertical="center" wrapText="1"/>
    </xf>
    <xf numFmtId="0" fontId="7" fillId="0" borderId="6" xfId="0" applyFont="1" applyBorder="1" applyAlignment="1">
      <alignment horizontal="center" vertical="center" wrapText="1"/>
    </xf>
    <xf numFmtId="0" fontId="8" fillId="0" borderId="7" xfId="0" applyFont="1" applyBorder="1" applyAlignment="1">
      <alignment horizontal="center" vertical="center" wrapText="1"/>
    </xf>
    <xf numFmtId="0" fontId="5" fillId="0" borderId="0" xfId="0" applyFont="1"/>
    <xf numFmtId="0" fontId="6" fillId="0" borderId="0" xfId="0" applyFont="1"/>
    <xf numFmtId="0" fontId="18" fillId="0" borderId="0" xfId="0" applyFont="1"/>
    <xf numFmtId="0" fontId="20" fillId="2" borderId="0" xfId="0" applyFont="1" applyFill="1"/>
    <xf numFmtId="0" fontId="21" fillId="0" borderId="0" xfId="0" applyFont="1"/>
    <xf numFmtId="0" fontId="23" fillId="0" borderId="0" xfId="0" applyFont="1"/>
    <xf numFmtId="0" fontId="22" fillId="3" borderId="0" xfId="0" applyFont="1" applyFill="1"/>
    <xf numFmtId="0" fontId="24" fillId="2" borderId="0" xfId="0" applyFont="1" applyFill="1"/>
    <xf numFmtId="0" fontId="25" fillId="0" borderId="0" xfId="0" applyFont="1"/>
    <xf numFmtId="0" fontId="21" fillId="4" borderId="8" xfId="0" applyFont="1" applyFill="1" applyBorder="1" applyAlignment="1">
      <alignment horizontal="center" vertical="center" wrapText="1"/>
    </xf>
    <xf numFmtId="0" fontId="22" fillId="0" borderId="8" xfId="0" applyFont="1" applyBorder="1" applyAlignment="1">
      <alignment vertical="top" wrapText="1"/>
    </xf>
    <xf numFmtId="0" fontId="11" fillId="2" borderId="7" xfId="0" applyFont="1" applyFill="1" applyBorder="1" applyAlignment="1">
      <alignment horizontal="justify" vertical="center" wrapText="1"/>
    </xf>
    <xf numFmtId="0" fontId="11" fillId="2" borderId="7" xfId="0" applyFont="1" applyFill="1" applyBorder="1" applyAlignment="1">
      <alignment horizontal="center" vertical="center" wrapText="1"/>
    </xf>
    <xf numFmtId="165" fontId="11" fillId="2" borderId="7" xfId="0" applyNumberFormat="1"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7" xfId="0" applyFont="1" applyBorder="1" applyAlignment="1">
      <alignment horizontal="justify" vertical="center" wrapText="1"/>
    </xf>
    <xf numFmtId="0" fontId="12"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2" fillId="3" borderId="7"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7" xfId="0" applyFont="1" applyFill="1" applyBorder="1" applyAlignment="1">
      <alignment horizontal="justify" vertical="center" wrapText="1"/>
    </xf>
    <xf numFmtId="0" fontId="14"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7" fillId="3" borderId="7" xfId="0" applyFont="1" applyFill="1" applyBorder="1" applyAlignment="1">
      <alignment horizontal="justify" vertical="center" wrapText="1"/>
    </xf>
    <xf numFmtId="0" fontId="12" fillId="3" borderId="7" xfId="0" applyFont="1" applyFill="1" applyBorder="1" applyAlignment="1">
      <alignment horizontal="justify" vertical="center" wrapText="1"/>
    </xf>
    <xf numFmtId="0" fontId="19" fillId="0" borderId="0" xfId="0" applyFont="1" applyAlignment="1">
      <alignment vertical="top" wrapText="1"/>
    </xf>
    <xf numFmtId="0" fontId="0" fillId="0" borderId="0" xfId="0"/>
    <xf numFmtId="0" fontId="22" fillId="0" borderId="0" xfId="0" applyFont="1"/>
    <xf numFmtId="0" fontId="2" fillId="0" borderId="1" xfId="0" applyFont="1" applyBorder="1" applyAlignment="1">
      <alignment horizontal="center" vertical="center" wrapText="1"/>
    </xf>
    <xf numFmtId="0" fontId="0" fillId="0" borderId="5" xfId="0" applyBorder="1"/>
    <xf numFmtId="0" fontId="8" fillId="0" borderId="1" xfId="0" applyFont="1" applyBorder="1" applyAlignment="1">
      <alignment horizontal="left" vertical="center"/>
    </xf>
    <xf numFmtId="0" fontId="0" fillId="0" borderId="3" xfId="0" applyBorder="1"/>
    <xf numFmtId="0" fontId="0" fillId="0" borderId="4" xfId="0" applyBorder="1"/>
    <xf numFmtId="0" fontId="7" fillId="0" borderId="0" xfId="0" applyFont="1" applyAlignment="1">
      <alignment horizontal="center" vertical="top" wrapText="1"/>
    </xf>
    <xf numFmtId="0" fontId="1" fillId="0" borderId="0" xfId="0" applyFont="1" applyAlignment="1">
      <alignment horizontal="justify"/>
    </xf>
    <xf numFmtId="0" fontId="2" fillId="0" borderId="0" xfId="0" applyFont="1" applyAlignment="1">
      <alignment horizontal="center" vertical="top" wrapText="1"/>
    </xf>
    <xf numFmtId="0" fontId="1" fillId="0" borderId="0" xfId="0" applyFont="1"/>
    <xf numFmtId="0" fontId="2" fillId="0" borderId="0" xfId="0" applyFont="1" applyAlignment="1">
      <alignment horizontal="center" vertical="center"/>
    </xf>
    <xf numFmtId="0" fontId="16" fillId="2" borderId="2" xfId="0" applyFont="1" applyFill="1" applyBorder="1" applyAlignment="1">
      <alignment horizontal="justify" vertical="center" wrapText="1"/>
    </xf>
    <xf numFmtId="0" fontId="0" fillId="0" borderId="2" xfId="0" applyBorder="1"/>
    <xf numFmtId="0" fontId="17" fillId="2" borderId="0" xfId="0" applyFont="1" applyFill="1" applyAlignment="1">
      <alignment horizontal="center"/>
    </xf>
    <xf numFmtId="0" fontId="7" fillId="0" borderId="0" xfId="0" applyFont="1" applyAlignment="1">
      <alignment horizontal="center"/>
    </xf>
    <xf numFmtId="0" fontId="8" fillId="0" borderId="0" xfId="0" applyFont="1" applyAlignment="1">
      <alignment horizontal="center"/>
    </xf>
    <xf numFmtId="0" fontId="8" fillId="0" borderId="1" xfId="0" applyFont="1" applyBorder="1" applyAlignment="1">
      <alignment vertical="center" wrapText="1"/>
    </xf>
    <xf numFmtId="0" fontId="2" fillId="0" borderId="0" xfId="0" applyFont="1" applyAlignment="1">
      <alignment horizontal="center" vertical="center" wrapText="1"/>
    </xf>
    <xf numFmtId="0" fontId="8" fillId="0" borderId="0" xfId="0" applyFont="1" applyAlignment="1">
      <alignment horizontal="center" vertical="top" wrapText="1"/>
    </xf>
    <xf numFmtId="0" fontId="5" fillId="0" borderId="0" xfId="0" applyFont="1" applyAlignment="1">
      <alignment horizontal="justify" vertical="top" wrapText="1"/>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7"/>
  <sheetViews>
    <sheetView showGridLines="0" workbookViewId="0"/>
  </sheetViews>
  <sheetFormatPr defaultRowHeight="14.4" x14ac:dyDescent="0.3"/>
  <cols>
    <col min="1" max="1" width="14" customWidth="1"/>
    <col min="2" max="2" width="16" customWidth="1"/>
    <col min="3" max="3" width="26" customWidth="1"/>
    <col min="4" max="5" width="52" customWidth="1"/>
    <col min="6" max="6" width="58" customWidth="1"/>
  </cols>
  <sheetData>
    <row r="1" spans="1:6" ht="17.399999999999999" x14ac:dyDescent="0.3">
      <c r="A1" s="15" t="s">
        <v>0</v>
      </c>
    </row>
    <row r="2" spans="1:6" ht="61.95" customHeight="1" x14ac:dyDescent="0.3">
      <c r="A2" s="41" t="s">
        <v>1</v>
      </c>
      <c r="B2" s="42"/>
      <c r="C2" s="42"/>
      <c r="D2" s="42"/>
      <c r="E2" s="42"/>
      <c r="F2" s="42"/>
    </row>
    <row r="4" spans="1:6" ht="15.6" x14ac:dyDescent="0.3">
      <c r="A4" s="16" t="s">
        <v>2</v>
      </c>
      <c r="B4" s="17" t="s">
        <v>3</v>
      </c>
      <c r="C4" s="43" t="s">
        <v>4</v>
      </c>
      <c r="D4" s="42"/>
      <c r="E4" s="42"/>
      <c r="F4" s="42"/>
    </row>
    <row r="5" spans="1:6" ht="15.6" x14ac:dyDescent="0.3">
      <c r="A5" s="18" t="s">
        <v>2</v>
      </c>
      <c r="B5" s="17" t="s">
        <v>5</v>
      </c>
      <c r="C5" s="43" t="s">
        <v>6</v>
      </c>
      <c r="D5" s="42"/>
      <c r="E5" s="42"/>
      <c r="F5" s="42"/>
    </row>
    <row r="6" spans="1:6" ht="15.6" x14ac:dyDescent="0.3">
      <c r="A6" s="19" t="s">
        <v>2</v>
      </c>
      <c r="B6" s="17" t="s">
        <v>7</v>
      </c>
      <c r="C6" s="43" t="s">
        <v>8</v>
      </c>
      <c r="D6" s="42"/>
      <c r="E6" s="42"/>
      <c r="F6" s="42"/>
    </row>
    <row r="7" spans="1:6" ht="15.6" x14ac:dyDescent="0.3">
      <c r="A7" s="20" t="s">
        <v>2</v>
      </c>
      <c r="B7" s="17" t="s">
        <v>9</v>
      </c>
      <c r="C7" s="43" t="s">
        <v>10</v>
      </c>
      <c r="D7" s="42"/>
      <c r="E7" s="42"/>
      <c r="F7" s="42"/>
    </row>
    <row r="9" spans="1:6" ht="16.8" x14ac:dyDescent="0.3">
      <c r="A9" s="21" t="s">
        <v>11</v>
      </c>
    </row>
    <row r="10" spans="1:6" ht="15.6" x14ac:dyDescent="0.3">
      <c r="A10" s="22" t="s">
        <v>12</v>
      </c>
      <c r="B10" s="22" t="s">
        <v>13</v>
      </c>
      <c r="C10" s="22" t="s">
        <v>14</v>
      </c>
      <c r="D10" s="22" t="s">
        <v>15</v>
      </c>
      <c r="E10" s="22" t="s">
        <v>16</v>
      </c>
      <c r="F10" s="22" t="s">
        <v>17</v>
      </c>
    </row>
    <row r="11" spans="1:6" ht="78" x14ac:dyDescent="0.3">
      <c r="A11" s="23">
        <v>1</v>
      </c>
      <c r="B11" s="23" t="s">
        <v>18</v>
      </c>
      <c r="C11" s="23" t="s">
        <v>19</v>
      </c>
      <c r="D11" s="23" t="s">
        <v>20</v>
      </c>
      <c r="E11" s="23" t="s">
        <v>21</v>
      </c>
      <c r="F11" s="23" t="s">
        <v>22</v>
      </c>
    </row>
    <row r="12" spans="1:6" ht="31.2" x14ac:dyDescent="0.3">
      <c r="A12" s="23">
        <v>2</v>
      </c>
      <c r="B12" s="23" t="s">
        <v>18</v>
      </c>
      <c r="C12" s="23" t="s">
        <v>23</v>
      </c>
      <c r="D12" s="23" t="s">
        <v>24</v>
      </c>
      <c r="E12" s="23" t="s">
        <v>25</v>
      </c>
      <c r="F12" s="23" t="s">
        <v>26</v>
      </c>
    </row>
    <row r="13" spans="1:6" ht="31.2" x14ac:dyDescent="0.3">
      <c r="A13" s="23">
        <v>3</v>
      </c>
      <c r="B13" s="23" t="s">
        <v>18</v>
      </c>
      <c r="C13" s="23" t="s">
        <v>27</v>
      </c>
      <c r="D13" s="23" t="s">
        <v>24</v>
      </c>
      <c r="E13" s="23" t="s">
        <v>28</v>
      </c>
      <c r="F13" s="23" t="s">
        <v>26</v>
      </c>
    </row>
    <row r="14" spans="1:6" ht="31.2" x14ac:dyDescent="0.3">
      <c r="A14" s="23">
        <v>4</v>
      </c>
      <c r="B14" s="23" t="s">
        <v>18</v>
      </c>
      <c r="C14" s="23" t="s">
        <v>29</v>
      </c>
      <c r="D14" s="23" t="s">
        <v>30</v>
      </c>
      <c r="E14" s="23" t="s">
        <v>31</v>
      </c>
      <c r="F14" s="23" t="s">
        <v>32</v>
      </c>
    </row>
    <row r="15" spans="1:6" ht="31.2" x14ac:dyDescent="0.3">
      <c r="A15" s="23">
        <v>5</v>
      </c>
      <c r="B15" s="23" t="s">
        <v>18</v>
      </c>
      <c r="C15" s="23" t="s">
        <v>33</v>
      </c>
      <c r="D15" s="23" t="s">
        <v>24</v>
      </c>
      <c r="E15" s="23" t="s">
        <v>28</v>
      </c>
      <c r="F15" s="23" t="s">
        <v>26</v>
      </c>
    </row>
    <row r="16" spans="1:6" ht="31.2" x14ac:dyDescent="0.3">
      <c r="A16" s="23">
        <v>6</v>
      </c>
      <c r="B16" s="23" t="s">
        <v>18</v>
      </c>
      <c r="C16" s="23" t="s">
        <v>34</v>
      </c>
      <c r="D16" s="23" t="s">
        <v>24</v>
      </c>
      <c r="E16" s="23" t="s">
        <v>35</v>
      </c>
      <c r="F16" s="23" t="s">
        <v>26</v>
      </c>
    </row>
    <row r="17" spans="1:6" ht="31.2" x14ac:dyDescent="0.3">
      <c r="A17" s="23">
        <v>7</v>
      </c>
      <c r="B17" s="23" t="s">
        <v>18</v>
      </c>
      <c r="C17" s="23" t="s">
        <v>36</v>
      </c>
      <c r="D17" s="23" t="s">
        <v>37</v>
      </c>
      <c r="E17" s="23" t="s">
        <v>38</v>
      </c>
      <c r="F17" s="23" t="s">
        <v>39</v>
      </c>
    </row>
    <row r="18" spans="1:6" ht="62.4" x14ac:dyDescent="0.3">
      <c r="A18" s="23">
        <v>8</v>
      </c>
      <c r="B18" s="23" t="s">
        <v>40</v>
      </c>
      <c r="C18" s="23" t="s">
        <v>41</v>
      </c>
      <c r="D18" s="23"/>
      <c r="E18" s="23" t="s">
        <v>42</v>
      </c>
      <c r="F18" s="23" t="s">
        <v>43</v>
      </c>
    </row>
    <row r="19" spans="1:6" ht="46.8" x14ac:dyDescent="0.3">
      <c r="A19" s="23">
        <v>9</v>
      </c>
      <c r="B19" s="23" t="s">
        <v>40</v>
      </c>
      <c r="C19" s="23" t="s">
        <v>44</v>
      </c>
      <c r="D19" s="23"/>
      <c r="E19" s="23" t="s">
        <v>45</v>
      </c>
      <c r="F19" s="23" t="s">
        <v>43</v>
      </c>
    </row>
    <row r="20" spans="1:6" ht="46.8" x14ac:dyDescent="0.3">
      <c r="A20" s="23">
        <v>10</v>
      </c>
      <c r="B20" s="23" t="s">
        <v>40</v>
      </c>
      <c r="C20" s="23" t="s">
        <v>46</v>
      </c>
      <c r="D20" s="23"/>
      <c r="E20" s="23" t="s">
        <v>47</v>
      </c>
      <c r="F20" s="23" t="s">
        <v>48</v>
      </c>
    </row>
    <row r="21" spans="1:6" ht="31.2" x14ac:dyDescent="0.3">
      <c r="A21" s="23">
        <v>11</v>
      </c>
      <c r="B21" s="23" t="s">
        <v>40</v>
      </c>
      <c r="C21" s="23" t="s">
        <v>49</v>
      </c>
      <c r="D21" s="23"/>
      <c r="E21" s="23" t="s">
        <v>50</v>
      </c>
      <c r="F21" s="23" t="s">
        <v>48</v>
      </c>
    </row>
    <row r="22" spans="1:6" ht="62.4" x14ac:dyDescent="0.3">
      <c r="A22" s="23">
        <v>12</v>
      </c>
      <c r="B22" s="23" t="s">
        <v>40</v>
      </c>
      <c r="C22" s="23" t="s">
        <v>51</v>
      </c>
      <c r="D22" s="23"/>
      <c r="E22" s="23" t="s">
        <v>52</v>
      </c>
      <c r="F22" s="23" t="s">
        <v>48</v>
      </c>
    </row>
    <row r="23" spans="1:6" ht="62.4" x14ac:dyDescent="0.3">
      <c r="A23" s="23">
        <v>13</v>
      </c>
      <c r="B23" s="23" t="s">
        <v>40</v>
      </c>
      <c r="C23" s="23" t="s">
        <v>53</v>
      </c>
      <c r="D23" s="23"/>
      <c r="E23" s="23" t="s">
        <v>54</v>
      </c>
      <c r="F23" s="23" t="s">
        <v>48</v>
      </c>
    </row>
    <row r="24" spans="1:6" ht="62.4" x14ac:dyDescent="0.3">
      <c r="A24" s="23">
        <v>14</v>
      </c>
      <c r="B24" s="23" t="s">
        <v>40</v>
      </c>
      <c r="C24" s="23" t="s">
        <v>55</v>
      </c>
      <c r="D24" s="23"/>
      <c r="E24" s="23" t="s">
        <v>56</v>
      </c>
      <c r="F24" s="23" t="s">
        <v>48</v>
      </c>
    </row>
    <row r="25" spans="1:6" ht="31.2" x14ac:dyDescent="0.3">
      <c r="A25" s="23">
        <v>15</v>
      </c>
      <c r="B25" s="23" t="s">
        <v>40</v>
      </c>
      <c r="C25" s="23" t="s">
        <v>57</v>
      </c>
      <c r="D25" s="23"/>
      <c r="E25" s="23" t="s">
        <v>58</v>
      </c>
      <c r="F25" s="23" t="s">
        <v>48</v>
      </c>
    </row>
    <row r="26" spans="1:6" ht="46.8" x14ac:dyDescent="0.3">
      <c r="A26" s="23">
        <v>16</v>
      </c>
      <c r="B26" s="23" t="s">
        <v>40</v>
      </c>
      <c r="C26" s="23" t="s">
        <v>59</v>
      </c>
      <c r="D26" s="23"/>
      <c r="E26" s="23" t="s">
        <v>60</v>
      </c>
      <c r="F26" s="23" t="s">
        <v>48</v>
      </c>
    </row>
    <row r="27" spans="1:6" ht="62.4" x14ac:dyDescent="0.3">
      <c r="A27" s="23">
        <v>17</v>
      </c>
      <c r="B27" s="23" t="s">
        <v>40</v>
      </c>
      <c r="C27" s="23" t="s">
        <v>61</v>
      </c>
      <c r="D27" s="23"/>
      <c r="E27" s="23" t="s">
        <v>62</v>
      </c>
      <c r="F27" s="23" t="s">
        <v>63</v>
      </c>
    </row>
    <row r="28" spans="1:6" ht="62.4" x14ac:dyDescent="0.3">
      <c r="A28" s="23">
        <v>18</v>
      </c>
      <c r="B28" s="23" t="s">
        <v>40</v>
      </c>
      <c r="C28" s="23" t="s">
        <v>64</v>
      </c>
      <c r="D28" s="23"/>
      <c r="E28" s="23" t="s">
        <v>65</v>
      </c>
      <c r="F28" s="23" t="s">
        <v>66</v>
      </c>
    </row>
    <row r="29" spans="1:6" ht="62.4" x14ac:dyDescent="0.3">
      <c r="A29" s="23">
        <v>19</v>
      </c>
      <c r="B29" s="23" t="s">
        <v>40</v>
      </c>
      <c r="C29" s="23" t="s">
        <v>67</v>
      </c>
      <c r="D29" s="23"/>
      <c r="E29" s="23" t="s">
        <v>68</v>
      </c>
      <c r="F29" s="23" t="s">
        <v>69</v>
      </c>
    </row>
    <row r="30" spans="1:6" ht="46.8" x14ac:dyDescent="0.3">
      <c r="A30" s="23">
        <v>20</v>
      </c>
      <c r="B30" s="23" t="s">
        <v>40</v>
      </c>
      <c r="C30" s="23" t="s">
        <v>70</v>
      </c>
      <c r="D30" s="23"/>
      <c r="E30" s="23" t="s">
        <v>71</v>
      </c>
      <c r="F30" s="23" t="s">
        <v>72</v>
      </c>
    </row>
    <row r="31" spans="1:6" ht="62.4" x14ac:dyDescent="0.3">
      <c r="A31" s="23">
        <v>21</v>
      </c>
      <c r="B31" s="23" t="s">
        <v>40</v>
      </c>
      <c r="C31" s="23" t="s">
        <v>73</v>
      </c>
      <c r="D31" s="23"/>
      <c r="E31" s="23" t="s">
        <v>74</v>
      </c>
      <c r="F31" s="23" t="s">
        <v>35</v>
      </c>
    </row>
    <row r="32" spans="1:6" ht="46.8" x14ac:dyDescent="0.3">
      <c r="A32" s="23">
        <v>22</v>
      </c>
      <c r="B32" s="23" t="s">
        <v>40</v>
      </c>
      <c r="C32" s="23" t="s">
        <v>75</v>
      </c>
      <c r="D32" s="23"/>
      <c r="E32" s="23" t="s">
        <v>76</v>
      </c>
      <c r="F32" s="23" t="s">
        <v>77</v>
      </c>
    </row>
    <row r="33" spans="1:6" ht="46.8" x14ac:dyDescent="0.3">
      <c r="A33" s="23">
        <v>23</v>
      </c>
      <c r="B33" s="23" t="s">
        <v>40</v>
      </c>
      <c r="C33" s="23" t="s">
        <v>78</v>
      </c>
      <c r="D33" s="23"/>
      <c r="E33" s="23" t="s">
        <v>79</v>
      </c>
      <c r="F33" s="23" t="s">
        <v>80</v>
      </c>
    </row>
    <row r="34" spans="1:6" ht="62.4" x14ac:dyDescent="0.3">
      <c r="A34" s="23">
        <v>24</v>
      </c>
      <c r="B34" s="23" t="s">
        <v>40</v>
      </c>
      <c r="C34" s="23" t="s">
        <v>81</v>
      </c>
      <c r="D34" s="23"/>
      <c r="E34" s="23" t="s">
        <v>82</v>
      </c>
      <c r="F34" s="23" t="s">
        <v>83</v>
      </c>
    </row>
    <row r="35" spans="1:6" ht="31.2" x14ac:dyDescent="0.3">
      <c r="A35" s="23">
        <v>25</v>
      </c>
      <c r="B35" s="23" t="s">
        <v>40</v>
      </c>
      <c r="C35" s="23" t="s">
        <v>84</v>
      </c>
      <c r="D35" s="23"/>
      <c r="E35" s="23" t="s">
        <v>85</v>
      </c>
      <c r="F35" s="23" t="s">
        <v>86</v>
      </c>
    </row>
    <row r="36" spans="1:6" ht="15.6" x14ac:dyDescent="0.3">
      <c r="A36" s="23">
        <v>26</v>
      </c>
      <c r="B36" s="23" t="s">
        <v>7</v>
      </c>
      <c r="C36" s="23" t="s">
        <v>87</v>
      </c>
      <c r="D36" s="23" t="s">
        <v>88</v>
      </c>
      <c r="E36" s="23" t="s">
        <v>89</v>
      </c>
      <c r="F36" s="23" t="s">
        <v>90</v>
      </c>
    </row>
    <row r="37" spans="1:6" ht="31.2" x14ac:dyDescent="0.3">
      <c r="A37" s="23">
        <v>27</v>
      </c>
      <c r="B37" s="23" t="s">
        <v>40</v>
      </c>
      <c r="C37" s="23" t="s">
        <v>91</v>
      </c>
      <c r="D37" s="23"/>
      <c r="E37" s="23" t="s">
        <v>92</v>
      </c>
      <c r="F37" s="23" t="s">
        <v>86</v>
      </c>
    </row>
    <row r="38" spans="1:6" ht="15.6" x14ac:dyDescent="0.3">
      <c r="A38" s="23">
        <v>28</v>
      </c>
      <c r="B38" s="23" t="s">
        <v>7</v>
      </c>
      <c r="C38" s="23" t="s">
        <v>93</v>
      </c>
      <c r="D38" s="23" t="s">
        <v>88</v>
      </c>
      <c r="E38" s="23" t="s">
        <v>89</v>
      </c>
      <c r="F38" s="23" t="s">
        <v>90</v>
      </c>
    </row>
    <row r="39" spans="1:6" ht="62.4" x14ac:dyDescent="0.3">
      <c r="A39" s="23">
        <v>29</v>
      </c>
      <c r="B39" s="23" t="s">
        <v>40</v>
      </c>
      <c r="C39" s="23" t="s">
        <v>94</v>
      </c>
      <c r="D39" s="23"/>
      <c r="E39" s="23" t="s">
        <v>95</v>
      </c>
      <c r="F39" s="23" t="s">
        <v>86</v>
      </c>
    </row>
    <row r="40" spans="1:6" ht="15.6" x14ac:dyDescent="0.3">
      <c r="A40" s="23">
        <v>30</v>
      </c>
      <c r="B40" s="23" t="s">
        <v>7</v>
      </c>
      <c r="C40" s="23" t="s">
        <v>96</v>
      </c>
      <c r="D40" s="23" t="s">
        <v>88</v>
      </c>
      <c r="E40" s="23" t="s">
        <v>89</v>
      </c>
      <c r="F40" s="23" t="s">
        <v>90</v>
      </c>
    </row>
    <row r="41" spans="1:6" ht="46.8" x14ac:dyDescent="0.3">
      <c r="A41" s="23">
        <v>31</v>
      </c>
      <c r="B41" s="23" t="s">
        <v>40</v>
      </c>
      <c r="C41" s="23" t="s">
        <v>97</v>
      </c>
      <c r="D41" s="23"/>
      <c r="E41" s="23" t="s">
        <v>98</v>
      </c>
      <c r="F41" s="23" t="s">
        <v>99</v>
      </c>
    </row>
    <row r="42" spans="1:6" ht="15.6" x14ac:dyDescent="0.3">
      <c r="A42" s="23">
        <v>32</v>
      </c>
      <c r="B42" s="23" t="s">
        <v>7</v>
      </c>
      <c r="C42" s="23" t="s">
        <v>100</v>
      </c>
      <c r="D42" s="23" t="s">
        <v>88</v>
      </c>
      <c r="E42" s="23" t="s">
        <v>89</v>
      </c>
      <c r="F42" s="23" t="s">
        <v>90</v>
      </c>
    </row>
    <row r="43" spans="1:6" ht="46.8" x14ac:dyDescent="0.3">
      <c r="A43" s="23">
        <v>33</v>
      </c>
      <c r="B43" s="23" t="s">
        <v>40</v>
      </c>
      <c r="C43" s="23" t="s">
        <v>101</v>
      </c>
      <c r="D43" s="23"/>
      <c r="E43" s="23" t="s">
        <v>102</v>
      </c>
      <c r="F43" s="23" t="s">
        <v>99</v>
      </c>
    </row>
    <row r="44" spans="1:6" ht="15.6" x14ac:dyDescent="0.3">
      <c r="A44" s="23">
        <v>34</v>
      </c>
      <c r="B44" s="23" t="s">
        <v>7</v>
      </c>
      <c r="C44" s="23" t="s">
        <v>103</v>
      </c>
      <c r="D44" s="23" t="s">
        <v>88</v>
      </c>
      <c r="E44" s="23" t="s">
        <v>89</v>
      </c>
      <c r="F44" s="23" t="s">
        <v>90</v>
      </c>
    </row>
    <row r="45" spans="1:6" ht="46.8" x14ac:dyDescent="0.3">
      <c r="A45" s="23">
        <v>35</v>
      </c>
      <c r="B45" s="23" t="s">
        <v>40</v>
      </c>
      <c r="C45" s="23" t="s">
        <v>104</v>
      </c>
      <c r="D45" s="23"/>
      <c r="E45" s="23" t="s">
        <v>105</v>
      </c>
      <c r="F45" s="23" t="s">
        <v>106</v>
      </c>
    </row>
    <row r="46" spans="1:6" ht="62.4" x14ac:dyDescent="0.3">
      <c r="A46" s="23">
        <v>36</v>
      </c>
      <c r="B46" s="23" t="s">
        <v>7</v>
      </c>
      <c r="C46" s="23" t="s">
        <v>107</v>
      </c>
      <c r="D46" s="23" t="s">
        <v>108</v>
      </c>
      <c r="E46" s="23" t="s">
        <v>89</v>
      </c>
      <c r="F46" s="23" t="s">
        <v>109</v>
      </c>
    </row>
    <row r="47" spans="1:6" ht="31.2" x14ac:dyDescent="0.3">
      <c r="A47" s="23">
        <v>37</v>
      </c>
      <c r="B47" s="23" t="s">
        <v>18</v>
      </c>
      <c r="C47" s="23" t="s">
        <v>110</v>
      </c>
      <c r="D47" s="23" t="s">
        <v>24</v>
      </c>
      <c r="E47" s="23" t="s">
        <v>111</v>
      </c>
      <c r="F47" s="23" t="s">
        <v>26</v>
      </c>
    </row>
    <row r="48" spans="1:6" ht="31.2" x14ac:dyDescent="0.3">
      <c r="A48" s="23">
        <v>38</v>
      </c>
      <c r="B48" s="23" t="s">
        <v>18</v>
      </c>
      <c r="C48" s="23" t="s">
        <v>112</v>
      </c>
      <c r="D48" s="23" t="s">
        <v>24</v>
      </c>
      <c r="E48" s="23" t="s">
        <v>113</v>
      </c>
      <c r="F48" s="23" t="s">
        <v>26</v>
      </c>
    </row>
    <row r="49" spans="1:6" ht="62.4" x14ac:dyDescent="0.3">
      <c r="A49" s="23">
        <v>39</v>
      </c>
      <c r="B49" s="23" t="s">
        <v>40</v>
      </c>
      <c r="C49" s="23" t="s">
        <v>114</v>
      </c>
      <c r="D49" s="23"/>
      <c r="E49" s="23" t="s">
        <v>115</v>
      </c>
      <c r="F49" s="23" t="s">
        <v>28</v>
      </c>
    </row>
    <row r="50" spans="1:6" ht="62.4" x14ac:dyDescent="0.3">
      <c r="A50" s="23">
        <v>40</v>
      </c>
      <c r="B50" s="23" t="s">
        <v>40</v>
      </c>
      <c r="C50" s="23" t="s">
        <v>116</v>
      </c>
      <c r="D50" s="23"/>
      <c r="E50" s="23" t="s">
        <v>117</v>
      </c>
      <c r="F50" s="23" t="s">
        <v>28</v>
      </c>
    </row>
    <row r="51" spans="1:6" ht="62.4" x14ac:dyDescent="0.3">
      <c r="A51" s="23">
        <v>41</v>
      </c>
      <c r="B51" s="23" t="s">
        <v>40</v>
      </c>
      <c r="C51" s="23" t="s">
        <v>118</v>
      </c>
      <c r="D51" s="23"/>
      <c r="E51" s="23" t="s">
        <v>119</v>
      </c>
      <c r="F51" s="23" t="s">
        <v>120</v>
      </c>
    </row>
    <row r="52" spans="1:6" ht="62.4" x14ac:dyDescent="0.3">
      <c r="A52" s="23">
        <v>42</v>
      </c>
      <c r="B52" s="23" t="s">
        <v>40</v>
      </c>
      <c r="C52" s="23" t="s">
        <v>121</v>
      </c>
      <c r="D52" s="23"/>
      <c r="E52" s="23" t="s">
        <v>122</v>
      </c>
      <c r="F52" s="23" t="s">
        <v>113</v>
      </c>
    </row>
    <row r="53" spans="1:6" ht="62.4" x14ac:dyDescent="0.3">
      <c r="A53" s="23">
        <v>43</v>
      </c>
      <c r="B53" s="23" t="s">
        <v>40</v>
      </c>
      <c r="C53" s="23" t="s">
        <v>123</v>
      </c>
      <c r="D53" s="23"/>
      <c r="E53" s="23" t="s">
        <v>124</v>
      </c>
      <c r="F53" s="23" t="s">
        <v>125</v>
      </c>
    </row>
    <row r="54" spans="1:6" ht="62.4" x14ac:dyDescent="0.3">
      <c r="A54" s="23">
        <v>44</v>
      </c>
      <c r="B54" s="23" t="s">
        <v>40</v>
      </c>
      <c r="C54" s="23" t="s">
        <v>126</v>
      </c>
      <c r="D54" s="23"/>
      <c r="E54" s="23" t="s">
        <v>127</v>
      </c>
      <c r="F54" s="23" t="s">
        <v>125</v>
      </c>
    </row>
    <row r="55" spans="1:6" ht="62.4" x14ac:dyDescent="0.3">
      <c r="A55" s="23">
        <v>45</v>
      </c>
      <c r="B55" s="23" t="s">
        <v>40</v>
      </c>
      <c r="C55" s="23" t="s">
        <v>128</v>
      </c>
      <c r="D55" s="23"/>
      <c r="E55" s="23" t="s">
        <v>129</v>
      </c>
      <c r="F55" s="23" t="s">
        <v>130</v>
      </c>
    </row>
    <row r="56" spans="1:6" ht="46.8" x14ac:dyDescent="0.3">
      <c r="A56" s="23">
        <v>46</v>
      </c>
      <c r="B56" s="23" t="s">
        <v>40</v>
      </c>
      <c r="C56" s="23" t="s">
        <v>131</v>
      </c>
      <c r="D56" s="23"/>
      <c r="E56" s="23" t="s">
        <v>132</v>
      </c>
      <c r="F56" s="23" t="s">
        <v>80</v>
      </c>
    </row>
    <row r="57" spans="1:6" ht="46.8" x14ac:dyDescent="0.3">
      <c r="A57" s="23">
        <v>47</v>
      </c>
      <c r="B57" s="23" t="s">
        <v>18</v>
      </c>
      <c r="C57" s="23" t="s">
        <v>133</v>
      </c>
      <c r="D57" s="23" t="s">
        <v>134</v>
      </c>
      <c r="E57" s="23" t="s">
        <v>135</v>
      </c>
      <c r="F57" s="23" t="s">
        <v>136</v>
      </c>
    </row>
    <row r="58" spans="1:6" ht="31.2" x14ac:dyDescent="0.3">
      <c r="A58" s="23">
        <v>48</v>
      </c>
      <c r="B58" s="23" t="s">
        <v>7</v>
      </c>
      <c r="C58" s="23" t="s">
        <v>137</v>
      </c>
      <c r="D58" s="23" t="s">
        <v>138</v>
      </c>
      <c r="E58" s="23" t="s">
        <v>89</v>
      </c>
      <c r="F58" s="23" t="s">
        <v>139</v>
      </c>
    </row>
    <row r="59" spans="1:6" ht="62.4" x14ac:dyDescent="0.3">
      <c r="A59" s="23">
        <v>49</v>
      </c>
      <c r="B59" s="23" t="s">
        <v>40</v>
      </c>
      <c r="C59" s="23" t="s">
        <v>140</v>
      </c>
      <c r="D59" s="23"/>
      <c r="E59" s="23" t="s">
        <v>141</v>
      </c>
      <c r="F59" s="23" t="s">
        <v>142</v>
      </c>
    </row>
    <row r="60" spans="1:6" ht="31.2" x14ac:dyDescent="0.3">
      <c r="A60" s="23">
        <v>50</v>
      </c>
      <c r="B60" s="23" t="s">
        <v>7</v>
      </c>
      <c r="C60" s="23" t="s">
        <v>143</v>
      </c>
      <c r="D60" s="23" t="s">
        <v>144</v>
      </c>
      <c r="E60" s="23" t="s">
        <v>89</v>
      </c>
      <c r="F60" s="23" t="s">
        <v>145</v>
      </c>
    </row>
    <row r="61" spans="1:6" ht="46.8" x14ac:dyDescent="0.3">
      <c r="A61" s="23">
        <v>51</v>
      </c>
      <c r="B61" s="23" t="s">
        <v>40</v>
      </c>
      <c r="C61" s="23" t="s">
        <v>146</v>
      </c>
      <c r="D61" s="23"/>
      <c r="E61" s="23" t="s">
        <v>147</v>
      </c>
      <c r="F61" s="23" t="s">
        <v>99</v>
      </c>
    </row>
    <row r="62" spans="1:6" ht="15.6" x14ac:dyDescent="0.3">
      <c r="A62" s="23">
        <v>52</v>
      </c>
      <c r="B62" s="23" t="s">
        <v>7</v>
      </c>
      <c r="C62" s="23" t="s">
        <v>148</v>
      </c>
      <c r="D62" s="23" t="s">
        <v>88</v>
      </c>
      <c r="E62" s="23" t="s">
        <v>89</v>
      </c>
      <c r="F62" s="23" t="s">
        <v>90</v>
      </c>
    </row>
    <row r="63" spans="1:6" ht="62.4" x14ac:dyDescent="0.3">
      <c r="A63" s="23">
        <v>53</v>
      </c>
      <c r="B63" s="23" t="s">
        <v>40</v>
      </c>
      <c r="C63" s="23" t="s">
        <v>149</v>
      </c>
      <c r="D63" s="23"/>
      <c r="E63" s="23" t="s">
        <v>150</v>
      </c>
      <c r="F63" s="23" t="s">
        <v>80</v>
      </c>
    </row>
    <row r="64" spans="1:6" ht="62.4" x14ac:dyDescent="0.3">
      <c r="A64" s="23">
        <v>54</v>
      </c>
      <c r="B64" s="23" t="s">
        <v>40</v>
      </c>
      <c r="C64" s="23" t="s">
        <v>151</v>
      </c>
      <c r="D64" s="23"/>
      <c r="E64" s="23" t="s">
        <v>152</v>
      </c>
      <c r="F64" s="23" t="s">
        <v>80</v>
      </c>
    </row>
    <row r="65" spans="1:6" ht="31.2" x14ac:dyDescent="0.3">
      <c r="A65" s="23">
        <v>55</v>
      </c>
      <c r="B65" s="23" t="s">
        <v>40</v>
      </c>
      <c r="C65" s="23" t="s">
        <v>153</v>
      </c>
      <c r="D65" s="23"/>
      <c r="E65" s="23" t="s">
        <v>154</v>
      </c>
      <c r="F65" s="23" t="s">
        <v>99</v>
      </c>
    </row>
    <row r="66" spans="1:6" ht="15.6" x14ac:dyDescent="0.3">
      <c r="A66" s="23">
        <v>56</v>
      </c>
      <c r="B66" s="23" t="s">
        <v>7</v>
      </c>
      <c r="C66" s="23" t="s">
        <v>155</v>
      </c>
      <c r="D66" s="23" t="s">
        <v>88</v>
      </c>
      <c r="E66" s="23" t="s">
        <v>89</v>
      </c>
      <c r="F66" s="23" t="s">
        <v>90</v>
      </c>
    </row>
    <row r="67" spans="1:6" ht="31.2" x14ac:dyDescent="0.3">
      <c r="A67" s="23">
        <v>57</v>
      </c>
      <c r="B67" s="23" t="s">
        <v>40</v>
      </c>
      <c r="C67" s="23" t="s">
        <v>156</v>
      </c>
      <c r="D67" s="23"/>
      <c r="E67" s="23" t="s">
        <v>157</v>
      </c>
      <c r="F67" s="23" t="s">
        <v>99</v>
      </c>
    </row>
    <row r="68" spans="1:6" ht="15.6" x14ac:dyDescent="0.3">
      <c r="A68" s="23">
        <v>58</v>
      </c>
      <c r="B68" s="23" t="s">
        <v>7</v>
      </c>
      <c r="C68" s="23" t="s">
        <v>158</v>
      </c>
      <c r="D68" s="23" t="s">
        <v>88</v>
      </c>
      <c r="E68" s="23" t="s">
        <v>89</v>
      </c>
      <c r="F68" s="23" t="s">
        <v>90</v>
      </c>
    </row>
    <row r="69" spans="1:6" ht="31.2" x14ac:dyDescent="0.3">
      <c r="A69" s="23">
        <v>59</v>
      </c>
      <c r="B69" s="23" t="s">
        <v>18</v>
      </c>
      <c r="C69" s="23" t="s">
        <v>159</v>
      </c>
      <c r="D69" s="23" t="s">
        <v>160</v>
      </c>
      <c r="E69" s="23" t="s">
        <v>88</v>
      </c>
      <c r="F69" s="23" t="s">
        <v>161</v>
      </c>
    </row>
    <row r="70" spans="1:6" ht="46.8" x14ac:dyDescent="0.3">
      <c r="A70" s="23">
        <v>60</v>
      </c>
      <c r="B70" s="23" t="s">
        <v>40</v>
      </c>
      <c r="C70" s="23" t="s">
        <v>162</v>
      </c>
      <c r="D70" s="23"/>
      <c r="E70" s="23" t="s">
        <v>163</v>
      </c>
      <c r="F70" s="23" t="s">
        <v>83</v>
      </c>
    </row>
    <row r="71" spans="1:6" ht="31.2" x14ac:dyDescent="0.3">
      <c r="A71" s="23">
        <v>61</v>
      </c>
      <c r="B71" s="23" t="s">
        <v>40</v>
      </c>
      <c r="C71" s="23" t="s">
        <v>164</v>
      </c>
      <c r="D71" s="23"/>
      <c r="E71" s="23" t="s">
        <v>165</v>
      </c>
      <c r="F71" s="23" t="s">
        <v>99</v>
      </c>
    </row>
    <row r="72" spans="1:6" ht="15.6" x14ac:dyDescent="0.3">
      <c r="A72" s="23">
        <v>62</v>
      </c>
      <c r="B72" s="23" t="s">
        <v>7</v>
      </c>
      <c r="C72" s="23" t="s">
        <v>166</v>
      </c>
      <c r="D72" s="23" t="s">
        <v>88</v>
      </c>
      <c r="E72" s="23" t="s">
        <v>89</v>
      </c>
      <c r="F72" s="23" t="s">
        <v>90</v>
      </c>
    </row>
    <row r="73" spans="1:6" ht="46.8" x14ac:dyDescent="0.3">
      <c r="A73" s="23">
        <v>63</v>
      </c>
      <c r="B73" s="23" t="s">
        <v>167</v>
      </c>
      <c r="C73" s="23" t="s">
        <v>168</v>
      </c>
      <c r="D73" s="23" t="s">
        <v>169</v>
      </c>
      <c r="E73" s="23" t="s">
        <v>170</v>
      </c>
      <c r="F73" s="23" t="s">
        <v>171</v>
      </c>
    </row>
    <row r="74" spans="1:6" ht="46.8" x14ac:dyDescent="0.3">
      <c r="A74" s="23">
        <v>64</v>
      </c>
      <c r="B74" s="23" t="s">
        <v>167</v>
      </c>
      <c r="C74" s="23" t="s">
        <v>172</v>
      </c>
      <c r="D74" s="23" t="s">
        <v>173</v>
      </c>
      <c r="E74" s="23" t="s">
        <v>170</v>
      </c>
      <c r="F74" s="23" t="s">
        <v>174</v>
      </c>
    </row>
    <row r="75" spans="1:6" ht="46.8" x14ac:dyDescent="0.3">
      <c r="A75" s="23">
        <v>65</v>
      </c>
      <c r="B75" s="23" t="s">
        <v>18</v>
      </c>
      <c r="C75" s="23" t="s">
        <v>175</v>
      </c>
      <c r="D75" s="23" t="s">
        <v>160</v>
      </c>
      <c r="E75" s="23" t="s">
        <v>88</v>
      </c>
      <c r="F75" s="23" t="s">
        <v>176</v>
      </c>
    </row>
    <row r="76" spans="1:6" ht="46.8" x14ac:dyDescent="0.3">
      <c r="A76" s="23">
        <v>66</v>
      </c>
      <c r="B76" s="23" t="s">
        <v>18</v>
      </c>
      <c r="C76" s="23" t="s">
        <v>177</v>
      </c>
      <c r="D76" s="23" t="s">
        <v>160</v>
      </c>
      <c r="E76" s="23" t="s">
        <v>88</v>
      </c>
      <c r="F76" s="23" t="s">
        <v>176</v>
      </c>
    </row>
    <row r="77" spans="1:6" ht="46.8" x14ac:dyDescent="0.3">
      <c r="A77" s="23">
        <v>67</v>
      </c>
      <c r="B77" s="23" t="s">
        <v>18</v>
      </c>
      <c r="C77" s="23" t="s">
        <v>178</v>
      </c>
      <c r="D77" s="23" t="s">
        <v>160</v>
      </c>
      <c r="E77" s="23" t="s">
        <v>88</v>
      </c>
      <c r="F77" s="23" t="s">
        <v>176</v>
      </c>
    </row>
    <row r="78" spans="1:6" ht="109.2" x14ac:dyDescent="0.3">
      <c r="A78" s="23">
        <v>68</v>
      </c>
      <c r="B78" s="23" t="s">
        <v>7</v>
      </c>
      <c r="C78" s="23" t="s">
        <v>179</v>
      </c>
      <c r="D78" s="23" t="s">
        <v>180</v>
      </c>
      <c r="E78" s="23" t="s">
        <v>89</v>
      </c>
      <c r="F78" s="23" t="s">
        <v>181</v>
      </c>
    </row>
    <row r="79" spans="1:6" ht="46.8" x14ac:dyDescent="0.3">
      <c r="A79" s="23">
        <v>69</v>
      </c>
      <c r="B79" s="23" t="s">
        <v>18</v>
      </c>
      <c r="C79" s="23" t="s">
        <v>182</v>
      </c>
      <c r="D79" s="23" t="s">
        <v>160</v>
      </c>
      <c r="E79" s="23" t="s">
        <v>88</v>
      </c>
      <c r="F79" s="23" t="s">
        <v>176</v>
      </c>
    </row>
    <row r="80" spans="1:6" ht="46.8" x14ac:dyDescent="0.3">
      <c r="A80" s="23">
        <v>70</v>
      </c>
      <c r="B80" s="23" t="s">
        <v>18</v>
      </c>
      <c r="C80" s="23" t="s">
        <v>183</v>
      </c>
      <c r="D80" s="23" t="s">
        <v>160</v>
      </c>
      <c r="E80" s="23" t="s">
        <v>88</v>
      </c>
      <c r="F80" s="23" t="s">
        <v>176</v>
      </c>
    </row>
    <row r="81" spans="1:6" ht="46.8" x14ac:dyDescent="0.3">
      <c r="A81" s="23">
        <v>71</v>
      </c>
      <c r="B81" s="23" t="s">
        <v>18</v>
      </c>
      <c r="C81" s="23" t="s">
        <v>184</v>
      </c>
      <c r="D81" s="23" t="s">
        <v>160</v>
      </c>
      <c r="E81" s="23" t="s">
        <v>88</v>
      </c>
      <c r="F81" s="23" t="s">
        <v>176</v>
      </c>
    </row>
    <row r="82" spans="1:6" ht="46.8" x14ac:dyDescent="0.3">
      <c r="A82" s="23">
        <v>72</v>
      </c>
      <c r="B82" s="23" t="s">
        <v>18</v>
      </c>
      <c r="C82" s="23" t="s">
        <v>185</v>
      </c>
      <c r="D82" s="23" t="s">
        <v>160</v>
      </c>
      <c r="E82" s="23" t="s">
        <v>88</v>
      </c>
      <c r="F82" s="23" t="s">
        <v>176</v>
      </c>
    </row>
    <row r="83" spans="1:6" ht="46.8" x14ac:dyDescent="0.3">
      <c r="A83" s="23">
        <v>73</v>
      </c>
      <c r="B83" s="23" t="s">
        <v>18</v>
      </c>
      <c r="C83" s="23" t="s">
        <v>186</v>
      </c>
      <c r="D83" s="23" t="s">
        <v>160</v>
      </c>
      <c r="E83" s="23" t="s">
        <v>88</v>
      </c>
      <c r="F83" s="23" t="s">
        <v>176</v>
      </c>
    </row>
    <row r="84" spans="1:6" ht="46.8" x14ac:dyDescent="0.3">
      <c r="A84" s="23">
        <v>74</v>
      </c>
      <c r="B84" s="23" t="s">
        <v>18</v>
      </c>
      <c r="C84" s="23" t="s">
        <v>187</v>
      </c>
      <c r="D84" s="23" t="s">
        <v>160</v>
      </c>
      <c r="E84" s="23" t="s">
        <v>88</v>
      </c>
      <c r="F84" s="23" t="s">
        <v>176</v>
      </c>
    </row>
    <row r="85" spans="1:6" ht="46.8" x14ac:dyDescent="0.3">
      <c r="A85" s="23">
        <v>75</v>
      </c>
      <c r="B85" s="23" t="s">
        <v>18</v>
      </c>
      <c r="C85" s="23" t="s">
        <v>188</v>
      </c>
      <c r="D85" s="23" t="s">
        <v>160</v>
      </c>
      <c r="E85" s="23" t="s">
        <v>88</v>
      </c>
      <c r="F85" s="23" t="s">
        <v>176</v>
      </c>
    </row>
    <row r="86" spans="1:6" ht="46.8" x14ac:dyDescent="0.3">
      <c r="A86" s="23">
        <v>76</v>
      </c>
      <c r="B86" s="23" t="s">
        <v>18</v>
      </c>
      <c r="C86" s="23" t="s">
        <v>189</v>
      </c>
      <c r="D86" s="23" t="s">
        <v>160</v>
      </c>
      <c r="E86" s="23" t="s">
        <v>88</v>
      </c>
      <c r="F86" s="23" t="s">
        <v>176</v>
      </c>
    </row>
    <row r="87" spans="1:6" ht="46.8" x14ac:dyDescent="0.3">
      <c r="A87" s="23">
        <v>77</v>
      </c>
      <c r="B87" s="23" t="s">
        <v>18</v>
      </c>
      <c r="C87" s="23" t="s">
        <v>190</v>
      </c>
      <c r="D87" s="23" t="s">
        <v>160</v>
      </c>
      <c r="E87" s="23" t="s">
        <v>88</v>
      </c>
      <c r="F87" s="23" t="s">
        <v>176</v>
      </c>
    </row>
    <row r="88" spans="1:6" ht="46.8" x14ac:dyDescent="0.3">
      <c r="A88" s="23">
        <v>78</v>
      </c>
      <c r="B88" s="23" t="s">
        <v>18</v>
      </c>
      <c r="C88" s="23" t="s">
        <v>191</v>
      </c>
      <c r="D88" s="23" t="s">
        <v>160</v>
      </c>
      <c r="E88" s="23" t="s">
        <v>88</v>
      </c>
      <c r="F88" s="23" t="s">
        <v>176</v>
      </c>
    </row>
    <row r="89" spans="1:6" ht="46.8" x14ac:dyDescent="0.3">
      <c r="A89" s="23">
        <v>79</v>
      </c>
      <c r="B89" s="23" t="s">
        <v>18</v>
      </c>
      <c r="C89" s="23" t="s">
        <v>192</v>
      </c>
      <c r="D89" s="23" t="s">
        <v>160</v>
      </c>
      <c r="E89" s="23" t="s">
        <v>88</v>
      </c>
      <c r="F89" s="23" t="s">
        <v>176</v>
      </c>
    </row>
    <row r="90" spans="1:6" ht="46.8" x14ac:dyDescent="0.3">
      <c r="A90" s="23">
        <v>80</v>
      </c>
      <c r="B90" s="23" t="s">
        <v>18</v>
      </c>
      <c r="C90" s="23" t="s">
        <v>193</v>
      </c>
      <c r="D90" s="23" t="s">
        <v>160</v>
      </c>
      <c r="E90" s="23" t="s">
        <v>88</v>
      </c>
      <c r="F90" s="23" t="s">
        <v>176</v>
      </c>
    </row>
    <row r="91" spans="1:6" ht="46.8" x14ac:dyDescent="0.3">
      <c r="A91" s="23">
        <v>81</v>
      </c>
      <c r="B91" s="23" t="s">
        <v>18</v>
      </c>
      <c r="C91" s="23" t="s">
        <v>194</v>
      </c>
      <c r="D91" s="23" t="s">
        <v>160</v>
      </c>
      <c r="E91" s="23" t="s">
        <v>88</v>
      </c>
      <c r="F91" s="23" t="s">
        <v>176</v>
      </c>
    </row>
    <row r="92" spans="1:6" ht="46.8" x14ac:dyDescent="0.3">
      <c r="A92" s="23">
        <v>82</v>
      </c>
      <c r="B92" s="23" t="s">
        <v>18</v>
      </c>
      <c r="C92" s="23" t="s">
        <v>195</v>
      </c>
      <c r="D92" s="23" t="s">
        <v>160</v>
      </c>
      <c r="E92" s="23" t="s">
        <v>88</v>
      </c>
      <c r="F92" s="23" t="s">
        <v>176</v>
      </c>
    </row>
    <row r="93" spans="1:6" ht="46.8" x14ac:dyDescent="0.3">
      <c r="A93" s="23">
        <v>83</v>
      </c>
      <c r="B93" s="23" t="s">
        <v>167</v>
      </c>
      <c r="C93" s="23" t="s">
        <v>196</v>
      </c>
      <c r="D93" s="23" t="s">
        <v>197</v>
      </c>
      <c r="E93" s="23" t="s">
        <v>170</v>
      </c>
      <c r="F93" s="23" t="s">
        <v>198</v>
      </c>
    </row>
    <row r="94" spans="1:6" ht="31.2" x14ac:dyDescent="0.3">
      <c r="A94" s="23">
        <v>84</v>
      </c>
      <c r="B94" s="23" t="s">
        <v>167</v>
      </c>
      <c r="C94" s="23" t="s">
        <v>199</v>
      </c>
      <c r="D94" s="23" t="s">
        <v>200</v>
      </c>
      <c r="E94" s="23" t="s">
        <v>170</v>
      </c>
      <c r="F94" s="23" t="s">
        <v>201</v>
      </c>
    </row>
    <row r="95" spans="1:6" ht="46.8" x14ac:dyDescent="0.3">
      <c r="A95" s="23">
        <v>85</v>
      </c>
      <c r="B95" s="23" t="s">
        <v>18</v>
      </c>
      <c r="C95" s="23" t="s">
        <v>202</v>
      </c>
      <c r="D95" s="23" t="s">
        <v>160</v>
      </c>
      <c r="E95" s="23" t="s">
        <v>88</v>
      </c>
      <c r="F95" s="23" t="s">
        <v>176</v>
      </c>
    </row>
    <row r="96" spans="1:6" ht="46.8" x14ac:dyDescent="0.3">
      <c r="A96" s="23">
        <v>86</v>
      </c>
      <c r="B96" s="23" t="s">
        <v>18</v>
      </c>
      <c r="C96" s="23" t="s">
        <v>203</v>
      </c>
      <c r="D96" s="23" t="s">
        <v>160</v>
      </c>
      <c r="E96" s="23" t="s">
        <v>88</v>
      </c>
      <c r="F96" s="23" t="s">
        <v>176</v>
      </c>
    </row>
    <row r="97" spans="1:6" ht="46.8" x14ac:dyDescent="0.3">
      <c r="A97" s="23">
        <v>87</v>
      </c>
      <c r="B97" s="23" t="s">
        <v>18</v>
      </c>
      <c r="C97" s="23" t="s">
        <v>204</v>
      </c>
      <c r="D97" s="23" t="s">
        <v>205</v>
      </c>
      <c r="E97" s="23" t="s">
        <v>88</v>
      </c>
      <c r="F97" s="23" t="s">
        <v>176</v>
      </c>
    </row>
    <row r="98" spans="1:6" ht="46.8" x14ac:dyDescent="0.3">
      <c r="A98" s="23">
        <v>88</v>
      </c>
      <c r="B98" s="23" t="s">
        <v>18</v>
      </c>
      <c r="C98" s="23" t="s">
        <v>206</v>
      </c>
      <c r="D98" s="23" t="s">
        <v>160</v>
      </c>
      <c r="E98" s="23" t="s">
        <v>88</v>
      </c>
      <c r="F98" s="23" t="s">
        <v>176</v>
      </c>
    </row>
    <row r="99" spans="1:6" ht="46.8" x14ac:dyDescent="0.3">
      <c r="A99" s="23">
        <v>89</v>
      </c>
      <c r="B99" s="23" t="s">
        <v>18</v>
      </c>
      <c r="C99" s="23" t="s">
        <v>207</v>
      </c>
      <c r="D99" s="23" t="s">
        <v>160</v>
      </c>
      <c r="E99" s="23" t="s">
        <v>88</v>
      </c>
      <c r="F99" s="23" t="s">
        <v>176</v>
      </c>
    </row>
    <row r="100" spans="1:6" ht="46.8" x14ac:dyDescent="0.3">
      <c r="A100" s="23">
        <v>90</v>
      </c>
      <c r="B100" s="23" t="s">
        <v>18</v>
      </c>
      <c r="C100" s="23" t="s">
        <v>208</v>
      </c>
      <c r="D100" s="23" t="s">
        <v>160</v>
      </c>
      <c r="E100" s="23" t="s">
        <v>88</v>
      </c>
      <c r="F100" s="23" t="s">
        <v>176</v>
      </c>
    </row>
    <row r="101" spans="1:6" ht="31.2" x14ac:dyDescent="0.3">
      <c r="A101" s="23">
        <v>91</v>
      </c>
      <c r="B101" s="23" t="s">
        <v>167</v>
      </c>
      <c r="C101" s="23" t="s">
        <v>209</v>
      </c>
      <c r="D101" s="23" t="s">
        <v>210</v>
      </c>
      <c r="E101" s="23" t="s">
        <v>170</v>
      </c>
      <c r="F101" s="23" t="s">
        <v>211</v>
      </c>
    </row>
    <row r="102" spans="1:6" ht="62.4" x14ac:dyDescent="0.3">
      <c r="A102" s="23">
        <v>92</v>
      </c>
      <c r="B102" s="23" t="s">
        <v>7</v>
      </c>
      <c r="C102" s="23" t="s">
        <v>212</v>
      </c>
      <c r="D102" s="23" t="s">
        <v>213</v>
      </c>
      <c r="E102" s="23" t="s">
        <v>89</v>
      </c>
      <c r="F102" s="23" t="s">
        <v>214</v>
      </c>
    </row>
    <row r="103" spans="1:6" ht="46.8" x14ac:dyDescent="0.3">
      <c r="A103" s="23">
        <v>93</v>
      </c>
      <c r="B103" s="23" t="s">
        <v>18</v>
      </c>
      <c r="C103" s="23" t="s">
        <v>215</v>
      </c>
      <c r="D103" s="23" t="s">
        <v>160</v>
      </c>
      <c r="E103" s="23" t="s">
        <v>88</v>
      </c>
      <c r="F103" s="23" t="s">
        <v>176</v>
      </c>
    </row>
    <row r="104" spans="1:6" ht="46.8" x14ac:dyDescent="0.3">
      <c r="A104" s="23">
        <v>94</v>
      </c>
      <c r="B104" s="23" t="s">
        <v>18</v>
      </c>
      <c r="C104" s="23" t="s">
        <v>216</v>
      </c>
      <c r="D104" s="23" t="s">
        <v>160</v>
      </c>
      <c r="E104" s="23" t="s">
        <v>88</v>
      </c>
      <c r="F104" s="23" t="s">
        <v>176</v>
      </c>
    </row>
    <row r="105" spans="1:6" ht="46.8" x14ac:dyDescent="0.3">
      <c r="A105" s="23">
        <v>95</v>
      </c>
      <c r="B105" s="23" t="s">
        <v>18</v>
      </c>
      <c r="C105" s="23" t="s">
        <v>217</v>
      </c>
      <c r="D105" s="23" t="s">
        <v>160</v>
      </c>
      <c r="E105" s="23" t="s">
        <v>88</v>
      </c>
      <c r="F105" s="23" t="s">
        <v>176</v>
      </c>
    </row>
    <row r="106" spans="1:6" ht="46.8" x14ac:dyDescent="0.3">
      <c r="A106" s="23">
        <v>96</v>
      </c>
      <c r="B106" s="23" t="s">
        <v>18</v>
      </c>
      <c r="C106" s="23" t="s">
        <v>218</v>
      </c>
      <c r="D106" s="23" t="s">
        <v>160</v>
      </c>
      <c r="E106" s="23" t="s">
        <v>88</v>
      </c>
      <c r="F106" s="23" t="s">
        <v>176</v>
      </c>
    </row>
    <row r="107" spans="1:6" ht="46.8" x14ac:dyDescent="0.3">
      <c r="A107" s="23">
        <v>97</v>
      </c>
      <c r="B107" s="23" t="s">
        <v>18</v>
      </c>
      <c r="C107" s="23" t="s">
        <v>219</v>
      </c>
      <c r="D107" s="23" t="s">
        <v>160</v>
      </c>
      <c r="E107" s="23" t="s">
        <v>88</v>
      </c>
      <c r="F107" s="23" t="s">
        <v>176</v>
      </c>
    </row>
    <row r="108" spans="1:6" ht="62.4" x14ac:dyDescent="0.3">
      <c r="A108" s="23">
        <v>98</v>
      </c>
      <c r="B108" s="23" t="s">
        <v>40</v>
      </c>
      <c r="C108" s="23" t="s">
        <v>220</v>
      </c>
      <c r="D108" s="23"/>
      <c r="E108" s="23" t="s">
        <v>221</v>
      </c>
      <c r="F108" s="23" t="s">
        <v>222</v>
      </c>
    </row>
    <row r="109" spans="1:6" ht="78" x14ac:dyDescent="0.3">
      <c r="A109" s="23">
        <v>99</v>
      </c>
      <c r="B109" s="23" t="s">
        <v>7</v>
      </c>
      <c r="C109" s="23" t="s">
        <v>223</v>
      </c>
      <c r="D109" s="23" t="s">
        <v>224</v>
      </c>
      <c r="E109" s="23" t="s">
        <v>89</v>
      </c>
      <c r="F109" s="23" t="s">
        <v>225</v>
      </c>
    </row>
    <row r="110" spans="1:6" ht="62.4" x14ac:dyDescent="0.3">
      <c r="A110" s="23">
        <v>100</v>
      </c>
      <c r="B110" s="23" t="s">
        <v>40</v>
      </c>
      <c r="C110" s="23" t="s">
        <v>226</v>
      </c>
      <c r="D110" s="23"/>
      <c r="E110" s="23" t="s">
        <v>227</v>
      </c>
      <c r="F110" s="23" t="s">
        <v>222</v>
      </c>
    </row>
    <row r="111" spans="1:6" ht="109.2" x14ac:dyDescent="0.3">
      <c r="A111" s="23">
        <v>101</v>
      </c>
      <c r="B111" s="23" t="s">
        <v>7</v>
      </c>
      <c r="C111" s="23" t="s">
        <v>228</v>
      </c>
      <c r="D111" s="23" t="s">
        <v>229</v>
      </c>
      <c r="E111" s="23" t="s">
        <v>89</v>
      </c>
      <c r="F111" s="23" t="s">
        <v>225</v>
      </c>
    </row>
    <row r="112" spans="1:6" ht="31.2" x14ac:dyDescent="0.3">
      <c r="A112" s="23">
        <v>102</v>
      </c>
      <c r="B112" s="23" t="s">
        <v>40</v>
      </c>
      <c r="C112" s="23" t="s">
        <v>230</v>
      </c>
      <c r="D112" s="23"/>
      <c r="E112" s="23" t="s">
        <v>231</v>
      </c>
      <c r="F112" s="23" t="s">
        <v>232</v>
      </c>
    </row>
    <row r="113" spans="1:6" ht="62.4" x14ac:dyDescent="0.3">
      <c r="A113" s="23">
        <v>103</v>
      </c>
      <c r="B113" s="23" t="s">
        <v>7</v>
      </c>
      <c r="C113" s="23" t="s">
        <v>233</v>
      </c>
      <c r="D113" s="23" t="s">
        <v>234</v>
      </c>
      <c r="E113" s="23" t="s">
        <v>89</v>
      </c>
      <c r="F113" s="23" t="s">
        <v>235</v>
      </c>
    </row>
    <row r="114" spans="1:6" ht="31.2" x14ac:dyDescent="0.3">
      <c r="A114" s="23">
        <v>104</v>
      </c>
      <c r="B114" s="23" t="s">
        <v>40</v>
      </c>
      <c r="C114" s="23" t="s">
        <v>236</v>
      </c>
      <c r="D114" s="23"/>
      <c r="E114" s="23" t="s">
        <v>237</v>
      </c>
      <c r="F114" s="23" t="s">
        <v>238</v>
      </c>
    </row>
    <row r="115" spans="1:6" ht="46.8" x14ac:dyDescent="0.3">
      <c r="A115" s="23">
        <v>105</v>
      </c>
      <c r="B115" s="23" t="s">
        <v>7</v>
      </c>
      <c r="C115" s="23" t="s">
        <v>239</v>
      </c>
      <c r="D115" s="23" t="s">
        <v>240</v>
      </c>
      <c r="E115" s="23" t="s">
        <v>89</v>
      </c>
      <c r="F115" s="23" t="s">
        <v>241</v>
      </c>
    </row>
    <row r="116" spans="1:6" ht="124.8" x14ac:dyDescent="0.3">
      <c r="A116" s="23">
        <v>106</v>
      </c>
      <c r="B116" s="23" t="s">
        <v>18</v>
      </c>
      <c r="C116" s="23" t="s">
        <v>242</v>
      </c>
      <c r="D116" s="23" t="s">
        <v>243</v>
      </c>
      <c r="E116" s="23" t="s">
        <v>244</v>
      </c>
      <c r="F116" s="23" t="s">
        <v>245</v>
      </c>
    </row>
    <row r="117" spans="1:6" ht="46.8" x14ac:dyDescent="0.3">
      <c r="A117" s="23">
        <v>107</v>
      </c>
      <c r="B117" s="23" t="s">
        <v>18</v>
      </c>
      <c r="C117" s="23" t="s">
        <v>246</v>
      </c>
      <c r="D117" s="23" t="s">
        <v>247</v>
      </c>
      <c r="E117" s="23" t="s">
        <v>248</v>
      </c>
      <c r="F117" s="23" t="s">
        <v>249</v>
      </c>
    </row>
  </sheetData>
  <mergeCells count="5">
    <mergeCell ref="A2:F2"/>
    <mergeCell ref="C4:F4"/>
    <mergeCell ref="C6:F6"/>
    <mergeCell ref="C7:F7"/>
    <mergeCell ref="C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5"/>
  <sheetViews>
    <sheetView tabSelected="1" topLeftCell="A79" zoomScale="85" zoomScaleNormal="85" zoomScaleSheetLayoutView="85" workbookViewId="0">
      <selection activeCell="B80" sqref="B80"/>
    </sheetView>
  </sheetViews>
  <sheetFormatPr defaultColWidth="46" defaultRowHeight="18" x14ac:dyDescent="0.35"/>
  <cols>
    <col min="1" max="1" width="5.77734375" style="3" customWidth="1"/>
    <col min="2" max="2" width="44.109375" style="5" customWidth="1"/>
    <col min="3" max="3" width="12.5546875" style="3" customWidth="1"/>
    <col min="4" max="4" width="11.33203125" style="3" customWidth="1"/>
    <col min="5" max="5" width="11.21875" style="3" customWidth="1"/>
    <col min="6" max="6" width="7.88671875" style="3" customWidth="1"/>
    <col min="7" max="7" width="8.77734375" style="3" customWidth="1"/>
    <col min="8" max="8" width="13.88671875" style="3" customWidth="1"/>
    <col min="9" max="9" width="7.21875" style="3" customWidth="1"/>
    <col min="10" max="10" width="5.21875" style="3" customWidth="1"/>
    <col min="11" max="11" width="7.88671875" style="3" customWidth="1"/>
    <col min="12" max="12" width="46" style="3" customWidth="1"/>
    <col min="13" max="16384" width="46" style="3"/>
  </cols>
  <sheetData>
    <row r="1" spans="1:11" x14ac:dyDescent="0.35">
      <c r="A1" s="49" t="s">
        <v>250</v>
      </c>
      <c r="B1" s="50"/>
      <c r="C1" s="1"/>
      <c r="D1" s="1"/>
      <c r="E1" s="61" t="s">
        <v>251</v>
      </c>
      <c r="F1" s="52"/>
      <c r="G1" s="52"/>
      <c r="H1" s="52"/>
      <c r="I1" s="52"/>
      <c r="J1" s="52"/>
      <c r="K1" s="52"/>
    </row>
    <row r="2" spans="1:11" x14ac:dyDescent="0.35">
      <c r="A2" s="58" t="s">
        <v>252</v>
      </c>
      <c r="B2" s="50"/>
      <c r="C2" s="4"/>
      <c r="D2" s="4"/>
      <c r="E2" s="58" t="s">
        <v>253</v>
      </c>
      <c r="F2" s="52"/>
      <c r="G2" s="52"/>
      <c r="H2" s="52"/>
      <c r="I2" s="52"/>
      <c r="J2" s="52"/>
      <c r="K2" s="52"/>
    </row>
    <row r="3" spans="1:11" ht="27" customHeight="1" x14ac:dyDescent="0.35">
      <c r="A3" s="57" t="s">
        <v>254</v>
      </c>
      <c r="B3" s="50"/>
      <c r="C3" s="4"/>
      <c r="D3" s="4"/>
      <c r="E3" s="56" t="s">
        <v>248</v>
      </c>
      <c r="F3" s="52"/>
      <c r="G3" s="52"/>
      <c r="H3" s="52"/>
      <c r="I3" s="52"/>
      <c r="J3" s="52"/>
      <c r="K3" s="52"/>
    </row>
    <row r="4" spans="1:11" x14ac:dyDescent="0.35">
      <c r="A4" s="4"/>
      <c r="B4" s="4"/>
      <c r="C4" s="4"/>
      <c r="D4" s="4"/>
      <c r="E4" s="4"/>
      <c r="F4" s="4"/>
      <c r="G4" s="4"/>
      <c r="H4" s="4"/>
      <c r="I4" s="4"/>
      <c r="J4" s="4"/>
      <c r="K4" s="4"/>
    </row>
    <row r="5" spans="1:11" ht="41.55" customHeight="1" x14ac:dyDescent="0.35">
      <c r="A5" s="60" t="s">
        <v>255</v>
      </c>
      <c r="B5" s="50"/>
      <c r="C5" s="52"/>
      <c r="D5" s="52"/>
      <c r="E5" s="52"/>
      <c r="F5" s="52"/>
      <c r="G5" s="52"/>
      <c r="H5" s="52"/>
      <c r="I5" s="52"/>
      <c r="J5" s="52"/>
      <c r="K5" s="52"/>
    </row>
    <row r="6" spans="1:11" x14ac:dyDescent="0.35">
      <c r="A6" s="53"/>
      <c r="B6" s="50"/>
      <c r="C6" s="52"/>
      <c r="D6" s="52"/>
      <c r="E6" s="52"/>
      <c r="F6" s="52"/>
      <c r="G6" s="52"/>
      <c r="H6" s="52"/>
      <c r="I6" s="52"/>
      <c r="J6" s="52"/>
      <c r="K6" s="52"/>
    </row>
    <row r="7" spans="1:11" ht="109.5" customHeight="1" x14ac:dyDescent="0.35">
      <c r="A7" s="54" t="s">
        <v>256</v>
      </c>
      <c r="B7" s="55"/>
      <c r="C7" s="55"/>
      <c r="D7" s="55"/>
      <c r="E7" s="55"/>
      <c r="F7" s="55"/>
      <c r="G7" s="55"/>
      <c r="H7" s="55"/>
      <c r="I7" s="55"/>
      <c r="J7" s="55"/>
      <c r="K7" s="55"/>
    </row>
    <row r="8" spans="1:11" x14ac:dyDescent="0.35">
      <c r="A8" s="44" t="s">
        <v>257</v>
      </c>
      <c r="B8" s="44" t="s">
        <v>258</v>
      </c>
      <c r="C8" s="44" t="s">
        <v>259</v>
      </c>
      <c r="D8" s="44" t="s">
        <v>260</v>
      </c>
      <c r="E8" s="44" t="s">
        <v>261</v>
      </c>
      <c r="F8" s="44" t="s">
        <v>262</v>
      </c>
      <c r="G8" s="44" t="s">
        <v>263</v>
      </c>
      <c r="H8" s="44" t="s">
        <v>264</v>
      </c>
      <c r="I8" s="44" t="s">
        <v>265</v>
      </c>
      <c r="J8" s="44" t="s">
        <v>266</v>
      </c>
      <c r="K8" s="44" t="s">
        <v>267</v>
      </c>
    </row>
    <row r="9" spans="1:11" ht="121.8" customHeight="1" x14ac:dyDescent="0.35">
      <c r="A9" s="45"/>
      <c r="B9" s="45"/>
      <c r="C9" s="45"/>
      <c r="D9" s="45"/>
      <c r="E9" s="45"/>
      <c r="F9" s="45"/>
      <c r="G9" s="45"/>
      <c r="H9" s="45"/>
      <c r="I9" s="45"/>
      <c r="J9" s="45"/>
      <c r="K9" s="45"/>
    </row>
    <row r="10" spans="1:11" x14ac:dyDescent="0.35">
      <c r="A10" s="6" t="s">
        <v>268</v>
      </c>
      <c r="B10" s="6" t="s">
        <v>269</v>
      </c>
      <c r="C10" s="6" t="s">
        <v>270</v>
      </c>
      <c r="D10" s="6" t="s">
        <v>271</v>
      </c>
      <c r="E10" s="6" t="s">
        <v>272</v>
      </c>
      <c r="F10" s="6" t="s">
        <v>273</v>
      </c>
      <c r="G10" s="6" t="s">
        <v>274</v>
      </c>
      <c r="H10" s="6" t="s">
        <v>275</v>
      </c>
      <c r="I10" s="6" t="s">
        <v>276</v>
      </c>
      <c r="J10" s="6" t="s">
        <v>277</v>
      </c>
      <c r="K10" s="6" t="s">
        <v>278</v>
      </c>
    </row>
    <row r="11" spans="1:11" s="2" customFormat="1" ht="15.45" customHeight="1" x14ac:dyDescent="0.3">
      <c r="A11" s="7" t="s">
        <v>279</v>
      </c>
      <c r="B11" s="59" t="s">
        <v>280</v>
      </c>
      <c r="C11" s="47"/>
      <c r="D11" s="47"/>
      <c r="E11" s="47"/>
      <c r="F11" s="47"/>
      <c r="G11" s="47"/>
      <c r="H11" s="47"/>
      <c r="I11" s="47"/>
      <c r="J11" s="47"/>
      <c r="K11" s="48"/>
    </row>
    <row r="12" spans="1:11" s="2" customFormat="1" ht="15.45" customHeight="1" x14ac:dyDescent="0.3">
      <c r="A12" s="8" t="s">
        <v>281</v>
      </c>
      <c r="B12" s="46" t="s">
        <v>282</v>
      </c>
      <c r="C12" s="47"/>
      <c r="D12" s="47"/>
      <c r="E12" s="47"/>
      <c r="F12" s="47"/>
      <c r="G12" s="47"/>
      <c r="H12" s="47"/>
      <c r="I12" s="47"/>
      <c r="J12" s="47"/>
      <c r="K12" s="48"/>
    </row>
    <row r="13" spans="1:11" s="13" customFormat="1" ht="66" customHeight="1" x14ac:dyDescent="0.3">
      <c r="A13" s="9" t="s">
        <v>30</v>
      </c>
      <c r="B13" s="10" t="s">
        <v>283</v>
      </c>
      <c r="C13" s="11" t="s">
        <v>108</v>
      </c>
      <c r="D13" s="9" t="s">
        <v>284</v>
      </c>
      <c r="E13" s="11" t="s">
        <v>285</v>
      </c>
      <c r="F13" s="9">
        <v>1</v>
      </c>
      <c r="G13" s="9" t="s">
        <v>286</v>
      </c>
      <c r="H13" s="9" t="s">
        <v>38</v>
      </c>
      <c r="I13" s="9">
        <f t="shared" ref="I13:I46" si="0">IF(G13="Khó và phức tạp",200,IF(G13="Cao",150,IF(G13="Trung bình",120,IF(G13="Thấp",100))))</f>
        <v>150</v>
      </c>
      <c r="J13" s="9">
        <f t="shared" ref="J13:J46" si="1">I13*0.01</f>
        <v>1.5</v>
      </c>
      <c r="K13" s="12"/>
    </row>
    <row r="14" spans="1:11" s="13" customFormat="1" ht="66" customHeight="1" x14ac:dyDescent="0.3">
      <c r="A14" s="9" t="s">
        <v>287</v>
      </c>
      <c r="B14" s="10" t="s">
        <v>288</v>
      </c>
      <c r="C14" s="11" t="s">
        <v>289</v>
      </c>
      <c r="D14" s="9" t="s">
        <v>290</v>
      </c>
      <c r="E14" s="11" t="s">
        <v>291</v>
      </c>
      <c r="F14" s="9">
        <v>1</v>
      </c>
      <c r="G14" s="9" t="s">
        <v>286</v>
      </c>
      <c r="H14" s="9" t="s">
        <v>88</v>
      </c>
      <c r="I14" s="9">
        <f t="shared" si="0"/>
        <v>150</v>
      </c>
      <c r="J14" s="9">
        <f t="shared" si="1"/>
        <v>1.5</v>
      </c>
      <c r="K14" s="12"/>
    </row>
    <row r="15" spans="1:11" s="2" customFormat="1" ht="66" customHeight="1" x14ac:dyDescent="0.3">
      <c r="A15" s="9" t="s">
        <v>292</v>
      </c>
      <c r="B15" s="10" t="s">
        <v>293</v>
      </c>
      <c r="C15" s="11" t="s">
        <v>108</v>
      </c>
      <c r="D15" s="9" t="s">
        <v>284</v>
      </c>
      <c r="E15" s="11" t="s">
        <v>294</v>
      </c>
      <c r="F15" s="9">
        <v>1</v>
      </c>
      <c r="G15" s="9" t="s">
        <v>144</v>
      </c>
      <c r="H15" s="9" t="s">
        <v>88</v>
      </c>
      <c r="I15" s="9">
        <f t="shared" si="0"/>
        <v>120</v>
      </c>
      <c r="J15" s="9">
        <f t="shared" si="1"/>
        <v>1.2</v>
      </c>
      <c r="K15" s="12"/>
    </row>
    <row r="16" spans="1:11" s="13" customFormat="1" ht="66" customHeight="1" x14ac:dyDescent="0.3">
      <c r="A16" s="9" t="s">
        <v>295</v>
      </c>
      <c r="B16" s="10" t="s">
        <v>296</v>
      </c>
      <c r="C16" s="11" t="s">
        <v>297</v>
      </c>
      <c r="D16" s="9" t="s">
        <v>284</v>
      </c>
      <c r="E16" s="11" t="s">
        <v>298</v>
      </c>
      <c r="F16" s="9">
        <v>2</v>
      </c>
      <c r="G16" s="9" t="s">
        <v>144</v>
      </c>
      <c r="H16" s="9" t="s">
        <v>88</v>
      </c>
      <c r="I16" s="9">
        <f t="shared" si="0"/>
        <v>120</v>
      </c>
      <c r="J16" s="9">
        <f t="shared" si="1"/>
        <v>1.2</v>
      </c>
      <c r="K16" s="12"/>
    </row>
    <row r="17" spans="1:11" s="13" customFormat="1" ht="96" customHeight="1" x14ac:dyDescent="0.3">
      <c r="A17" s="9" t="s">
        <v>299</v>
      </c>
      <c r="B17" s="24" t="s">
        <v>21</v>
      </c>
      <c r="C17" s="11" t="s">
        <v>108</v>
      </c>
      <c r="D17" s="9" t="s">
        <v>300</v>
      </c>
      <c r="E17" s="11" t="s">
        <v>294</v>
      </c>
      <c r="F17" s="9">
        <v>1</v>
      </c>
      <c r="G17" s="9" t="s">
        <v>144</v>
      </c>
      <c r="H17" s="9" t="s">
        <v>301</v>
      </c>
      <c r="I17" s="9">
        <f t="shared" si="0"/>
        <v>120</v>
      </c>
      <c r="J17" s="9">
        <f t="shared" si="1"/>
        <v>1.2</v>
      </c>
      <c r="K17" s="12" t="s">
        <v>302</v>
      </c>
    </row>
    <row r="18" spans="1:11" s="13" customFormat="1" ht="96" customHeight="1" x14ac:dyDescent="0.3">
      <c r="A18" s="9" t="s">
        <v>303</v>
      </c>
      <c r="B18" s="10" t="s">
        <v>304</v>
      </c>
      <c r="C18" s="11" t="s">
        <v>108</v>
      </c>
      <c r="D18" s="9" t="s">
        <v>284</v>
      </c>
      <c r="E18" s="11" t="s">
        <v>294</v>
      </c>
      <c r="F18" s="9">
        <v>1</v>
      </c>
      <c r="G18" s="9" t="s">
        <v>144</v>
      </c>
      <c r="H18" s="9" t="s">
        <v>301</v>
      </c>
      <c r="I18" s="9">
        <f t="shared" si="0"/>
        <v>120</v>
      </c>
      <c r="J18" s="9">
        <f t="shared" si="1"/>
        <v>1.2</v>
      </c>
      <c r="K18" s="12" t="s">
        <v>302</v>
      </c>
    </row>
    <row r="19" spans="1:11" s="13" customFormat="1" ht="66" customHeight="1" x14ac:dyDescent="0.3">
      <c r="A19" s="9" t="s">
        <v>305</v>
      </c>
      <c r="B19" s="10" t="s">
        <v>306</v>
      </c>
      <c r="C19" s="11" t="s">
        <v>108</v>
      </c>
      <c r="D19" s="9" t="s">
        <v>300</v>
      </c>
      <c r="E19" s="11" t="s">
        <v>307</v>
      </c>
      <c r="F19" s="9">
        <v>1</v>
      </c>
      <c r="G19" s="9" t="s">
        <v>144</v>
      </c>
      <c r="H19" s="9" t="s">
        <v>308</v>
      </c>
      <c r="I19" s="9">
        <f t="shared" si="0"/>
        <v>120</v>
      </c>
      <c r="J19" s="9">
        <f t="shared" si="1"/>
        <v>1.2</v>
      </c>
      <c r="K19" s="12" t="s">
        <v>302</v>
      </c>
    </row>
    <row r="20" spans="1:11" s="13" customFormat="1" ht="96" customHeight="1" x14ac:dyDescent="0.3">
      <c r="A20" s="9" t="s">
        <v>309</v>
      </c>
      <c r="B20" s="10" t="s">
        <v>310</v>
      </c>
      <c r="C20" s="11" t="s">
        <v>108</v>
      </c>
      <c r="D20" s="9" t="s">
        <v>284</v>
      </c>
      <c r="E20" s="11" t="s">
        <v>311</v>
      </c>
      <c r="F20" s="9">
        <v>1</v>
      </c>
      <c r="G20" s="9" t="s">
        <v>286</v>
      </c>
      <c r="H20" s="9" t="s">
        <v>88</v>
      </c>
      <c r="I20" s="9">
        <f t="shared" si="0"/>
        <v>150</v>
      </c>
      <c r="J20" s="9">
        <f t="shared" si="1"/>
        <v>1.5</v>
      </c>
      <c r="K20" s="25" t="s">
        <v>25</v>
      </c>
    </row>
    <row r="21" spans="1:11" s="13" customFormat="1" ht="79.95" customHeight="1" x14ac:dyDescent="0.3">
      <c r="A21" s="9" t="s">
        <v>312</v>
      </c>
      <c r="B21" s="10" t="s">
        <v>313</v>
      </c>
      <c r="C21" s="11" t="s">
        <v>108</v>
      </c>
      <c r="D21" s="9" t="s">
        <v>284</v>
      </c>
      <c r="E21" s="11" t="s">
        <v>311</v>
      </c>
      <c r="F21" s="9">
        <v>1</v>
      </c>
      <c r="G21" s="9" t="s">
        <v>286</v>
      </c>
      <c r="H21" s="9" t="s">
        <v>88</v>
      </c>
      <c r="I21" s="9">
        <f t="shared" si="0"/>
        <v>150</v>
      </c>
      <c r="J21" s="9">
        <f t="shared" si="1"/>
        <v>1.5</v>
      </c>
      <c r="K21" s="25" t="s">
        <v>28</v>
      </c>
    </row>
    <row r="22" spans="1:11" s="13" customFormat="1" ht="66" customHeight="1" x14ac:dyDescent="0.3">
      <c r="A22" s="25" t="s">
        <v>31</v>
      </c>
      <c r="B22" s="10" t="s">
        <v>314</v>
      </c>
      <c r="C22" s="11" t="s">
        <v>108</v>
      </c>
      <c r="D22" s="9" t="s">
        <v>284</v>
      </c>
      <c r="E22" s="11" t="s">
        <v>311</v>
      </c>
      <c r="F22" s="9">
        <v>2</v>
      </c>
      <c r="G22" s="9" t="s">
        <v>286</v>
      </c>
      <c r="H22" s="9" t="s">
        <v>88</v>
      </c>
      <c r="I22" s="9">
        <f t="shared" si="0"/>
        <v>150</v>
      </c>
      <c r="J22" s="9">
        <f t="shared" si="1"/>
        <v>1.5</v>
      </c>
      <c r="K22" s="25" t="s">
        <v>28</v>
      </c>
    </row>
    <row r="23" spans="1:11" s="13" customFormat="1" ht="79.95" customHeight="1" x14ac:dyDescent="0.3">
      <c r="A23" s="9" t="s">
        <v>315</v>
      </c>
      <c r="B23" s="10" t="s">
        <v>316</v>
      </c>
      <c r="C23" s="11" t="s">
        <v>108</v>
      </c>
      <c r="D23" s="9" t="s">
        <v>284</v>
      </c>
      <c r="E23" s="11" t="s">
        <v>317</v>
      </c>
      <c r="F23" s="9">
        <v>1</v>
      </c>
      <c r="G23" s="9" t="s">
        <v>144</v>
      </c>
      <c r="H23" s="26" t="s">
        <v>38</v>
      </c>
      <c r="I23" s="9">
        <f t="shared" si="0"/>
        <v>120</v>
      </c>
      <c r="J23" s="9">
        <f t="shared" si="1"/>
        <v>1.2</v>
      </c>
      <c r="K23" s="25" t="s">
        <v>35</v>
      </c>
    </row>
    <row r="24" spans="1:11" s="2" customFormat="1" ht="66" customHeight="1" x14ac:dyDescent="0.3">
      <c r="A24" s="27" t="s">
        <v>318</v>
      </c>
      <c r="B24" s="28" t="s">
        <v>319</v>
      </c>
      <c r="C24" s="29" t="s">
        <v>289</v>
      </c>
      <c r="D24" s="27" t="s">
        <v>320</v>
      </c>
      <c r="E24" s="29" t="s">
        <v>321</v>
      </c>
      <c r="F24" s="27" t="s">
        <v>322</v>
      </c>
      <c r="G24" s="27" t="s">
        <v>286</v>
      </c>
      <c r="H24" s="27" t="s">
        <v>38</v>
      </c>
      <c r="I24" s="27">
        <f t="shared" si="0"/>
        <v>150</v>
      </c>
      <c r="J24" s="27">
        <f t="shared" si="1"/>
        <v>1.5</v>
      </c>
      <c r="K24" s="30" t="s">
        <v>43</v>
      </c>
    </row>
    <row r="25" spans="1:11" s="13" customFormat="1" ht="66" customHeight="1" x14ac:dyDescent="0.3">
      <c r="A25" s="27" t="s">
        <v>323</v>
      </c>
      <c r="B25" s="28" t="s">
        <v>324</v>
      </c>
      <c r="C25" s="29" t="s">
        <v>108</v>
      </c>
      <c r="D25" s="27" t="s">
        <v>284</v>
      </c>
      <c r="E25" s="29" t="s">
        <v>321</v>
      </c>
      <c r="F25" s="27" t="s">
        <v>322</v>
      </c>
      <c r="G25" s="27" t="s">
        <v>286</v>
      </c>
      <c r="H25" s="27" t="s">
        <v>308</v>
      </c>
      <c r="I25" s="27">
        <f t="shared" si="0"/>
        <v>150</v>
      </c>
      <c r="J25" s="27">
        <f t="shared" si="1"/>
        <v>1.5</v>
      </c>
      <c r="K25" s="30" t="s">
        <v>43</v>
      </c>
    </row>
    <row r="26" spans="1:11" s="13" customFormat="1" ht="66" customHeight="1" x14ac:dyDescent="0.3">
      <c r="A26" s="27" t="s">
        <v>325</v>
      </c>
      <c r="B26" s="28" t="s">
        <v>326</v>
      </c>
      <c r="C26" s="29" t="s">
        <v>327</v>
      </c>
      <c r="D26" s="27" t="s">
        <v>328</v>
      </c>
      <c r="E26" s="29" t="s">
        <v>321</v>
      </c>
      <c r="F26" s="27" t="s">
        <v>329</v>
      </c>
      <c r="G26" s="27" t="s">
        <v>330</v>
      </c>
      <c r="H26" s="27" t="s">
        <v>331</v>
      </c>
      <c r="I26" s="27">
        <f t="shared" si="0"/>
        <v>200</v>
      </c>
      <c r="J26" s="27">
        <f t="shared" si="1"/>
        <v>2</v>
      </c>
      <c r="K26" s="30" t="s">
        <v>48</v>
      </c>
    </row>
    <row r="27" spans="1:11" s="14" customFormat="1" ht="66" customHeight="1" x14ac:dyDescent="0.25">
      <c r="A27" s="27" t="s">
        <v>332</v>
      </c>
      <c r="B27" s="28" t="s">
        <v>333</v>
      </c>
      <c r="C27" s="29" t="s">
        <v>108</v>
      </c>
      <c r="D27" s="27" t="s">
        <v>284</v>
      </c>
      <c r="E27" s="29" t="s">
        <v>334</v>
      </c>
      <c r="F27" s="27" t="s">
        <v>329</v>
      </c>
      <c r="G27" s="27" t="s">
        <v>330</v>
      </c>
      <c r="H27" s="27" t="s">
        <v>335</v>
      </c>
      <c r="I27" s="27">
        <f t="shared" si="0"/>
        <v>200</v>
      </c>
      <c r="J27" s="27">
        <f t="shared" si="1"/>
        <v>2</v>
      </c>
      <c r="K27" s="30" t="s">
        <v>48</v>
      </c>
    </row>
    <row r="28" spans="1:11" s="14" customFormat="1" ht="66" customHeight="1" x14ac:dyDescent="0.25">
      <c r="A28" s="27" t="s">
        <v>336</v>
      </c>
      <c r="B28" s="28" t="s">
        <v>337</v>
      </c>
      <c r="C28" s="29" t="s">
        <v>327</v>
      </c>
      <c r="D28" s="27" t="s">
        <v>328</v>
      </c>
      <c r="E28" s="29" t="s">
        <v>338</v>
      </c>
      <c r="F28" s="27" t="s">
        <v>329</v>
      </c>
      <c r="G28" s="27" t="s">
        <v>286</v>
      </c>
      <c r="H28" s="27" t="s">
        <v>339</v>
      </c>
      <c r="I28" s="27">
        <f t="shared" si="0"/>
        <v>150</v>
      </c>
      <c r="J28" s="27">
        <f t="shared" si="1"/>
        <v>1.5</v>
      </c>
      <c r="K28" s="30" t="s">
        <v>48</v>
      </c>
    </row>
    <row r="29" spans="1:11" s="14" customFormat="1" ht="66" customHeight="1" x14ac:dyDescent="0.25">
      <c r="A29" s="27" t="s">
        <v>340</v>
      </c>
      <c r="B29" s="28" t="s">
        <v>341</v>
      </c>
      <c r="C29" s="29" t="s">
        <v>108</v>
      </c>
      <c r="D29" s="27" t="s">
        <v>284</v>
      </c>
      <c r="E29" s="29" t="s">
        <v>334</v>
      </c>
      <c r="F29" s="27" t="s">
        <v>329</v>
      </c>
      <c r="G29" s="27" t="s">
        <v>286</v>
      </c>
      <c r="H29" s="27" t="s">
        <v>308</v>
      </c>
      <c r="I29" s="27">
        <f t="shared" si="0"/>
        <v>150</v>
      </c>
      <c r="J29" s="27">
        <f t="shared" si="1"/>
        <v>1.5</v>
      </c>
      <c r="K29" s="30" t="s">
        <v>48</v>
      </c>
    </row>
    <row r="30" spans="1:11" s="14" customFormat="1" ht="96" customHeight="1" x14ac:dyDescent="0.25">
      <c r="A30" s="27" t="s">
        <v>342</v>
      </c>
      <c r="B30" s="28" t="s">
        <v>343</v>
      </c>
      <c r="C30" s="29" t="s">
        <v>108</v>
      </c>
      <c r="D30" s="27" t="s">
        <v>344</v>
      </c>
      <c r="E30" s="29" t="s">
        <v>345</v>
      </c>
      <c r="F30" s="27" t="s">
        <v>346</v>
      </c>
      <c r="G30" s="27" t="s">
        <v>286</v>
      </c>
      <c r="H30" s="27" t="s">
        <v>331</v>
      </c>
      <c r="I30" s="27">
        <f t="shared" si="0"/>
        <v>150</v>
      </c>
      <c r="J30" s="27">
        <f t="shared" si="1"/>
        <v>1.5</v>
      </c>
      <c r="K30" s="30" t="s">
        <v>48</v>
      </c>
    </row>
    <row r="31" spans="1:11" s="2" customFormat="1" ht="66" customHeight="1" x14ac:dyDescent="0.3">
      <c r="A31" s="27" t="s">
        <v>347</v>
      </c>
      <c r="B31" s="28" t="s">
        <v>348</v>
      </c>
      <c r="C31" s="29" t="s">
        <v>108</v>
      </c>
      <c r="D31" s="27" t="s">
        <v>349</v>
      </c>
      <c r="E31" s="29" t="s">
        <v>350</v>
      </c>
      <c r="F31" s="27" t="s">
        <v>351</v>
      </c>
      <c r="G31" s="27" t="s">
        <v>286</v>
      </c>
      <c r="H31" s="27" t="s">
        <v>331</v>
      </c>
      <c r="I31" s="27">
        <f t="shared" si="0"/>
        <v>150</v>
      </c>
      <c r="J31" s="27">
        <f t="shared" si="1"/>
        <v>1.5</v>
      </c>
      <c r="K31" s="30" t="s">
        <v>48</v>
      </c>
    </row>
    <row r="32" spans="1:11" s="13" customFormat="1" ht="66" customHeight="1" x14ac:dyDescent="0.3">
      <c r="A32" s="27" t="s">
        <v>352</v>
      </c>
      <c r="B32" s="28" t="s">
        <v>353</v>
      </c>
      <c r="C32" s="29" t="s">
        <v>108</v>
      </c>
      <c r="D32" s="27" t="s">
        <v>284</v>
      </c>
      <c r="E32" s="29" t="s">
        <v>354</v>
      </c>
      <c r="F32" s="27" t="s">
        <v>351</v>
      </c>
      <c r="G32" s="27" t="s">
        <v>286</v>
      </c>
      <c r="H32" s="27" t="s">
        <v>355</v>
      </c>
      <c r="I32" s="27">
        <f t="shared" si="0"/>
        <v>150</v>
      </c>
      <c r="J32" s="27">
        <f t="shared" si="1"/>
        <v>1.5</v>
      </c>
      <c r="K32" s="30" t="s">
        <v>48</v>
      </c>
    </row>
    <row r="33" spans="1:11" s="13" customFormat="1" ht="66" customHeight="1" x14ac:dyDescent="0.3">
      <c r="A33" s="27" t="s">
        <v>356</v>
      </c>
      <c r="B33" s="28" t="s">
        <v>357</v>
      </c>
      <c r="C33" s="29" t="s">
        <v>108</v>
      </c>
      <c r="D33" s="27" t="s">
        <v>284</v>
      </c>
      <c r="E33" s="29" t="s">
        <v>358</v>
      </c>
      <c r="F33" s="27" t="s">
        <v>351</v>
      </c>
      <c r="G33" s="27" t="s">
        <v>286</v>
      </c>
      <c r="H33" s="27" t="s">
        <v>88</v>
      </c>
      <c r="I33" s="27">
        <f t="shared" si="0"/>
        <v>150</v>
      </c>
      <c r="J33" s="27">
        <f t="shared" si="1"/>
        <v>1.5</v>
      </c>
      <c r="K33" s="30" t="s">
        <v>63</v>
      </c>
    </row>
    <row r="34" spans="1:11" s="13" customFormat="1" ht="96" customHeight="1" x14ac:dyDescent="0.3">
      <c r="A34" s="27" t="s">
        <v>359</v>
      </c>
      <c r="B34" s="28" t="s">
        <v>360</v>
      </c>
      <c r="C34" s="29" t="s">
        <v>108</v>
      </c>
      <c r="D34" s="27" t="s">
        <v>284</v>
      </c>
      <c r="E34" s="29" t="s">
        <v>361</v>
      </c>
      <c r="F34" s="27">
        <v>1</v>
      </c>
      <c r="G34" s="27" t="s">
        <v>286</v>
      </c>
      <c r="H34" s="27" t="s">
        <v>38</v>
      </c>
      <c r="I34" s="27">
        <f t="shared" si="0"/>
        <v>150</v>
      </c>
      <c r="J34" s="27">
        <f t="shared" si="1"/>
        <v>1.5</v>
      </c>
      <c r="K34" s="30" t="s">
        <v>66</v>
      </c>
    </row>
    <row r="35" spans="1:11" s="13" customFormat="1" ht="79.95" customHeight="1" x14ac:dyDescent="0.3">
      <c r="A35" s="27" t="s">
        <v>362</v>
      </c>
      <c r="B35" s="28" t="s">
        <v>363</v>
      </c>
      <c r="C35" s="29" t="s">
        <v>364</v>
      </c>
      <c r="D35" s="27" t="s">
        <v>284</v>
      </c>
      <c r="E35" s="29" t="s">
        <v>365</v>
      </c>
      <c r="F35" s="27" t="s">
        <v>281</v>
      </c>
      <c r="G35" s="27" t="s">
        <v>286</v>
      </c>
      <c r="H35" s="27" t="s">
        <v>38</v>
      </c>
      <c r="I35" s="27">
        <f t="shared" si="0"/>
        <v>150</v>
      </c>
      <c r="J35" s="27">
        <f t="shared" si="1"/>
        <v>1.5</v>
      </c>
      <c r="K35" s="30" t="s">
        <v>69</v>
      </c>
    </row>
    <row r="36" spans="1:11" s="13" customFormat="1" ht="66" customHeight="1" x14ac:dyDescent="0.3">
      <c r="A36" s="27" t="s">
        <v>366</v>
      </c>
      <c r="B36" s="28" t="s">
        <v>367</v>
      </c>
      <c r="C36" s="29" t="s">
        <v>108</v>
      </c>
      <c r="D36" s="27" t="s">
        <v>284</v>
      </c>
      <c r="E36" s="29" t="s">
        <v>368</v>
      </c>
      <c r="F36" s="27">
        <v>1</v>
      </c>
      <c r="G36" s="27" t="s">
        <v>144</v>
      </c>
      <c r="H36" s="27" t="s">
        <v>88</v>
      </c>
      <c r="I36" s="27">
        <f t="shared" si="0"/>
        <v>120</v>
      </c>
      <c r="J36" s="27">
        <f t="shared" si="1"/>
        <v>1.2</v>
      </c>
      <c r="K36" s="30" t="s">
        <v>72</v>
      </c>
    </row>
    <row r="37" spans="1:11" s="13" customFormat="1" ht="112.05" customHeight="1" x14ac:dyDescent="0.3">
      <c r="A37" s="27" t="s">
        <v>369</v>
      </c>
      <c r="B37" s="28" t="s">
        <v>370</v>
      </c>
      <c r="C37" s="29" t="s">
        <v>364</v>
      </c>
      <c r="D37" s="27" t="s">
        <v>284</v>
      </c>
      <c r="E37" s="29" t="s">
        <v>371</v>
      </c>
      <c r="F37" s="27">
        <v>1</v>
      </c>
      <c r="G37" s="27" t="s">
        <v>144</v>
      </c>
      <c r="H37" s="27" t="s">
        <v>88</v>
      </c>
      <c r="I37" s="27">
        <f t="shared" si="0"/>
        <v>120</v>
      </c>
      <c r="J37" s="27">
        <f t="shared" si="1"/>
        <v>1.2</v>
      </c>
      <c r="K37" s="30" t="s">
        <v>35</v>
      </c>
    </row>
    <row r="38" spans="1:11" s="2" customFormat="1" ht="66" customHeight="1" x14ac:dyDescent="0.3">
      <c r="A38" s="27" t="s">
        <v>372</v>
      </c>
      <c r="B38" s="28" t="s">
        <v>373</v>
      </c>
      <c r="C38" s="29" t="s">
        <v>108</v>
      </c>
      <c r="D38" s="27" t="s">
        <v>290</v>
      </c>
      <c r="E38" s="29" t="s">
        <v>374</v>
      </c>
      <c r="F38" s="27">
        <v>1</v>
      </c>
      <c r="G38" s="27" t="s">
        <v>144</v>
      </c>
      <c r="H38" s="27" t="s">
        <v>88</v>
      </c>
      <c r="I38" s="27">
        <f t="shared" si="0"/>
        <v>120</v>
      </c>
      <c r="J38" s="27">
        <f t="shared" si="1"/>
        <v>1.2</v>
      </c>
      <c r="K38" s="30" t="s">
        <v>77</v>
      </c>
    </row>
    <row r="39" spans="1:11" s="13" customFormat="1" ht="66" customHeight="1" x14ac:dyDescent="0.3">
      <c r="A39" s="27" t="s">
        <v>375</v>
      </c>
      <c r="B39" s="28" t="s">
        <v>376</v>
      </c>
      <c r="C39" s="29" t="s">
        <v>377</v>
      </c>
      <c r="D39" s="27" t="s">
        <v>378</v>
      </c>
      <c r="E39" s="29" t="s">
        <v>379</v>
      </c>
      <c r="F39" s="27">
        <v>1</v>
      </c>
      <c r="G39" s="27" t="s">
        <v>330</v>
      </c>
      <c r="H39" s="27" t="s">
        <v>88</v>
      </c>
      <c r="I39" s="27">
        <f t="shared" si="0"/>
        <v>200</v>
      </c>
      <c r="J39" s="27">
        <f t="shared" si="1"/>
        <v>2</v>
      </c>
      <c r="K39" s="30" t="s">
        <v>80</v>
      </c>
    </row>
    <row r="40" spans="1:11" s="2" customFormat="1" ht="79.95" customHeight="1" x14ac:dyDescent="0.3">
      <c r="A40" s="27" t="s">
        <v>380</v>
      </c>
      <c r="B40" s="28" t="s">
        <v>381</v>
      </c>
      <c r="C40" s="29" t="s">
        <v>108</v>
      </c>
      <c r="D40" s="27" t="s">
        <v>290</v>
      </c>
      <c r="E40" s="29" t="s">
        <v>382</v>
      </c>
      <c r="F40" s="27">
        <v>1</v>
      </c>
      <c r="G40" s="27" t="s">
        <v>286</v>
      </c>
      <c r="H40" s="27" t="s">
        <v>88</v>
      </c>
      <c r="I40" s="27">
        <f t="shared" si="0"/>
        <v>150</v>
      </c>
      <c r="J40" s="27">
        <f t="shared" si="1"/>
        <v>1.5</v>
      </c>
      <c r="K40" s="30" t="s">
        <v>83</v>
      </c>
    </row>
    <row r="41" spans="1:11" s="2" customFormat="1" ht="66" customHeight="1" x14ac:dyDescent="0.3">
      <c r="A41" s="27" t="s">
        <v>383</v>
      </c>
      <c r="B41" s="28" t="s">
        <v>384</v>
      </c>
      <c r="C41" s="29" t="s">
        <v>108</v>
      </c>
      <c r="D41" s="27" t="s">
        <v>385</v>
      </c>
      <c r="E41" s="29" t="s">
        <v>291</v>
      </c>
      <c r="F41" s="27">
        <v>3</v>
      </c>
      <c r="G41" s="27" t="s">
        <v>144</v>
      </c>
      <c r="H41" s="31" t="s">
        <v>88</v>
      </c>
      <c r="I41" s="27">
        <f t="shared" si="0"/>
        <v>120</v>
      </c>
      <c r="J41" s="27">
        <f t="shared" si="1"/>
        <v>1.2</v>
      </c>
      <c r="K41" s="30" t="s">
        <v>86</v>
      </c>
    </row>
    <row r="42" spans="1:11" s="13" customFormat="1" ht="66" customHeight="1" x14ac:dyDescent="0.3">
      <c r="A42" s="27" t="s">
        <v>386</v>
      </c>
      <c r="B42" s="28" t="s">
        <v>387</v>
      </c>
      <c r="C42" s="29" t="s">
        <v>108</v>
      </c>
      <c r="D42" s="27" t="s">
        <v>385</v>
      </c>
      <c r="E42" s="29" t="s">
        <v>311</v>
      </c>
      <c r="F42" s="27">
        <v>1</v>
      </c>
      <c r="G42" s="27" t="s">
        <v>144</v>
      </c>
      <c r="H42" s="31" t="s">
        <v>88</v>
      </c>
      <c r="I42" s="27">
        <f t="shared" si="0"/>
        <v>120</v>
      </c>
      <c r="J42" s="27">
        <f t="shared" si="1"/>
        <v>1.2</v>
      </c>
      <c r="K42" s="30" t="s">
        <v>86</v>
      </c>
    </row>
    <row r="43" spans="1:11" s="13" customFormat="1" ht="112.05" customHeight="1" x14ac:dyDescent="0.3">
      <c r="A43" s="27" t="s">
        <v>388</v>
      </c>
      <c r="B43" s="28" t="s">
        <v>389</v>
      </c>
      <c r="C43" s="29" t="s">
        <v>108</v>
      </c>
      <c r="D43" s="27" t="s">
        <v>385</v>
      </c>
      <c r="E43" s="29" t="s">
        <v>285</v>
      </c>
      <c r="F43" s="27">
        <v>1</v>
      </c>
      <c r="G43" s="27" t="s">
        <v>144</v>
      </c>
      <c r="H43" s="31" t="s">
        <v>88</v>
      </c>
      <c r="I43" s="27">
        <f t="shared" si="0"/>
        <v>120</v>
      </c>
      <c r="J43" s="27">
        <f t="shared" si="1"/>
        <v>1.2</v>
      </c>
      <c r="K43" s="30" t="s">
        <v>86</v>
      </c>
    </row>
    <row r="44" spans="1:11" s="13" customFormat="1" ht="66" customHeight="1" x14ac:dyDescent="0.3">
      <c r="A44" s="27" t="s">
        <v>390</v>
      </c>
      <c r="B44" s="28" t="s">
        <v>391</v>
      </c>
      <c r="C44" s="29" t="s">
        <v>297</v>
      </c>
      <c r="D44" s="27" t="s">
        <v>392</v>
      </c>
      <c r="E44" s="29" t="s">
        <v>393</v>
      </c>
      <c r="F44" s="27">
        <v>1</v>
      </c>
      <c r="G44" s="27" t="s">
        <v>286</v>
      </c>
      <c r="H44" s="31" t="s">
        <v>88</v>
      </c>
      <c r="I44" s="27">
        <f t="shared" si="0"/>
        <v>150</v>
      </c>
      <c r="J44" s="27">
        <f t="shared" si="1"/>
        <v>1.5</v>
      </c>
      <c r="K44" s="30" t="s">
        <v>99</v>
      </c>
    </row>
    <row r="45" spans="1:11" s="2" customFormat="1" ht="66" customHeight="1" x14ac:dyDescent="0.3">
      <c r="A45" s="27" t="s">
        <v>394</v>
      </c>
      <c r="B45" s="28" t="s">
        <v>395</v>
      </c>
      <c r="C45" s="29" t="s">
        <v>297</v>
      </c>
      <c r="D45" s="27" t="s">
        <v>392</v>
      </c>
      <c r="E45" s="29" t="s">
        <v>396</v>
      </c>
      <c r="F45" s="27">
        <v>2</v>
      </c>
      <c r="G45" s="27" t="s">
        <v>286</v>
      </c>
      <c r="H45" s="31" t="s">
        <v>88</v>
      </c>
      <c r="I45" s="27">
        <f t="shared" si="0"/>
        <v>150</v>
      </c>
      <c r="J45" s="27">
        <f t="shared" si="1"/>
        <v>1.5</v>
      </c>
      <c r="K45" s="30" t="s">
        <v>99</v>
      </c>
    </row>
    <row r="46" spans="1:11" s="2" customFormat="1" ht="66" customHeight="1" x14ac:dyDescent="0.3">
      <c r="A46" s="27" t="s">
        <v>397</v>
      </c>
      <c r="B46" s="28" t="s">
        <v>398</v>
      </c>
      <c r="C46" s="32" t="s">
        <v>108</v>
      </c>
      <c r="D46" s="27" t="s">
        <v>300</v>
      </c>
      <c r="E46" s="29" t="s">
        <v>399</v>
      </c>
      <c r="F46" s="27">
        <v>2</v>
      </c>
      <c r="G46" s="27" t="s">
        <v>286</v>
      </c>
      <c r="H46" s="27" t="s">
        <v>88</v>
      </c>
      <c r="I46" s="27">
        <f t="shared" si="0"/>
        <v>150</v>
      </c>
      <c r="J46" s="27">
        <f t="shared" si="1"/>
        <v>1.5</v>
      </c>
      <c r="K46" s="30" t="s">
        <v>106</v>
      </c>
    </row>
    <row r="47" spans="1:11" s="2" customFormat="1" ht="15.45" customHeight="1" x14ac:dyDescent="0.3">
      <c r="A47" s="8" t="s">
        <v>351</v>
      </c>
      <c r="B47" s="46" t="s">
        <v>400</v>
      </c>
      <c r="C47" s="47"/>
      <c r="D47" s="47"/>
      <c r="E47" s="47"/>
      <c r="F47" s="47"/>
      <c r="G47" s="47"/>
      <c r="H47" s="47"/>
      <c r="I47" s="47"/>
      <c r="J47" s="47"/>
      <c r="K47" s="48"/>
    </row>
    <row r="48" spans="1:11" s="2" customFormat="1" ht="66" customHeight="1" x14ac:dyDescent="0.3">
      <c r="A48" s="9" t="s">
        <v>401</v>
      </c>
      <c r="B48" s="10" t="s">
        <v>402</v>
      </c>
      <c r="C48" s="11" t="s">
        <v>108</v>
      </c>
      <c r="D48" s="9" t="s">
        <v>349</v>
      </c>
      <c r="E48" s="11" t="s">
        <v>403</v>
      </c>
      <c r="F48" s="9">
        <v>1</v>
      </c>
      <c r="G48" s="9" t="s">
        <v>286</v>
      </c>
      <c r="H48" s="9" t="s">
        <v>308</v>
      </c>
      <c r="I48" s="9">
        <f t="shared" ref="I48:I61" si="2">IF(G48="Khó và phức tạp",200,IF(G48="Cao",150,IF(G48="Trung bình",120,IF(G48="Thấp",100))))</f>
        <v>150</v>
      </c>
      <c r="J48" s="9">
        <f t="shared" ref="J48:J61" si="3">I48*0.01</f>
        <v>1.5</v>
      </c>
      <c r="K48" s="12"/>
    </row>
    <row r="49" spans="1:11" s="2" customFormat="1" ht="66" customHeight="1" x14ac:dyDescent="0.3">
      <c r="A49" s="9" t="s">
        <v>404</v>
      </c>
      <c r="B49" s="10" t="s">
        <v>405</v>
      </c>
      <c r="C49" s="11" t="s">
        <v>406</v>
      </c>
      <c r="D49" s="9" t="s">
        <v>290</v>
      </c>
      <c r="E49" s="11" t="s">
        <v>407</v>
      </c>
      <c r="F49" s="9">
        <v>1</v>
      </c>
      <c r="G49" s="9" t="s">
        <v>144</v>
      </c>
      <c r="H49" s="9" t="s">
        <v>88</v>
      </c>
      <c r="I49" s="9">
        <f t="shared" si="2"/>
        <v>120</v>
      </c>
      <c r="J49" s="9">
        <f t="shared" si="3"/>
        <v>1.2</v>
      </c>
      <c r="K49" s="12"/>
    </row>
    <row r="50" spans="1:11" s="13" customFormat="1" ht="66" customHeight="1" x14ac:dyDescent="0.3">
      <c r="A50" s="9" t="s">
        <v>408</v>
      </c>
      <c r="B50" s="10" t="s">
        <v>409</v>
      </c>
      <c r="C50" s="11" t="s">
        <v>108</v>
      </c>
      <c r="D50" s="9" t="s">
        <v>284</v>
      </c>
      <c r="E50" s="11" t="s">
        <v>410</v>
      </c>
      <c r="F50" s="9">
        <v>2</v>
      </c>
      <c r="G50" s="9" t="s">
        <v>286</v>
      </c>
      <c r="H50" s="9" t="s">
        <v>88</v>
      </c>
      <c r="I50" s="9">
        <f t="shared" si="2"/>
        <v>150</v>
      </c>
      <c r="J50" s="9">
        <f t="shared" si="3"/>
        <v>1.5</v>
      </c>
      <c r="K50" s="12"/>
    </row>
    <row r="51" spans="1:11" s="2" customFormat="1" ht="66" customHeight="1" x14ac:dyDescent="0.3">
      <c r="A51" s="9" t="s">
        <v>411</v>
      </c>
      <c r="B51" s="10" t="s">
        <v>412</v>
      </c>
      <c r="C51" s="11" t="s">
        <v>108</v>
      </c>
      <c r="D51" s="9" t="s">
        <v>349</v>
      </c>
      <c r="E51" s="11" t="s">
        <v>311</v>
      </c>
      <c r="F51" s="9">
        <v>1</v>
      </c>
      <c r="G51" s="9" t="s">
        <v>144</v>
      </c>
      <c r="H51" s="9" t="s">
        <v>88</v>
      </c>
      <c r="I51" s="9">
        <f t="shared" si="2"/>
        <v>120</v>
      </c>
      <c r="J51" s="9">
        <f t="shared" si="3"/>
        <v>1.2</v>
      </c>
      <c r="K51" s="25" t="s">
        <v>111</v>
      </c>
    </row>
    <row r="52" spans="1:11" s="13" customFormat="1" ht="96" customHeight="1" x14ac:dyDescent="0.3">
      <c r="A52" s="9" t="s">
        <v>413</v>
      </c>
      <c r="B52" s="10" t="s">
        <v>414</v>
      </c>
      <c r="C52" s="11" t="s">
        <v>108</v>
      </c>
      <c r="D52" s="9" t="s">
        <v>284</v>
      </c>
      <c r="E52" s="11" t="s">
        <v>311</v>
      </c>
      <c r="F52" s="9">
        <v>1</v>
      </c>
      <c r="G52" s="9" t="s">
        <v>286</v>
      </c>
      <c r="H52" s="9" t="s">
        <v>415</v>
      </c>
      <c r="I52" s="9">
        <f t="shared" si="2"/>
        <v>150</v>
      </c>
      <c r="J52" s="9">
        <f t="shared" si="3"/>
        <v>1.5</v>
      </c>
      <c r="K52" s="25" t="s">
        <v>113</v>
      </c>
    </row>
    <row r="53" spans="1:11" s="13" customFormat="1" ht="66" customHeight="1" x14ac:dyDescent="0.3">
      <c r="A53" s="9" t="s">
        <v>416</v>
      </c>
      <c r="B53" s="10" t="s">
        <v>417</v>
      </c>
      <c r="C53" s="11" t="s">
        <v>108</v>
      </c>
      <c r="D53" s="9" t="s">
        <v>284</v>
      </c>
      <c r="E53" s="11" t="s">
        <v>311</v>
      </c>
      <c r="F53" s="9">
        <v>1</v>
      </c>
      <c r="G53" s="9" t="s">
        <v>144</v>
      </c>
      <c r="H53" s="9" t="s">
        <v>308</v>
      </c>
      <c r="I53" s="9">
        <f t="shared" si="2"/>
        <v>120</v>
      </c>
      <c r="J53" s="9">
        <f t="shared" si="3"/>
        <v>1.2</v>
      </c>
      <c r="K53" s="12" t="s">
        <v>418</v>
      </c>
    </row>
    <row r="54" spans="1:11" ht="79.95" customHeight="1" x14ac:dyDescent="0.35">
      <c r="A54" s="27" t="s">
        <v>419</v>
      </c>
      <c r="B54" s="28" t="s">
        <v>420</v>
      </c>
      <c r="C54" s="29" t="s">
        <v>364</v>
      </c>
      <c r="D54" s="27" t="s">
        <v>344</v>
      </c>
      <c r="E54" s="29" t="s">
        <v>421</v>
      </c>
      <c r="F54" s="27">
        <v>1</v>
      </c>
      <c r="G54" s="27" t="s">
        <v>286</v>
      </c>
      <c r="H54" s="27" t="s">
        <v>88</v>
      </c>
      <c r="I54" s="27">
        <f t="shared" si="2"/>
        <v>150</v>
      </c>
      <c r="J54" s="27">
        <f t="shared" si="3"/>
        <v>1.5</v>
      </c>
      <c r="K54" s="30" t="s">
        <v>28</v>
      </c>
    </row>
    <row r="55" spans="1:11" ht="79.95" customHeight="1" x14ac:dyDescent="0.35">
      <c r="A55" s="27" t="s">
        <v>422</v>
      </c>
      <c r="B55" s="28" t="s">
        <v>423</v>
      </c>
      <c r="C55" s="29" t="s">
        <v>364</v>
      </c>
      <c r="D55" s="27" t="s">
        <v>284</v>
      </c>
      <c r="E55" s="29" t="s">
        <v>424</v>
      </c>
      <c r="F55" s="27" t="s">
        <v>281</v>
      </c>
      <c r="G55" s="27" t="s">
        <v>286</v>
      </c>
      <c r="H55" s="27" t="s">
        <v>88</v>
      </c>
      <c r="I55" s="27">
        <f t="shared" si="2"/>
        <v>150</v>
      </c>
      <c r="J55" s="27">
        <f t="shared" si="3"/>
        <v>1.5</v>
      </c>
      <c r="K55" s="30" t="s">
        <v>28</v>
      </c>
    </row>
    <row r="56" spans="1:11" s="2" customFormat="1" ht="79.95" customHeight="1" x14ac:dyDescent="0.3">
      <c r="A56" s="27" t="s">
        <v>425</v>
      </c>
      <c r="B56" s="28" t="s">
        <v>426</v>
      </c>
      <c r="C56" s="29" t="s">
        <v>108</v>
      </c>
      <c r="D56" s="27" t="s">
        <v>284</v>
      </c>
      <c r="E56" s="29" t="s">
        <v>427</v>
      </c>
      <c r="F56" s="27">
        <v>1</v>
      </c>
      <c r="G56" s="27" t="s">
        <v>144</v>
      </c>
      <c r="H56" s="27" t="s">
        <v>88</v>
      </c>
      <c r="I56" s="27">
        <f t="shared" si="2"/>
        <v>120</v>
      </c>
      <c r="J56" s="27">
        <f t="shared" si="3"/>
        <v>1.2</v>
      </c>
      <c r="K56" s="30" t="s">
        <v>120</v>
      </c>
    </row>
    <row r="57" spans="1:11" s="2" customFormat="1" ht="127.95" customHeight="1" x14ac:dyDescent="0.3">
      <c r="A57" s="27" t="s">
        <v>428</v>
      </c>
      <c r="B57" s="28" t="s">
        <v>429</v>
      </c>
      <c r="C57" s="29" t="s">
        <v>108</v>
      </c>
      <c r="D57" s="27" t="s">
        <v>284</v>
      </c>
      <c r="E57" s="29" t="s">
        <v>430</v>
      </c>
      <c r="F57" s="27" t="s">
        <v>281</v>
      </c>
      <c r="G57" s="27" t="s">
        <v>286</v>
      </c>
      <c r="H57" s="27" t="s">
        <v>415</v>
      </c>
      <c r="I57" s="27">
        <f t="shared" si="2"/>
        <v>150</v>
      </c>
      <c r="J57" s="27">
        <f t="shared" si="3"/>
        <v>1.5</v>
      </c>
      <c r="K57" s="30" t="s">
        <v>113</v>
      </c>
    </row>
    <row r="58" spans="1:11" s="2" customFormat="1" ht="112.05" customHeight="1" x14ac:dyDescent="0.3">
      <c r="A58" s="27" t="s">
        <v>431</v>
      </c>
      <c r="B58" s="28" t="s">
        <v>432</v>
      </c>
      <c r="C58" s="29" t="s">
        <v>108</v>
      </c>
      <c r="D58" s="27" t="s">
        <v>284</v>
      </c>
      <c r="E58" s="29" t="s">
        <v>433</v>
      </c>
      <c r="F58" s="27" t="s">
        <v>281</v>
      </c>
      <c r="G58" s="27" t="s">
        <v>286</v>
      </c>
      <c r="H58" s="27" t="s">
        <v>88</v>
      </c>
      <c r="I58" s="27">
        <f t="shared" si="2"/>
        <v>150</v>
      </c>
      <c r="J58" s="27">
        <f t="shared" si="3"/>
        <v>1.5</v>
      </c>
      <c r="K58" s="30" t="s">
        <v>125</v>
      </c>
    </row>
    <row r="59" spans="1:11" s="2" customFormat="1" ht="66" customHeight="1" x14ac:dyDescent="0.3">
      <c r="A59" s="27" t="s">
        <v>434</v>
      </c>
      <c r="B59" s="28" t="s">
        <v>435</v>
      </c>
      <c r="C59" s="29" t="s">
        <v>108</v>
      </c>
      <c r="D59" s="27" t="s">
        <v>284</v>
      </c>
      <c r="E59" s="29" t="s">
        <v>436</v>
      </c>
      <c r="F59" s="27" t="s">
        <v>281</v>
      </c>
      <c r="G59" s="27" t="s">
        <v>144</v>
      </c>
      <c r="H59" s="27" t="s">
        <v>88</v>
      </c>
      <c r="I59" s="27">
        <f t="shared" si="2"/>
        <v>120</v>
      </c>
      <c r="J59" s="27">
        <f t="shared" si="3"/>
        <v>1.2</v>
      </c>
      <c r="K59" s="30" t="s">
        <v>125</v>
      </c>
    </row>
    <row r="60" spans="1:11" s="2" customFormat="1" ht="66" customHeight="1" x14ac:dyDescent="0.3">
      <c r="A60" s="27" t="s">
        <v>437</v>
      </c>
      <c r="B60" s="28" t="s">
        <v>438</v>
      </c>
      <c r="C60" s="29" t="s">
        <v>108</v>
      </c>
      <c r="D60" s="27" t="s">
        <v>284</v>
      </c>
      <c r="E60" s="29" t="s">
        <v>439</v>
      </c>
      <c r="F60" s="27" t="s">
        <v>281</v>
      </c>
      <c r="G60" s="27" t="s">
        <v>286</v>
      </c>
      <c r="H60" s="27" t="s">
        <v>88</v>
      </c>
      <c r="I60" s="27">
        <f t="shared" si="2"/>
        <v>150</v>
      </c>
      <c r="J60" s="27">
        <f t="shared" si="3"/>
        <v>1.5</v>
      </c>
      <c r="K60" s="30" t="s">
        <v>130</v>
      </c>
    </row>
    <row r="61" spans="1:11" s="2" customFormat="1" ht="66" customHeight="1" x14ac:dyDescent="0.3">
      <c r="A61" s="27" t="s">
        <v>440</v>
      </c>
      <c r="B61" s="28" t="s">
        <v>441</v>
      </c>
      <c r="C61" s="29" t="s">
        <v>442</v>
      </c>
      <c r="D61" s="27" t="s">
        <v>443</v>
      </c>
      <c r="E61" s="29" t="s">
        <v>444</v>
      </c>
      <c r="F61" s="27">
        <v>1</v>
      </c>
      <c r="G61" s="27" t="s">
        <v>286</v>
      </c>
      <c r="H61" s="27" t="s">
        <v>88</v>
      </c>
      <c r="I61" s="27">
        <f t="shared" si="2"/>
        <v>150</v>
      </c>
      <c r="J61" s="27">
        <f t="shared" si="3"/>
        <v>1.5</v>
      </c>
      <c r="K61" s="30" t="s">
        <v>80</v>
      </c>
    </row>
    <row r="62" spans="1:11" s="2" customFormat="1" ht="15.45" customHeight="1" x14ac:dyDescent="0.3">
      <c r="A62" s="8" t="s">
        <v>346</v>
      </c>
      <c r="B62" s="46" t="s">
        <v>445</v>
      </c>
      <c r="C62" s="47"/>
      <c r="D62" s="47"/>
      <c r="E62" s="47"/>
      <c r="F62" s="47"/>
      <c r="G62" s="47"/>
      <c r="H62" s="47"/>
      <c r="I62" s="47"/>
      <c r="J62" s="47"/>
      <c r="K62" s="48"/>
    </row>
    <row r="63" spans="1:11" s="2" customFormat="1" ht="66" customHeight="1" x14ac:dyDescent="0.3">
      <c r="A63" s="9" t="s">
        <v>446</v>
      </c>
      <c r="B63" s="10" t="s">
        <v>447</v>
      </c>
      <c r="C63" s="11" t="s">
        <v>108</v>
      </c>
      <c r="D63" s="9" t="s">
        <v>385</v>
      </c>
      <c r="E63" s="11" t="s">
        <v>448</v>
      </c>
      <c r="F63" s="9">
        <v>1</v>
      </c>
      <c r="G63" s="9" t="s">
        <v>330</v>
      </c>
      <c r="H63" s="9" t="s">
        <v>88</v>
      </c>
      <c r="I63" s="9">
        <f t="shared" ref="I63:I70" si="4">IF(G63="Khó và phức tạp",200,IF(G63="Cao",150,IF(G63="Trung bình",120,IF(G63="Thấp",100))))</f>
        <v>200</v>
      </c>
      <c r="J63" s="9">
        <f t="shared" ref="J63:J70" si="5">I63*0.01</f>
        <v>2</v>
      </c>
      <c r="K63" s="12"/>
    </row>
    <row r="64" spans="1:11" s="2" customFormat="1" ht="96" customHeight="1" x14ac:dyDescent="0.3">
      <c r="A64" s="9" t="s">
        <v>449</v>
      </c>
      <c r="B64" s="10" t="s">
        <v>450</v>
      </c>
      <c r="C64" s="11" t="s">
        <v>108</v>
      </c>
      <c r="D64" s="9" t="s">
        <v>284</v>
      </c>
      <c r="E64" s="11" t="s">
        <v>448</v>
      </c>
      <c r="F64" s="9">
        <v>3</v>
      </c>
      <c r="G64" s="9" t="s">
        <v>330</v>
      </c>
      <c r="H64" s="9" t="s">
        <v>88</v>
      </c>
      <c r="I64" s="9">
        <f t="shared" si="4"/>
        <v>200</v>
      </c>
      <c r="J64" s="9">
        <f t="shared" si="5"/>
        <v>2</v>
      </c>
      <c r="K64" s="12"/>
    </row>
    <row r="65" spans="1:11" s="2" customFormat="1" ht="66" customHeight="1" x14ac:dyDescent="0.3">
      <c r="A65" s="9" t="s">
        <v>451</v>
      </c>
      <c r="B65" s="10" t="s">
        <v>452</v>
      </c>
      <c r="C65" s="11" t="s">
        <v>108</v>
      </c>
      <c r="D65" s="9" t="s">
        <v>385</v>
      </c>
      <c r="E65" s="11" t="s">
        <v>448</v>
      </c>
      <c r="F65" s="9">
        <v>1</v>
      </c>
      <c r="G65" s="9" t="s">
        <v>330</v>
      </c>
      <c r="H65" s="9" t="s">
        <v>88</v>
      </c>
      <c r="I65" s="9">
        <f t="shared" si="4"/>
        <v>200</v>
      </c>
      <c r="J65" s="9">
        <f t="shared" si="5"/>
        <v>2</v>
      </c>
      <c r="K65" s="12"/>
    </row>
    <row r="66" spans="1:11" s="2" customFormat="1" ht="66" customHeight="1" x14ac:dyDescent="0.3">
      <c r="A66" s="9" t="s">
        <v>453</v>
      </c>
      <c r="B66" s="10" t="s">
        <v>454</v>
      </c>
      <c r="C66" s="11" t="s">
        <v>108</v>
      </c>
      <c r="D66" s="9" t="s">
        <v>385</v>
      </c>
      <c r="E66" s="11" t="s">
        <v>448</v>
      </c>
      <c r="F66" s="9">
        <v>1</v>
      </c>
      <c r="G66" s="9" t="s">
        <v>330</v>
      </c>
      <c r="H66" s="9" t="s">
        <v>88</v>
      </c>
      <c r="I66" s="9">
        <f t="shared" si="4"/>
        <v>200</v>
      </c>
      <c r="J66" s="9">
        <f t="shared" si="5"/>
        <v>2</v>
      </c>
      <c r="K66" s="12"/>
    </row>
    <row r="67" spans="1:11" s="2" customFormat="1" ht="66" customHeight="1" x14ac:dyDescent="0.3">
      <c r="A67" s="9" t="s">
        <v>455</v>
      </c>
      <c r="B67" s="24" t="s">
        <v>135</v>
      </c>
      <c r="C67" s="11" t="s">
        <v>108</v>
      </c>
      <c r="D67" s="9" t="s">
        <v>290</v>
      </c>
      <c r="E67" s="11" t="s">
        <v>311</v>
      </c>
      <c r="F67" s="9">
        <v>1</v>
      </c>
      <c r="G67" s="9" t="s">
        <v>286</v>
      </c>
      <c r="H67" s="9" t="s">
        <v>301</v>
      </c>
      <c r="I67" s="9">
        <f t="shared" si="4"/>
        <v>150</v>
      </c>
      <c r="J67" s="9">
        <f t="shared" si="5"/>
        <v>1.5</v>
      </c>
      <c r="K67" s="12"/>
    </row>
    <row r="68" spans="1:11" s="2" customFormat="1" ht="96" customHeight="1" x14ac:dyDescent="0.3">
      <c r="A68" s="9" t="s">
        <v>456</v>
      </c>
      <c r="B68" s="10" t="s">
        <v>457</v>
      </c>
      <c r="C68" s="11" t="s">
        <v>108</v>
      </c>
      <c r="D68" s="9" t="s">
        <v>290</v>
      </c>
      <c r="E68" s="11" t="s">
        <v>458</v>
      </c>
      <c r="F68" s="9">
        <v>1</v>
      </c>
      <c r="G68" s="9" t="s">
        <v>144</v>
      </c>
      <c r="H68" s="33" t="s">
        <v>138</v>
      </c>
      <c r="I68" s="9">
        <f t="shared" si="4"/>
        <v>120</v>
      </c>
      <c r="J68" s="9">
        <f t="shared" si="5"/>
        <v>1.2</v>
      </c>
      <c r="K68" s="12"/>
    </row>
    <row r="69" spans="1:11" s="13" customFormat="1" ht="79.95" customHeight="1" x14ac:dyDescent="0.3">
      <c r="A69" s="27" t="s">
        <v>459</v>
      </c>
      <c r="B69" s="28" t="s">
        <v>460</v>
      </c>
      <c r="C69" s="29" t="s">
        <v>108</v>
      </c>
      <c r="D69" s="27" t="s">
        <v>290</v>
      </c>
      <c r="E69" s="29" t="s">
        <v>461</v>
      </c>
      <c r="F69" s="27">
        <v>1</v>
      </c>
      <c r="G69" s="31" t="s">
        <v>144</v>
      </c>
      <c r="H69" s="27" t="s">
        <v>88</v>
      </c>
      <c r="I69" s="27">
        <f t="shared" si="4"/>
        <v>120</v>
      </c>
      <c r="J69" s="27">
        <f t="shared" si="5"/>
        <v>1.2</v>
      </c>
      <c r="K69" s="30" t="s">
        <v>142</v>
      </c>
    </row>
    <row r="70" spans="1:11" s="2" customFormat="1" ht="66" customHeight="1" x14ac:dyDescent="0.3">
      <c r="A70" s="27" t="s">
        <v>462</v>
      </c>
      <c r="B70" s="28" t="s">
        <v>463</v>
      </c>
      <c r="C70" s="29" t="s">
        <v>297</v>
      </c>
      <c r="D70" s="27" t="s">
        <v>392</v>
      </c>
      <c r="E70" s="29" t="s">
        <v>464</v>
      </c>
      <c r="F70" s="27">
        <v>3</v>
      </c>
      <c r="G70" s="27" t="s">
        <v>144</v>
      </c>
      <c r="H70" s="31" t="s">
        <v>88</v>
      </c>
      <c r="I70" s="27">
        <f t="shared" si="4"/>
        <v>120</v>
      </c>
      <c r="J70" s="27">
        <f t="shared" si="5"/>
        <v>1.2</v>
      </c>
      <c r="K70" s="30" t="s">
        <v>99</v>
      </c>
    </row>
    <row r="71" spans="1:11" s="13" customFormat="1" ht="15.45" customHeight="1" x14ac:dyDescent="0.3">
      <c r="A71" s="8" t="s">
        <v>465</v>
      </c>
      <c r="B71" s="46" t="s">
        <v>466</v>
      </c>
      <c r="C71" s="47"/>
      <c r="D71" s="47"/>
      <c r="E71" s="47"/>
      <c r="F71" s="47"/>
      <c r="G71" s="47"/>
      <c r="H71" s="47"/>
      <c r="I71" s="47"/>
      <c r="J71" s="47"/>
      <c r="K71" s="48"/>
    </row>
    <row r="72" spans="1:11" ht="66" customHeight="1" x14ac:dyDescent="0.35">
      <c r="A72" s="9" t="s">
        <v>467</v>
      </c>
      <c r="B72" s="10" t="s">
        <v>468</v>
      </c>
      <c r="C72" s="11" t="s">
        <v>108</v>
      </c>
      <c r="D72" s="9" t="s">
        <v>344</v>
      </c>
      <c r="E72" s="11" t="s">
        <v>469</v>
      </c>
      <c r="F72" s="9">
        <v>1</v>
      </c>
      <c r="G72" s="9" t="s">
        <v>330</v>
      </c>
      <c r="H72" s="9" t="s">
        <v>88</v>
      </c>
      <c r="I72" s="9">
        <f>IF(G72="Khó và phức tạp",200,IF(G72="Cao",150,IF(G72="Trung bình",120,IF(G72="Thấp",100))))</f>
        <v>200</v>
      </c>
      <c r="J72" s="9">
        <f>I72*0.01</f>
        <v>2</v>
      </c>
      <c r="K72" s="12"/>
    </row>
    <row r="73" spans="1:11" ht="66" customHeight="1" x14ac:dyDescent="0.35">
      <c r="A73" s="27" t="s">
        <v>470</v>
      </c>
      <c r="B73" s="28" t="s">
        <v>471</v>
      </c>
      <c r="C73" s="29" t="s">
        <v>442</v>
      </c>
      <c r="D73" s="27" t="s">
        <v>443</v>
      </c>
      <c r="E73" s="29" t="s">
        <v>472</v>
      </c>
      <c r="F73" s="27">
        <v>1</v>
      </c>
      <c r="G73" s="27" t="s">
        <v>286</v>
      </c>
      <c r="H73" s="27" t="s">
        <v>88</v>
      </c>
      <c r="I73" s="27">
        <f>IF(G73="Khó và phức tạp",200,IF(G73="Cao",150,IF(G73="Trung bình",120,IF(G73="Thấp",100))))</f>
        <v>150</v>
      </c>
      <c r="J73" s="27">
        <f>I73*0.01</f>
        <v>1.5</v>
      </c>
      <c r="K73" s="30" t="s">
        <v>80</v>
      </c>
    </row>
    <row r="74" spans="1:11" s="2" customFormat="1" ht="15.45" customHeight="1" x14ac:dyDescent="0.3">
      <c r="A74" s="8" t="s">
        <v>473</v>
      </c>
      <c r="B74" s="46" t="s">
        <v>474</v>
      </c>
      <c r="C74" s="47"/>
      <c r="D74" s="47"/>
      <c r="E74" s="47"/>
      <c r="F74" s="47"/>
      <c r="G74" s="47"/>
      <c r="H74" s="47"/>
      <c r="I74" s="47"/>
      <c r="J74" s="47"/>
      <c r="K74" s="48"/>
    </row>
    <row r="75" spans="1:11" s="2" customFormat="1" ht="66" customHeight="1" x14ac:dyDescent="0.3">
      <c r="A75" s="9" t="s">
        <v>475</v>
      </c>
      <c r="B75" s="10" t="s">
        <v>476</v>
      </c>
      <c r="C75" s="11" t="s">
        <v>108</v>
      </c>
      <c r="D75" s="9" t="s">
        <v>344</v>
      </c>
      <c r="E75" s="11" t="s">
        <v>294</v>
      </c>
      <c r="F75" s="9">
        <v>1</v>
      </c>
      <c r="G75" s="9" t="s">
        <v>144</v>
      </c>
      <c r="H75" s="9" t="s">
        <v>88</v>
      </c>
      <c r="I75" s="9">
        <f t="shared" ref="I75:I81" si="6">IF(G75="Khó và phức tạp",200,IF(G75="Cao",150,IF(G75="Trung bình",120,IF(G75="Thấp",100))))</f>
        <v>120</v>
      </c>
      <c r="J75" s="9">
        <f t="shared" ref="J75:J81" si="7">I75*0.01</f>
        <v>1.2</v>
      </c>
      <c r="K75" s="12"/>
    </row>
    <row r="76" spans="1:11" s="2" customFormat="1" ht="66" customHeight="1" x14ac:dyDescent="0.3">
      <c r="A76" s="9" t="s">
        <v>477</v>
      </c>
      <c r="B76" s="10" t="s">
        <v>478</v>
      </c>
      <c r="C76" s="11" t="s">
        <v>289</v>
      </c>
      <c r="D76" s="9" t="s">
        <v>479</v>
      </c>
      <c r="E76" s="11" t="s">
        <v>294</v>
      </c>
      <c r="F76" s="9">
        <v>1</v>
      </c>
      <c r="G76" s="9" t="s">
        <v>286</v>
      </c>
      <c r="H76" s="9" t="s">
        <v>88</v>
      </c>
      <c r="I76" s="9">
        <f t="shared" si="6"/>
        <v>150</v>
      </c>
      <c r="J76" s="9">
        <f t="shared" si="7"/>
        <v>1.5</v>
      </c>
      <c r="K76" s="12"/>
    </row>
    <row r="77" spans="1:11" s="2" customFormat="1" ht="66" customHeight="1" x14ac:dyDescent="0.3">
      <c r="A77" s="9" t="s">
        <v>480</v>
      </c>
      <c r="B77" s="10" t="s">
        <v>481</v>
      </c>
      <c r="C77" s="11" t="s">
        <v>377</v>
      </c>
      <c r="D77" s="9" t="s">
        <v>482</v>
      </c>
      <c r="E77" s="11" t="s">
        <v>294</v>
      </c>
      <c r="F77" s="9">
        <v>1</v>
      </c>
      <c r="G77" s="9" t="s">
        <v>286</v>
      </c>
      <c r="H77" s="9" t="s">
        <v>88</v>
      </c>
      <c r="I77" s="9">
        <f t="shared" si="6"/>
        <v>150</v>
      </c>
      <c r="J77" s="9">
        <f t="shared" si="7"/>
        <v>1.5</v>
      </c>
      <c r="K77" s="12"/>
    </row>
    <row r="78" spans="1:11" s="2" customFormat="1" ht="66" customHeight="1" x14ac:dyDescent="0.3">
      <c r="A78" s="9" t="s">
        <v>483</v>
      </c>
      <c r="B78" s="10" t="s">
        <v>484</v>
      </c>
      <c r="C78" s="11" t="s">
        <v>108</v>
      </c>
      <c r="D78" s="9" t="s">
        <v>344</v>
      </c>
      <c r="E78" s="11" t="s">
        <v>485</v>
      </c>
      <c r="F78" s="9">
        <v>1</v>
      </c>
      <c r="G78" s="9" t="s">
        <v>286</v>
      </c>
      <c r="H78" s="9" t="s">
        <v>88</v>
      </c>
      <c r="I78" s="9">
        <f t="shared" si="6"/>
        <v>150</v>
      </c>
      <c r="J78" s="9">
        <f t="shared" si="7"/>
        <v>1.5</v>
      </c>
      <c r="K78" s="12"/>
    </row>
    <row r="79" spans="1:11" s="2" customFormat="1" ht="79.95" customHeight="1" x14ac:dyDescent="0.3">
      <c r="A79" s="27" t="s">
        <v>486</v>
      </c>
      <c r="B79" s="28" t="s">
        <v>487</v>
      </c>
      <c r="C79" s="29" t="s">
        <v>377</v>
      </c>
      <c r="D79" s="27" t="s">
        <v>488</v>
      </c>
      <c r="E79" s="29" t="s">
        <v>489</v>
      </c>
      <c r="F79" s="27">
        <v>1</v>
      </c>
      <c r="G79" s="27" t="s">
        <v>144</v>
      </c>
      <c r="H79" s="27" t="s">
        <v>88</v>
      </c>
      <c r="I79" s="27">
        <f t="shared" si="6"/>
        <v>120</v>
      </c>
      <c r="J79" s="27">
        <f t="shared" si="7"/>
        <v>1.2</v>
      </c>
      <c r="K79" s="30" t="s">
        <v>80</v>
      </c>
    </row>
    <row r="80" spans="1:11" s="2" customFormat="1" ht="66" customHeight="1" x14ac:dyDescent="0.3">
      <c r="A80" s="27" t="s">
        <v>490</v>
      </c>
      <c r="B80" s="28" t="s">
        <v>491</v>
      </c>
      <c r="C80" s="29" t="s">
        <v>297</v>
      </c>
      <c r="D80" s="27" t="s">
        <v>392</v>
      </c>
      <c r="E80" s="29" t="s">
        <v>492</v>
      </c>
      <c r="F80" s="27">
        <v>3</v>
      </c>
      <c r="G80" s="27" t="s">
        <v>286</v>
      </c>
      <c r="H80" s="31" t="s">
        <v>88</v>
      </c>
      <c r="I80" s="27">
        <f t="shared" si="6"/>
        <v>150</v>
      </c>
      <c r="J80" s="27">
        <f t="shared" si="7"/>
        <v>1.5</v>
      </c>
      <c r="K80" s="30" t="s">
        <v>99</v>
      </c>
    </row>
    <row r="81" spans="1:11" ht="66" customHeight="1" x14ac:dyDescent="0.35">
      <c r="A81" s="27" t="s">
        <v>493</v>
      </c>
      <c r="B81" s="28" t="s">
        <v>494</v>
      </c>
      <c r="C81" s="29" t="s">
        <v>297</v>
      </c>
      <c r="D81" s="27" t="s">
        <v>392</v>
      </c>
      <c r="E81" s="29" t="s">
        <v>495</v>
      </c>
      <c r="F81" s="27">
        <v>2</v>
      </c>
      <c r="G81" s="27" t="s">
        <v>286</v>
      </c>
      <c r="H81" s="31" t="s">
        <v>88</v>
      </c>
      <c r="I81" s="27">
        <f t="shared" si="6"/>
        <v>150</v>
      </c>
      <c r="J81" s="27">
        <f t="shared" si="7"/>
        <v>1.5</v>
      </c>
      <c r="K81" s="30" t="s">
        <v>99</v>
      </c>
    </row>
    <row r="82" spans="1:11" ht="15.45" customHeight="1" x14ac:dyDescent="0.35">
      <c r="A82" s="8" t="s">
        <v>496</v>
      </c>
      <c r="B82" s="46" t="s">
        <v>497</v>
      </c>
      <c r="C82" s="47"/>
      <c r="D82" s="47"/>
      <c r="E82" s="47"/>
      <c r="F82" s="47"/>
      <c r="G82" s="47"/>
      <c r="H82" s="47"/>
      <c r="I82" s="47"/>
      <c r="J82" s="47"/>
      <c r="K82" s="48"/>
    </row>
    <row r="83" spans="1:11" ht="66" customHeight="1" x14ac:dyDescent="0.35">
      <c r="A83" s="9" t="s">
        <v>498</v>
      </c>
      <c r="B83" s="10" t="s">
        <v>499</v>
      </c>
      <c r="C83" s="11" t="s">
        <v>108</v>
      </c>
      <c r="D83" s="9" t="s">
        <v>344</v>
      </c>
      <c r="E83" s="11" t="s">
        <v>500</v>
      </c>
      <c r="F83" s="9">
        <v>1</v>
      </c>
      <c r="G83" s="9" t="s">
        <v>501</v>
      </c>
      <c r="H83" s="25" t="s">
        <v>88</v>
      </c>
      <c r="I83" s="9">
        <f>IF(G83="Khó và phức tạp",200,IF(G83="Cao",150,IF(G83="Trung bình",120,IF(G83="Thấp",100))))</f>
        <v>100</v>
      </c>
      <c r="J83" s="9">
        <f>I83*0.01</f>
        <v>1</v>
      </c>
      <c r="K83" s="12"/>
    </row>
    <row r="84" spans="1:11" ht="66" customHeight="1" x14ac:dyDescent="0.35">
      <c r="A84" s="27" t="s">
        <v>502</v>
      </c>
      <c r="B84" s="28" t="s">
        <v>503</v>
      </c>
      <c r="C84" s="29" t="s">
        <v>504</v>
      </c>
      <c r="D84" s="27" t="s">
        <v>290</v>
      </c>
      <c r="E84" s="29" t="s">
        <v>505</v>
      </c>
      <c r="F84" s="27">
        <v>4</v>
      </c>
      <c r="G84" s="27" t="s">
        <v>330</v>
      </c>
      <c r="H84" s="27" t="s">
        <v>88</v>
      </c>
      <c r="I84" s="27">
        <f>IF(G84="Khó và phức tạp",200,IF(G84="Cao",150,IF(G84="Trung bình",120,IF(G84="Thấp",100))))</f>
        <v>200</v>
      </c>
      <c r="J84" s="27">
        <f>I84*0.01</f>
        <v>2</v>
      </c>
      <c r="K84" s="30" t="s">
        <v>83</v>
      </c>
    </row>
    <row r="85" spans="1:11" ht="66" customHeight="1" x14ac:dyDescent="0.35">
      <c r="A85" s="27" t="s">
        <v>506</v>
      </c>
      <c r="B85" s="28" t="s">
        <v>507</v>
      </c>
      <c r="C85" s="29" t="s">
        <v>297</v>
      </c>
      <c r="D85" s="27" t="s">
        <v>392</v>
      </c>
      <c r="E85" s="29" t="s">
        <v>495</v>
      </c>
      <c r="F85" s="27">
        <v>5</v>
      </c>
      <c r="G85" s="27" t="s">
        <v>330</v>
      </c>
      <c r="H85" s="31" t="s">
        <v>88</v>
      </c>
      <c r="I85" s="27">
        <f>IF(G85="Khó và phức tạp",200,IF(G85="Cao",150,IF(G85="Trung bình",120,IF(G85="Thấp",100))))</f>
        <v>200</v>
      </c>
      <c r="J85" s="27">
        <f>I85*0.01</f>
        <v>2</v>
      </c>
      <c r="K85" s="30" t="s">
        <v>99</v>
      </c>
    </row>
    <row r="86" spans="1:11" ht="31.05" customHeight="1" x14ac:dyDescent="0.35">
      <c r="A86" s="7" t="s">
        <v>508</v>
      </c>
      <c r="B86" s="59" t="s">
        <v>509</v>
      </c>
      <c r="C86" s="47"/>
      <c r="D86" s="47"/>
      <c r="E86" s="47"/>
      <c r="F86" s="47"/>
      <c r="G86" s="47"/>
      <c r="H86" s="47"/>
      <c r="I86" s="47"/>
      <c r="J86" s="47"/>
      <c r="K86" s="48"/>
    </row>
    <row r="87" spans="1:11" ht="66" customHeight="1" x14ac:dyDescent="0.35">
      <c r="A87" s="34" t="s">
        <v>281</v>
      </c>
      <c r="B87" s="35" t="s">
        <v>510</v>
      </c>
      <c r="C87" s="36" t="s">
        <v>108</v>
      </c>
      <c r="D87" s="34" t="s">
        <v>284</v>
      </c>
      <c r="E87" s="36" t="s">
        <v>311</v>
      </c>
      <c r="F87" s="34">
        <v>3</v>
      </c>
      <c r="G87" s="34" t="s">
        <v>286</v>
      </c>
      <c r="H87" s="34" t="s">
        <v>160</v>
      </c>
      <c r="I87" s="34">
        <f t="shared" ref="I87:I123" si="8">IF(G87="Khó và phức tạp",200,IF(G87="Cao",150,IF(G87="Trung bình",120,IF(G87="Thấp",100))))</f>
        <v>150</v>
      </c>
      <c r="J87" s="34">
        <f t="shared" ref="J87:J123" si="9">I87*0.01</f>
        <v>1.5</v>
      </c>
      <c r="K87" s="37" t="s">
        <v>232</v>
      </c>
    </row>
    <row r="88" spans="1:11" ht="66" customHeight="1" x14ac:dyDescent="0.35">
      <c r="A88" s="34" t="s">
        <v>351</v>
      </c>
      <c r="B88" s="35" t="s">
        <v>511</v>
      </c>
      <c r="C88" s="36" t="s">
        <v>289</v>
      </c>
      <c r="D88" s="34" t="s">
        <v>290</v>
      </c>
      <c r="E88" s="36" t="s">
        <v>285</v>
      </c>
      <c r="F88" s="34">
        <v>4</v>
      </c>
      <c r="G88" s="34" t="s">
        <v>286</v>
      </c>
      <c r="H88" s="34" t="s">
        <v>160</v>
      </c>
      <c r="I88" s="34">
        <f t="shared" si="8"/>
        <v>150</v>
      </c>
      <c r="J88" s="34">
        <f t="shared" si="9"/>
        <v>1.5</v>
      </c>
      <c r="K88" s="37" t="s">
        <v>232</v>
      </c>
    </row>
    <row r="89" spans="1:11" ht="66" customHeight="1" x14ac:dyDescent="0.35">
      <c r="A89" s="9" t="s">
        <v>346</v>
      </c>
      <c r="B89" s="10" t="s">
        <v>512</v>
      </c>
      <c r="C89" s="11" t="s">
        <v>108</v>
      </c>
      <c r="D89" s="9" t="s">
        <v>290</v>
      </c>
      <c r="E89" s="11" t="s">
        <v>513</v>
      </c>
      <c r="F89" s="9">
        <v>1</v>
      </c>
      <c r="G89" s="9" t="s">
        <v>144</v>
      </c>
      <c r="H89" s="38" t="s">
        <v>88</v>
      </c>
      <c r="I89" s="9">
        <f t="shared" si="8"/>
        <v>120</v>
      </c>
      <c r="J89" s="9">
        <f t="shared" si="9"/>
        <v>1.2</v>
      </c>
      <c r="K89" s="12" t="s">
        <v>232</v>
      </c>
    </row>
    <row r="90" spans="1:11" ht="66" customHeight="1" x14ac:dyDescent="0.35">
      <c r="A90" s="9" t="s">
        <v>465</v>
      </c>
      <c r="B90" s="10" t="s">
        <v>514</v>
      </c>
      <c r="C90" s="11" t="s">
        <v>108</v>
      </c>
      <c r="D90" s="9" t="s">
        <v>385</v>
      </c>
      <c r="E90" s="11" t="s">
        <v>515</v>
      </c>
      <c r="F90" s="9">
        <v>2</v>
      </c>
      <c r="G90" s="9" t="s">
        <v>286</v>
      </c>
      <c r="H90" s="38" t="s">
        <v>88</v>
      </c>
      <c r="I90" s="9">
        <f t="shared" si="8"/>
        <v>150</v>
      </c>
      <c r="J90" s="9">
        <f t="shared" si="9"/>
        <v>1.5</v>
      </c>
      <c r="K90" s="12" t="s">
        <v>516</v>
      </c>
    </row>
    <row r="91" spans="1:11" ht="66" customHeight="1" x14ac:dyDescent="0.35">
      <c r="A91" s="9" t="s">
        <v>473</v>
      </c>
      <c r="B91" s="10" t="s">
        <v>517</v>
      </c>
      <c r="C91" s="11" t="s">
        <v>108</v>
      </c>
      <c r="D91" s="9" t="s">
        <v>385</v>
      </c>
      <c r="E91" s="11" t="s">
        <v>515</v>
      </c>
      <c r="F91" s="9">
        <v>4</v>
      </c>
      <c r="G91" s="9" t="s">
        <v>286</v>
      </c>
      <c r="H91" s="38" t="s">
        <v>88</v>
      </c>
      <c r="I91" s="9">
        <f t="shared" si="8"/>
        <v>150</v>
      </c>
      <c r="J91" s="9">
        <f t="shared" si="9"/>
        <v>1.5</v>
      </c>
      <c r="K91" s="12" t="s">
        <v>516</v>
      </c>
    </row>
    <row r="92" spans="1:11" ht="127.95" customHeight="1" x14ac:dyDescent="0.35">
      <c r="A92" s="9" t="s">
        <v>496</v>
      </c>
      <c r="B92" s="39" t="s">
        <v>180</v>
      </c>
      <c r="C92" s="11" t="s">
        <v>108</v>
      </c>
      <c r="D92" s="9" t="s">
        <v>349</v>
      </c>
      <c r="E92" s="11" t="s">
        <v>518</v>
      </c>
      <c r="F92" s="9">
        <v>2</v>
      </c>
      <c r="G92" s="9" t="s">
        <v>144</v>
      </c>
      <c r="H92" s="38" t="s">
        <v>88</v>
      </c>
      <c r="I92" s="9">
        <f t="shared" si="8"/>
        <v>120</v>
      </c>
      <c r="J92" s="9">
        <f t="shared" si="9"/>
        <v>1.2</v>
      </c>
      <c r="K92" s="12" t="s">
        <v>516</v>
      </c>
    </row>
    <row r="93" spans="1:11" ht="66" customHeight="1" x14ac:dyDescent="0.35">
      <c r="A93" s="9" t="s">
        <v>519</v>
      </c>
      <c r="B93" s="10" t="s">
        <v>520</v>
      </c>
      <c r="C93" s="11" t="s">
        <v>297</v>
      </c>
      <c r="D93" s="9" t="s">
        <v>521</v>
      </c>
      <c r="E93" s="11" t="s">
        <v>522</v>
      </c>
      <c r="F93" s="9">
        <v>1</v>
      </c>
      <c r="G93" s="9" t="s">
        <v>144</v>
      </c>
      <c r="H93" s="38" t="s">
        <v>88</v>
      </c>
      <c r="I93" s="9">
        <f t="shared" si="8"/>
        <v>120</v>
      </c>
      <c r="J93" s="9">
        <f t="shared" si="9"/>
        <v>1.2</v>
      </c>
      <c r="K93" s="12" t="s">
        <v>516</v>
      </c>
    </row>
    <row r="94" spans="1:11" ht="66" customHeight="1" x14ac:dyDescent="0.35">
      <c r="A94" s="9" t="s">
        <v>322</v>
      </c>
      <c r="B94" s="10" t="s">
        <v>523</v>
      </c>
      <c r="C94" s="11" t="s">
        <v>108</v>
      </c>
      <c r="D94" s="9" t="s">
        <v>290</v>
      </c>
      <c r="E94" s="11" t="s">
        <v>311</v>
      </c>
      <c r="F94" s="9">
        <v>1</v>
      </c>
      <c r="G94" s="9" t="s">
        <v>330</v>
      </c>
      <c r="H94" s="38" t="s">
        <v>88</v>
      </c>
      <c r="I94" s="9">
        <f t="shared" si="8"/>
        <v>200</v>
      </c>
      <c r="J94" s="9">
        <f t="shared" si="9"/>
        <v>2</v>
      </c>
      <c r="K94" s="12" t="s">
        <v>524</v>
      </c>
    </row>
    <row r="95" spans="1:11" ht="79.95" customHeight="1" x14ac:dyDescent="0.35">
      <c r="A95" s="9" t="s">
        <v>525</v>
      </c>
      <c r="B95" s="10" t="s">
        <v>526</v>
      </c>
      <c r="C95" s="11" t="s">
        <v>108</v>
      </c>
      <c r="D95" s="9" t="s">
        <v>290</v>
      </c>
      <c r="E95" s="11" t="s">
        <v>311</v>
      </c>
      <c r="F95" s="9">
        <v>1</v>
      </c>
      <c r="G95" s="9" t="s">
        <v>330</v>
      </c>
      <c r="H95" s="38" t="s">
        <v>88</v>
      </c>
      <c r="I95" s="9">
        <f t="shared" si="8"/>
        <v>200</v>
      </c>
      <c r="J95" s="9">
        <f t="shared" si="9"/>
        <v>2</v>
      </c>
      <c r="K95" s="12" t="s">
        <v>524</v>
      </c>
    </row>
    <row r="96" spans="1:11" ht="66" customHeight="1" x14ac:dyDescent="0.35">
      <c r="A96" s="9" t="s">
        <v>527</v>
      </c>
      <c r="B96" s="10" t="s">
        <v>528</v>
      </c>
      <c r="C96" s="11" t="s">
        <v>108</v>
      </c>
      <c r="D96" s="9" t="s">
        <v>385</v>
      </c>
      <c r="E96" s="11" t="s">
        <v>448</v>
      </c>
      <c r="F96" s="9">
        <v>1</v>
      </c>
      <c r="G96" s="9" t="s">
        <v>330</v>
      </c>
      <c r="H96" s="38" t="s">
        <v>88</v>
      </c>
      <c r="I96" s="9">
        <f t="shared" si="8"/>
        <v>200</v>
      </c>
      <c r="J96" s="9">
        <f t="shared" si="9"/>
        <v>2</v>
      </c>
      <c r="K96" s="12" t="s">
        <v>524</v>
      </c>
    </row>
    <row r="97" spans="1:11" ht="66" customHeight="1" x14ac:dyDescent="0.35">
      <c r="A97" s="9" t="s">
        <v>529</v>
      </c>
      <c r="B97" s="10" t="s">
        <v>530</v>
      </c>
      <c r="C97" s="11" t="s">
        <v>108</v>
      </c>
      <c r="D97" s="9" t="s">
        <v>385</v>
      </c>
      <c r="E97" s="11" t="s">
        <v>448</v>
      </c>
      <c r="F97" s="9">
        <v>1</v>
      </c>
      <c r="G97" s="9" t="s">
        <v>330</v>
      </c>
      <c r="H97" s="38" t="s">
        <v>88</v>
      </c>
      <c r="I97" s="9">
        <f t="shared" si="8"/>
        <v>200</v>
      </c>
      <c r="J97" s="9">
        <f t="shared" si="9"/>
        <v>2</v>
      </c>
      <c r="K97" s="12" t="s">
        <v>524</v>
      </c>
    </row>
    <row r="98" spans="1:11" ht="66" customHeight="1" x14ac:dyDescent="0.35">
      <c r="A98" s="9" t="s">
        <v>531</v>
      </c>
      <c r="B98" s="10" t="s">
        <v>532</v>
      </c>
      <c r="C98" s="11" t="s">
        <v>108</v>
      </c>
      <c r="D98" s="9" t="s">
        <v>344</v>
      </c>
      <c r="E98" s="11" t="s">
        <v>448</v>
      </c>
      <c r="F98" s="9">
        <v>1</v>
      </c>
      <c r="G98" s="9" t="s">
        <v>330</v>
      </c>
      <c r="H98" s="38" t="s">
        <v>88</v>
      </c>
      <c r="I98" s="9">
        <f t="shared" si="8"/>
        <v>200</v>
      </c>
      <c r="J98" s="9">
        <f t="shared" si="9"/>
        <v>2</v>
      </c>
      <c r="K98" s="12" t="s">
        <v>524</v>
      </c>
    </row>
    <row r="99" spans="1:11" ht="66" customHeight="1" x14ac:dyDescent="0.35">
      <c r="A99" s="9" t="s">
        <v>533</v>
      </c>
      <c r="B99" s="10" t="s">
        <v>534</v>
      </c>
      <c r="C99" s="11" t="s">
        <v>108</v>
      </c>
      <c r="D99" s="9" t="s">
        <v>344</v>
      </c>
      <c r="E99" s="11" t="s">
        <v>448</v>
      </c>
      <c r="F99" s="9">
        <v>1</v>
      </c>
      <c r="G99" s="9" t="s">
        <v>330</v>
      </c>
      <c r="H99" s="38" t="s">
        <v>88</v>
      </c>
      <c r="I99" s="9">
        <f t="shared" si="8"/>
        <v>200</v>
      </c>
      <c r="J99" s="9">
        <f t="shared" si="9"/>
        <v>2</v>
      </c>
      <c r="K99" s="12" t="s">
        <v>524</v>
      </c>
    </row>
    <row r="100" spans="1:11" ht="66" customHeight="1" x14ac:dyDescent="0.35">
      <c r="A100" s="9" t="s">
        <v>535</v>
      </c>
      <c r="B100" s="10" t="s">
        <v>536</v>
      </c>
      <c r="C100" s="11" t="s">
        <v>108</v>
      </c>
      <c r="D100" s="9" t="s">
        <v>344</v>
      </c>
      <c r="E100" s="11" t="s">
        <v>448</v>
      </c>
      <c r="F100" s="9">
        <v>1</v>
      </c>
      <c r="G100" s="9" t="s">
        <v>330</v>
      </c>
      <c r="H100" s="38" t="s">
        <v>88</v>
      </c>
      <c r="I100" s="9">
        <f t="shared" si="8"/>
        <v>200</v>
      </c>
      <c r="J100" s="9">
        <f t="shared" si="9"/>
        <v>2</v>
      </c>
      <c r="K100" s="12" t="s">
        <v>524</v>
      </c>
    </row>
    <row r="101" spans="1:11" ht="66" customHeight="1" x14ac:dyDescent="0.35">
      <c r="A101" s="9" t="s">
        <v>537</v>
      </c>
      <c r="B101" s="10" t="s">
        <v>538</v>
      </c>
      <c r="C101" s="11" t="s">
        <v>108</v>
      </c>
      <c r="D101" s="9" t="s">
        <v>344</v>
      </c>
      <c r="E101" s="11" t="s">
        <v>448</v>
      </c>
      <c r="F101" s="9">
        <v>1</v>
      </c>
      <c r="G101" s="9" t="s">
        <v>330</v>
      </c>
      <c r="H101" s="38" t="s">
        <v>88</v>
      </c>
      <c r="I101" s="9">
        <f t="shared" si="8"/>
        <v>200</v>
      </c>
      <c r="J101" s="9">
        <f t="shared" si="9"/>
        <v>2</v>
      </c>
      <c r="K101" s="12" t="s">
        <v>524</v>
      </c>
    </row>
    <row r="102" spans="1:11" ht="66" customHeight="1" x14ac:dyDescent="0.35">
      <c r="A102" s="9" t="s">
        <v>539</v>
      </c>
      <c r="B102" s="10" t="s">
        <v>540</v>
      </c>
      <c r="C102" s="11" t="s">
        <v>108</v>
      </c>
      <c r="D102" s="9" t="s">
        <v>344</v>
      </c>
      <c r="E102" s="11" t="s">
        <v>448</v>
      </c>
      <c r="F102" s="9">
        <v>1</v>
      </c>
      <c r="G102" s="9" t="s">
        <v>330</v>
      </c>
      <c r="H102" s="38" t="s">
        <v>88</v>
      </c>
      <c r="I102" s="9">
        <f t="shared" si="8"/>
        <v>200</v>
      </c>
      <c r="J102" s="9">
        <f t="shared" si="9"/>
        <v>2</v>
      </c>
      <c r="K102" s="12" t="s">
        <v>524</v>
      </c>
    </row>
    <row r="103" spans="1:11" ht="66" customHeight="1" x14ac:dyDescent="0.35">
      <c r="A103" s="9" t="s">
        <v>541</v>
      </c>
      <c r="B103" s="10" t="s">
        <v>542</v>
      </c>
      <c r="C103" s="11" t="s">
        <v>108</v>
      </c>
      <c r="D103" s="9" t="s">
        <v>543</v>
      </c>
      <c r="E103" s="11" t="s">
        <v>448</v>
      </c>
      <c r="F103" s="9">
        <v>1</v>
      </c>
      <c r="G103" s="9" t="s">
        <v>330</v>
      </c>
      <c r="H103" s="38" t="s">
        <v>88</v>
      </c>
      <c r="I103" s="9">
        <f t="shared" si="8"/>
        <v>200</v>
      </c>
      <c r="J103" s="9">
        <f t="shared" si="9"/>
        <v>2</v>
      </c>
      <c r="K103" s="12" t="s">
        <v>524</v>
      </c>
    </row>
    <row r="104" spans="1:11" ht="66" customHeight="1" x14ac:dyDescent="0.35">
      <c r="A104" s="9" t="s">
        <v>544</v>
      </c>
      <c r="B104" s="10" t="s">
        <v>545</v>
      </c>
      <c r="C104" s="11" t="s">
        <v>108</v>
      </c>
      <c r="D104" s="9" t="s">
        <v>290</v>
      </c>
      <c r="E104" s="11" t="s">
        <v>311</v>
      </c>
      <c r="F104" s="9">
        <v>1</v>
      </c>
      <c r="G104" s="9" t="s">
        <v>330</v>
      </c>
      <c r="H104" s="38" t="s">
        <v>88</v>
      </c>
      <c r="I104" s="9">
        <f t="shared" si="8"/>
        <v>200</v>
      </c>
      <c r="J104" s="9">
        <f t="shared" si="9"/>
        <v>2</v>
      </c>
      <c r="K104" s="12" t="s">
        <v>524</v>
      </c>
    </row>
    <row r="105" spans="1:11" ht="66" customHeight="1" x14ac:dyDescent="0.35">
      <c r="A105" s="9" t="s">
        <v>546</v>
      </c>
      <c r="B105" s="10" t="s">
        <v>547</v>
      </c>
      <c r="C105" s="11" t="s">
        <v>108</v>
      </c>
      <c r="D105" s="9" t="s">
        <v>344</v>
      </c>
      <c r="E105" s="11" t="s">
        <v>548</v>
      </c>
      <c r="F105" s="9">
        <v>1</v>
      </c>
      <c r="G105" s="9" t="s">
        <v>286</v>
      </c>
      <c r="H105" s="38" t="s">
        <v>88</v>
      </c>
      <c r="I105" s="9">
        <f t="shared" si="8"/>
        <v>150</v>
      </c>
      <c r="J105" s="9">
        <f t="shared" si="9"/>
        <v>1.5</v>
      </c>
      <c r="K105" s="12" t="s">
        <v>524</v>
      </c>
    </row>
    <row r="106" spans="1:11" ht="66" customHeight="1" x14ac:dyDescent="0.35">
      <c r="A106" s="34" t="s">
        <v>549</v>
      </c>
      <c r="B106" s="35" t="s">
        <v>550</v>
      </c>
      <c r="C106" s="36" t="s">
        <v>108</v>
      </c>
      <c r="D106" s="34" t="s">
        <v>284</v>
      </c>
      <c r="E106" s="36" t="s">
        <v>551</v>
      </c>
      <c r="F106" s="34">
        <v>1</v>
      </c>
      <c r="G106" s="34" t="s">
        <v>144</v>
      </c>
      <c r="H106" s="34" t="s">
        <v>160</v>
      </c>
      <c r="I106" s="34">
        <f t="shared" si="8"/>
        <v>120</v>
      </c>
      <c r="J106" s="34">
        <f t="shared" si="9"/>
        <v>1.2</v>
      </c>
      <c r="K106" s="37" t="s">
        <v>232</v>
      </c>
    </row>
    <row r="107" spans="1:11" ht="66" customHeight="1" x14ac:dyDescent="0.35">
      <c r="A107" s="34" t="s">
        <v>552</v>
      </c>
      <c r="B107" s="35" t="s">
        <v>553</v>
      </c>
      <c r="C107" s="36" t="s">
        <v>289</v>
      </c>
      <c r="D107" s="34" t="s">
        <v>284</v>
      </c>
      <c r="E107" s="36" t="s">
        <v>294</v>
      </c>
      <c r="F107" s="34">
        <v>1</v>
      </c>
      <c r="G107" s="34" t="s">
        <v>286</v>
      </c>
      <c r="H107" s="34" t="s">
        <v>160</v>
      </c>
      <c r="I107" s="34">
        <f t="shared" si="8"/>
        <v>150</v>
      </c>
      <c r="J107" s="34">
        <f t="shared" si="9"/>
        <v>1.5</v>
      </c>
      <c r="K107" s="37" t="s">
        <v>232</v>
      </c>
    </row>
    <row r="108" spans="1:11" ht="96" customHeight="1" x14ac:dyDescent="0.35">
      <c r="A108" s="9" t="s">
        <v>554</v>
      </c>
      <c r="B108" s="10" t="s">
        <v>555</v>
      </c>
      <c r="C108" s="11" t="s">
        <v>108</v>
      </c>
      <c r="D108" s="9" t="s">
        <v>290</v>
      </c>
      <c r="E108" s="11" t="s">
        <v>311</v>
      </c>
      <c r="F108" s="9">
        <v>1</v>
      </c>
      <c r="G108" s="9" t="s">
        <v>144</v>
      </c>
      <c r="H108" s="38" t="s">
        <v>88</v>
      </c>
      <c r="I108" s="9">
        <f t="shared" si="8"/>
        <v>120</v>
      </c>
      <c r="J108" s="9">
        <f t="shared" si="9"/>
        <v>1.2</v>
      </c>
      <c r="K108" s="12" t="s">
        <v>232</v>
      </c>
    </row>
    <row r="109" spans="1:11" ht="79.95" customHeight="1" x14ac:dyDescent="0.35">
      <c r="A109" s="9" t="s">
        <v>556</v>
      </c>
      <c r="B109" s="10" t="s">
        <v>557</v>
      </c>
      <c r="C109" s="11" t="s">
        <v>108</v>
      </c>
      <c r="D109" s="9" t="s">
        <v>300</v>
      </c>
      <c r="E109" s="11" t="s">
        <v>294</v>
      </c>
      <c r="F109" s="9">
        <v>1</v>
      </c>
      <c r="G109" s="9" t="s">
        <v>286</v>
      </c>
      <c r="H109" s="38" t="s">
        <v>88</v>
      </c>
      <c r="I109" s="9">
        <f t="shared" si="8"/>
        <v>150</v>
      </c>
      <c r="J109" s="9">
        <f t="shared" si="9"/>
        <v>1.5</v>
      </c>
      <c r="K109" s="12" t="s">
        <v>232</v>
      </c>
    </row>
    <row r="110" spans="1:11" ht="66" customHeight="1" x14ac:dyDescent="0.35">
      <c r="A110" s="9" t="s">
        <v>558</v>
      </c>
      <c r="B110" s="10" t="s">
        <v>559</v>
      </c>
      <c r="C110" s="11" t="s">
        <v>108</v>
      </c>
      <c r="D110" s="9" t="s">
        <v>344</v>
      </c>
      <c r="E110" s="11" t="s">
        <v>294</v>
      </c>
      <c r="F110" s="9">
        <v>1</v>
      </c>
      <c r="G110" s="9" t="s">
        <v>330</v>
      </c>
      <c r="H110" s="38" t="s">
        <v>88</v>
      </c>
      <c r="I110" s="9">
        <f t="shared" si="8"/>
        <v>200</v>
      </c>
      <c r="J110" s="9">
        <f t="shared" si="9"/>
        <v>2</v>
      </c>
      <c r="K110" s="12" t="s">
        <v>232</v>
      </c>
    </row>
    <row r="111" spans="1:11" ht="66" customHeight="1" x14ac:dyDescent="0.35">
      <c r="A111" s="9" t="s">
        <v>560</v>
      </c>
      <c r="B111" s="10" t="s">
        <v>561</v>
      </c>
      <c r="C111" s="11" t="s">
        <v>289</v>
      </c>
      <c r="D111" s="9" t="s">
        <v>300</v>
      </c>
      <c r="E111" s="11" t="s">
        <v>311</v>
      </c>
      <c r="F111" s="9">
        <v>1</v>
      </c>
      <c r="G111" s="9" t="s">
        <v>330</v>
      </c>
      <c r="H111" s="38" t="s">
        <v>88</v>
      </c>
      <c r="I111" s="9">
        <f t="shared" si="8"/>
        <v>200</v>
      </c>
      <c r="J111" s="9">
        <f t="shared" si="9"/>
        <v>2</v>
      </c>
      <c r="K111" s="12" t="s">
        <v>232</v>
      </c>
    </row>
    <row r="112" spans="1:11" ht="66" customHeight="1" x14ac:dyDescent="0.35">
      <c r="A112" s="9" t="s">
        <v>562</v>
      </c>
      <c r="B112" s="10" t="s">
        <v>563</v>
      </c>
      <c r="C112" s="11" t="s">
        <v>564</v>
      </c>
      <c r="D112" s="9" t="s">
        <v>565</v>
      </c>
      <c r="E112" s="11" t="s">
        <v>311</v>
      </c>
      <c r="F112" s="9">
        <v>1</v>
      </c>
      <c r="G112" s="9" t="s">
        <v>330</v>
      </c>
      <c r="H112" s="38" t="s">
        <v>88</v>
      </c>
      <c r="I112" s="9">
        <f t="shared" si="8"/>
        <v>200</v>
      </c>
      <c r="J112" s="9">
        <f t="shared" si="9"/>
        <v>2</v>
      </c>
      <c r="K112" s="12" t="s">
        <v>232</v>
      </c>
    </row>
    <row r="113" spans="1:11" ht="66" customHeight="1" x14ac:dyDescent="0.35">
      <c r="A113" s="9" t="s">
        <v>566</v>
      </c>
      <c r="B113" s="10" t="s">
        <v>567</v>
      </c>
      <c r="C113" s="11" t="s">
        <v>108</v>
      </c>
      <c r="D113" s="9" t="s">
        <v>290</v>
      </c>
      <c r="E113" s="11" t="s">
        <v>568</v>
      </c>
      <c r="F113" s="9">
        <v>1</v>
      </c>
      <c r="G113" s="9" t="s">
        <v>330</v>
      </c>
      <c r="H113" s="38" t="s">
        <v>88</v>
      </c>
      <c r="I113" s="9">
        <f t="shared" si="8"/>
        <v>200</v>
      </c>
      <c r="J113" s="9">
        <f t="shared" si="9"/>
        <v>2</v>
      </c>
      <c r="K113" s="12" t="s">
        <v>524</v>
      </c>
    </row>
    <row r="114" spans="1:11" ht="66" customHeight="1" x14ac:dyDescent="0.35">
      <c r="A114" s="34" t="s">
        <v>569</v>
      </c>
      <c r="B114" s="35" t="s">
        <v>570</v>
      </c>
      <c r="C114" s="36" t="s">
        <v>571</v>
      </c>
      <c r="D114" s="34" t="s">
        <v>479</v>
      </c>
      <c r="E114" s="36" t="s">
        <v>572</v>
      </c>
      <c r="F114" s="34">
        <v>1</v>
      </c>
      <c r="G114" s="34" t="s">
        <v>144</v>
      </c>
      <c r="H114" s="34" t="s">
        <v>160</v>
      </c>
      <c r="I114" s="34">
        <f t="shared" si="8"/>
        <v>120</v>
      </c>
      <c r="J114" s="34">
        <f t="shared" si="9"/>
        <v>1.2</v>
      </c>
      <c r="K114" s="37" t="s">
        <v>573</v>
      </c>
    </row>
    <row r="115" spans="1:11" ht="66" customHeight="1" x14ac:dyDescent="0.35">
      <c r="A115" s="9" t="s">
        <v>574</v>
      </c>
      <c r="B115" s="39" t="s">
        <v>213</v>
      </c>
      <c r="C115" s="11" t="s">
        <v>571</v>
      </c>
      <c r="D115" s="9" t="s">
        <v>479</v>
      </c>
      <c r="E115" s="11" t="s">
        <v>572</v>
      </c>
      <c r="F115" s="9">
        <v>1</v>
      </c>
      <c r="G115" s="9" t="s">
        <v>144</v>
      </c>
      <c r="H115" s="38" t="s">
        <v>88</v>
      </c>
      <c r="I115" s="9">
        <f t="shared" si="8"/>
        <v>120</v>
      </c>
      <c r="J115" s="9">
        <f t="shared" si="9"/>
        <v>1.2</v>
      </c>
      <c r="K115" s="12" t="s">
        <v>573</v>
      </c>
    </row>
    <row r="116" spans="1:11" ht="112.05" customHeight="1" x14ac:dyDescent="0.35">
      <c r="A116" s="9" t="s">
        <v>575</v>
      </c>
      <c r="B116" s="10" t="s">
        <v>576</v>
      </c>
      <c r="C116" s="11" t="s">
        <v>571</v>
      </c>
      <c r="D116" s="9" t="s">
        <v>577</v>
      </c>
      <c r="E116" s="11" t="s">
        <v>294</v>
      </c>
      <c r="F116" s="9">
        <v>1</v>
      </c>
      <c r="G116" s="9" t="s">
        <v>144</v>
      </c>
      <c r="H116" s="38" t="s">
        <v>88</v>
      </c>
      <c r="I116" s="9">
        <f t="shared" si="8"/>
        <v>120</v>
      </c>
      <c r="J116" s="9">
        <f t="shared" si="9"/>
        <v>1.2</v>
      </c>
      <c r="K116" s="12" t="s">
        <v>573</v>
      </c>
    </row>
    <row r="117" spans="1:11" ht="79.95" customHeight="1" x14ac:dyDescent="0.35">
      <c r="A117" s="9" t="s">
        <v>578</v>
      </c>
      <c r="B117" s="10" t="s">
        <v>579</v>
      </c>
      <c r="C117" s="11" t="s">
        <v>108</v>
      </c>
      <c r="D117" s="9" t="s">
        <v>349</v>
      </c>
      <c r="E117" s="11" t="s">
        <v>294</v>
      </c>
      <c r="F117" s="9">
        <v>1</v>
      </c>
      <c r="G117" s="9" t="s">
        <v>286</v>
      </c>
      <c r="H117" s="38" t="s">
        <v>88</v>
      </c>
      <c r="I117" s="9">
        <f t="shared" si="8"/>
        <v>150</v>
      </c>
      <c r="J117" s="9">
        <f t="shared" si="9"/>
        <v>1.5</v>
      </c>
      <c r="K117" s="12" t="s">
        <v>580</v>
      </c>
    </row>
    <row r="118" spans="1:11" ht="66" customHeight="1" x14ac:dyDescent="0.35">
      <c r="A118" s="9" t="s">
        <v>581</v>
      </c>
      <c r="B118" s="10" t="s">
        <v>582</v>
      </c>
      <c r="C118" s="11" t="s">
        <v>108</v>
      </c>
      <c r="D118" s="9" t="s">
        <v>349</v>
      </c>
      <c r="E118" s="11" t="s">
        <v>583</v>
      </c>
      <c r="F118" s="9">
        <v>1</v>
      </c>
      <c r="G118" s="9" t="s">
        <v>144</v>
      </c>
      <c r="H118" s="38" t="s">
        <v>88</v>
      </c>
      <c r="I118" s="9">
        <f t="shared" si="8"/>
        <v>120</v>
      </c>
      <c r="J118" s="9">
        <f t="shared" si="9"/>
        <v>1.2</v>
      </c>
      <c r="K118" s="12" t="s">
        <v>580</v>
      </c>
    </row>
    <row r="119" spans="1:11" ht="66" customHeight="1" x14ac:dyDescent="0.35">
      <c r="A119" s="9" t="s">
        <v>584</v>
      </c>
      <c r="B119" s="10" t="s">
        <v>585</v>
      </c>
      <c r="C119" s="11" t="s">
        <v>108</v>
      </c>
      <c r="D119" s="9" t="s">
        <v>349</v>
      </c>
      <c r="E119" s="11" t="s">
        <v>586</v>
      </c>
      <c r="F119" s="9">
        <v>1</v>
      </c>
      <c r="G119" s="9" t="s">
        <v>144</v>
      </c>
      <c r="H119" s="38" t="s">
        <v>88</v>
      </c>
      <c r="I119" s="9">
        <f t="shared" si="8"/>
        <v>120</v>
      </c>
      <c r="J119" s="9">
        <f t="shared" si="9"/>
        <v>1.2</v>
      </c>
      <c r="K119" s="12" t="s">
        <v>580</v>
      </c>
    </row>
    <row r="120" spans="1:11" ht="96" customHeight="1" x14ac:dyDescent="0.35">
      <c r="A120" s="27" t="s">
        <v>587</v>
      </c>
      <c r="B120" s="40" t="s">
        <v>224</v>
      </c>
      <c r="C120" s="29" t="s">
        <v>108</v>
      </c>
      <c r="D120" s="27" t="s">
        <v>284</v>
      </c>
      <c r="E120" s="29" t="s">
        <v>588</v>
      </c>
      <c r="F120" s="27">
        <v>1</v>
      </c>
      <c r="G120" s="27" t="s">
        <v>286</v>
      </c>
      <c r="H120" s="27" t="s">
        <v>88</v>
      </c>
      <c r="I120" s="27">
        <f t="shared" si="8"/>
        <v>150</v>
      </c>
      <c r="J120" s="27">
        <f t="shared" si="9"/>
        <v>1.5</v>
      </c>
      <c r="K120" s="30" t="s">
        <v>222</v>
      </c>
    </row>
    <row r="121" spans="1:11" ht="144" customHeight="1" x14ac:dyDescent="0.35">
      <c r="A121" s="27" t="s">
        <v>589</v>
      </c>
      <c r="B121" s="40" t="s">
        <v>229</v>
      </c>
      <c r="C121" s="29" t="s">
        <v>108</v>
      </c>
      <c r="D121" s="27" t="s">
        <v>284</v>
      </c>
      <c r="E121" s="29" t="s">
        <v>590</v>
      </c>
      <c r="F121" s="27">
        <v>1</v>
      </c>
      <c r="G121" s="27" t="s">
        <v>286</v>
      </c>
      <c r="H121" s="27" t="s">
        <v>88</v>
      </c>
      <c r="I121" s="27">
        <f t="shared" si="8"/>
        <v>150</v>
      </c>
      <c r="J121" s="27">
        <f t="shared" si="9"/>
        <v>1.5</v>
      </c>
      <c r="K121" s="30" t="s">
        <v>222</v>
      </c>
    </row>
    <row r="122" spans="1:11" ht="66" customHeight="1" x14ac:dyDescent="0.35">
      <c r="A122" s="27" t="s">
        <v>591</v>
      </c>
      <c r="B122" s="40" t="s">
        <v>234</v>
      </c>
      <c r="C122" s="29" t="s">
        <v>108</v>
      </c>
      <c r="D122" s="27" t="s">
        <v>349</v>
      </c>
      <c r="E122" s="29" t="s">
        <v>592</v>
      </c>
      <c r="F122" s="27">
        <v>1</v>
      </c>
      <c r="G122" s="27" t="s">
        <v>286</v>
      </c>
      <c r="H122" s="27" t="s">
        <v>88</v>
      </c>
      <c r="I122" s="27">
        <f t="shared" si="8"/>
        <v>150</v>
      </c>
      <c r="J122" s="27">
        <f t="shared" si="9"/>
        <v>1.5</v>
      </c>
      <c r="K122" s="30" t="s">
        <v>232</v>
      </c>
    </row>
    <row r="123" spans="1:11" ht="66" customHeight="1" x14ac:dyDescent="0.35">
      <c r="A123" s="27" t="s">
        <v>593</v>
      </c>
      <c r="B123" s="40" t="s">
        <v>240</v>
      </c>
      <c r="C123" s="29" t="s">
        <v>108</v>
      </c>
      <c r="D123" s="27" t="s">
        <v>290</v>
      </c>
      <c r="E123" s="29" t="s">
        <v>311</v>
      </c>
      <c r="F123" s="27">
        <v>1</v>
      </c>
      <c r="G123" s="27" t="s">
        <v>286</v>
      </c>
      <c r="H123" s="27" t="s">
        <v>88</v>
      </c>
      <c r="I123" s="27">
        <f t="shared" si="8"/>
        <v>150</v>
      </c>
      <c r="J123" s="27">
        <f t="shared" si="9"/>
        <v>1.5</v>
      </c>
      <c r="K123" s="30" t="s">
        <v>238</v>
      </c>
    </row>
    <row r="125" spans="1:11" ht="130.05000000000001" customHeight="1" x14ac:dyDescent="0.35">
      <c r="A125" s="62" t="s">
        <v>594</v>
      </c>
      <c r="B125" s="50"/>
      <c r="E125" s="51" t="s">
        <v>595</v>
      </c>
      <c r="F125" s="52"/>
      <c r="G125" s="52"/>
      <c r="H125" s="52"/>
      <c r="I125" s="52"/>
      <c r="J125" s="52"/>
      <c r="K125" s="52"/>
    </row>
  </sheetData>
  <mergeCells count="30">
    <mergeCell ref="A125:B125"/>
    <mergeCell ref="H8:H9"/>
    <mergeCell ref="J8:J9"/>
    <mergeCell ref="B82:K82"/>
    <mergeCell ref="E2:K2"/>
    <mergeCell ref="E125:K125"/>
    <mergeCell ref="A6:K6"/>
    <mergeCell ref="F8:F9"/>
    <mergeCell ref="A7:K7"/>
    <mergeCell ref="E3:K3"/>
    <mergeCell ref="B47:K47"/>
    <mergeCell ref="B62:K62"/>
    <mergeCell ref="A3:B3"/>
    <mergeCell ref="A8:A9"/>
    <mergeCell ref="B71:K71"/>
    <mergeCell ref="C8:C9"/>
    <mergeCell ref="I8:I9"/>
    <mergeCell ref="K8:K9"/>
    <mergeCell ref="D8:D9"/>
    <mergeCell ref="B12:K12"/>
    <mergeCell ref="B86:K86"/>
    <mergeCell ref="E8:E9"/>
    <mergeCell ref="G8:G9"/>
    <mergeCell ref="B74:K74"/>
    <mergeCell ref="B8:B9"/>
    <mergeCell ref="A1:B1"/>
    <mergeCell ref="A2:B2"/>
    <mergeCell ref="B11:K11"/>
    <mergeCell ref="A5:K5"/>
    <mergeCell ref="E1:K1"/>
  </mergeCells>
  <conditionalFormatting sqref="B14:B15">
    <cfRule type="dataBar" priority="32">
      <dataBar>
        <cfvo type="min"/>
        <cfvo type="max"/>
        <color rgb="FF638EC6"/>
      </dataBar>
    </cfRule>
  </conditionalFormatting>
  <conditionalFormatting sqref="B15">
    <cfRule type="dataBar" priority="31">
      <dataBar>
        <cfvo type="min"/>
        <cfvo type="max"/>
        <color rgb="FF638EC6"/>
      </dataBar>
    </cfRule>
  </conditionalFormatting>
  <conditionalFormatting sqref="B16:B23">
    <cfRule type="dataBar" priority="25">
      <dataBar>
        <cfvo type="min"/>
        <cfvo type="max"/>
        <color rgb="FF638EC6"/>
      </dataBar>
    </cfRule>
  </conditionalFormatting>
  <conditionalFormatting sqref="B33">
    <cfRule type="dataBar" priority="15">
      <dataBar>
        <cfvo type="min"/>
        <cfvo type="max"/>
        <color rgb="FF638EC6"/>
      </dataBar>
    </cfRule>
    <cfRule type="dataBar" priority="16">
      <dataBar>
        <cfvo type="min"/>
        <cfvo type="max"/>
        <color rgb="FF638EC6"/>
      </dataBar>
    </cfRule>
  </conditionalFormatting>
  <conditionalFormatting sqref="B41">
    <cfRule type="dataBar" priority="7">
      <dataBar>
        <cfvo type="min"/>
        <cfvo type="max"/>
        <color rgb="FF638EC6"/>
      </dataBar>
    </cfRule>
  </conditionalFormatting>
  <conditionalFormatting sqref="B41:B43">
    <cfRule type="dataBar" priority="8">
      <dataBar>
        <cfvo type="min"/>
        <cfvo type="max"/>
        <color rgb="FF638EC6"/>
      </dataBar>
    </cfRule>
  </conditionalFormatting>
  <conditionalFormatting sqref="B51">
    <cfRule type="dataBar" priority="123">
      <dataBar>
        <cfvo type="min"/>
        <cfvo type="max"/>
        <color rgb="FF638EC6"/>
      </dataBar>
    </cfRule>
    <cfRule type="dataBar" priority="124">
      <dataBar>
        <cfvo type="min"/>
        <cfvo type="max"/>
        <color rgb="FF638EC6"/>
      </dataBar>
    </cfRule>
  </conditionalFormatting>
  <conditionalFormatting sqref="B55:B56">
    <cfRule type="dataBar" priority="109">
      <dataBar>
        <cfvo type="min"/>
        <cfvo type="max"/>
        <color rgb="FF638EC6"/>
      </dataBar>
    </cfRule>
    <cfRule type="dataBar" priority="110">
      <dataBar>
        <cfvo type="min"/>
        <cfvo type="max"/>
        <color rgb="FF638EC6"/>
      </dataBar>
    </cfRule>
  </conditionalFormatting>
  <conditionalFormatting sqref="B67">
    <cfRule type="dataBar" priority="52">
      <dataBar>
        <cfvo type="min"/>
        <cfvo type="max"/>
        <color rgb="FF638EC6"/>
      </dataBar>
    </cfRule>
  </conditionalFormatting>
  <conditionalFormatting sqref="B68">
    <cfRule type="dataBar" priority="1">
      <dataBar>
        <cfvo type="min"/>
        <cfvo type="max"/>
        <color rgb="FF638EC6"/>
      </dataBar>
    </cfRule>
    <cfRule type="dataBar" priority="2">
      <dataBar>
        <cfvo type="min"/>
        <cfvo type="max"/>
        <color rgb="FF638EC6"/>
      </dataBar>
    </cfRule>
  </conditionalFormatting>
  <conditionalFormatting sqref="B69:B71">
    <cfRule type="dataBar" priority="61">
      <dataBar>
        <cfvo type="min"/>
        <cfvo type="max"/>
        <color rgb="FF638EC6"/>
      </dataBar>
    </cfRule>
  </conditionalFormatting>
  <conditionalFormatting sqref="B74">
    <cfRule type="dataBar" priority="47">
      <dataBar>
        <cfvo type="min"/>
        <cfvo type="max"/>
        <color rgb="FF638EC6"/>
      </dataBar>
    </cfRule>
  </conditionalFormatting>
  <conditionalFormatting sqref="B75:B76">
    <cfRule type="dataBar" priority="46">
      <dataBar>
        <cfvo type="min"/>
        <cfvo type="max"/>
        <color rgb="FF638EC6"/>
      </dataBar>
    </cfRule>
  </conditionalFormatting>
  <conditionalFormatting sqref="B77:B79">
    <cfRule type="dataBar" priority="43">
      <dataBar>
        <cfvo type="min"/>
        <cfvo type="max"/>
        <color rgb="FF638EC6"/>
      </dataBar>
    </cfRule>
  </conditionalFormatting>
  <conditionalFormatting sqref="B80">
    <cfRule type="dataBar" priority="36">
      <dataBar>
        <cfvo type="min"/>
        <cfvo type="max"/>
        <color rgb="FF638EC6"/>
      </dataBar>
    </cfRule>
  </conditionalFormatting>
  <conditionalFormatting sqref="C14:C15">
    <cfRule type="dataBar" priority="33">
      <dataBar>
        <cfvo type="min"/>
        <cfvo type="max"/>
        <color rgb="FF638EC6"/>
      </dataBar>
    </cfRule>
    <cfRule type="dataBar" priority="34">
      <dataBar>
        <cfvo type="min"/>
        <cfvo type="max"/>
        <color rgb="FF638EC6"/>
      </dataBar>
    </cfRule>
  </conditionalFormatting>
  <conditionalFormatting sqref="C16">
    <cfRule type="dataBar" priority="26">
      <dataBar>
        <cfvo type="min"/>
        <cfvo type="max"/>
        <color rgb="FF638EC6"/>
      </dataBar>
    </cfRule>
  </conditionalFormatting>
  <conditionalFormatting sqref="C17:C23">
    <cfRule type="dataBar" priority="4">
      <dataBar>
        <cfvo type="min"/>
        <cfvo type="max"/>
        <color rgb="FF638EC6"/>
      </dataBar>
    </cfRule>
  </conditionalFormatting>
  <conditionalFormatting sqref="C27:C30">
    <cfRule type="dataBar" priority="23">
      <dataBar>
        <cfvo type="min"/>
        <cfvo type="max"/>
        <color rgb="FF638EC6"/>
      </dataBar>
    </cfRule>
    <cfRule type="dataBar" priority="24">
      <dataBar>
        <cfvo type="min"/>
        <cfvo type="max"/>
        <color rgb="FF638EC6"/>
      </dataBar>
    </cfRule>
  </conditionalFormatting>
  <conditionalFormatting sqref="C31">
    <cfRule type="dataBar" priority="1002">
      <dataBar>
        <cfvo type="min"/>
        <cfvo type="max"/>
        <color rgb="FF638EC6"/>
      </dataBar>
    </cfRule>
  </conditionalFormatting>
  <conditionalFormatting sqref="C33">
    <cfRule type="dataBar" priority="17">
      <dataBar>
        <cfvo type="min"/>
        <cfvo type="max"/>
        <color rgb="FF638EC6"/>
      </dataBar>
    </cfRule>
    <cfRule type="dataBar" priority="18">
      <dataBar>
        <cfvo type="min"/>
        <cfvo type="max"/>
        <color rgb="FF638EC6"/>
      </dataBar>
    </cfRule>
  </conditionalFormatting>
  <conditionalFormatting sqref="C38">
    <cfRule type="dataBar" priority="388">
      <dataBar>
        <cfvo type="min"/>
        <cfvo type="max"/>
        <color rgb="FF638EC6"/>
      </dataBar>
    </cfRule>
  </conditionalFormatting>
  <conditionalFormatting sqref="C40">
    <cfRule type="dataBar" priority="382">
      <dataBar>
        <cfvo type="min"/>
        <cfvo type="max"/>
        <color rgb="FF638EC6"/>
      </dataBar>
    </cfRule>
  </conditionalFormatting>
  <conditionalFormatting sqref="C41">
    <cfRule type="dataBar" priority="9">
      <dataBar>
        <cfvo type="min"/>
        <cfvo type="max"/>
        <color rgb="FF638EC6"/>
      </dataBar>
    </cfRule>
    <cfRule type="dataBar" priority="10">
      <dataBar>
        <cfvo type="min"/>
        <cfvo type="max"/>
        <color rgb="FF638EC6"/>
      </dataBar>
    </cfRule>
  </conditionalFormatting>
  <conditionalFormatting sqref="C42:C43">
    <cfRule type="dataBar" priority="11">
      <dataBar>
        <cfvo type="min"/>
        <cfvo type="max"/>
        <color rgb="FF638EC6"/>
      </dataBar>
    </cfRule>
    <cfRule type="dataBar" priority="12">
      <dataBar>
        <cfvo type="min"/>
        <cfvo type="max"/>
        <color rgb="FF638EC6"/>
      </dataBar>
    </cfRule>
  </conditionalFormatting>
  <conditionalFormatting sqref="C45">
    <cfRule type="dataBar" priority="362">
      <dataBar>
        <cfvo type="min"/>
        <cfvo type="max"/>
        <color rgb="FF638EC6"/>
      </dataBar>
    </cfRule>
  </conditionalFormatting>
  <conditionalFormatting sqref="C46">
    <cfRule type="dataBar" priority="99">
      <dataBar>
        <cfvo type="min"/>
        <cfvo type="max"/>
        <color rgb="FF638EC6"/>
      </dataBar>
    </cfRule>
    <cfRule type="dataBar" priority="100">
      <dataBar>
        <cfvo type="min"/>
        <cfvo type="max"/>
        <color rgb="FF638EC6"/>
      </dataBar>
    </cfRule>
  </conditionalFormatting>
  <conditionalFormatting sqref="C47">
    <cfRule type="dataBar" priority="361">
      <dataBar>
        <cfvo type="min"/>
        <cfvo type="max"/>
        <color rgb="FF638EC6"/>
      </dataBar>
    </cfRule>
  </conditionalFormatting>
  <conditionalFormatting sqref="C48:C50">
    <cfRule type="dataBar" priority="62">
      <dataBar>
        <cfvo type="min"/>
        <cfvo type="max"/>
        <color rgb="FF638EC6"/>
      </dataBar>
    </cfRule>
  </conditionalFormatting>
  <conditionalFormatting sqref="C51">
    <cfRule type="dataBar" priority="125">
      <dataBar>
        <cfvo type="min"/>
        <cfvo type="max"/>
        <color rgb="FF638EC6"/>
      </dataBar>
    </cfRule>
    <cfRule type="dataBar" priority="126">
      <dataBar>
        <cfvo type="min"/>
        <cfvo type="max"/>
        <color rgb="FF638EC6"/>
      </dataBar>
    </cfRule>
  </conditionalFormatting>
  <conditionalFormatting sqref="C52">
    <cfRule type="dataBar" priority="127">
      <dataBar>
        <cfvo type="min"/>
        <cfvo type="max"/>
        <color rgb="FF638EC6"/>
      </dataBar>
    </cfRule>
    <cfRule type="dataBar" priority="128">
      <dataBar>
        <cfvo type="min"/>
        <cfvo type="max"/>
        <color rgb="FF638EC6"/>
      </dataBar>
    </cfRule>
  </conditionalFormatting>
  <conditionalFormatting sqref="C55:C56">
    <cfRule type="dataBar" priority="115">
      <dataBar>
        <cfvo type="min"/>
        <cfvo type="max"/>
        <color rgb="FF638EC6"/>
      </dataBar>
    </cfRule>
    <cfRule type="dataBar" priority="116">
      <dataBar>
        <cfvo type="min"/>
        <cfvo type="max"/>
        <color rgb="FF638EC6"/>
      </dataBar>
    </cfRule>
  </conditionalFormatting>
  <conditionalFormatting sqref="C67">
    <cfRule type="dataBar" priority="53">
      <dataBar>
        <cfvo type="min"/>
        <cfvo type="max"/>
        <color rgb="FF638EC6"/>
      </dataBar>
    </cfRule>
    <cfRule type="dataBar" priority="54">
      <dataBar>
        <cfvo type="min"/>
        <cfvo type="max"/>
        <color rgb="FF638EC6"/>
      </dataBar>
    </cfRule>
  </conditionalFormatting>
  <conditionalFormatting sqref="C68">
    <cfRule type="dataBar" priority="3">
      <dataBar>
        <cfvo type="min"/>
        <cfvo type="max"/>
        <color rgb="FF638EC6"/>
      </dataBar>
    </cfRule>
  </conditionalFormatting>
  <conditionalFormatting sqref="C69">
    <cfRule type="dataBar" priority="57">
      <dataBar>
        <cfvo type="min"/>
        <cfvo type="max"/>
        <color rgb="FF638EC6"/>
      </dataBar>
    </cfRule>
    <cfRule type="dataBar" priority="58">
      <dataBar>
        <cfvo type="min"/>
        <cfvo type="max"/>
        <color rgb="FF638EC6"/>
      </dataBar>
    </cfRule>
  </conditionalFormatting>
  <conditionalFormatting sqref="C70">
    <cfRule type="dataBar" priority="59">
      <dataBar>
        <cfvo type="min"/>
        <cfvo type="max"/>
        <color rgb="FF638EC6"/>
      </dataBar>
    </cfRule>
    <cfRule type="dataBar" priority="60">
      <dataBar>
        <cfvo type="min"/>
        <cfvo type="max"/>
        <color rgb="FF638EC6"/>
      </dataBar>
    </cfRule>
  </conditionalFormatting>
  <conditionalFormatting sqref="C71">
    <cfRule type="dataBar" priority="55">
      <dataBar>
        <cfvo type="min"/>
        <cfvo type="max"/>
        <color rgb="FF638EC6"/>
      </dataBar>
    </cfRule>
    <cfRule type="dataBar" priority="56">
      <dataBar>
        <cfvo type="min"/>
        <cfvo type="max"/>
        <color rgb="FF638EC6"/>
      </dataBar>
    </cfRule>
  </conditionalFormatting>
  <conditionalFormatting sqref="C75:C76">
    <cfRule type="dataBar" priority="44">
      <dataBar>
        <cfvo type="min"/>
        <cfvo type="max"/>
        <color rgb="FF638EC6"/>
      </dataBar>
    </cfRule>
    <cfRule type="dataBar" priority="45">
      <dataBar>
        <cfvo type="min"/>
        <cfvo type="max"/>
        <color rgb="FF638EC6"/>
      </dataBar>
    </cfRule>
  </conditionalFormatting>
  <conditionalFormatting sqref="C77">
    <cfRule type="dataBar" priority="40">
      <dataBar>
        <cfvo type="min"/>
        <cfvo type="max"/>
        <color rgb="FF638EC6"/>
      </dataBar>
    </cfRule>
    <cfRule type="dataBar" priority="41">
      <dataBar>
        <cfvo type="min"/>
        <cfvo type="max"/>
        <color rgb="FF638EC6"/>
      </dataBar>
    </cfRule>
  </conditionalFormatting>
  <conditionalFormatting sqref="C78">
    <cfRule type="dataBar" priority="42">
      <dataBar>
        <cfvo type="min"/>
        <cfvo type="max"/>
        <color rgb="FF638EC6"/>
      </dataBar>
    </cfRule>
  </conditionalFormatting>
  <conditionalFormatting sqref="C79">
    <cfRule type="dataBar" priority="39">
      <dataBar>
        <cfvo type="min"/>
        <cfvo type="max"/>
        <color rgb="FF638EC6"/>
      </dataBar>
    </cfRule>
  </conditionalFormatting>
  <conditionalFormatting sqref="C80">
    <cfRule type="dataBar" priority="35">
      <dataBar>
        <cfvo type="min"/>
        <cfvo type="max"/>
        <color rgb="FF638EC6"/>
      </dataBar>
    </cfRule>
  </conditionalFormatting>
  <conditionalFormatting sqref="D27:D30">
    <cfRule type="dataBar" priority="19">
      <dataBar>
        <cfvo type="min"/>
        <cfvo type="max"/>
        <color rgb="FF638EC6"/>
      </dataBar>
    </cfRule>
    <cfRule type="dataBar" priority="20">
      <dataBar>
        <cfvo type="min"/>
        <cfvo type="max"/>
        <color rgb="FF638EC6"/>
      </dataBar>
    </cfRule>
  </conditionalFormatting>
  <conditionalFormatting sqref="D38">
    <cfRule type="dataBar" priority="387">
      <dataBar>
        <cfvo type="min"/>
        <cfvo type="max"/>
        <color rgb="FF638EC6"/>
      </dataBar>
    </cfRule>
  </conditionalFormatting>
  <conditionalFormatting sqref="D46">
    <cfRule type="dataBar" priority="97">
      <dataBar>
        <cfvo type="min"/>
        <cfvo type="max"/>
        <color rgb="FF638EC6"/>
      </dataBar>
    </cfRule>
    <cfRule type="dataBar" priority="98">
      <dataBar>
        <cfvo type="min"/>
        <cfvo type="max"/>
        <color rgb="FF638EC6"/>
      </dataBar>
    </cfRule>
  </conditionalFormatting>
  <conditionalFormatting sqref="D52">
    <cfRule type="dataBar" priority="121">
      <dataBar>
        <cfvo type="min"/>
        <cfvo type="max"/>
        <color rgb="FF638EC6"/>
      </dataBar>
    </cfRule>
    <cfRule type="dataBar" priority="122">
      <dataBar>
        <cfvo type="min"/>
        <cfvo type="max"/>
        <color rgb="FF638EC6"/>
      </dataBar>
    </cfRule>
  </conditionalFormatting>
  <conditionalFormatting sqref="D77">
    <cfRule type="dataBar" priority="37">
      <dataBar>
        <cfvo type="min"/>
        <cfvo type="max"/>
        <color rgb="FF638EC6"/>
      </dataBar>
    </cfRule>
    <cfRule type="dataBar" priority="38">
      <dataBar>
        <cfvo type="min"/>
        <cfvo type="max"/>
        <color rgb="FF638EC6"/>
      </dataBar>
    </cfRule>
  </conditionalFormatting>
  <conditionalFormatting sqref="D14:E15">
    <cfRule type="dataBar" priority="27">
      <dataBar>
        <cfvo type="min"/>
        <cfvo type="max"/>
        <color rgb="FF638EC6"/>
      </dataBar>
    </cfRule>
    <cfRule type="dataBar" priority="29">
      <dataBar>
        <cfvo type="min"/>
        <cfvo type="max"/>
        <color rgb="FF638EC6"/>
      </dataBar>
    </cfRule>
  </conditionalFormatting>
  <conditionalFormatting sqref="D51:E51 G51">
    <cfRule type="dataBar" priority="119">
      <dataBar>
        <cfvo type="min"/>
        <cfvo type="max"/>
        <color rgb="FF638EC6"/>
      </dataBar>
    </cfRule>
    <cfRule type="dataBar" priority="120">
      <dataBar>
        <cfvo type="min"/>
        <cfvo type="max"/>
        <color rgb="FF638EC6"/>
      </dataBar>
    </cfRule>
  </conditionalFormatting>
  <conditionalFormatting sqref="D71:E71">
    <cfRule type="dataBar" priority="48">
      <dataBar>
        <cfvo type="min"/>
        <cfvo type="max"/>
        <color rgb="FF638EC6"/>
      </dataBar>
    </cfRule>
    <cfRule type="dataBar" priority="50">
      <dataBar>
        <cfvo type="min"/>
        <cfvo type="max"/>
        <color rgb="FF638EC6"/>
      </dataBar>
    </cfRule>
  </conditionalFormatting>
  <conditionalFormatting sqref="E27:E30">
    <cfRule type="dataBar" priority="21">
      <dataBar>
        <cfvo type="min"/>
        <cfvo type="max"/>
        <color rgb="FF638EC6"/>
      </dataBar>
    </cfRule>
    <cfRule type="dataBar" priority="22">
      <dataBar>
        <cfvo type="min"/>
        <cfvo type="max"/>
        <color rgb="FF638EC6"/>
      </dataBar>
    </cfRule>
  </conditionalFormatting>
  <conditionalFormatting sqref="E41">
    <cfRule type="dataBar" priority="5">
      <dataBar>
        <cfvo type="min"/>
        <cfvo type="max"/>
        <color rgb="FF638EC6"/>
      </dataBar>
    </cfRule>
    <cfRule type="dataBar" priority="6">
      <dataBar>
        <cfvo type="min"/>
        <cfvo type="max"/>
        <color rgb="FF638EC6"/>
      </dataBar>
    </cfRule>
  </conditionalFormatting>
  <conditionalFormatting sqref="E52">
    <cfRule type="dataBar" priority="117">
      <dataBar>
        <cfvo type="min"/>
        <cfvo type="max"/>
        <color rgb="FF638EC6"/>
      </dataBar>
    </cfRule>
    <cfRule type="dataBar" priority="118">
      <dataBar>
        <cfvo type="min"/>
        <cfvo type="max"/>
        <color rgb="FF638EC6"/>
      </dataBar>
    </cfRule>
  </conditionalFormatting>
  <conditionalFormatting sqref="G14:G15">
    <cfRule type="dataBar" priority="28">
      <dataBar>
        <cfvo type="min"/>
        <cfvo type="max"/>
        <color rgb="FF638EC6"/>
      </dataBar>
    </cfRule>
    <cfRule type="dataBar" priority="30">
      <dataBar>
        <cfvo type="min"/>
        <cfvo type="max"/>
        <color rgb="FF638EC6"/>
      </dataBar>
    </cfRule>
  </conditionalFormatting>
  <conditionalFormatting sqref="G71">
    <cfRule type="dataBar" priority="49">
      <dataBar>
        <cfvo type="min"/>
        <cfvo type="max"/>
        <color rgb="FF638EC6"/>
      </dataBar>
    </cfRule>
    <cfRule type="dataBar" priority="51">
      <dataBar>
        <cfvo type="min"/>
        <cfvo type="max"/>
        <color rgb="FF638EC6"/>
      </dataBar>
    </cfRule>
  </conditionalFormatting>
  <conditionalFormatting sqref="K33">
    <cfRule type="dataBar" priority="13">
      <dataBar>
        <cfvo type="min"/>
        <cfvo type="max"/>
        <color rgb="FF638EC6"/>
      </dataBar>
    </cfRule>
    <cfRule type="dataBar" priority="14">
      <dataBar>
        <cfvo type="min"/>
        <cfvo type="max"/>
        <color rgb="FF638EC6"/>
      </dataBar>
    </cfRule>
  </conditionalFormatting>
  <conditionalFormatting sqref="K46">
    <cfRule type="dataBar" priority="1005">
      <dataBar>
        <cfvo type="min"/>
        <cfvo type="max"/>
        <color rgb="FF638EC6"/>
      </dataBar>
    </cfRule>
    <cfRule type="dataBar" priority="1006">
      <dataBar>
        <cfvo type="min"/>
        <cfvo type="max"/>
        <color rgb="FF638EC6"/>
      </dataBar>
    </cfRule>
  </conditionalFormatting>
  <dataValidations count="10">
    <dataValidation type="list" allowBlank="1" showInputMessage="1" sqref="G13:G23 G25:G42 G44:G49 G51:G80" xr:uid="{00000000-0002-0000-0100-000000000000}">
      <formula1>"Thấp,Trung bình,Cao,Khó và phức tạp"</formula1>
    </dataValidation>
    <dataValidation type="list" allowBlank="1" showInputMessage="1" sqref="E13:E23 E25:E45 E47:E49 E51:E67 E69:E73 E75:E77" xr:uid="{00000000-0002-0000-01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13:C15 C25:C32 C38:C49 C51:C67 C69:C73 C75:C80" xr:uid="{00000000-0002-0000-0100-000002000000}">
      <formula1>"Hiệu trưởng, PHT Nguyễn Trung Hiếu, PHT Huỳnh Văn Chung, PHT Dương Văn Anh Dũng, Bí thư Đảng uỷ, Phó Bí thư Đảng uỷ, Uỷ viên BTV, Chủ tịch Công đoàn, Bí thư ĐTN, Chủ tịch HSV"</formula1>
    </dataValidation>
    <dataValidation allowBlank="1" showInputMessage="1" sqref="E31 E45 E47 E65:E66 E78:E79 H13:H22 H25:K44 H45:J80 I13:K23 K45:K47" xr:uid="{00000000-0002-0000-0100-000003000000}"/>
    <dataValidation type="list" allowBlank="1" showErrorMessage="1" sqref="E13 E31 E48:E49 E51:E56 E68:E73" xr:uid="{00000000-0002-0000-0100-000004000000}">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InputMessage="1" sqref="D31 D48:D49 D51:D56 D65:D66 D69:D73 D80" xr:uid="{00000000-0002-0000-0100-000005000000}">
      <formula1>"Phòng QLĐT &amp;BĐCL, Phòng TH -HC&amp;QT, Phòng QLKHCN &amp;HTPT, Phòng TC-KT, Phòng  TCCB&amp;CTHSSV, Khoa Sư phạm, Khoa CKHCB, Khoa KT&amp;NL, Khoa Y – Dược, Khoa ĐT&amp;SHLX, Khoa KT&amp;CN"</formula1>
    </dataValidation>
    <dataValidation type="list" allowBlank="1" showInputMessage="1" sqref="D13:E13 D14:D17 D18:E23 D25:D38 D41:D47 D51:D68 D71:D73 D77:D79 E17 E42:E45" xr:uid="{00000000-0002-0000-0100-000006000000}">
      <formula1>"Phòng QLĐT&amp;BĐCL, Phòng TH-HC&amp;QT, Phòng QLKHCN&amp;HTPT, Phòng TC-KT, Phòng  TCCB&amp;CTHSSV, Khoa Sư phạm, Khoa CKHCB, Khoa KT&amp;NL, Khoa Y – Dược, Khoa ĐT&amp;SHLX, Khoa KT&amp;CN"</formula1>
    </dataValidation>
    <dataValidation type="list" allowBlank="1" showInputMessage="1" showErrorMessage="1" sqref="C13 C16" xr:uid="{00000000-0002-0000-0100-000007000000}">
      <formula1>"Hiệu trưởng, PHT Nguyễn Trung Hiếu, PHT Huỳnh Văn Chung, PHT Dương Văn Anh Dũng"</formula1>
    </dataValidation>
    <dataValidation type="list" allowBlank="1" sqref="C32:C37 C57:C65" xr:uid="{00000000-0002-0000-0100-000008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howErrorMessage="1" sqref="C17:C23 C68" xr:uid="{00000000-0002-0000-0100-000009000000}">
      <formula1>"Hiệu trưởng,PHT Nguyễn Trung Hiếu,PHT Huỳnh Văn Chung,PHT Dương Văn Anh Dũng"</formula1>
    </dataValidation>
  </dataValidations>
  <printOptions horizontalCentered="1"/>
  <pageMargins left="0.5" right="0.5" top="0.5" bottom="0.5" header="0.05" footer="0.31496063000000002"/>
  <pageSetup paperSize="9" orientation="landscape"/>
  <headerFooter differentFirst="1">
    <oddHeader>&amp;C&amp;"Times New Roman,Regular"&amp;14 &amp;P</oddHeader>
  </headerFooter>
  <rowBreaks count="5" manualBreakCount="5">
    <brk id="26" max="16383" man="1"/>
    <brk id="33" max="10" man="1"/>
    <brk id="55" max="10" man="1"/>
    <brk id="62" max="10" man="1"/>
    <brk id="65" max="10" man="1"/>
  </rowBreak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Quy ước màu</vt:lpstr>
      <vt:lpstr>KH tháng 11</vt:lpstr>
      <vt:lpstr>'KH tháng 11'!Print_Area</vt:lpstr>
      <vt:lpstr>'KH tháng 11'!Print_Titles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Phục</cp:lastModifiedBy>
  <cp:lastPrinted>2026-10-02T03:55:19Z</cp:lastPrinted>
  <dcterms:created xsi:type="dcterms:W3CDTF">2026-05-27T07:08:41Z</dcterms:created>
  <dcterms:modified xsi:type="dcterms:W3CDTF">2026-10-23T09:36:30Z</dcterms:modified>
</cp:coreProperties>
</file>