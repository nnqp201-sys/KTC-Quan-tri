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xmlns:r="http://schemas.openxmlformats.org/officeDocument/2006/relationships" name="BC Kết quả tháng 9" sheetId="1" state="visible" r:id="rId1"/>
  </sheets>
  <definedNames>
    <definedName name="_xlnm.Print_Titles" localSheetId="0">'BC Kết quả tháng 9'!$5:$6</definedName>
    <definedName name="_xlnm.Print_Area" localSheetId="0">'BC Kết quả tháng 9'!$A$1:$P$68</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_(* #,##0.0_);_(* \(#,##0.0\);_(* &quot;-&quot;??_);_(@_)"/>
  </numFmts>
  <fonts count="26">
    <font>
      <name val="Arial"/>
      <family val="2"/>
      <color theme="1"/>
      <sz val="11"/>
      <scheme val="minor"/>
    </font>
    <font>
      <name val="Times New Roman"/>
      <family val="1"/>
      <b val="1"/>
      <color theme="1"/>
      <sz val="14"/>
    </font>
    <font>
      <name val="Times New Roman"/>
      <family val="1"/>
      <color theme="1"/>
      <sz val="12"/>
    </font>
    <font>
      <name val="Times New Roman"/>
      <family val="1"/>
      <b val="1"/>
      <color theme="1"/>
      <sz val="12"/>
    </font>
    <font>
      <name val="Arial"/>
      <family val="2"/>
      <color theme="1"/>
      <sz val="12"/>
      <scheme val="minor"/>
    </font>
    <font>
      <name val="Times New Roman"/>
      <family val="1"/>
      <b val="1"/>
      <color theme="1"/>
      <sz val="13"/>
    </font>
    <font>
      <name val="Arial"/>
      <family val="2"/>
      <sz val="11"/>
      <scheme val="minor"/>
    </font>
    <font>
      <name val="Times New Roman"/>
      <family val="1"/>
      <sz val="12"/>
    </font>
    <font>
      <name val="Times New Roman"/>
      <charset val="163"/>
      <family val="1"/>
      <sz val="12"/>
    </font>
    <font>
      <name val="Times New Roman"/>
      <family val="1"/>
      <color theme="1"/>
      <sz val="13"/>
    </font>
    <font>
      <name val="Arial"/>
      <family val="2"/>
      <color theme="1"/>
      <sz val="11"/>
      <scheme val="minor"/>
    </font>
    <font>
      <name val="Arial"/>
      <family val="2"/>
      <sz val="8"/>
      <scheme val="minor"/>
    </font>
    <font>
      <name val="Times New Roman"/>
      <family val="1"/>
      <sz val="13"/>
    </font>
    <font>
      <name val="Times New Roman"/>
      <family val="1"/>
      <b val="1"/>
      <sz val="13"/>
    </font>
    <font>
      <name val="Times New Roman"/>
      <charset val="163"/>
      <family val="1"/>
      <sz val="13"/>
    </font>
    <font>
      <name val="Times New Roman"/>
      <family val="1"/>
      <b val="1"/>
      <color theme="0"/>
      <sz val="13"/>
    </font>
    <font>
      <name val="Times New Roman"/>
      <family val="1"/>
      <b val="1"/>
      <sz val="12"/>
    </font>
    <font>
      <name val="Times New Roman"/>
      <charset val="163"/>
      <family val="1"/>
      <b val="1"/>
      <sz val="12"/>
    </font>
    <font>
      <name val="Calibri"/>
      <family val="2"/>
      <sz val="12"/>
    </font>
    <font>
      <name val="Times New Roman"/>
      <charset val="163"/>
      <family val="1"/>
      <sz val="10"/>
    </font>
    <font>
      <name val="Arial"/>
      <family val="2"/>
      <color theme="1"/>
      <sz val="10"/>
      <scheme val="minor"/>
    </font>
    <font>
      <name val="Times New Roman"/>
      <family val="1"/>
      <sz val="14"/>
    </font>
    <font>
      <name val="Times New Roman"/>
      <family val="1"/>
      <color rgb="FF000000"/>
      <sz val="14"/>
    </font>
    <font>
      <name val="Times New Roman"/>
      <family val="2"/>
      <color theme="1"/>
      <sz val="11"/>
      <scheme val="minor"/>
    </font>
    <font>
      <name val="Times New Roman"/>
      <family val="2"/>
      <color theme="1"/>
      <sz val="12"/>
      <scheme val="minor"/>
    </font>
    <font>
      <name val="Times New Roman"/>
      <sz val="11"/>
    </font>
  </fonts>
  <fills count="2">
    <fill>
      <patternFill/>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10" fillId="0" borderId="0"/>
    <xf numFmtId="43" fontId="10" fillId="0" borderId="0"/>
  </cellStyleXfs>
  <cellXfs count="60">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1" fillId="0" borderId="0" applyAlignment="1" pivotButton="0" quotePrefix="0" xfId="0">
      <alignment vertical="center" wrapText="1"/>
    </xf>
    <xf numFmtId="0" fontId="0" fillId="0" borderId="0" applyAlignment="1" pivotButton="0" quotePrefix="0" xfId="0">
      <alignment vertical="center"/>
    </xf>
    <xf numFmtId="0" fontId="19" fillId="0" borderId="2" applyAlignment="1" pivotButton="0" quotePrefix="1" xfId="0">
      <alignment horizontal="center" vertical="center" wrapText="1"/>
    </xf>
    <xf numFmtId="0" fontId="20" fillId="0" borderId="0" applyAlignment="1" pivotButton="0" quotePrefix="0" xfId="0">
      <alignment vertical="center"/>
    </xf>
    <xf numFmtId="0" fontId="13" fillId="0" borderId="2" applyAlignment="1" pivotButton="0" quotePrefix="0" xfId="0">
      <alignment horizontal="center" vertical="center" wrapText="1"/>
    </xf>
    <xf numFmtId="0" fontId="16" fillId="0" borderId="2" applyAlignment="1" pivotButton="0" quotePrefix="0" xfId="0">
      <alignment vertical="center" wrapText="1"/>
    </xf>
    <xf numFmtId="0" fontId="13" fillId="0" borderId="2" applyAlignment="1" pivotButton="0" quotePrefix="0" xfId="0">
      <alignment horizontal="center" vertical="center"/>
    </xf>
    <xf numFmtId="0" fontId="13" fillId="0" borderId="2" applyAlignment="1" pivotButton="0" quotePrefix="0" xfId="0">
      <alignment vertical="center"/>
    </xf>
    <xf numFmtId="0" fontId="15" fillId="0" borderId="2" applyAlignment="1" pivotButton="0" quotePrefix="0" xfId="0">
      <alignment horizontal="center" vertical="center"/>
    </xf>
    <xf numFmtId="0" fontId="15" fillId="0" borderId="2" applyAlignment="1" pivotButton="0" quotePrefix="0" xfId="0">
      <alignment vertical="center"/>
    </xf>
    <xf numFmtId="164" fontId="16" fillId="0" borderId="2" applyAlignment="1" pivotButton="0" quotePrefix="0" xfId="1">
      <alignment horizontal="center" vertical="center"/>
    </xf>
    <xf numFmtId="0" fontId="14" fillId="0" borderId="2" applyAlignment="1" pivotButton="0" quotePrefix="0" xfId="0">
      <alignment horizontal="center" vertical="center" wrapText="1"/>
    </xf>
    <xf numFmtId="0" fontId="12" fillId="0" borderId="2" applyAlignment="1" pivotButton="0" quotePrefix="0" xfId="0">
      <alignment horizontal="justify" vertical="center" wrapText="1"/>
    </xf>
    <xf numFmtId="0" fontId="12" fillId="0" borderId="2" applyAlignment="1" pivotButton="0" quotePrefix="0" xfId="0">
      <alignment horizontal="center" vertical="center" wrapText="1"/>
    </xf>
    <xf numFmtId="0" fontId="8" fillId="0" borderId="2" applyAlignment="1" pivotButton="0" quotePrefix="0" xfId="0">
      <alignment horizontal="center" vertical="center" wrapText="1"/>
    </xf>
    <xf numFmtId="43" fontId="8" fillId="0" borderId="2" applyAlignment="1" pivotButton="0" quotePrefix="0" xfId="1">
      <alignment horizontal="center" vertical="center" wrapText="1"/>
    </xf>
    <xf numFmtId="165" fontId="8" fillId="0" borderId="2" applyAlignment="1" pivotButton="0" quotePrefix="0" xfId="1">
      <alignment horizontal="center" vertical="center" wrapText="1"/>
    </xf>
    <xf numFmtId="0" fontId="21" fillId="0" borderId="2" applyAlignment="1" pivotButton="0" quotePrefix="0" xfId="0">
      <alignment horizontal="justify" vertical="center" wrapText="1"/>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2" applyAlignment="1" pivotButton="0" quotePrefix="0" xfId="0">
      <alignment vertical="center" wrapText="1"/>
    </xf>
    <xf numFmtId="0" fontId="16" fillId="0" borderId="2" applyAlignment="1" pivotButton="0" quotePrefix="0" xfId="0">
      <alignment horizontal="center" vertical="center"/>
    </xf>
    <xf numFmtId="0" fontId="21" fillId="0" borderId="2" applyAlignment="1" pivotButton="0" quotePrefix="0" xfId="0">
      <alignment horizontal="justify" vertical="center"/>
    </xf>
    <xf numFmtId="43" fontId="7" fillId="0" borderId="2" applyAlignment="1" pivotButton="0" quotePrefix="0" xfId="1">
      <alignment horizontal="center" vertical="center" wrapText="1"/>
    </xf>
    <xf numFmtId="0" fontId="22"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0" applyAlignment="1" pivotButton="0" quotePrefix="0" xfId="0">
      <alignment vertical="center"/>
    </xf>
    <xf numFmtId="2" fontId="16" fillId="0" borderId="2" applyAlignment="1" pivotButton="0" quotePrefix="0" xfId="0">
      <alignment horizontal="center" vertical="center" wrapText="1"/>
    </xf>
    <xf numFmtId="0" fontId="16" fillId="0" borderId="2" applyAlignment="1" pivotButton="0" quotePrefix="0" xfId="0">
      <alignment vertical="center"/>
    </xf>
    <xf numFmtId="43" fontId="16" fillId="0" borderId="2" applyAlignment="1" pivotButton="0" quotePrefix="0" xfId="0">
      <alignment horizontal="center" vertical="center"/>
    </xf>
    <xf numFmtId="165" fontId="16" fillId="0" borderId="2" applyAlignment="1" pivotButton="0" quotePrefix="0" xfId="0">
      <alignment horizontal="center" vertical="center"/>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9" fillId="0" borderId="0" applyAlignment="1" pivotButton="0" quotePrefix="0" xfId="0">
      <alignment horizontal="center" vertical="center"/>
    </xf>
    <xf numFmtId="0" fontId="16"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8" fillId="0" borderId="2" applyAlignment="1" pivotButton="0" quotePrefix="0" xfId="0">
      <alignment vertical="center"/>
    </xf>
    <xf numFmtId="0" fontId="13" fillId="0" borderId="2" applyAlignment="1" pivotButton="0" quotePrefix="0" xfId="0">
      <alignment horizontal="left" vertical="center" wrapText="1"/>
    </xf>
    <xf numFmtId="0" fontId="13" fillId="0" borderId="2" applyAlignment="1" pivotButton="0" quotePrefix="0" xfId="0">
      <alignment vertical="center" wrapText="1"/>
    </xf>
    <xf numFmtId="2" fontId="16" fillId="0" borderId="2" applyAlignment="1" pivotButton="0" quotePrefix="0" xfId="0">
      <alignment horizontal="center" vertical="center" wrapText="1"/>
    </xf>
    <xf numFmtId="2" fontId="18" fillId="0" borderId="2" applyAlignment="1" pivotButton="0" quotePrefix="0" xfId="0">
      <alignment vertical="center" wrapText="1"/>
    </xf>
    <xf numFmtId="0" fontId="2" fillId="0" borderId="1" applyAlignment="1" pivotButton="0" quotePrefix="0" xfId="0">
      <alignment horizontal="left" vertical="center"/>
    </xf>
    <xf numFmtId="0" fontId="23" fillId="0" borderId="0" pivotButton="0" quotePrefix="0" xfId="0"/>
    <xf numFmtId="0" fontId="23" fillId="0" borderId="1" pivotButton="0" quotePrefix="0" xfId="0"/>
    <xf numFmtId="0" fontId="23" fillId="0" borderId="6" pivotButton="0" quotePrefix="0" xfId="0"/>
    <xf numFmtId="0" fontId="23" fillId="0" borderId="9" pivotButton="0" quotePrefix="0" xfId="0"/>
    <xf numFmtId="0" fontId="24" fillId="0" borderId="0" applyAlignment="1" pivotButton="0" quotePrefix="0" xfId="0">
      <alignment vertical="center"/>
    </xf>
    <xf numFmtId="0" fontId="23" fillId="0" borderId="5" pivotButton="0" quotePrefix="0" xfId="0"/>
    <xf numFmtId="164" fontId="16" fillId="0" borderId="2" applyAlignment="1" pivotButton="0" quotePrefix="0" xfId="1">
      <alignment horizontal="center" vertical="center"/>
    </xf>
    <xf numFmtId="165" fontId="8" fillId="0" borderId="2" applyAlignment="1" pivotButton="0" quotePrefix="0" xfId="1">
      <alignment horizontal="center" vertical="center" wrapText="1"/>
    </xf>
    <xf numFmtId="0" fontId="25" fillId="0" borderId="0" applyAlignment="1" pivotButton="0" quotePrefix="0" xfId="0">
      <alignment vertical="center" wrapText="1"/>
    </xf>
    <xf numFmtId="0" fontId="0" fillId="0" borderId="1" pivotButton="0" quotePrefix="0" xfId="0"/>
    <xf numFmtId="0" fontId="0" fillId="0" borderId="6" pivotButton="0" quotePrefix="0" xfId="0"/>
    <xf numFmtId="0" fontId="0" fillId="0" borderId="9" pivotButton="0" quotePrefix="0" xfId="0"/>
    <xf numFmtId="0" fontId="0" fillId="0" borderId="5"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68"/>
  <sheetViews>
    <sheetView tabSelected="1" topLeftCell="A45" zoomScale="85" zoomScaleNormal="85" zoomScaleSheetLayoutView="70" workbookViewId="0">
      <selection activeCell="S52" sqref="S52"/>
    </sheetView>
  </sheetViews>
  <sheetFormatPr baseColWidth="8" defaultColWidth="8.875" defaultRowHeight="32.45" customHeight="1"/>
  <cols>
    <col width="5.5" customWidth="1" style="5" min="1" max="1"/>
    <col width="34.875" customWidth="1" style="5" min="2" max="2"/>
    <col width="12.75" customWidth="1" style="5" min="3" max="3"/>
    <col width="13.125" customWidth="1" style="5" min="4" max="4"/>
    <col width="13" customWidth="1" style="5" min="5" max="5"/>
    <col width="6.875" customWidth="1" style="5" min="6" max="6"/>
    <col width="8.75" customWidth="1" style="5" min="7" max="7"/>
    <col width="7" customWidth="1" style="5" min="8" max="8"/>
    <col width="6.125" customWidth="1" style="5" min="9" max="9"/>
    <col width="5.625" customWidth="1" style="5" min="10" max="10"/>
    <col width="6.125" customWidth="1" style="30" min="11" max="12"/>
    <col width="6.5" customWidth="1" style="30" min="13" max="14"/>
    <col width="6.875" customWidth="1" style="30" min="15" max="15"/>
    <col width="6.125" customWidth="1" style="30" min="16" max="16"/>
    <col width="46" customWidth="1" style="5" min="17" max="16384"/>
  </cols>
  <sheetData>
    <row r="1" hidden="1" ht="16.5" customFormat="1" customHeight="1" s="1">
      <c r="A1" s="38" t="inlineStr">
        <is>
          <t>UBND TỈNH QUẢNG NGÃI</t>
        </is>
      </c>
      <c r="C1" s="47" t="n"/>
      <c r="D1" s="47" t="n"/>
      <c r="E1" s="2" t="n"/>
      <c r="F1" s="2" t="n"/>
      <c r="G1" s="36" t="inlineStr">
        <is>
          <t>CỘNG HÒA XÃ HỘI CHỦ NGHĨA VIỆT NAM</t>
        </is>
      </c>
      <c r="Q1" s="47" t="n"/>
    </row>
    <row r="2" hidden="1" ht="18.75" customFormat="1" customHeight="1" s="1">
      <c r="A2" s="37" t="inlineStr">
        <is>
          <t>TRƯỜNG CAO ĐẲNG KON TUM</t>
        </is>
      </c>
      <c r="C2" s="3" t="n"/>
      <c r="D2" s="47" t="n"/>
      <c r="E2" s="4" t="n"/>
      <c r="F2" s="4" t="n"/>
      <c r="G2" s="35" t="inlineStr">
        <is>
          <t>Độc lập - Tự do - Hạnh phúc</t>
        </is>
      </c>
      <c r="Q2" s="47" t="n"/>
    </row>
    <row r="3" ht="38.25" customHeight="1">
      <c r="A3" s="35" t="inlineStr">
        <is>
          <t>Phụ lục
KẾT QUẢ THỰC HIỆN CÔNG TÁC THÁNG 9 NĂM 2026 CỦA TRƯỜNG CAO ĐẲNG KON TUM</t>
        </is>
      </c>
      <c r="Q3" s="47" t="n"/>
    </row>
    <row r="4" ht="24.6" customHeight="1">
      <c r="A4" s="46" t="n"/>
      <c r="B4" s="56" t="n"/>
      <c r="C4" s="56" t="n"/>
      <c r="D4" s="56" t="n"/>
      <c r="E4" s="56" t="n"/>
      <c r="F4" s="56" t="n"/>
      <c r="G4" s="56" t="n"/>
      <c r="H4" s="56" t="n"/>
      <c r="I4" s="56" t="n"/>
      <c r="J4" s="56" t="n"/>
      <c r="K4" s="56" t="n"/>
      <c r="L4" s="56" t="n"/>
      <c r="M4" s="56" t="n"/>
      <c r="N4" s="56" t="n"/>
      <c r="O4" s="56" t="n"/>
      <c r="P4" s="56" t="n"/>
      <c r="Q4" s="47" t="n"/>
    </row>
    <row r="5" ht="30.75" customHeight="1">
      <c r="A5" s="39" t="inlineStr">
        <is>
          <t>TT</t>
        </is>
      </c>
      <c r="B5" s="39" t="inlineStr">
        <is>
          <t>NỘI DUNG CÔNG VIỆC</t>
        </is>
      </c>
      <c r="C5" s="39" t="inlineStr">
        <is>
          <t>Người trực tiếp chỉ đạo</t>
        </is>
      </c>
      <c r="D5" s="39" t="inlineStr">
        <is>
          <t>Đơn vị chủ trì</t>
        </is>
      </c>
      <c r="E5" s="39" t="inlineStr">
        <is>
          <t>Sản phẩm/ Công việc</t>
        </is>
      </c>
      <c r="F5" s="39" t="inlineStr">
        <is>
          <t>Số lượng</t>
        </is>
      </c>
      <c r="G5" s="40" t="inlineStr">
        <is>
          <t>Độ khó, mới, phức tạp; phạm vi tác
động</t>
        </is>
      </c>
      <c r="H5" s="39" t="inlineStr">
        <is>
          <t>Điểm chấm công việc</t>
        </is>
      </c>
      <c r="I5" s="39" t="inlineStr">
        <is>
          <t>Hệ số quy đổi</t>
        </is>
      </c>
      <c r="J5" s="39" t="inlineStr">
        <is>
          <t>Số lượng quy đổi</t>
        </is>
      </c>
      <c r="K5" s="44" t="inlineStr">
        <is>
          <t>KPI (số lượng)</t>
        </is>
      </c>
      <c r="L5" s="57" t="n"/>
      <c r="M5" s="44" t="inlineStr">
        <is>
          <t>KPI (chất lượng)</t>
        </is>
      </c>
      <c r="N5" s="57" t="n"/>
      <c r="O5" s="44" t="inlineStr">
        <is>
          <t>KPI (tiến độ)</t>
        </is>
      </c>
      <c r="P5" s="57" t="n"/>
      <c r="Q5" s="49" t="inlineStr">
        <is>
          <t>Ghi chú đối soát (xóa trước khi ban hành)</t>
        </is>
      </c>
    </row>
    <row r="6" ht="65.25" customHeight="1">
      <c r="A6" s="58" t="n"/>
      <c r="B6" s="58" t="n"/>
      <c r="C6" s="58" t="n"/>
      <c r="D6" s="58" t="n"/>
      <c r="E6" s="58" t="n"/>
      <c r="F6" s="58" t="n"/>
      <c r="G6" s="58" t="n"/>
      <c r="H6" s="58" t="n"/>
      <c r="I6" s="58" t="n"/>
      <c r="J6" s="58" t="n"/>
      <c r="K6" s="44" t="inlineStr">
        <is>
          <t>Thực tế hoàn thành</t>
        </is>
      </c>
      <c r="L6" s="44" t="inlineStr">
        <is>
          <t>Quy đổi</t>
        </is>
      </c>
      <c r="M6" s="44" t="inlineStr">
        <is>
          <t>Thực tế hoàn thành</t>
        </is>
      </c>
      <c r="N6" s="44" t="inlineStr">
        <is>
          <t>Quy đổi</t>
        </is>
      </c>
      <c r="O6" s="44" t="inlineStr">
        <is>
          <t>Thực tế hoàn thành</t>
        </is>
      </c>
      <c r="P6" s="44" t="inlineStr">
        <is>
          <t>Quy đổi</t>
        </is>
      </c>
      <c r="Q6" s="51" t="n"/>
    </row>
    <row r="7" hidden="1" ht="18" customFormat="1" customHeight="1" s="7">
      <c r="A7" s="6" t="inlineStr">
        <is>
          <t>(1)</t>
        </is>
      </c>
      <c r="B7" s="6" t="inlineStr">
        <is>
          <t>(2)</t>
        </is>
      </c>
      <c r="C7" s="6" t="inlineStr">
        <is>
          <t>(3)</t>
        </is>
      </c>
      <c r="D7" s="6" t="inlineStr">
        <is>
          <t>(4)</t>
        </is>
      </c>
      <c r="E7" s="6" t="inlineStr">
        <is>
          <t>(5)</t>
        </is>
      </c>
      <c r="F7" s="6" t="inlineStr">
        <is>
          <t>(6)</t>
        </is>
      </c>
      <c r="G7" s="6" t="inlineStr">
        <is>
          <t>(7)</t>
        </is>
      </c>
      <c r="H7" s="6" t="inlineStr">
        <is>
          <t>(8)</t>
        </is>
      </c>
      <c r="I7" s="6" t="inlineStr">
        <is>
          <t>(9)= (8)* 1%</t>
        </is>
      </c>
      <c r="J7" s="6" t="inlineStr">
        <is>
          <t>(10)= (6)* (9)</t>
        </is>
      </c>
      <c r="K7" s="6" t="inlineStr">
        <is>
          <t>(11)=(6)* [Tỷ lệ hoàn thành khối lượng]
Thiếu 1 = 75% (trừ 0,25)</t>
        </is>
      </c>
      <c r="L7" s="6" t="inlineStr">
        <is>
          <t>(12)= (9)* (11)</t>
        </is>
      </c>
      <c r="M7" s="6" t="inlineStr">
        <is>
          <t>(13)=(11)*[Tỷ lệ hoàn thành chất lượng]
Sửa đổi 1-2 lần 75% (trừ 0,25)</t>
        </is>
      </c>
      <c r="N7" s="6" t="inlineStr">
        <is>
          <t>(14)= (9)* (13)</t>
        </is>
      </c>
      <c r="O7" s="6" t="inlineStr">
        <is>
          <t>(15)=(11)*[Tỷ lệ hoàn thành tiến độ]
Chậm tiến độ 75% (trừ 0,25)</t>
        </is>
      </c>
      <c r="P7" s="6" t="inlineStr">
        <is>
          <t>(16)= (9)* (15)</t>
        </is>
      </c>
      <c r="Q7" s="47" t="n"/>
    </row>
    <row r="8" ht="16.5" customHeight="1">
      <c r="A8" s="8" t="inlineStr">
        <is>
          <t>I</t>
        </is>
      </c>
      <c r="B8" s="43" t="inlineStr">
        <is>
          <t xml:space="preserve"> Các nhiệm vụ theo kế hoạch (chương trình) công tác đã đề ra từ đầu tháng</t>
        </is>
      </c>
      <c r="C8" s="59" t="n"/>
      <c r="D8" s="59" t="n"/>
      <c r="E8" s="59" t="n"/>
      <c r="F8" s="59" t="n"/>
      <c r="G8" s="59" t="n"/>
      <c r="H8" s="59" t="n"/>
      <c r="I8" s="59" t="n"/>
      <c r="J8" s="57" t="n"/>
      <c r="K8" s="9" t="n"/>
      <c r="L8" s="9" t="n"/>
      <c r="M8" s="9" t="n"/>
      <c r="N8" s="9" t="n"/>
      <c r="O8" s="9" t="n"/>
      <c r="P8" s="9" t="n"/>
      <c r="Q8" s="47" t="n"/>
    </row>
    <row r="9" ht="16.5" customHeight="1">
      <c r="A9" s="10" t="inlineStr">
        <is>
          <t>1</t>
        </is>
      </c>
      <c r="B9" s="11" t="inlineStr">
        <is>
          <t xml:space="preserve">Trục (1) - Thực hiện mục tiêu phát triển Kinh tế - xã hội và nhiệm vụ chính trị được giao </t>
        </is>
      </c>
      <c r="C9" s="11" t="n"/>
      <c r="D9" s="11" t="n"/>
      <c r="E9" s="11" t="n"/>
      <c r="F9" s="12" t="n"/>
      <c r="G9" s="13" t="n"/>
      <c r="H9" s="13" t="n"/>
      <c r="I9" s="13" t="n"/>
      <c r="J9" s="12">
        <f>SUM(J10:J20)</f>
        <v/>
      </c>
      <c r="K9" s="53">
        <f>SUM(K10:K20)</f>
        <v/>
      </c>
      <c r="L9" s="53">
        <f>SUM(L10:L20)</f>
        <v/>
      </c>
      <c r="M9" s="53">
        <f>SUM(M10:M20)</f>
        <v/>
      </c>
      <c r="N9" s="53">
        <f>SUM(N10:N20)</f>
        <v/>
      </c>
      <c r="O9" s="53">
        <f>SUM(O10:O20)</f>
        <v/>
      </c>
      <c r="P9" s="53">
        <f>SUM(P10:P20)</f>
        <v/>
      </c>
      <c r="Q9" s="47" t="n"/>
    </row>
    <row r="10" ht="49.5" customHeight="1">
      <c r="A10" s="15" t="inlineStr">
        <is>
          <t>1.1</t>
        </is>
      </c>
      <c r="B10" s="16" t="inlineStr">
        <is>
          <t>Xây dựng Chương trình đào tạo ngành, nghề Y sỹ đa khoa, trình độ cao đẳng</t>
        </is>
      </c>
      <c r="C10" s="17" t="inlineStr">
        <is>
          <t>PHT Nguyễn Trung Hiếu</t>
        </is>
      </c>
      <c r="D10" s="17" t="inlineStr">
        <is>
          <t>Khoa Y – Dược</t>
        </is>
      </c>
      <c r="E10" s="17" t="inlineStr">
        <is>
          <t>Quyết định</t>
        </is>
      </c>
      <c r="F10" s="17" t="n">
        <v>1</v>
      </c>
      <c r="G10" s="17" t="inlineStr">
        <is>
          <t>Trung bình</t>
        </is>
      </c>
      <c r="H10" s="18">
        <f>IF(G10="Khó và phức tạp",200,IF(G10="Cao",150,IF(G10="Trung bình",120,IF(G10="Thấp",100))))</f>
        <v/>
      </c>
      <c r="I10" s="18">
        <f>H10*0.01</f>
        <v/>
      </c>
      <c r="J10" s="18">
        <f>F10*I10</f>
        <v/>
      </c>
      <c r="K10" s="19" t="n"/>
      <c r="L10" s="54" t="n"/>
      <c r="M10" s="19" t="n"/>
      <c r="N10" s="54" t="n"/>
      <c r="O10" s="19" t="n"/>
      <c r="P10" s="54" t="n"/>
      <c r="Q10" s="55" t="inlineStr">
        <is>
          <t>[KH 834 I.1.1] Chưa có kết quả — Khoa Y-Dược: IIb không có dòng tương ứng; IIa chỉ ghi 'xây dựng CTĐT Y sỹ trình độ cao đẳng theo kế hoạch đã ban hành', chưa báo cáo Quyết định ban hành. Chờ đơn vị xác nhận.</t>
        </is>
      </c>
    </row>
    <row r="11" ht="49.5" customHeight="1">
      <c r="A11" s="15" t="inlineStr">
        <is>
          <t>1.2</t>
        </is>
      </c>
      <c r="B11" s="16" t="inlineStr">
        <is>
          <t>Tổ chức Lễ Khai giảng năm học 2026-2027</t>
        </is>
      </c>
      <c r="C11" s="17" t="inlineStr">
        <is>
          <t>Hiệu trưởng</t>
        </is>
      </c>
      <c r="D11" s="17" t="inlineStr">
        <is>
          <t>Phòng QLĐT&amp;BĐCL</t>
        </is>
      </c>
      <c r="E11" s="17" t="inlineStr">
        <is>
          <t>Kế hoạch</t>
        </is>
      </c>
      <c r="F11" s="17" t="n">
        <v>1</v>
      </c>
      <c r="G11" s="17" t="inlineStr">
        <is>
          <t>Thấp</t>
        </is>
      </c>
      <c r="H11" s="18">
        <f>IF(G11="Khó và phức tạp",200,IF(G11="Cao",150,IF(G11="Trung bình",120,IF(G11="Thấp",100))))</f>
        <v/>
      </c>
      <c r="I11" s="18">
        <f>H11*0.01</f>
        <v/>
      </c>
      <c r="J11" s="18">
        <f>F11*I11</f>
        <v/>
      </c>
      <c r="K11" s="19" t="n"/>
      <c r="L11" s="54" t="n"/>
      <c r="M11" s="19" t="n"/>
      <c r="N11" s="54" t="n"/>
      <c r="O11" s="19" t="n"/>
      <c r="P11" s="54" t="n"/>
      <c r="Q11" s="55" t="inlineStr">
        <is>
          <t>[KH 834 I.1.2] Chưa có kết quả — đầu mối P-QLĐT&amp;BĐCL chưa nộp IIb. Có nguồn xác nhận Lễ Khai giảng đã tổ chức: IIa K-KHCB mục 1; IIa Ban TT (kịch bản, lời bình); TB 1047/TB-CĐKT (báo cáo rút kinh nghiệm Lễ Khai giảng); BC 407/BC-CĐKT. Không đủ căn cứ chấm KPI.</t>
        </is>
      </c>
    </row>
    <row r="12" ht="49.5" customHeight="1">
      <c r="A12" s="15" t="inlineStr">
        <is>
          <t>1.3</t>
        </is>
      </c>
      <c r="B12" s="16" t="inlineStr">
        <is>
          <t>Tổ chức Lễ tốt nghiệp và trao bằng tốt nghiệp năm 2026</t>
        </is>
      </c>
      <c r="C12" s="17" t="inlineStr">
        <is>
          <t>Hiệu trưởng</t>
        </is>
      </c>
      <c r="D12" s="17" t="inlineStr">
        <is>
          <t>Phòng QLĐT&amp;BĐCL</t>
        </is>
      </c>
      <c r="E12" s="17" t="inlineStr">
        <is>
          <t>Chương trình</t>
        </is>
      </c>
      <c r="F12" s="17" t="n">
        <v>1</v>
      </c>
      <c r="G12" s="17" t="inlineStr">
        <is>
          <t>Trung bình</t>
        </is>
      </c>
      <c r="H12" s="18">
        <f>IF(G12="Khó và phức tạp",200,IF(G12="Cao",150,IF(G12="Trung bình",120,IF(G12="Thấp",100))))</f>
        <v/>
      </c>
      <c r="I12" s="18">
        <f>H12*0.01</f>
        <v/>
      </c>
      <c r="J12" s="18">
        <f>F12*I12</f>
        <v/>
      </c>
      <c r="K12" s="19" t="n"/>
      <c r="L12" s="54" t="n"/>
      <c r="M12" s="19" t="n"/>
      <c r="N12" s="54" t="n"/>
      <c r="O12" s="19" t="n"/>
      <c r="P12" s="54" t="n"/>
      <c r="Q12" s="55" t="inlineStr">
        <is>
          <t>[KH 834 I.1.3] Chưa có kết quả — P-QLĐT&amp;BĐCL chưa nộp. TB 1071/TB-CĐKT ấn định tổ chức ngày 26/9/2026; không có báo cáo kết quả. Mâu thuẫn thời điểm: CTCT năm ghi Tháng 10/2026; Ib Ban TT, KTCN tháng 10 vẫn ghi lễ Tốt nghiệp — CAN_XAC_MINH.</t>
        </is>
      </c>
    </row>
    <row r="13" ht="49.5" customHeight="1">
      <c r="A13" s="15" t="inlineStr">
        <is>
          <t>1.4</t>
        </is>
      </c>
      <c r="B13" s="16" t="inlineStr">
        <is>
          <t>Xây dựng kế hoạch khảo thí năm học 2026-2027 cho các lớp trình độ cao đẳng, trung cấp (tuyển sinh năm 2024, 2025, 2026)</t>
        </is>
      </c>
      <c r="C13" s="17" t="inlineStr">
        <is>
          <t>PHT Dương Văn Anh Dũng</t>
        </is>
      </c>
      <c r="D13" s="17" t="inlineStr">
        <is>
          <t>Phòng QLĐT&amp;BĐCL</t>
        </is>
      </c>
      <c r="E13" s="17" t="inlineStr">
        <is>
          <t>Kế hoạch</t>
        </is>
      </c>
      <c r="F13" s="17" t="n">
        <v>1</v>
      </c>
      <c r="G13" s="17" t="inlineStr">
        <is>
          <t>Trung bình</t>
        </is>
      </c>
      <c r="H13" s="18">
        <f>IF(G13="Khó và phức tạp",200,IF(G13="Cao",150,IF(G13="Trung bình",120,IF(G13="Thấp",100))))</f>
        <v/>
      </c>
      <c r="I13" s="18">
        <f>H13*0.01</f>
        <v/>
      </c>
      <c r="J13" s="18">
        <f>F13*I13</f>
        <v/>
      </c>
      <c r="K13" s="19" t="n"/>
      <c r="L13" s="54" t="n"/>
      <c r="M13" s="19" t="n"/>
      <c r="N13" s="54" t="n"/>
      <c r="O13" s="19" t="n"/>
      <c r="P13" s="54" t="n"/>
      <c r="Q13" s="55" t="inlineStr">
        <is>
          <t>[KH 834 I.1.4] Chưa có kết quả — P-QLĐT&amp;BĐCL chưa nộp; không có nguồn khác.</t>
        </is>
      </c>
    </row>
    <row r="14" ht="49.5" customHeight="1">
      <c r="A14" s="15" t="inlineStr">
        <is>
          <t>1.5</t>
        </is>
      </c>
      <c r="B14" s="16" t="inlineStr">
        <is>
          <t>Rà soát, đăng ký loại bỏ các ngành, nghề đào tạo không còn phù hợp, nguồn tuyển sinh hạn chế</t>
        </is>
      </c>
      <c r="C14" s="17" t="inlineStr">
        <is>
          <t>Hiệu trưởng</t>
        </is>
      </c>
      <c r="D14" s="17" t="inlineStr">
        <is>
          <t>Phòng QLĐT&amp;BĐCL</t>
        </is>
      </c>
      <c r="E14" s="17" t="inlineStr">
        <is>
          <t>Kế hoạch; Công văn</t>
        </is>
      </c>
      <c r="F14" s="17" t="n">
        <v>1</v>
      </c>
      <c r="G14" s="17" t="inlineStr">
        <is>
          <t>Trung bình</t>
        </is>
      </c>
      <c r="H14" s="18">
        <f>IF(G14="Khó và phức tạp",200,IF(G14="Cao",150,IF(G14="Trung bình",120,IF(G14="Thấp",100))))</f>
        <v/>
      </c>
      <c r="I14" s="18">
        <f>H14*0.01</f>
        <v/>
      </c>
      <c r="J14" s="18">
        <f>F14*I14</f>
        <v/>
      </c>
      <c r="K14" s="19" t="n"/>
      <c r="L14" s="54" t="n"/>
      <c r="M14" s="19" t="n"/>
      <c r="N14" s="54" t="n"/>
      <c r="O14" s="19" t="n"/>
      <c r="P14" s="54" t="n"/>
      <c r="Q14" s="55" t="inlineStr">
        <is>
          <t>[KH 834 I.1.5] Chưa có kết quả — P-QLĐT&amp;BĐCL chưa nộp; Ib KTCN tháng 10 còn ghi 'phối hợp rà soát, đăng ký loại bỏ các ngành, nghề' (đang thực hiện).</t>
        </is>
      </c>
    </row>
    <row r="15" ht="49.5" customHeight="1">
      <c r="A15" s="15" t="inlineStr">
        <is>
          <t>1.6</t>
        </is>
      </c>
      <c r="B15" s="16" t="inlineStr">
        <is>
          <t>Tổ chức tiếp sinh, nhập học thí sinh trúng tuyển trình độ cao đẳng, trung cấp, hệ chính quy năm học 2026-2027</t>
        </is>
      </c>
      <c r="C15" s="17" t="inlineStr">
        <is>
          <t>PHT Huỳnh Văn Chung</t>
        </is>
      </c>
      <c r="D15" s="17" t="inlineStr">
        <is>
          <t>Đoàn TN; Hội SV</t>
        </is>
      </c>
      <c r="E15" s="17" t="inlineStr">
        <is>
          <t>Công văn/Thông báo</t>
        </is>
      </c>
      <c r="F15" s="17" t="n">
        <v>1</v>
      </c>
      <c r="G15" s="17" t="inlineStr">
        <is>
          <t>Trung bình</t>
        </is>
      </c>
      <c r="H15" s="18">
        <f>IF(G15="Khó và phức tạp",200,IF(G15="Cao",150,IF(G15="Trung bình",120,IF(G15="Thấp",100))))</f>
        <v/>
      </c>
      <c r="I15" s="18">
        <f>H15*0.01</f>
        <v/>
      </c>
      <c r="J15" s="18">
        <f>F15*I15</f>
        <v/>
      </c>
      <c r="K15" s="19" t="n"/>
      <c r="L15" s="54" t="n"/>
      <c r="M15" s="19" t="n"/>
      <c r="N15" s="54" t="n"/>
      <c r="O15" s="19" t="n"/>
      <c r="P15" s="54" t="n"/>
      <c r="Q15" s="55" t="inlineStr">
        <is>
          <t>[KH 834 I.1.6] Chưa có kết quả — Đoàn TN-Hội SV chưa nộp. Nguồn xác nhận hoạt động: IIa P-QLKH (nhập học đợt 2), IIa K-KHCB (đợt 1, 2), IIa KTCN; BC 407 (560 chỉ tiêu đến 05/9/2026).</t>
        </is>
      </c>
    </row>
    <row r="16" ht="49.5" customHeight="1">
      <c r="A16" s="15" t="inlineStr">
        <is>
          <t>1.7</t>
        </is>
      </c>
      <c r="B16" s="16" t="inlineStr">
        <is>
          <t>Xây dựng Chiến lược phát triển Khoa các Khoa học cơ bản đến năm 2030 và tầm nhìn đến năm 2045</t>
        </is>
      </c>
      <c r="C16" s="17" t="inlineStr">
        <is>
          <t>Hiệu trưởng</t>
        </is>
      </c>
      <c r="D16" s="17" t="inlineStr">
        <is>
          <t>Khoa CKHCB</t>
        </is>
      </c>
      <c r="E16" s="17" t="inlineStr">
        <is>
          <t>Kế hoạch</t>
        </is>
      </c>
      <c r="F16" s="17" t="n">
        <v>1</v>
      </c>
      <c r="G16" s="17" t="inlineStr">
        <is>
          <t>Cao</t>
        </is>
      </c>
      <c r="H16" s="18">
        <f>IF(G16="Khó và phức tạp",200,IF(G16="Cao",150,IF(G16="Trung bình",120,IF(G16="Thấp",100))))</f>
        <v/>
      </c>
      <c r="I16" s="18">
        <f>H16*0.01</f>
        <v/>
      </c>
      <c r="J16" s="18">
        <f>F16*I16</f>
        <v/>
      </c>
      <c r="K16" s="19">
        <f>F16*100%</f>
        <v/>
      </c>
      <c r="L16" s="54">
        <f>K16*I16</f>
        <v/>
      </c>
      <c r="M16" s="19">
        <f>K16*75%</f>
        <v/>
      </c>
      <c r="N16" s="54">
        <f>I16*M16</f>
        <v/>
      </c>
      <c r="O16" s="19">
        <f>K16*100%</f>
        <v/>
      </c>
      <c r="P16" s="54">
        <f>I16*O16</f>
        <v/>
      </c>
      <c r="Q16" s="55" t="inlineStr">
        <is>
          <t>[KH 834 I.1.7] IIb K-KHCB dòng 1.5 (hàng 15) 'Hoàn thành Chiến lược phát triển khoa CKHCB...' — SL 1/1, CL 75%, TĐ 100%. Sản phẩm IIb ghi 'Đề án', KH ghi 'Kế hoạch'. LƯU Ý mâu thuẫn: IIa K-KHCB mục kế hoạch tháng 10 vẫn ghi 'hoàn thành ... trước ngày 30/9/2026' — CAN_XAC_MINH.</t>
        </is>
      </c>
    </row>
    <row r="17" ht="49.5" customHeight="1">
      <c r="A17" s="15" t="inlineStr">
        <is>
          <t>1.8</t>
        </is>
      </c>
      <c r="B17" s="16" t="inlineStr">
        <is>
          <t>Kế hoạch chuẩn bị sơ kết tình hình triển khai thực hiện mô hình đào tạo kép "Một chương trình – Hai địa điểm" và Đề án Bảo đảm sĩ số học sinh sinh viên từ đầu đến cuối khóa học</t>
        </is>
      </c>
      <c r="C17" s="17" t="inlineStr">
        <is>
          <t>Hiệu trưởng</t>
        </is>
      </c>
      <c r="D17" s="17" t="inlineStr">
        <is>
          <t>Phòng QLĐT&amp;BĐCL</t>
        </is>
      </c>
      <c r="E17" s="17" t="inlineStr">
        <is>
          <t>Kế hoạch</t>
        </is>
      </c>
      <c r="F17" s="17" t="n">
        <v>1</v>
      </c>
      <c r="G17" s="17" t="inlineStr">
        <is>
          <t>Trung bình</t>
        </is>
      </c>
      <c r="H17" s="18">
        <f>IF(G17="Khó và phức tạp",200,IF(G17="Cao",150,IF(G17="Trung bình",120,IF(G17="Thấp",100))))</f>
        <v/>
      </c>
      <c r="I17" s="18">
        <f>H17*0.01</f>
        <v/>
      </c>
      <c r="J17" s="18">
        <f>F17*I17</f>
        <v/>
      </c>
      <c r="K17" s="19" t="n"/>
      <c r="L17" s="54" t="n"/>
      <c r="M17" s="19" t="n"/>
      <c r="N17" s="54" t="n"/>
      <c r="O17" s="19" t="n"/>
      <c r="P17" s="54" t="n"/>
      <c r="Q17" s="55" t="inlineStr">
        <is>
          <t>[KH 834 I.1.8] Chưa có kết quả — P-QLĐT&amp;BĐCL chưa nộp. IIb K-KHCB dòng 1.3 chỉ là báo cáo cấp khoa về Đề án sĩ số, không phải sản phẩm của nhiệm vụ này.</t>
        </is>
      </c>
    </row>
    <row r="18" ht="49.5" customHeight="1">
      <c r="A18" s="15" t="inlineStr">
        <is>
          <t>1.9</t>
        </is>
      </c>
      <c r="B18" s="16" t="inlineStr">
        <is>
          <t>Triển khai kế hoạch chuẩn bị các điều kiện để triển khai chương trình giáo dục trung học nghề, chương trình giáo dục thường xuyên cấp THPT; giảng dạy, liên kết đào tạo và cấp chứng chỉ giáo dục quốc phòng và an ninh</t>
        </is>
      </c>
      <c r="C18" s="17" t="inlineStr">
        <is>
          <t>Hiệu trưởng</t>
        </is>
      </c>
      <c r="D18" s="17" t="inlineStr">
        <is>
          <t>Khoa CKHCB</t>
        </is>
      </c>
      <c r="E18" s="17" t="inlineStr">
        <is>
          <t>Kế hoạch</t>
        </is>
      </c>
      <c r="F18" s="17" t="n">
        <v>1</v>
      </c>
      <c r="G18" s="17" t="inlineStr">
        <is>
          <t>Cao</t>
        </is>
      </c>
      <c r="H18" s="18">
        <f>IF(G18="Khó và phức tạp",200,IF(G18="Cao",150,IF(G18="Trung bình",120,IF(G18="Thấp",100))))</f>
        <v/>
      </c>
      <c r="I18" s="18">
        <f>H18*0.01</f>
        <v/>
      </c>
      <c r="J18" s="18">
        <f>F18*I18</f>
        <v/>
      </c>
      <c r="K18" s="19" t="n"/>
      <c r="L18" s="54" t="n"/>
      <c r="M18" s="19" t="n"/>
      <c r="N18" s="54" t="n"/>
      <c r="O18" s="19" t="n"/>
      <c r="P18" s="54" t="n"/>
      <c r="Q18" s="55" t="inlineStr">
        <is>
          <t>[KH 834 I.1.9] Chưa có kết quả — IIb K-KHCB không có dòng tương ứng. Hoạt động liên quan có nguồn: IIa P-QLKH (HS K9T đăng ký GDTX cấp THPT), IIa KTCN, IIb P-TCKT mục II.1 (Tờ trình kinh phí liên kết GDTX lớp 10). Chờ K-KHCB xác nhận.</t>
        </is>
      </c>
    </row>
    <row r="19" ht="49.5" customHeight="1">
      <c r="A19" s="15" t="inlineStr">
        <is>
          <t>1.10</t>
        </is>
      </c>
      <c r="B19" s="16" t="inlineStr">
        <is>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is>
      </c>
      <c r="C19" s="17" t="inlineStr">
        <is>
          <t>Hiệu trưởng</t>
        </is>
      </c>
      <c r="D19" s="17" t="inlineStr">
        <is>
          <t>Phòng QLĐT&amp;BĐCL</t>
        </is>
      </c>
      <c r="E19" s="17" t="inlineStr">
        <is>
          <t>Kế hoạch</t>
        </is>
      </c>
      <c r="F19" s="17" t="n">
        <v>1</v>
      </c>
      <c r="G19" s="17" t="inlineStr">
        <is>
          <t>Trung bình</t>
        </is>
      </c>
      <c r="H19" s="18">
        <f>IF(G19="Khó và phức tạp",200,IF(G19="Cao",150,IF(G19="Trung bình",120,IF(G19="Thấp",100))))</f>
        <v/>
      </c>
      <c r="I19" s="18">
        <f>H19*0.01</f>
        <v/>
      </c>
      <c r="J19" s="18">
        <f>F19*I19</f>
        <v/>
      </c>
      <c r="K19" s="19" t="n"/>
      <c r="L19" s="54" t="n"/>
      <c r="M19" s="19" t="n"/>
      <c r="N19" s="54" t="n"/>
      <c r="O19" s="19" t="n"/>
      <c r="P19" s="54" t="n"/>
      <c r="Q19" s="55" t="inlineStr">
        <is>
          <t>[KH 834 I.1.10] Chưa có kết quả — P-QLĐT&amp;BĐCL chưa nộp; không có nguồn khác.</t>
        </is>
      </c>
    </row>
    <row r="20" ht="49.5" customHeight="1">
      <c r="A20" s="15" t="inlineStr">
        <is>
          <t>1.11</t>
        </is>
      </c>
      <c r="B20" s="16" t="inlineStr">
        <is>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t>
        </is>
      </c>
      <c r="C20" s="17" t="inlineStr">
        <is>
          <t>Hiệu trưởng</t>
        </is>
      </c>
      <c r="D20" s="17" t="inlineStr">
        <is>
          <t>Phòng QLKHCN&amp;HTPT</t>
        </is>
      </c>
      <c r="E20" s="17" t="inlineStr">
        <is>
          <t>Quyết định</t>
        </is>
      </c>
      <c r="F20" s="17" t="n">
        <v>1</v>
      </c>
      <c r="G20" s="17" t="inlineStr">
        <is>
          <t>Trung bình</t>
        </is>
      </c>
      <c r="H20" s="18">
        <f>IF(G20="Khó và phức tạp",200,IF(G20="Cao",150,IF(G20="Trung bình",120,IF(G20="Thấp",100))))</f>
        <v/>
      </c>
      <c r="I20" s="18">
        <f>H20*0.01</f>
        <v/>
      </c>
      <c r="J20" s="18">
        <f>F20*I20</f>
        <v/>
      </c>
      <c r="K20" s="19" t="n"/>
      <c r="L20" s="54" t="n"/>
      <c r="M20" s="19" t="n"/>
      <c r="N20" s="54" t="n"/>
      <c r="O20" s="19" t="n"/>
      <c r="P20" s="54" t="n"/>
      <c r="Q20" s="55" t="inlineStr">
        <is>
          <t>[KH 834 I.1.11] Chưa có kết quả — IIb P-QLKH không có dòng; Ib P-QLKH tháng 10 dòng 1.3 còn ghi nhiệm vụ này (đang thực hiện) → chuyển kế hoạch tháng 10 mục II.</t>
        </is>
      </c>
    </row>
    <row r="21" ht="16.5" customHeight="1">
      <c r="A21" s="10" t="inlineStr">
        <is>
          <t>2</t>
        </is>
      </c>
      <c r="B21" s="11" t="inlineStr">
        <is>
          <t>Trục (2) - Hoàn thiện thể chế, đẩy mạnh phân cấp, phân quyền gắn với kiểm tra, giám sát</t>
        </is>
      </c>
      <c r="C21" s="11" t="n"/>
      <c r="D21" s="11" t="n"/>
      <c r="E21" s="11" t="n"/>
      <c r="F21" s="12" t="n"/>
      <c r="G21" s="13" t="n"/>
      <c r="H21" s="13" t="n"/>
      <c r="I21" s="13" t="n"/>
      <c r="J21" s="12">
        <f>SUM(J22:J25)</f>
        <v/>
      </c>
      <c r="K21" s="53">
        <f>SUM(K22:K25)</f>
        <v/>
      </c>
      <c r="L21" s="53">
        <f>SUM(L22:L25)</f>
        <v/>
      </c>
      <c r="M21" s="53">
        <f>SUM(M22:M25)</f>
        <v/>
      </c>
      <c r="N21" s="53">
        <f>SUM(N22:N25)</f>
        <v/>
      </c>
      <c r="O21" s="53">
        <f>SUM(O22:O25)</f>
        <v/>
      </c>
      <c r="P21" s="53">
        <f>SUM(P22:P25)</f>
        <v/>
      </c>
      <c r="Q21" s="47" t="n"/>
    </row>
    <row r="22" ht="49.5" customHeight="1">
      <c r="A22" s="15" t="inlineStr">
        <is>
          <t>2.1</t>
        </is>
      </c>
      <c r="B22" s="16" t="inlineStr">
        <is>
          <t>Ban hành Quy chế kiểm toán nội bộ</t>
        </is>
      </c>
      <c r="C22" s="17" t="inlineStr">
        <is>
          <t>Hiệu trưởng</t>
        </is>
      </c>
      <c r="D22" s="17" t="inlineStr">
        <is>
          <t>Phòng TC-KT</t>
        </is>
      </c>
      <c r="E22" s="17" t="inlineStr">
        <is>
          <t>Quy chế</t>
        </is>
      </c>
      <c r="F22" s="17" t="n">
        <v>1</v>
      </c>
      <c r="G22" s="17" t="inlineStr">
        <is>
          <t>Cao</t>
        </is>
      </c>
      <c r="H22" s="18">
        <f>IF(G22="Khó và phức tạp",200,IF(G22="Cao",150,IF(G22="Trung bình",120,IF(G22="Thấp",100))))</f>
        <v/>
      </c>
      <c r="I22" s="18">
        <f>H22*0.01</f>
        <v/>
      </c>
      <c r="J22" s="18">
        <f>F22*I22</f>
        <v/>
      </c>
      <c r="K22" s="19">
        <f>F22*100%</f>
        <v/>
      </c>
      <c r="L22" s="54">
        <f>K22*I22</f>
        <v/>
      </c>
      <c r="M22" s="19">
        <f>K22*100%</f>
        <v/>
      </c>
      <c r="N22" s="54">
        <f>I22*M22</f>
        <v/>
      </c>
      <c r="O22" s="19">
        <f>K22*100%</f>
        <v/>
      </c>
      <c r="P22" s="54">
        <f>I22*O22</f>
        <v/>
      </c>
      <c r="Q22" s="55" t="inlineStr">
        <is>
          <t>[KH 834 I.2.1] IIb P-TCKT dòng 2.1 (hàng 21) 'Tham mưu ban hành Quy chế kiểm toán nội bộ' — 100/100/100. Dòng này không có lỗi công thức. BC 407 xác nhận đã ban hành.</t>
        </is>
      </c>
    </row>
    <row r="23" ht="49.5" customHeight="1">
      <c r="A23" s="15" t="inlineStr">
        <is>
          <t>2.2</t>
        </is>
      </c>
      <c r="B23" s="16" t="inlineStr">
        <is>
          <t>Ban hành Quy định xây dựng, thẩm định và ban hành chương trình đào tạo; tổ chức biên soạn, lựa chọn, thẩm định, duyệt và sử dụng giáo trình đào tạo trình độ cao đẳng, trung cấp, sơ cấp và đào tạo dưới 3 tháng</t>
        </is>
      </c>
      <c r="C23" s="17" t="inlineStr">
        <is>
          <t>Hiệu trưởng</t>
        </is>
      </c>
      <c r="D23" s="17" t="inlineStr">
        <is>
          <t>Phòng QLĐT&amp;BĐCL</t>
        </is>
      </c>
      <c r="E23" s="17" t="inlineStr">
        <is>
          <t>Quyết định</t>
        </is>
      </c>
      <c r="F23" s="17" t="n">
        <v>1</v>
      </c>
      <c r="G23" s="17" t="inlineStr">
        <is>
          <t>Trung bình</t>
        </is>
      </c>
      <c r="H23" s="18">
        <f>IF(G23="Khó và phức tạp",200,IF(G23="Cao",150,IF(G23="Trung bình",120,IF(G23="Thấp",100))))</f>
        <v/>
      </c>
      <c r="I23" s="18">
        <f>H23*0.01</f>
        <v/>
      </c>
      <c r="J23" s="18">
        <f>F23*I23</f>
        <v/>
      </c>
      <c r="K23" s="19" t="n"/>
      <c r="L23" s="54" t="n"/>
      <c r="M23" s="19" t="n"/>
      <c r="N23" s="54" t="n"/>
      <c r="O23" s="19" t="n"/>
      <c r="P23" s="54" t="n"/>
      <c r="Q23" s="55" t="inlineStr">
        <is>
          <t>[KH 834 I.2.2] Chưa có kết quả — P-QLĐT&amp;BĐCL chưa nộp. BC 407 mục III.2 ghi 'hoàn thiện, trình ban hành' trong Quý IV → chưa xong tại 17/9/2026.</t>
        </is>
      </c>
    </row>
    <row r="24" ht="49.5" customHeight="1">
      <c r="A24" s="15" t="inlineStr">
        <is>
          <t>2.3</t>
        </is>
      </c>
      <c r="B24" s="16" t="inlineStr">
        <is>
          <t>Ban hành Quyết định thay thế Quyết định số 988/QĐ-CĐKT ngày 12/5/2026 của Hiệu trưởng Trường Cao đẳng Kon Tum ban hành Quy chế tổ chức và hoạt động của Trường Cao đẳng Kon Tum</t>
        </is>
      </c>
      <c r="C24" s="17" t="inlineStr">
        <is>
          <t>Hiệu trưởng</t>
        </is>
      </c>
      <c r="D24" s="17" t="inlineStr">
        <is>
          <t>Phòng TCCB&amp;CTHSSV</t>
        </is>
      </c>
      <c r="E24" s="17" t="inlineStr">
        <is>
          <t>Quyết định</t>
        </is>
      </c>
      <c r="F24" s="17" t="n">
        <v>1</v>
      </c>
      <c r="G24" s="17" t="inlineStr">
        <is>
          <t>Cao</t>
        </is>
      </c>
      <c r="H24" s="18">
        <f>IF(G24="Khó và phức tạp",200,IF(G24="Cao",150,IF(G24="Trung bình",120,IF(G24="Thấp",100))))</f>
        <v/>
      </c>
      <c r="I24" s="18">
        <f>H24*0.01</f>
        <v/>
      </c>
      <c r="J24" s="18">
        <f>F24*I24</f>
        <v/>
      </c>
      <c r="K24" s="19">
        <f>F24*100%</f>
        <v/>
      </c>
      <c r="L24" s="54">
        <f>K24*I24</f>
        <v/>
      </c>
      <c r="M24" s="19">
        <f>K24*75%</f>
        <v/>
      </c>
      <c r="N24" s="54">
        <f>I24*M24</f>
        <v/>
      </c>
      <c r="O24" s="19">
        <f>K24*50%</f>
        <v/>
      </c>
      <c r="P24" s="54">
        <f>I24*O24</f>
        <v/>
      </c>
      <c r="Q24" s="55" t="inlineStr">
        <is>
          <t>[KH 834 I.2.3] IIb P-TCCB hàng 29 — SL 100%, CL 75%, TĐ 50% (chậm tiến độ). Chưa có số, ngày Quyết định ban hành.</t>
        </is>
      </c>
    </row>
    <row r="25" ht="49.5" customHeight="1">
      <c r="A25" s="15" t="inlineStr">
        <is>
          <t>2.4</t>
        </is>
      </c>
      <c r="B25" s="16" t="inlineStr">
        <is>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is>
      </c>
      <c r="C25" s="17" t="inlineStr">
        <is>
          <t>Hiệu trưởng</t>
        </is>
      </c>
      <c r="D25" s="17" t="inlineStr">
        <is>
          <t>Phòng TCCB&amp;CTHSSV</t>
        </is>
      </c>
      <c r="E25" s="17" t="inlineStr">
        <is>
          <t>Quyết định</t>
        </is>
      </c>
      <c r="F25" s="17" t="n">
        <v>1</v>
      </c>
      <c r="G25" s="17" t="inlineStr">
        <is>
          <t>Cao</t>
        </is>
      </c>
      <c r="H25" s="18">
        <f>IF(G25="Khó và phức tạp",200,IF(G25="Cao",150,IF(G25="Trung bình",120,IF(G25="Thấp",100))))</f>
        <v/>
      </c>
      <c r="I25" s="18">
        <f>H25*0.01</f>
        <v/>
      </c>
      <c r="J25" s="18">
        <f>F25*I25</f>
        <v/>
      </c>
      <c r="K25" s="19" t="n"/>
      <c r="L25" s="54" t="n"/>
      <c r="M25" s="19" t="n"/>
      <c r="N25" s="54" t="n"/>
      <c r="O25" s="19" t="n"/>
      <c r="P25" s="54" t="n"/>
      <c r="Q25" s="55" t="inlineStr">
        <is>
          <t>[KH 834 I.2.4] Chưa có kết quả — IIb P-TCCB không có dòng tương ứng. IIa KTCN ghi 'triển khai xây dựng Quy định ... của đơn vị' (cấp khoa).</t>
        </is>
      </c>
    </row>
    <row r="26" ht="16.5" customHeight="1">
      <c r="A26" s="10" t="inlineStr">
        <is>
          <t>3</t>
        </is>
      </c>
      <c r="B26" s="11" t="inlineStr">
        <is>
          <t>Trục (3) - Thúc đẩy phát triển khoa học, công nghệ, đổi mới sáng tạo và chuyển đổi số</t>
        </is>
      </c>
      <c r="C26" s="11" t="n"/>
      <c r="D26" s="11" t="n"/>
      <c r="E26" s="11" t="n"/>
      <c r="F26" s="12" t="n"/>
      <c r="G26" s="13" t="n"/>
      <c r="H26" s="13" t="n"/>
      <c r="I26" s="13" t="n"/>
      <c r="J26" s="12">
        <f>SUM(J27:J32)</f>
        <v/>
      </c>
      <c r="K26" s="53">
        <f>SUM(K27:K32)</f>
        <v/>
      </c>
      <c r="L26" s="53">
        <f>SUM(L27:L32)</f>
        <v/>
      </c>
      <c r="M26" s="53">
        <f>SUM(M27:M32)</f>
        <v/>
      </c>
      <c r="N26" s="53">
        <f>SUM(N27:N32)</f>
        <v/>
      </c>
      <c r="O26" s="53">
        <f>SUM(O27:O32)</f>
        <v/>
      </c>
      <c r="P26" s="53">
        <f>SUM(P27:P32)</f>
        <v/>
      </c>
      <c r="Q26" s="47" t="n"/>
    </row>
    <row r="27" ht="49.5" customHeight="1">
      <c r="A27" s="15" t="inlineStr">
        <is>
          <t>3.1</t>
        </is>
      </c>
      <c r="B27" s="16" t="inlineStr">
        <is>
          <t>Ban hành kế hoạch phát triển các công cụ trí tuệ nhân tạo hỗ trợ thực hiện nhiệm vụ của các đơn vị thuộc Trường</t>
        </is>
      </c>
      <c r="C27" s="17" t="inlineStr">
        <is>
          <t>Hiệu trưởng</t>
        </is>
      </c>
      <c r="D27" s="17" t="inlineStr">
        <is>
          <t>Phòng QLKHCN&amp;HTPT</t>
        </is>
      </c>
      <c r="E27" s="17" t="inlineStr">
        <is>
          <t>Kế hoạch</t>
        </is>
      </c>
      <c r="F27" s="17" t="n">
        <v>1</v>
      </c>
      <c r="G27" s="17" t="inlineStr">
        <is>
          <t>Cao</t>
        </is>
      </c>
      <c r="H27" s="18">
        <f>IF(G27="Khó và phức tạp",200,IF(G27="Cao",150,IF(G27="Trung bình",120,IF(G27="Thấp",100))))</f>
        <v/>
      </c>
      <c r="I27" s="18">
        <f>H27*0.01</f>
        <v/>
      </c>
      <c r="J27" s="18">
        <f>F27*I27</f>
        <v/>
      </c>
      <c r="K27" s="19">
        <f>F27*100%</f>
        <v/>
      </c>
      <c r="L27" s="54">
        <f>K27*I27</f>
        <v/>
      </c>
      <c r="M27" s="19">
        <f>K27*100%</f>
        <v/>
      </c>
      <c r="N27" s="54">
        <f>I27*M27</f>
        <v/>
      </c>
      <c r="O27" s="19">
        <f>K27*100%</f>
        <v/>
      </c>
      <c r="P27" s="54">
        <f>I27*O27</f>
        <v/>
      </c>
      <c r="Q27" s="55" t="inlineStr">
        <is>
          <t>[KH 834 I.3.1] IIb P-QLKH hàng 14 — Kế hoạch số 848/KH-CĐKT ngày 03/9/2026; 100/100/100. TB 1092 dẫn cùng số hiệu.</t>
        </is>
      </c>
    </row>
    <row r="28" ht="49.5" customHeight="1">
      <c r="A28" s="15" t="inlineStr">
        <is>
          <t>3.2</t>
        </is>
      </c>
      <c r="B28" s="16" t="inlineStr">
        <is>
          <t>Truyền thông các hội thảo khoa học công nghệ, đổi mới sáng tạo và chuyển đổi số</t>
        </is>
      </c>
      <c r="C28" s="17" t="inlineStr">
        <is>
          <t>PHT Dương Văn Anh Dũng</t>
        </is>
      </c>
      <c r="D28" s="17" t="inlineStr">
        <is>
          <t>Ban Truyền thông</t>
        </is>
      </c>
      <c r="E28" s="17" t="inlineStr">
        <is>
          <t>Tin/bài</t>
        </is>
      </c>
      <c r="F28" s="17" t="n">
        <v>3</v>
      </c>
      <c r="G28" s="17" t="inlineStr">
        <is>
          <t>Trung bình</t>
        </is>
      </c>
      <c r="H28" s="18">
        <f>IF(G28="Khó và phức tạp",200,IF(G28="Cao",150,IF(G28="Trung bình",120,IF(G28="Thấp",100))))</f>
        <v/>
      </c>
      <c r="I28" s="18">
        <f>H28*0.01</f>
        <v/>
      </c>
      <c r="J28" s="18">
        <f>F28*I28</f>
        <v/>
      </c>
      <c r="K28" s="19" t="n"/>
      <c r="L28" s="54" t="n"/>
      <c r="M28" s="19" t="n"/>
      <c r="N28" s="54" t="n"/>
      <c r="O28" s="19" t="n"/>
      <c r="P28" s="54" t="n"/>
      <c r="Q28" s="55" t="inlineStr">
        <is>
          <t>[KH 834 I.3.2] CAN_XAC_MINH — IIb Ban TT dòng 3.2 báo cáo 1 bài (SL kế hoạch đơn vị tự ghi = 1), trong khi KH 834 giao 3 tin/bài. Lệch chỉ tiêu, không dùng tỷ lệ của đơn vị. Đề nghị Ban TT xác nhận số tin/bài thực tế.</t>
        </is>
      </c>
    </row>
    <row r="29" ht="49.5" customHeight="1">
      <c r="A29" s="15" t="inlineStr">
        <is>
          <t>3.3</t>
        </is>
      </c>
      <c r="B29" s="16" t="inlineStr">
        <is>
          <t>Đẩy mạnh tuyên truyền chuyển đổi số, bảo đảm an toàn thông tin; tăng cường ứng dụng nền tảng số trong quản lý, điều hành và truyền thông của nhà trường.</t>
        </is>
      </c>
      <c r="C29" s="17" t="inlineStr">
        <is>
          <t>Chủ tịch Công đoàn</t>
        </is>
      </c>
      <c r="D29" s="17" t="inlineStr">
        <is>
          <t>CĐCS Trường</t>
        </is>
      </c>
      <c r="E29" s="17" t="inlineStr">
        <is>
          <t>Tin/bài/nội dung tuyên truyền</t>
        </is>
      </c>
      <c r="F29" s="17" t="n">
        <v>2</v>
      </c>
      <c r="G29" s="17" t="inlineStr">
        <is>
          <t>Cao</t>
        </is>
      </c>
      <c r="H29" s="18">
        <f>IF(G29="Khó và phức tạp",200,IF(G29="Cao",150,IF(G29="Trung bình",120,IF(G29="Thấp",100))))</f>
        <v/>
      </c>
      <c r="I29" s="18">
        <f>H29*0.01</f>
        <v/>
      </c>
      <c r="J29" s="18">
        <f>F29*I29</f>
        <v/>
      </c>
      <c r="K29" s="19" t="n"/>
      <c r="L29" s="54" t="n"/>
      <c r="M29" s="19" t="n"/>
      <c r="N29" s="54" t="n"/>
      <c r="O29" s="19" t="n"/>
      <c r="P29" s="54" t="n"/>
      <c r="Q29" s="55" t="inlineStr">
        <is>
          <t>[KH 834 I.3.3] Chưa có kết quả — Công đoàn cơ sở chưa nộp báo cáo.</t>
        </is>
      </c>
    </row>
    <row r="30" ht="49.5" customHeight="1">
      <c r="A30" s="15" t="inlineStr">
        <is>
          <t>3.4</t>
        </is>
      </c>
      <c r="B30" s="16" t="inlineStr">
        <is>
          <t>Triển khai Kế hoạch nhiệm vụ số hóa, tạo lập dữ liệu đảng viên, hồ sơ đảng viên điện tử</t>
        </is>
      </c>
      <c r="C30" s="17" t="inlineStr">
        <is>
          <t>Bí thư Đảng uỷ</t>
        </is>
      </c>
      <c r="D30" s="17" t="inlineStr">
        <is>
          <t>Phòng TCCB&amp;CTHSSV</t>
        </is>
      </c>
      <c r="E30" s="17" t="inlineStr">
        <is>
          <t>Kế hoạch</t>
        </is>
      </c>
      <c r="F30" s="17" t="n">
        <v>1</v>
      </c>
      <c r="G30" s="17" t="inlineStr">
        <is>
          <t>Trung bình</t>
        </is>
      </c>
      <c r="H30" s="18">
        <f>IF(G30="Khó và phức tạp",200,IF(G30="Cao",150,IF(G30="Trung bình",120,IF(G30="Thấp",100))))</f>
        <v/>
      </c>
      <c r="I30" s="18">
        <f>H30*0.01</f>
        <v/>
      </c>
      <c r="J30" s="18">
        <f>F30*I30</f>
        <v/>
      </c>
      <c r="K30" s="19" t="n"/>
      <c r="L30" s="54" t="n"/>
      <c r="M30" s="19" t="n"/>
      <c r="N30" s="54" t="n"/>
      <c r="O30" s="19" t="n"/>
      <c r="P30" s="54" t="n"/>
      <c r="Q30" s="55" t="inlineStr">
        <is>
          <t>[KH 834 I.3.4] Chưa có kết quả — IIb P-TCCB không có dòng; IIa P-TCCB mục kế hoạch tháng 10 ghi 'Xây dựng Kế hoạch triển khai nhiệm vụ số hóa...' → chưa xong, chuyển tháng 10. IIb K-KHCB dòng 3.3 là phần phối hợp của khoa.</t>
        </is>
      </c>
    </row>
    <row r="31" ht="49.5" customHeight="1">
      <c r="A31" s="15" t="inlineStr">
        <is>
          <t>3.5</t>
        </is>
      </c>
      <c r="B31" s="16" t="inlineStr">
        <is>
          <t>Ban hành kế hoạch triển khai công cụ trí tuệ nhân tạo để phát triển kế hoạch bài giảng (lý thuyết, thực hành, tích hợp)</t>
        </is>
      </c>
      <c r="C31" s="17" t="inlineStr">
        <is>
          <t>Hiệu trưởng</t>
        </is>
      </c>
      <c r="D31" s="17" t="inlineStr">
        <is>
          <t>Phòng QLĐT&amp;BĐCL</t>
        </is>
      </c>
      <c r="E31" s="17" t="inlineStr">
        <is>
          <t>Kế hoạch</t>
        </is>
      </c>
      <c r="F31" s="17" t="n">
        <v>1</v>
      </c>
      <c r="G31" s="17" t="inlineStr">
        <is>
          <t>Trung bình</t>
        </is>
      </c>
      <c r="H31" s="18">
        <f>IF(G31="Khó và phức tạp",200,IF(G31="Cao",150,IF(G31="Trung bình",120,IF(G31="Thấp",100))))</f>
        <v/>
      </c>
      <c r="I31" s="18">
        <f>H31*0.01</f>
        <v/>
      </c>
      <c r="J31" s="18">
        <f>F31*I31</f>
        <v/>
      </c>
      <c r="K31" s="19" t="n"/>
      <c r="L31" s="54" t="n"/>
      <c r="M31" s="19" t="n"/>
      <c r="N31" s="54" t="n"/>
      <c r="O31" s="19" t="n"/>
      <c r="P31" s="54" t="n"/>
      <c r="Q31" s="55" t="inlineStr">
        <is>
          <t>[KH 834 I.3.5] Chưa có kết quả — P-QLĐT&amp;BĐCL chưa nộp. IIa K-YDUOC dẫn 'Thông báo số 1006/TB-CĐKT ngày 03/6/2026' — số/ngày không khớp dãy số tháng 9 (TB 1008 ngày 04/9) — CAN_XAC_MINH.</t>
        </is>
      </c>
    </row>
    <row r="32" ht="49.5" customHeight="1">
      <c r="A32" s="15" t="inlineStr">
        <is>
          <t>3.6</t>
        </is>
      </c>
      <c r="B32" s="16" t="inlineStr">
        <is>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C32" s="17" t="inlineStr">
        <is>
          <t>Hiệu trưởng</t>
        </is>
      </c>
      <c r="D32" s="17" t="inlineStr">
        <is>
          <t>Phòng QLKHCN&amp;HTPT</t>
        </is>
      </c>
      <c r="E32" s="17" t="inlineStr">
        <is>
          <t>Văn bản</t>
        </is>
      </c>
      <c r="F32" s="17" t="n">
        <v>1</v>
      </c>
      <c r="G32" s="17" t="inlineStr">
        <is>
          <t>Cao</t>
        </is>
      </c>
      <c r="H32" s="18">
        <f>IF(G32="Khó và phức tạp",200,IF(G32="Cao",150,IF(G32="Trung bình",120,IF(G32="Thấp",100))))</f>
        <v/>
      </c>
      <c r="I32" s="18">
        <f>H32*0.01</f>
        <v/>
      </c>
      <c r="J32" s="18">
        <f>F32*I32</f>
        <v/>
      </c>
      <c r="K32" s="19" t="n"/>
      <c r="L32" s="54" t="n"/>
      <c r="M32" s="19" t="n"/>
      <c r="N32" s="54" t="n"/>
      <c r="O32" s="19" t="n"/>
      <c r="P32" s="54" t="n"/>
      <c r="Q32" s="55" t="inlineStr">
        <is>
          <t>[KH 834 I.3.6] Chưa có kết quả — IIb P-QLKH hàng 12: Thông báo số 1020/TB-CĐKT ngày 07/9/2026 GIA HẠN thời gian ban hành → chưa hoàn thành; Ib tháng 10 dòng 1.1 còn ghi → chuyển tháng 10.</t>
        </is>
      </c>
    </row>
    <row r="33" ht="16.5" customHeight="1">
      <c r="A33" s="10" t="inlineStr">
        <is>
          <t>4</t>
        </is>
      </c>
      <c r="B33" s="11" t="inlineStr">
        <is>
          <t>Trục (4) - Xây dựng đảng và hệ thống chính trị trong sạch, vững mạnh; giữ gìn đoàn kết, thống nhất nội bộ; phòng, chống tham nhũng, lãng phí, tiêu cực</t>
        </is>
      </c>
      <c r="C33" s="11" t="n"/>
      <c r="D33" s="11" t="n"/>
      <c r="E33" s="11" t="n"/>
      <c r="F33" s="12" t="n"/>
      <c r="G33" s="13" t="n"/>
      <c r="H33" s="13" t="n"/>
      <c r="I33" s="13" t="n"/>
      <c r="J33" s="12">
        <f>SUM(J34:J46)</f>
        <v/>
      </c>
      <c r="K33" s="53">
        <f>SUM(K34:K46)</f>
        <v/>
      </c>
      <c r="L33" s="53">
        <f>SUM(L34:L46)</f>
        <v/>
      </c>
      <c r="M33" s="53">
        <f>SUM(M34:M46)</f>
        <v/>
      </c>
      <c r="N33" s="53">
        <f>SUM(N34:N46)</f>
        <v/>
      </c>
      <c r="O33" s="53">
        <f>SUM(O34:O46)</f>
        <v/>
      </c>
      <c r="P33" s="53">
        <f>SUM(P34:P46)</f>
        <v/>
      </c>
      <c r="Q33" s="47" t="n"/>
    </row>
    <row r="34" ht="49.5" customHeight="1">
      <c r="A34" s="15" t="inlineStr">
        <is>
          <t>4.1</t>
        </is>
      </c>
      <c r="B34" s="16" t="inlineStr">
        <is>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is>
      </c>
      <c r="C34" s="17" t="inlineStr">
        <is>
          <t>Hiệu trưởng</t>
        </is>
      </c>
      <c r="D34" s="17" t="inlineStr">
        <is>
          <t>Phòng TCCB&amp;CTHSSV</t>
        </is>
      </c>
      <c r="E34" s="17" t="inlineStr">
        <is>
          <t>Kế hoạch</t>
        </is>
      </c>
      <c r="F34" s="17" t="n">
        <v>1</v>
      </c>
      <c r="G34" s="17" t="inlineStr">
        <is>
          <t>Cao</t>
        </is>
      </c>
      <c r="H34" s="18">
        <f>IF(G34="Khó và phức tạp",200,IF(G34="Cao",150,IF(G34="Trung bình",120,IF(G34="Thấp",100))))</f>
        <v/>
      </c>
      <c r="I34" s="18">
        <f>H34*0.01</f>
        <v/>
      </c>
      <c r="J34" s="18">
        <f>F34*I34</f>
        <v/>
      </c>
      <c r="K34" s="19">
        <f>F34*50%</f>
        <v/>
      </c>
      <c r="L34" s="54">
        <f>K34*I34</f>
        <v/>
      </c>
      <c r="M34" s="19">
        <f>K34*100%</f>
        <v/>
      </c>
      <c r="N34" s="54">
        <f>I34*M34</f>
        <v/>
      </c>
      <c r="O34" s="19">
        <f>K34*100%</f>
        <v/>
      </c>
      <c r="P34" s="54">
        <f>I34*O34</f>
        <v/>
      </c>
      <c r="Q34" s="55" t="inlineStr">
        <is>
          <t>[KH 834 I.4.1] IIb P-TCCB dòng 1.2 (hàng 12) — SL 50%, CL 100%, TĐ 100% (tỷ lệ tính trên phần đã hoàn thành). SL 50% → chuyển phần còn lại sang tháng 10.</t>
        </is>
      </c>
    </row>
    <row r="35" ht="49.5" customHeight="1">
      <c r="A35" s="15" t="inlineStr">
        <is>
          <t>4.2</t>
        </is>
      </c>
      <c r="B35" s="16" t="inlineStr">
        <is>
          <t>Báo cáo sơ kết công tác quý III và phương hướng, nhiệm vụ công tác quý IV năm 2026 của Đảng ủy Trường.</t>
        </is>
      </c>
      <c r="C35" s="17" t="inlineStr">
        <is>
          <t>Phó Bí thư Đảng uỷ</t>
        </is>
      </c>
      <c r="D35" s="17" t="inlineStr">
        <is>
          <t>BPVPĐU</t>
        </is>
      </c>
      <c r="E35" s="17" t="inlineStr">
        <is>
          <t>Báo cáo</t>
        </is>
      </c>
      <c r="F35" s="17" t="n">
        <v>1</v>
      </c>
      <c r="G35" s="17" t="inlineStr">
        <is>
          <t>Trung bình</t>
        </is>
      </c>
      <c r="H35" s="18">
        <f>IF(G35="Khó và phức tạp",200,IF(G35="Cao",150,IF(G35="Trung bình",120,IF(G35="Thấp",100))))</f>
        <v/>
      </c>
      <c r="I35" s="18">
        <f>H35*0.01</f>
        <v/>
      </c>
      <c r="J35" s="18">
        <f>F35*I35</f>
        <v/>
      </c>
      <c r="K35" s="19" t="n"/>
      <c r="L35" s="54" t="n"/>
      <c r="M35" s="19" t="n"/>
      <c r="N35" s="54" t="n"/>
      <c r="O35" s="19" t="n"/>
      <c r="P35" s="54" t="n"/>
      <c r="Q35" s="55" t="inlineStr">
        <is>
          <t>[KH 834 I.4.2] Chưa có kết quả — Bộ phận Văn phòng Đảng ủy không thuộc danh sách đầu mối nộp; không có báo cáo.</t>
        </is>
      </c>
    </row>
    <row r="36" ht="49.5" customHeight="1">
      <c r="A36" s="15" t="inlineStr">
        <is>
          <t>4.3</t>
        </is>
      </c>
      <c r="B36" s="16" t="inlineStr">
        <is>
          <t>Xây dựng Chương trình Công tác Đoàn và phong trào thanh niên năm học 2026-2027</t>
        </is>
      </c>
      <c r="C36" s="17" t="inlineStr">
        <is>
          <t>Bí thư Đảng uỷ</t>
        </is>
      </c>
      <c r="D36" s="17" t="inlineStr">
        <is>
          <t>Đoàn TN; Hội SV</t>
        </is>
      </c>
      <c r="E36" s="17" t="inlineStr">
        <is>
          <t>Chương trình</t>
        </is>
      </c>
      <c r="F36" s="17" t="n">
        <v>1</v>
      </c>
      <c r="G36" s="17" t="inlineStr">
        <is>
          <t>Trung bình</t>
        </is>
      </c>
      <c r="H36" s="18">
        <f>IF(G36="Khó và phức tạp",200,IF(G36="Cao",150,IF(G36="Trung bình",120,IF(G36="Thấp",100))))</f>
        <v/>
      </c>
      <c r="I36" s="18">
        <f>H36*0.01</f>
        <v/>
      </c>
      <c r="J36" s="18">
        <f>F36*I36</f>
        <v/>
      </c>
      <c r="K36" s="19" t="n"/>
      <c r="L36" s="54" t="n"/>
      <c r="M36" s="19" t="n"/>
      <c r="N36" s="54" t="n"/>
      <c r="O36" s="19" t="n"/>
      <c r="P36" s="54" t="n"/>
      <c r="Q36" s="55" t="inlineStr">
        <is>
          <t>[KH 834 I.4.3] Chưa có kết quả — Đoàn TN-Hội SV chưa nộp. BC 407 mục I.4 ghi đã 'xây dựng Chương trình công tác Đoàn...năm học 2026-2027' — không đủ căn cứ chấm KPI.</t>
        </is>
      </c>
    </row>
    <row r="37" ht="49.5" customHeight="1">
      <c r="A37" s="15" t="inlineStr">
        <is>
          <t>4.4</t>
        </is>
      </c>
      <c r="B37" s="16" t="inlineStr">
        <is>
          <t>Xây dựng Chương trình Công tác Hội và phong trào Sinh viên năm học 2026-2027</t>
        </is>
      </c>
      <c r="C37" s="17" t="inlineStr">
        <is>
          <t>Bí thư Đảng uỷ</t>
        </is>
      </c>
      <c r="D37" s="17" t="inlineStr">
        <is>
          <t>Đoàn TN; Hội SV</t>
        </is>
      </c>
      <c r="E37" s="17" t="inlineStr">
        <is>
          <t>Chương trình</t>
        </is>
      </c>
      <c r="F37" s="17" t="n">
        <v>1</v>
      </c>
      <c r="G37" s="17" t="inlineStr">
        <is>
          <t>Trung bình</t>
        </is>
      </c>
      <c r="H37" s="18">
        <f>IF(G37="Khó và phức tạp",200,IF(G37="Cao",150,IF(G37="Trung bình",120,IF(G37="Thấp",100))))</f>
        <v/>
      </c>
      <c r="I37" s="18">
        <f>H37*0.01</f>
        <v/>
      </c>
      <c r="J37" s="18">
        <f>F37*I37</f>
        <v/>
      </c>
      <c r="K37" s="19" t="n"/>
      <c r="L37" s="54" t="n"/>
      <c r="M37" s="19" t="n"/>
      <c r="N37" s="54" t="n"/>
      <c r="O37" s="19" t="n"/>
      <c r="P37" s="54" t="n"/>
      <c r="Q37" s="55" t="inlineStr">
        <is>
          <t>[KH 834 I.4.4] Chưa có kết quả — Đoàn TN-Hội SV chưa nộp. BC 407 mục I.4 ghi đã 'xây dựng Chương trình công tác Hội...'.</t>
        </is>
      </c>
    </row>
    <row r="38" ht="49.5" customHeight="1">
      <c r="A38" s="15" t="inlineStr">
        <is>
          <t>4.5</t>
        </is>
      </c>
      <c r="B38" s="16" t="inlineStr">
        <is>
          <t>Báo cáo Phòng chống tham nhũng quý III/2026</t>
        </is>
      </c>
      <c r="C38" s="17" t="inlineStr">
        <is>
          <t>Hiệu trưởng</t>
        </is>
      </c>
      <c r="D38" s="17" t="inlineStr">
        <is>
          <t>Phòng QLĐT&amp;BĐCL</t>
        </is>
      </c>
      <c r="E38" s="17" t="inlineStr">
        <is>
          <t>Báo cáo</t>
        </is>
      </c>
      <c r="F38" s="17" t="n">
        <v>1</v>
      </c>
      <c r="G38" s="17" t="inlineStr">
        <is>
          <t>Trung bình</t>
        </is>
      </c>
      <c r="H38" s="18">
        <f>IF(G38="Khó và phức tạp",200,IF(G38="Cao",150,IF(G38="Trung bình",120,IF(G38="Thấp",100))))</f>
        <v/>
      </c>
      <c r="I38" s="18">
        <f>H38*0.01</f>
        <v/>
      </c>
      <c r="J38" s="18">
        <f>F38*I38</f>
        <v/>
      </c>
      <c r="K38" s="19" t="n"/>
      <c r="L38" s="54" t="n"/>
      <c r="M38" s="19" t="n"/>
      <c r="N38" s="54" t="n"/>
      <c r="O38" s="19" t="n"/>
      <c r="P38" s="54" t="n"/>
      <c r="Q38" s="55" t="inlineStr">
        <is>
          <t>[KH 834 I.4.5] Chưa có kết quả — P-QLĐT&amp;BĐCL chưa nộp; không có nguồn khác.</t>
        </is>
      </c>
    </row>
    <row r="39" ht="49.5" customHeight="1">
      <c r="A39" s="15" t="inlineStr">
        <is>
          <t>4.6</t>
        </is>
      </c>
      <c r="B39" s="16" t="inlineStr">
        <is>
          <t>Tổ chức các hoạt động chào mừng Ngày Phụ nữ Việt Nam 20/10</t>
        </is>
      </c>
      <c r="C39" s="17" t="inlineStr">
        <is>
          <t>Chủ tịch Công đoàn</t>
        </is>
      </c>
      <c r="D39" s="17" t="inlineStr">
        <is>
          <t>Ban Nữ công; BCH CĐCS</t>
        </is>
      </c>
      <c r="E39" s="17" t="inlineStr">
        <is>
          <t>Kế hoạch</t>
        </is>
      </c>
      <c r="F39" s="17" t="n">
        <v>1</v>
      </c>
      <c r="G39" s="17" t="inlineStr">
        <is>
          <t>Cao</t>
        </is>
      </c>
      <c r="H39" s="18">
        <f>IF(G39="Khó và phức tạp",200,IF(G39="Cao",150,IF(G39="Trung bình",120,IF(G39="Thấp",100))))</f>
        <v/>
      </c>
      <c r="I39" s="18">
        <f>H39*0.01</f>
        <v/>
      </c>
      <c r="J39" s="18">
        <f>F39*I39</f>
        <v/>
      </c>
      <c r="K39" s="19" t="n"/>
      <c r="L39" s="54" t="n"/>
      <c r="M39" s="19" t="n"/>
      <c r="N39" s="54" t="n"/>
      <c r="O39" s="19" t="n"/>
      <c r="P39" s="54" t="n"/>
      <c r="Q39" s="55" t="inlineStr">
        <is>
          <t>[KH 834 I.4.6] Chưa có kết quả — Công đoàn cơ sở chưa nộp. (Hoạt động diễn ra 20/10 — xem KH tháng 10.)</t>
        </is>
      </c>
    </row>
    <row r="40" ht="49.5" customHeight="1">
      <c r="A40" s="15" t="inlineStr">
        <is>
          <t>4.7</t>
        </is>
      </c>
      <c r="B40" s="16" t="inlineStr">
        <is>
          <t>Ban hành kế hoạch triển khai phần mềm VNPT KPI – Hệ thống quản lý đánh giá, xếp loại chất lượng CBCCVC</t>
        </is>
      </c>
      <c r="C40" s="17" t="inlineStr">
        <is>
          <t>Hiệu trưởng</t>
        </is>
      </c>
      <c r="D40" s="17" t="inlineStr">
        <is>
          <t>Phòng TCCB&amp;CTHSSV</t>
        </is>
      </c>
      <c r="E40" s="17" t="inlineStr">
        <is>
          <t>Kế hoạch</t>
        </is>
      </c>
      <c r="F40" s="17" t="n">
        <v>1</v>
      </c>
      <c r="G40" s="17" t="inlineStr">
        <is>
          <t>Trung bình</t>
        </is>
      </c>
      <c r="H40" s="18">
        <f>IF(G40="Khó và phức tạp",200,IF(G40="Cao",150,IF(G40="Trung bình",120,IF(G40="Thấp",100))))</f>
        <v/>
      </c>
      <c r="I40" s="18">
        <f>H40*0.01</f>
        <v/>
      </c>
      <c r="J40" s="18">
        <f>F40*I40</f>
        <v/>
      </c>
      <c r="K40" s="19">
        <f>F40*100%</f>
        <v/>
      </c>
      <c r="L40" s="54">
        <f>K40*I40</f>
        <v/>
      </c>
      <c r="M40" s="19">
        <f>K40*75%</f>
        <v/>
      </c>
      <c r="N40" s="54">
        <f>I40*M40</f>
        <v/>
      </c>
      <c r="O40" s="19">
        <f>K40*100%</f>
        <v/>
      </c>
      <c r="P40" s="54">
        <f>I40*O40</f>
        <v/>
      </c>
      <c r="Q40" s="55" t="inlineStr">
        <is>
          <t>[KH 834 I.4.7] IIb P-TCCB hàng 34 'kế hoạch triển khai phần mềm VNPT KPI' — 100/75/100.</t>
        </is>
      </c>
    </row>
    <row r="41" ht="49.5" customHeight="1">
      <c r="A41" s="15" t="inlineStr">
        <is>
          <t>4.8</t>
        </is>
      </c>
      <c r="B41" s="16" t="inlineStr">
        <is>
          <t>Tổ chức Chương trình "Tết Trung thu năm 2026" cho con đoàn viên, viên chức và người lao động.</t>
        </is>
      </c>
      <c r="C41" s="17" t="inlineStr">
        <is>
          <t>Chủ tịch Công đoàn</t>
        </is>
      </c>
      <c r="D41" s="17" t="inlineStr">
        <is>
          <t>Ban Nữ công; BCH CĐCS; các Tổ Công đoàn</t>
        </is>
      </c>
      <c r="E41" s="17" t="inlineStr">
        <is>
          <t>Danh sách; Báo cáo; quyết toán kinh phí</t>
        </is>
      </c>
      <c r="F41" s="17" t="n">
        <v>1</v>
      </c>
      <c r="G41" s="17" t="inlineStr">
        <is>
          <t>Khó và phức tạp</t>
        </is>
      </c>
      <c r="H41" s="18">
        <f>IF(G41="Khó và phức tạp",200,IF(G41="Cao",150,IF(G41="Trung bình",120,IF(G41="Thấp",100))))</f>
        <v/>
      </c>
      <c r="I41" s="18">
        <f>H41*0.01</f>
        <v/>
      </c>
      <c r="J41" s="18">
        <f>F41*I41</f>
        <v/>
      </c>
      <c r="K41" s="19" t="n"/>
      <c r="L41" s="54" t="n"/>
      <c r="M41" s="19" t="n"/>
      <c r="N41" s="54" t="n"/>
      <c r="O41" s="19" t="n"/>
      <c r="P41" s="54" t="n"/>
      <c r="Q41" s="55" t="inlineStr">
        <is>
          <t>[KH 834 I.4.8] Chưa có kết quả — Công đoàn cơ sở chưa nộp. IIb K-KHCB dòng 5.1 (phần tham gia của khoa, chủ trì CĐCS) báo 100%; TB 1071 giao CĐ chủ trì. Không đủ căn cứ chấm KPI cấp Trường.</t>
        </is>
      </c>
    </row>
    <row r="42" ht="49.5" customHeight="1">
      <c r="A42" s="15" t="inlineStr">
        <is>
          <t>4.9</t>
        </is>
      </c>
      <c r="B42" s="16" t="inlineStr">
        <is>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is>
      </c>
      <c r="C42" s="17" t="inlineStr">
        <is>
          <t>Hiệu trưởng</t>
        </is>
      </c>
      <c r="D42" s="17" t="inlineStr">
        <is>
          <t>Phòng TCCB&amp;CTHSSV</t>
        </is>
      </c>
      <c r="E42" s="17" t="inlineStr">
        <is>
          <t>Kế hoạch</t>
        </is>
      </c>
      <c r="F42" s="17" t="n">
        <v>1</v>
      </c>
      <c r="G42" s="17" t="inlineStr">
        <is>
          <t>Trung bình</t>
        </is>
      </c>
      <c r="H42" s="18">
        <f>IF(G42="Khó và phức tạp",200,IF(G42="Cao",150,IF(G42="Trung bình",120,IF(G42="Thấp",100))))</f>
        <v/>
      </c>
      <c r="I42" s="18">
        <f>H42*0.01</f>
        <v/>
      </c>
      <c r="J42" s="18">
        <f>F42*I42</f>
        <v/>
      </c>
      <c r="K42" s="19">
        <f>F42*100%</f>
        <v/>
      </c>
      <c r="L42" s="54">
        <f>K42*I42</f>
        <v/>
      </c>
      <c r="M42" s="19">
        <f>K42*75%</f>
        <v/>
      </c>
      <c r="N42" s="54">
        <f>I42*M42</f>
        <v/>
      </c>
      <c r="O42" s="19">
        <f>K42*50%</f>
        <v/>
      </c>
      <c r="P42" s="54">
        <f>I42*O42</f>
        <v/>
      </c>
      <c r="Q42" s="55" t="inlineStr">
        <is>
          <t>[KH 834 I.4.9] IIb P-TCCB dòng 1.3 (hàng 13) — 100/75/50 (chậm tiến độ; hạn KH 04/9/2026).</t>
        </is>
      </c>
    </row>
    <row r="43" ht="49.5" customHeight="1">
      <c r="A43" s="15" t="inlineStr">
        <is>
          <t>4.10</t>
        </is>
      </c>
      <c r="B43" s="16" t="inlineStr">
        <is>
          <t>Ban hành kế hoạch cử viên chức đi đào tạo về kiểm định viên ASEAN</t>
        </is>
      </c>
      <c r="C43" s="17" t="inlineStr">
        <is>
          <t>Hiệu trưởng</t>
        </is>
      </c>
      <c r="D43" s="17" t="inlineStr">
        <is>
          <t>Phòng QLĐT&amp;BĐCL</t>
        </is>
      </c>
      <c r="E43" s="17" t="inlineStr">
        <is>
          <t>Kế hoạch</t>
        </is>
      </c>
      <c r="F43" s="17" t="n">
        <v>1</v>
      </c>
      <c r="G43" s="17" t="inlineStr">
        <is>
          <t>Trung bình</t>
        </is>
      </c>
      <c r="H43" s="18">
        <f>IF(G43="Khó và phức tạp",200,IF(G43="Cao",150,IF(G43="Trung bình",120,IF(G43="Thấp",100))))</f>
        <v/>
      </c>
      <c r="I43" s="18">
        <f>H43*0.01</f>
        <v/>
      </c>
      <c r="J43" s="18">
        <f>F43*I43</f>
        <v/>
      </c>
      <c r="K43" s="19" t="n"/>
      <c r="L43" s="54" t="n"/>
      <c r="M43" s="19" t="n"/>
      <c r="N43" s="54" t="n"/>
      <c r="O43" s="19" t="n"/>
      <c r="P43" s="54" t="n"/>
      <c r="Q43" s="55" t="inlineStr">
        <is>
          <t>[KH 834 I.4.10] Chưa có kết quả — P-QLĐT&amp;BĐCL chưa nộp; không có nguồn khác.</t>
        </is>
      </c>
    </row>
    <row r="44" ht="49.5" customHeight="1">
      <c r="A44" s="15" t="inlineStr">
        <is>
          <t>4.11</t>
        </is>
      </c>
      <c r="B44" s="16" t="inlineStr">
        <is>
          <t>Ban hành Kế hoạch triển khai Thông tư số 59/2026/TT-BGDĐT của Bộ trưởng Bộ Giáo dục và Đào tạo quy định về nhà giáo hợp đồng toàn thời gian sau khi nghỉ hưu và nhà giáo thỉnh giảng</t>
        </is>
      </c>
      <c r="C44" s="17" t="inlineStr">
        <is>
          <t>Hiệu trưởng</t>
        </is>
      </c>
      <c r="D44" s="17" t="inlineStr">
        <is>
          <t>Phòng TCCB&amp;CTHSSV</t>
        </is>
      </c>
      <c r="E44" s="17" t="inlineStr">
        <is>
          <t>Kế hoạch</t>
        </is>
      </c>
      <c r="F44" s="17" t="n">
        <v>1</v>
      </c>
      <c r="G44" s="17" t="inlineStr">
        <is>
          <t>Trung bình</t>
        </is>
      </c>
      <c r="H44" s="18">
        <f>IF(G44="Khó và phức tạp",200,IF(G44="Cao",150,IF(G44="Trung bình",120,IF(G44="Thấp",100))))</f>
        <v/>
      </c>
      <c r="I44" s="18">
        <f>H44*0.01</f>
        <v/>
      </c>
      <c r="J44" s="18">
        <f>F44*I44</f>
        <v/>
      </c>
      <c r="K44" s="19">
        <f>F44*100%</f>
        <v/>
      </c>
      <c r="L44" s="54">
        <f>K44*I44</f>
        <v/>
      </c>
      <c r="M44" s="19">
        <f>K44*75%</f>
        <v/>
      </c>
      <c r="N44" s="54">
        <f>I44*M44</f>
        <v/>
      </c>
      <c r="O44" s="19">
        <f>K44*50%</f>
        <v/>
      </c>
      <c r="P44" s="54">
        <f>I44*O44</f>
        <v/>
      </c>
      <c r="Q44" s="55" t="inlineStr">
        <is>
          <t>[KH 834 I.4.11] IIb P-TCCB dòng 1.4 (hàng 14) — 100/75/50.</t>
        </is>
      </c>
    </row>
    <row r="45" ht="49.5" customHeight="1">
      <c r="A45" s="15" t="inlineStr">
        <is>
          <t>4.12</t>
        </is>
      </c>
      <c r="B45" s="16" t="inlineStr">
        <is>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is>
      </c>
      <c r="C45" s="17" t="inlineStr">
        <is>
          <t>Bí thư Đảng uỷ</t>
        </is>
      </c>
      <c r="D45" s="17" t="inlineStr">
        <is>
          <t>BPVPĐU</t>
        </is>
      </c>
      <c r="E45" s="17" t="inlineStr">
        <is>
          <t>Kế hoạch</t>
        </is>
      </c>
      <c r="F45" s="17" t="n">
        <v>1</v>
      </c>
      <c r="G45" s="17" t="inlineStr">
        <is>
          <t>Trung bình</t>
        </is>
      </c>
      <c r="H45" s="18">
        <f>IF(G45="Khó và phức tạp",200,IF(G45="Cao",150,IF(G45="Trung bình",120,IF(G45="Thấp",100))))</f>
        <v/>
      </c>
      <c r="I45" s="18">
        <f>H45*0.01</f>
        <v/>
      </c>
      <c r="J45" s="18">
        <f>F45*I45</f>
        <v/>
      </c>
      <c r="K45" s="19" t="n"/>
      <c r="L45" s="54" t="n"/>
      <c r="M45" s="19" t="n"/>
      <c r="N45" s="54" t="n"/>
      <c r="O45" s="19" t="n"/>
      <c r="P45" s="54" t="n"/>
      <c r="Q45" s="55" t="inlineStr">
        <is>
          <t>[KH 834 I.4.12] Chưa có kết quả — Bộ phận Văn phòng Đảng ủy: không có báo cáo.</t>
        </is>
      </c>
    </row>
    <row r="46" ht="49.5" customHeight="1">
      <c r="A46" s="15" t="inlineStr">
        <is>
          <t>4.13</t>
        </is>
      </c>
      <c r="B46" s="16" t="inlineStr">
        <is>
          <t>Quyết định kết thúc hoạt động của Ban chỉ đạo thực hiện dân chủ ở cơ sở của Đảng uỷ Trường</t>
        </is>
      </c>
      <c r="C46" s="17" t="inlineStr">
        <is>
          <t>Bí thư Đảng uỷ</t>
        </is>
      </c>
      <c r="D46" s="17" t="inlineStr">
        <is>
          <t>BPVPĐU</t>
        </is>
      </c>
      <c r="E46" s="17" t="inlineStr">
        <is>
          <t>Quyết định</t>
        </is>
      </c>
      <c r="F46" s="17" t="n">
        <v>1</v>
      </c>
      <c r="G46" s="17" t="inlineStr">
        <is>
          <t>Trung bình</t>
        </is>
      </c>
      <c r="H46" s="18">
        <f>IF(G46="Khó và phức tạp",200,IF(G46="Cao",150,IF(G46="Trung bình",120,IF(G46="Thấp",100))))</f>
        <v/>
      </c>
      <c r="I46" s="18">
        <f>H46*0.01</f>
        <v/>
      </c>
      <c r="J46" s="18">
        <f>F46*I46</f>
        <v/>
      </c>
      <c r="K46" s="19" t="n"/>
      <c r="L46" s="54" t="n"/>
      <c r="M46" s="19" t="n"/>
      <c r="N46" s="54" t="n"/>
      <c r="O46" s="19" t="n"/>
      <c r="P46" s="54" t="n"/>
      <c r="Q46" s="55" t="inlineStr">
        <is>
          <t>[KH 834 I.4.13] Chưa có kết quả — Bộ phận Văn phòng Đảng ủy: không có báo cáo.</t>
        </is>
      </c>
    </row>
    <row r="47" ht="16.5" customHeight="1">
      <c r="A47" s="10" t="inlineStr">
        <is>
          <t>5</t>
        </is>
      </c>
      <c r="B47" s="11" t="inlineStr">
        <is>
          <t>Trục (5) - Phát triển văn hóa, con người, bảo đảm an sinh xã hội, nâng cao đời sống nhân dân</t>
        </is>
      </c>
      <c r="C47" s="11" t="n"/>
      <c r="D47" s="11" t="n"/>
      <c r="E47" s="11" t="n"/>
      <c r="F47" s="12" t="n"/>
      <c r="G47" s="13" t="n"/>
      <c r="H47" s="13" t="n"/>
      <c r="I47" s="13" t="n"/>
      <c r="J47" s="12">
        <f>SUM(J48:J58)</f>
        <v/>
      </c>
      <c r="K47" s="53">
        <f>SUM(K48:K58)</f>
        <v/>
      </c>
      <c r="L47" s="53">
        <f>SUM(L48:L58)</f>
        <v/>
      </c>
      <c r="M47" s="53">
        <f>SUM(M48:M58)</f>
        <v/>
      </c>
      <c r="N47" s="53">
        <f>SUM(N48:N58)</f>
        <v/>
      </c>
      <c r="O47" s="53">
        <f>SUM(O48:O58)</f>
        <v/>
      </c>
      <c r="P47" s="53">
        <f>SUM(P48:P58)</f>
        <v/>
      </c>
      <c r="Q47" s="47" t="n"/>
    </row>
    <row r="48" ht="49.5" customHeight="1">
      <c r="A48" s="15" t="inlineStr">
        <is>
          <t>5.1</t>
        </is>
      </c>
      <c r="B48" s="16" t="inlineStr">
        <is>
          <t>Tổ chức “Ngày hội đầu khóa” năm học 2026-2027 và “Tuần sinh hoạt công dân - Học sinh, Sinh viên” Đợt 1 năm học 2026-2027</t>
        </is>
      </c>
      <c r="C48" s="17" t="inlineStr">
        <is>
          <t>PHT Huỳnh Văn Chung</t>
        </is>
      </c>
      <c r="D48" s="17" t="inlineStr">
        <is>
          <t>Đoàn TN; Hội SV</t>
        </is>
      </c>
      <c r="E48" s="17" t="inlineStr">
        <is>
          <t>Kế hoạch</t>
        </is>
      </c>
      <c r="F48" s="17" t="n">
        <v>1</v>
      </c>
      <c r="G48" s="17" t="inlineStr">
        <is>
          <t>Cao</t>
        </is>
      </c>
      <c r="H48" s="18">
        <f>IF(G48="Khó và phức tạp",200,IF(G48="Cao",150,IF(G48="Trung bình",120,IF(G48="Thấp",100))))</f>
        <v/>
      </c>
      <c r="I48" s="18">
        <f>H48*0.01</f>
        <v/>
      </c>
      <c r="J48" s="18">
        <f>F48*I48</f>
        <v/>
      </c>
      <c r="K48" s="19" t="n"/>
      <c r="L48" s="54" t="n"/>
      <c r="M48" s="19" t="n"/>
      <c r="N48" s="54" t="n"/>
      <c r="O48" s="19" t="n"/>
      <c r="P48" s="54" t="n"/>
      <c r="Q48" s="55" t="inlineStr">
        <is>
          <t>[KH 834 I.5.1] Chưa có kết quả — Đoàn TN-Hội SV chưa nộp. IIa K-KHCB ghi 'phối hợp tổ chức ... Tuần sinh hoạt công dân - HSSV'; BC 407 ghi 'sinh hoạt chính trị đầu khóa'.</t>
        </is>
      </c>
    </row>
    <row r="49" ht="49.5" customHeight="1">
      <c r="A49" s="15" t="inlineStr">
        <is>
          <t>5.2</t>
        </is>
      </c>
      <c r="B49" s="16" t="inlineStr">
        <is>
          <t>Triển khai kế hoạch khám sức khỏe cho sinh viên các lớp tuyển sinh năm 2026</t>
        </is>
      </c>
      <c r="C49" s="17" t="inlineStr">
        <is>
          <t>PHT Nguyễn Trung Hiếu</t>
        </is>
      </c>
      <c r="D49" s="17" t="inlineStr">
        <is>
          <t>Khoa Y – Dược</t>
        </is>
      </c>
      <c r="E49" s="17" t="inlineStr">
        <is>
          <t>Kế hoạch</t>
        </is>
      </c>
      <c r="F49" s="17" t="n">
        <v>1</v>
      </c>
      <c r="G49" s="17" t="inlineStr">
        <is>
          <t>Cao</t>
        </is>
      </c>
      <c r="H49" s="18">
        <f>IF(G49="Khó và phức tạp",200,IF(G49="Cao",150,IF(G49="Trung bình",120,IF(G49="Thấp",100))))</f>
        <v/>
      </c>
      <c r="I49" s="18">
        <f>H49*0.01</f>
        <v/>
      </c>
      <c r="J49" s="18">
        <f>F49*I49</f>
        <v/>
      </c>
      <c r="K49" s="19" t="n"/>
      <c r="L49" s="54" t="n"/>
      <c r="M49" s="19" t="n"/>
      <c r="N49" s="54" t="n"/>
      <c r="O49" s="19" t="n"/>
      <c r="P49" s="54" t="n"/>
      <c r="Q49" s="55" t="inlineStr">
        <is>
          <t>[KH 834 I.5.2] Chưa có kết quả — IIb K-YDUOC không có dòng; Ib K-YDUOC tháng 10 dòng 1.6 hạn 15/10/2026 → chưa xong, chuyển tháng 10.</t>
        </is>
      </c>
    </row>
    <row r="50" ht="49.5" customHeight="1">
      <c r="A50" s="15" t="inlineStr">
        <is>
          <t>5.3</t>
        </is>
      </c>
      <c r="B50" s="16" t="inlineStr">
        <is>
          <t>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t>
        </is>
      </c>
      <c r="C50" s="17" t="inlineStr">
        <is>
          <t>Hiệu trưởng</t>
        </is>
      </c>
      <c r="D50" s="17" t="inlineStr">
        <is>
          <t>Phòng TC-KT</t>
        </is>
      </c>
      <c r="E50" s="17" t="inlineStr">
        <is>
          <t>Kế hoạch</t>
        </is>
      </c>
      <c r="F50" s="17" t="n">
        <v>1</v>
      </c>
      <c r="G50" s="17" t="inlineStr">
        <is>
          <t>Cao</t>
        </is>
      </c>
      <c r="H50" s="18">
        <f>IF(G50="Khó và phức tạp",200,IF(G50="Cao",150,IF(G50="Trung bình",120,IF(G50="Thấp",100))))</f>
        <v/>
      </c>
      <c r="I50" s="18">
        <f>H50*0.01</f>
        <v/>
      </c>
      <c r="J50" s="18">
        <f>F50*I50</f>
        <v/>
      </c>
      <c r="K50" s="19">
        <f>F50*100%</f>
        <v/>
      </c>
      <c r="L50" s="54">
        <f>K50*I50</f>
        <v/>
      </c>
      <c r="M50" s="19">
        <f>K50*100%</f>
        <v/>
      </c>
      <c r="N50" s="54">
        <f>I50*M50</f>
        <v/>
      </c>
      <c r="O50" s="19">
        <f>K50*100%</f>
        <v/>
      </c>
      <c r="P50" s="54">
        <f>I50*O50</f>
        <v/>
      </c>
      <c r="Q50" s="55" t="inlineStr">
        <is>
          <t>[KH 834 I.5.3] IIb P-TCKT dòng 1.3 (hàng 13) 'Tham mưu ban hành Kế hoạch xây dựng định mức KTKT và định giá đào tạo ngành, nghề Y sỹ đa khoa và các lái xe' — 100/100/100; dòng không có lỗi công thức.</t>
        </is>
      </c>
    </row>
    <row r="51" ht="49.5" customHeight="1">
      <c r="A51" s="15" t="inlineStr">
        <is>
          <t>5.4</t>
        </is>
      </c>
      <c r="B51" s="16" t="inlineStr">
        <is>
          <t>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t>
        </is>
      </c>
      <c r="C51" s="17" t="inlineStr">
        <is>
          <t>Hiệu trưởng</t>
        </is>
      </c>
      <c r="D51" s="17" t="inlineStr">
        <is>
          <t>Phòng TC-KT</t>
        </is>
      </c>
      <c r="E51" s="17" t="inlineStr">
        <is>
          <t>Quyết định</t>
        </is>
      </c>
      <c r="F51" s="17" t="n">
        <v>1</v>
      </c>
      <c r="G51" s="17" t="inlineStr">
        <is>
          <t>Trung bình</t>
        </is>
      </c>
      <c r="H51" s="18">
        <f>IF(G51="Khó và phức tạp",200,IF(G51="Cao",150,IF(G51="Trung bình",120,IF(G51="Thấp",100))))</f>
        <v/>
      </c>
      <c r="I51" s="18">
        <f>H51*0.01</f>
        <v/>
      </c>
      <c r="J51" s="18">
        <f>F51*I51</f>
        <v/>
      </c>
      <c r="K51" s="19" t="n"/>
      <c r="L51" s="54" t="n"/>
      <c r="M51" s="19" t="n"/>
      <c r="N51" s="54" t="n"/>
      <c r="O51" s="19" t="n"/>
      <c r="P51" s="54" t="n"/>
      <c r="Q51" s="55" t="inlineStr">
        <is>
          <t>[KH 834 I.5.4] Chưa có kết quả — IIb P-TCKT không có dòng tương ứng.</t>
        </is>
      </c>
    </row>
    <row r="52" ht="49.5" customHeight="1">
      <c r="A52" s="15" t="inlineStr">
        <is>
          <t>5.5</t>
        </is>
      </c>
      <c r="B52" s="16" t="inlineStr">
        <is>
          <t>Ban hành kế hoạch đầu tư 2 cầu nối che mưa, nắng khi đi lại (1 cầu nối giữa khối nhà C và Hội trường Trung tâm, Trụ sở chính và 1 cầu nối giữa phòng TCCB&amp;CTHSSV Khu hiệu bộ và Nhà để xe ô tô, Trụ sở chính)</t>
        </is>
      </c>
      <c r="C52" s="17" t="inlineStr">
        <is>
          <t>Hiệu trưởng</t>
        </is>
      </c>
      <c r="D52" s="17" t="inlineStr">
        <is>
          <t>Phòng TH-HC&amp;QT</t>
        </is>
      </c>
      <c r="E52" s="17" t="inlineStr">
        <is>
          <t>Kế hoạch</t>
        </is>
      </c>
      <c r="F52" s="17" t="n">
        <v>1</v>
      </c>
      <c r="G52" s="17" t="inlineStr">
        <is>
          <t>Cao</t>
        </is>
      </c>
      <c r="H52" s="18">
        <f>IF(G52="Khó và phức tạp",200,IF(G52="Cao",150,IF(G52="Trung bình",120,IF(G52="Thấp",100))))</f>
        <v/>
      </c>
      <c r="I52" s="18">
        <f>H52*0.01</f>
        <v/>
      </c>
      <c r="J52" s="18">
        <f>F52*I52</f>
        <v/>
      </c>
      <c r="K52" s="19" t="n"/>
      <c r="L52" s="54" t="n"/>
      <c r="M52" s="19" t="n"/>
      <c r="N52" s="54" t="n"/>
      <c r="O52" s="19" t="n"/>
      <c r="P52" s="54" t="n"/>
      <c r="Q52" s="55" t="inlineStr">
        <is>
          <t>[KH 834 I.5.5] Chưa có kết quả — IIb Phòng TH-HC&amp;QT (P.THHCQT.xlsx) không có dòng; tệp này bỏ trống toàn bộ cột KPI.</t>
        </is>
      </c>
    </row>
    <row r="53" ht="49.5" customHeight="1">
      <c r="A53" s="15" t="inlineStr">
        <is>
          <t>5.6</t>
        </is>
      </c>
      <c r="B53" s="16" t="inlineStr">
        <is>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is>
      </c>
      <c r="C53" s="17" t="inlineStr">
        <is>
          <t>Hiệu trưởng</t>
        </is>
      </c>
      <c r="D53" s="17" t="inlineStr">
        <is>
          <t>Phòng TH-HC&amp;QT</t>
        </is>
      </c>
      <c r="E53" s="17" t="inlineStr">
        <is>
          <t>Kế hoạch</t>
        </is>
      </c>
      <c r="F53" s="17" t="n">
        <v>1</v>
      </c>
      <c r="G53" s="17" t="inlineStr">
        <is>
          <t>Cao</t>
        </is>
      </c>
      <c r="H53" s="18">
        <f>IF(G53="Khó và phức tạp",200,IF(G53="Cao",150,IF(G53="Trung bình",120,IF(G53="Thấp",100))))</f>
        <v/>
      </c>
      <c r="I53" s="18">
        <f>H53*0.01</f>
        <v/>
      </c>
      <c r="J53" s="18">
        <f>F53*I53</f>
        <v/>
      </c>
      <c r="K53" s="19" t="n"/>
      <c r="L53" s="54" t="n"/>
      <c r="M53" s="19" t="n"/>
      <c r="N53" s="54" t="n"/>
      <c r="O53" s="19" t="n"/>
      <c r="P53" s="54" t="n"/>
      <c r="Q53" s="55" t="inlineStr">
        <is>
          <t>[KH 834 I.5.6] Chưa có kết quả — IIb Phòng TH-HC&amp;QT không có dòng.</t>
        </is>
      </c>
    </row>
    <row r="54" ht="49.5" customHeight="1">
      <c r="A54" s="15" t="inlineStr">
        <is>
          <t>5.7</t>
        </is>
      </c>
      <c r="B54" s="16" t="inlineStr">
        <is>
          <t>Phương án sắp xếp, bố trí máy móc, thiết bị phục vụ công tác các chức danh và phục vụ hoạt động chung theo Quyết định số 1763/QĐ-CĐKT ngày 13/8/2026 của Hiệu trưởng nhà trường;</t>
        </is>
      </c>
      <c r="C54" s="17" t="inlineStr">
        <is>
          <t>Hiệu trưởng</t>
        </is>
      </c>
      <c r="D54" s="17" t="inlineStr">
        <is>
          <t>Phòng TH-HC&amp;QT</t>
        </is>
      </c>
      <c r="E54" s="17" t="inlineStr">
        <is>
          <t>Phương án</t>
        </is>
      </c>
      <c r="F54" s="17" t="n">
        <v>1</v>
      </c>
      <c r="G54" s="17" t="inlineStr">
        <is>
          <t>Trung bình</t>
        </is>
      </c>
      <c r="H54" s="18">
        <f>IF(G54="Khó và phức tạp",200,IF(G54="Cao",150,IF(G54="Trung bình",120,IF(G54="Thấp",100))))</f>
        <v/>
      </c>
      <c r="I54" s="18">
        <f>H54*0.01</f>
        <v/>
      </c>
      <c r="J54" s="18">
        <f>F54*I54</f>
        <v/>
      </c>
      <c r="K54" s="19" t="n"/>
      <c r="L54" s="54" t="n"/>
      <c r="M54" s="19" t="n"/>
      <c r="N54" s="54" t="n"/>
      <c r="O54" s="19" t="n"/>
      <c r="P54" s="54" t="n"/>
      <c r="Q54" s="55" t="inlineStr">
        <is>
          <t>[KH 834 I.5.7] Chưa có kết quả — IIb Phòng TH-HC&amp;QT dòng 2.2 'Thông báo rà soát, sắp xếp máy móc, thiết bị...' — sản phẩm là Thông báo, không phải Phương án; bỏ trống KPI. DOI_CHIEU_GAN_DUNG.</t>
        </is>
      </c>
    </row>
    <row r="55" ht="49.5" customHeight="1">
      <c r="A55" s="15" t="inlineStr">
        <is>
          <t>5.8</t>
        </is>
      </c>
      <c r="B55" s="16" t="inlineStr">
        <is>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is>
      </c>
      <c r="C55" s="17" t="inlineStr">
        <is>
          <t>Hiệu trưởng</t>
        </is>
      </c>
      <c r="D55" s="17" t="inlineStr">
        <is>
          <t>Khoa CKHCB</t>
        </is>
      </c>
      <c r="E55" s="17" t="inlineStr">
        <is>
          <t>Kế hoạch</t>
        </is>
      </c>
      <c r="F55" s="17" t="n">
        <v>1</v>
      </c>
      <c r="G55" s="17" t="inlineStr">
        <is>
          <t>Trung bình</t>
        </is>
      </c>
      <c r="H55" s="18">
        <f>IF(G55="Khó và phức tạp",200,IF(G55="Cao",150,IF(G55="Trung bình",120,IF(G55="Thấp",100))))</f>
        <v/>
      </c>
      <c r="I55" s="18">
        <f>H55*0.01</f>
        <v/>
      </c>
      <c r="J55" s="18">
        <f>F55*I55</f>
        <v/>
      </c>
      <c r="K55" s="19" t="n"/>
      <c r="L55" s="54" t="n"/>
      <c r="M55" s="19" t="n"/>
      <c r="N55" s="54" t="n"/>
      <c r="O55" s="19" t="n"/>
      <c r="P55" s="54" t="n"/>
      <c r="Q55" s="55" t="inlineStr">
        <is>
          <t>[KH 834 I.5.8] Chưa có kết quả — IIb K-KHCB không có dòng tương ứng.</t>
        </is>
      </c>
    </row>
    <row r="56" ht="49.5" customHeight="1">
      <c r="A56" s="15" t="inlineStr">
        <is>
          <t>5.9</t>
        </is>
      </c>
      <c r="B56" s="16" t="inlineStr">
        <is>
          <t>Phương án hoặc Kế hoạch đầu tư nâng cấp sân tập lái xe ô tô</t>
        </is>
      </c>
      <c r="C56" s="17" t="inlineStr">
        <is>
          <t>Hiệu trưởng</t>
        </is>
      </c>
      <c r="D56" s="17" t="inlineStr">
        <is>
          <t>Khoa ĐT&amp;SHLX</t>
        </is>
      </c>
      <c r="E56" s="17" t="inlineStr">
        <is>
          <t>Kế hoạch</t>
        </is>
      </c>
      <c r="F56" s="17" t="n">
        <v>1</v>
      </c>
      <c r="G56" s="17" t="inlineStr">
        <is>
          <t>Trung bình</t>
        </is>
      </c>
      <c r="H56" s="18">
        <f>IF(G56="Khó và phức tạp",200,IF(G56="Cao",150,IF(G56="Trung bình",120,IF(G56="Thấp",100))))</f>
        <v/>
      </c>
      <c r="I56" s="18">
        <f>H56*0.01</f>
        <v/>
      </c>
      <c r="J56" s="18">
        <f>F56*I56</f>
        <v/>
      </c>
      <c r="K56" s="19" t="n"/>
      <c r="L56" s="54" t="n"/>
      <c r="M56" s="19" t="n"/>
      <c r="N56" s="54" t="n"/>
      <c r="O56" s="19" t="n"/>
      <c r="P56" s="54" t="n"/>
      <c r="Q56" s="55" t="inlineStr">
        <is>
          <t>[KH 834 I.5.9] Chưa có kết quả — IIb K-DTSHLX không có dòng. TB 1019, 1047 ghi tồn đọng (hạn 28/8/2026); TB 1071 ghi 2 việc tồn đọng đã hoàn thành trong tuần 14-20/9 (không nêu tên) — DOI_CHIEU_GAN_DUNG, cần xác nhận.</t>
        </is>
      </c>
    </row>
    <row r="57" ht="49.5" customHeight="1">
      <c r="A57" s="15" t="inlineStr">
        <is>
          <t>5.10</t>
        </is>
      </c>
      <c r="B57" s="16" t="inlineStr">
        <is>
          <t>Triển khai sửa chữa sân nền tiếp giáp giữa trục đường chính và lối vào Nhà để xe ô tô phía sau Khu hiệu bộ, Trụ sở chính</t>
        </is>
      </c>
      <c r="C57" s="17" t="inlineStr">
        <is>
          <t>Hiệu trưởng</t>
        </is>
      </c>
      <c r="D57" s="17" t="inlineStr">
        <is>
          <t>Phòng TH-HC&amp;QT</t>
        </is>
      </c>
      <c r="E57" s="17" t="inlineStr">
        <is>
          <t>Hồ sơ triển khai sửa chữa</t>
        </is>
      </c>
      <c r="F57" s="17" t="n">
        <v>1</v>
      </c>
      <c r="G57" s="17" t="inlineStr">
        <is>
          <t>Trung bình</t>
        </is>
      </c>
      <c r="H57" s="18">
        <f>IF(G57="Khó và phức tạp",200,IF(G57="Cao",150,IF(G57="Trung bình",120,IF(G57="Thấp",100))))</f>
        <v/>
      </c>
      <c r="I57" s="18">
        <f>H57*0.01</f>
        <v/>
      </c>
      <c r="J57" s="18">
        <f>F57*I57</f>
        <v/>
      </c>
      <c r="K57" s="19" t="n"/>
      <c r="L57" s="54" t="n"/>
      <c r="M57" s="19" t="n"/>
      <c r="N57" s="54" t="n"/>
      <c r="O57" s="19" t="n"/>
      <c r="P57" s="54" t="n"/>
      <c r="Q57" s="55" t="inlineStr">
        <is>
          <t>[KH 834 I.5.10] Chưa có kết quả — IIb Phòng TH-HC&amp;QT không có dòng.</t>
        </is>
      </c>
    </row>
    <row r="58" ht="49.5" customHeight="1">
      <c r="A58" s="15" t="inlineStr">
        <is>
          <t>5.11</t>
        </is>
      </c>
      <c r="B58" s="16" t="inlineStr">
        <is>
          <t>Kế hoạch triển khai thực hiện Nghị quyết số 398/NQUBTVQH16 và Phong trào “Bình dân học vụ số”</t>
        </is>
      </c>
      <c r="C58" s="17" t="inlineStr">
        <is>
          <t>Hiệu trưởng</t>
        </is>
      </c>
      <c r="D58" s="17" t="inlineStr">
        <is>
          <t>Phòng QLKHCN&amp;HTPT</t>
        </is>
      </c>
      <c r="E58" s="17" t="inlineStr">
        <is>
          <t>Kế hoạch</t>
        </is>
      </c>
      <c r="F58" s="17" t="n">
        <v>1</v>
      </c>
      <c r="G58" s="17" t="inlineStr">
        <is>
          <t>Trung bình</t>
        </is>
      </c>
      <c r="H58" s="18">
        <f>IF(G58="Khó và phức tạp",200,IF(G58="Cao",150,IF(G58="Trung bình",120,IF(G58="Thấp",100))))</f>
        <v/>
      </c>
      <c r="I58" s="18">
        <f>H58*0.01</f>
        <v/>
      </c>
      <c r="J58" s="18">
        <f>F58*I58</f>
        <v/>
      </c>
      <c r="K58" s="19" t="n"/>
      <c r="L58" s="54" t="n"/>
      <c r="M58" s="19" t="n"/>
      <c r="N58" s="54" t="n"/>
      <c r="O58" s="19" t="n"/>
      <c r="P58" s="54" t="n"/>
      <c r="Q58" s="55" t="inlineStr">
        <is>
          <t>[KH 834 I.5.11] Chưa có kết quả — IIb P-QLKH không có dòng; Ib P-QLKH tháng 10 dòng 1.2 còn ghi → chuyển tháng 10.</t>
        </is>
      </c>
    </row>
    <row r="59" ht="16.5" customHeight="1">
      <c r="A59" s="10" t="inlineStr">
        <is>
          <t>6</t>
        </is>
      </c>
      <c r="B59" s="11" t="inlineStr">
        <is>
          <t>Trục (6) - Củng cố quốc phòng, an ninh, giữ vững ổn định chính trị - xã hội, nâng cao hiệu quả đối ngoại và hội nhập quốc tế</t>
        </is>
      </c>
      <c r="C59" s="11" t="n"/>
      <c r="D59" s="11" t="n"/>
      <c r="E59" s="11" t="n"/>
      <c r="F59" s="12" t="n"/>
      <c r="G59" s="13" t="n"/>
      <c r="H59" s="13" t="n"/>
      <c r="I59" s="13" t="n"/>
      <c r="J59" s="12">
        <f>SUM(J60:J61)</f>
        <v/>
      </c>
      <c r="K59" s="53">
        <f>SUM(K60:K61)</f>
        <v/>
      </c>
      <c r="L59" s="53">
        <f>SUM(L60:L61)</f>
        <v/>
      </c>
      <c r="M59" s="53">
        <f>SUM(M60:M61)</f>
        <v/>
      </c>
      <c r="N59" s="53">
        <f>SUM(N60:N61)</f>
        <v/>
      </c>
      <c r="O59" s="53">
        <f>SUM(O60:O61)</f>
        <v/>
      </c>
      <c r="P59" s="53">
        <f>SUM(P60:P61)</f>
        <v/>
      </c>
      <c r="Q59" s="47" t="n"/>
    </row>
    <row r="60" ht="49.5" customHeight="1">
      <c r="A60" s="15" t="inlineStr">
        <is>
          <t>6.1</t>
        </is>
      </c>
      <c r="B60" s="16" t="inlineStr">
        <is>
          <t>Duy trì ổn định chính trị nội bộ, đảm bảo an ninh trật tự trường học và thực hiện Đề án xây dựng xã hội trật tự, kỷ cương</t>
        </is>
      </c>
      <c r="C60" s="17" t="inlineStr">
        <is>
          <t>Hiệu trưởng</t>
        </is>
      </c>
      <c r="D60" s="17" t="inlineStr">
        <is>
          <t>Phòng TCCB&amp;CTHSSV</t>
        </is>
      </c>
      <c r="E60" s="17" t="inlineStr">
        <is>
          <t>Theo dõi, Giám sát, Báo cáo</t>
        </is>
      </c>
      <c r="F60" s="17" t="n">
        <v>3</v>
      </c>
      <c r="G60" s="17" t="inlineStr">
        <is>
          <t>Thấp</t>
        </is>
      </c>
      <c r="H60" s="18">
        <f>IF(G60="Khó và phức tạp",200,IF(G60="Cao",150,IF(G60="Trung bình",120,IF(G60="Thấp",100))))</f>
        <v/>
      </c>
      <c r="I60" s="18">
        <f>H60*0.01</f>
        <v/>
      </c>
      <c r="J60" s="18">
        <f>F60*I60</f>
        <v/>
      </c>
      <c r="K60" s="19" t="n"/>
      <c r="L60" s="54" t="n"/>
      <c r="M60" s="19" t="n"/>
      <c r="N60" s="54" t="n"/>
      <c r="O60" s="19" t="n"/>
      <c r="P60" s="54" t="n"/>
      <c r="Q60" s="55" t="inlineStr">
        <is>
          <t>[KH 834 I.6.1] Chưa có kết quả — IIb P-TCCB không có dòng (tệp có 8 dòng '…' bỏ trống). IIb K-KHCB dòng 6.1 là phần tham gia của khoa.</t>
        </is>
      </c>
    </row>
    <row r="61" ht="49.5" customHeight="1">
      <c r="A61" s="15" t="inlineStr">
        <is>
          <t>6.2</t>
        </is>
      </c>
      <c r="B61" s="16" t="inlineStr">
        <is>
          <t>Truyền thông hoạt động hợp tác, kết nối và hội nhập</t>
        </is>
      </c>
      <c r="C61" s="17" t="inlineStr">
        <is>
          <t>PHT Dương Văn Anh Dũng</t>
        </is>
      </c>
      <c r="D61" s="17" t="inlineStr">
        <is>
          <t>Ban Truyền thông</t>
        </is>
      </c>
      <c r="E61" s="17" t="inlineStr">
        <is>
          <t>Tin/bài/video</t>
        </is>
      </c>
      <c r="F61" s="17" t="n">
        <v>5</v>
      </c>
      <c r="G61" s="17" t="inlineStr">
        <is>
          <t>Khó và phức tạp</t>
        </is>
      </c>
      <c r="H61" s="18">
        <f>IF(G61="Khó và phức tạp",200,IF(G61="Cao",150,IF(G61="Trung bình",120,IF(G61="Thấp",100))))</f>
        <v/>
      </c>
      <c r="I61" s="18">
        <f>H61*0.01</f>
        <v/>
      </c>
      <c r="J61" s="18">
        <f>F61*I61</f>
        <v/>
      </c>
      <c r="K61" s="19" t="n"/>
      <c r="L61" s="54" t="n"/>
      <c r="M61" s="19" t="n"/>
      <c r="N61" s="54" t="n"/>
      <c r="O61" s="19" t="n"/>
      <c r="P61" s="54" t="n"/>
      <c r="Q61" s="55" t="inlineStr">
        <is>
          <t>[KH 834 I.6.2] CAN_XAC_MINH — IIb Ban TT dòng 5.1 báo 2 bài (SL tự ghi 2) trong khi KH 834 giao 5 tin/bài/video; lệch chỉ tiêu, không dùng tỷ lệ.</t>
        </is>
      </c>
    </row>
    <row r="62" ht="16.5" customHeight="1">
      <c r="A62" s="8" t="inlineStr">
        <is>
          <t>II</t>
        </is>
      </c>
      <c r="B62" s="43" t="inlineStr">
        <is>
          <t>Các nhiệm vụ đột xuất, phát sinh khác ngoài kế hoạch, từ tháng trước chuyển sang</t>
        </is>
      </c>
      <c r="C62" s="59" t="n"/>
      <c r="D62" s="59" t="n"/>
      <c r="E62" s="59" t="n"/>
      <c r="F62" s="59" t="n"/>
      <c r="G62" s="59" t="n"/>
      <c r="H62" s="59" t="n"/>
      <c r="I62" s="59" t="n"/>
      <c r="J62" s="57" t="n"/>
      <c r="K62" s="9">
        <f>SUM(K63:K68)</f>
        <v/>
      </c>
      <c r="L62" s="9">
        <f>SUM(L63:L68)</f>
        <v/>
      </c>
      <c r="M62" s="9">
        <f>SUM(M63:M68)</f>
        <v/>
      </c>
      <c r="N62" s="9">
        <f>SUM(N63:N68)</f>
        <v/>
      </c>
      <c r="O62" s="9">
        <f>SUM(O63:O68)</f>
        <v/>
      </c>
      <c r="P62" s="9">
        <f>SUM(P63:P68)</f>
        <v/>
      </c>
      <c r="Q62" s="47" t="n"/>
    </row>
    <row r="63" ht="49.5" customHeight="1">
      <c r="A63" s="15" t="inlineStr">
        <is>
          <t>1</t>
        </is>
      </c>
      <c r="B63" s="16" t="inlineStr">
        <is>
          <t>Ban hành Quy định xây dựng ngân hàng đề thi (áp dụng từ năm học 2026-2027)</t>
        </is>
      </c>
      <c r="C63" s="17" t="inlineStr">
        <is>
          <t>Hiệu trưởng</t>
        </is>
      </c>
      <c r="D63" s="17" t="inlineStr">
        <is>
          <t>Phòng QLĐT&amp;BĐCL</t>
        </is>
      </c>
      <c r="E63" s="17" t="inlineStr">
        <is>
          <t>Kế hoạch; Quyết định</t>
        </is>
      </c>
      <c r="F63" s="17" t="n">
        <v>2</v>
      </c>
      <c r="G63" s="17" t="inlineStr">
        <is>
          <t>Cao</t>
        </is>
      </c>
      <c r="H63" s="18">
        <f>IF(G63="Khó và phức tạp",200,IF(G63="Cao",150,IF(G63="Trung bình",120,IF(G63="Thấp",100))))</f>
        <v/>
      </c>
      <c r="I63" s="18">
        <f>H63*0.01</f>
        <v/>
      </c>
      <c r="J63" s="18">
        <f>F63*I63</f>
        <v/>
      </c>
      <c r="K63" s="19" t="n"/>
      <c r="L63" s="54" t="n"/>
      <c r="M63" s="19" t="n"/>
      <c r="N63" s="54" t="n"/>
      <c r="O63" s="19" t="n"/>
      <c r="P63" s="54" t="n"/>
      <c r="Q63" s="55" t="inlineStr">
        <is>
          <t>[KH 834 II.1] Chưa có kết quả — P-QLĐT&amp;BĐCL chưa nộp. BC 407 mục I.1 ghi đã 'ban hành Quy định xây dựng ngân hàng câu hỏi'; IIa KTCN ghi triển khai Quy định — xác nhận đã ban hành nhưng không đủ căn cứ chấm KPI.</t>
        </is>
      </c>
    </row>
    <row r="64" ht="49.5" customHeight="1">
      <c r="A64" s="15" t="inlineStr">
        <is>
          <t>2</t>
        </is>
      </c>
      <c r="B64" s="16" t="inlineStr">
        <is>
          <t>Thông báo hướng dẫn sử dụng trí tuệ nhân tạo để: (i) kiểm tra, rà soát dự thảo chương trình đào tạo và dự thảo giáo trình đào tạo; (ii) ra đề thi kết thúc học phần, môn học, mô đun</t>
        </is>
      </c>
      <c r="C64" s="17" t="inlineStr">
        <is>
          <t>Hiệu trưởng</t>
        </is>
      </c>
      <c r="D64" s="17" t="inlineStr">
        <is>
          <t>Phòng QLĐT&amp;BĐCL</t>
        </is>
      </c>
      <c r="E64" s="17" t="inlineStr">
        <is>
          <t>Thông báo</t>
        </is>
      </c>
      <c r="F64" s="17" t="n">
        <v>1</v>
      </c>
      <c r="G64" s="17" t="inlineStr">
        <is>
          <t>Trung bình</t>
        </is>
      </c>
      <c r="H64" s="18">
        <f>IF(G64="Khó và phức tạp",200,IF(G64="Cao",150,IF(G64="Trung bình",120,IF(G64="Thấp",100))))</f>
        <v/>
      </c>
      <c r="I64" s="18">
        <f>H64*0.01</f>
        <v/>
      </c>
      <c r="J64" s="18">
        <f>F64*I64</f>
        <v/>
      </c>
      <c r="K64" s="19" t="n"/>
      <c r="L64" s="54" t="n"/>
      <c r="M64" s="19" t="n"/>
      <c r="N64" s="54" t="n"/>
      <c r="O64" s="19" t="n"/>
      <c r="P64" s="54" t="n"/>
      <c r="Q64" s="55" t="inlineStr">
        <is>
          <t>[KH 834 II.2] Chưa có kết quả — P-QLĐT&amp;BĐCL chưa nộp. IIa KTCN ghi 'triển khai Thông báo hướng dẫn sử dụng trí tuệ nhân tạo ... dạy và học' — DOI_CHIEU_GAN_DUNG.</t>
        </is>
      </c>
    </row>
    <row r="65" ht="49.5" customHeight="1">
      <c r="A65" s="15" t="inlineStr">
        <is>
          <t>3</t>
        </is>
      </c>
      <c r="B65" s="16" t="inlineStr">
        <is>
          <t>Ban hành Quy định ứng dụng công nghệ thông tin trong tổ chức đào tạo trực tuyến</t>
        </is>
      </c>
      <c r="C65" s="17" t="inlineStr">
        <is>
          <t>Hiệu trưởng</t>
        </is>
      </c>
      <c r="D65" s="17" t="inlineStr">
        <is>
          <t>Phòng QLĐT&amp;BĐCL</t>
        </is>
      </c>
      <c r="E65" s="17" t="inlineStr">
        <is>
          <t>Quyết định</t>
        </is>
      </c>
      <c r="F65" s="17" t="n">
        <v>1</v>
      </c>
      <c r="G65" s="17" t="inlineStr">
        <is>
          <t>Trung bình</t>
        </is>
      </c>
      <c r="H65" s="18">
        <f>IF(G65="Khó và phức tạp",200,IF(G65="Cao",150,IF(G65="Trung bình",120,IF(G65="Thấp",100))))</f>
        <v/>
      </c>
      <c r="I65" s="18">
        <f>H65*0.01</f>
        <v/>
      </c>
      <c r="J65" s="18">
        <f>F65*I65</f>
        <v/>
      </c>
      <c r="K65" s="19" t="n"/>
      <c r="L65" s="54" t="n"/>
      <c r="M65" s="19" t="n"/>
      <c r="N65" s="54" t="n"/>
      <c r="O65" s="19" t="n"/>
      <c r="P65" s="54" t="n"/>
      <c r="Q65" s="55" t="inlineStr">
        <is>
          <t>[KH 834 II.3] Chưa có kết quả — P-QLĐT&amp;BĐCL chưa nộp; không có nguồn khác.</t>
        </is>
      </c>
    </row>
    <row r="66" ht="49.5" customHeight="1">
      <c r="A66" s="15" t="inlineStr">
        <is>
          <t>4</t>
        </is>
      </c>
      <c r="B66" s="16" t="inlineStr">
        <is>
          <t>Công nhận mô hình, điển hình "Dân vận khéo" cấp cơ sở</t>
        </is>
      </c>
      <c r="C66" s="17" t="inlineStr">
        <is>
          <t>Bí thư Đảng uỷ</t>
        </is>
      </c>
      <c r="D66" s="17" t="inlineStr">
        <is>
          <t>BPVPĐU</t>
        </is>
      </c>
      <c r="E66" s="17" t="inlineStr">
        <is>
          <t>Hồ sơ công nhận</t>
        </is>
      </c>
      <c r="F66" s="17" t="n">
        <v>2</v>
      </c>
      <c r="G66" s="17" t="inlineStr">
        <is>
          <t>Trung bình</t>
        </is>
      </c>
      <c r="H66" s="18">
        <f>IF(G66="Khó và phức tạp",200,IF(G66="Cao",150,IF(G66="Trung bình",120,IF(G66="Thấp",100))))</f>
        <v/>
      </c>
      <c r="I66" s="18">
        <f>H66*0.01</f>
        <v/>
      </c>
      <c r="J66" s="18">
        <f>F66*I66</f>
        <v/>
      </c>
      <c r="K66" s="19" t="n"/>
      <c r="L66" s="54" t="n"/>
      <c r="M66" s="19" t="n"/>
      <c r="N66" s="54" t="n"/>
      <c r="O66" s="19" t="n"/>
      <c r="P66" s="54" t="n"/>
      <c r="Q66" s="55" t="inlineStr">
        <is>
          <t>[KH 834 II.4] Chưa có kết quả — Bộ phận Văn phòng Đảng ủy: không có báo cáo.</t>
        </is>
      </c>
    </row>
    <row r="67" ht="49.5" customHeight="1">
      <c r="A67" s="15" t="inlineStr">
        <is>
          <t>5</t>
        </is>
      </c>
      <c r="B67" s="16" t="inlineStr">
        <is>
          <t>Hồ sơ đề nghị công nhận mô hình "Dân vận khéo" cấp tỉnh năm 2026</t>
        </is>
      </c>
      <c r="C67" s="17" t="inlineStr">
        <is>
          <t>Hiệu trưởng, Bí thư Đảng ủy</t>
        </is>
      </c>
      <c r="D67" s="17" t="inlineStr">
        <is>
          <t>BPVPĐU</t>
        </is>
      </c>
      <c r="E67" s="17" t="inlineStr">
        <is>
          <t>Hồ sơ công nhận</t>
        </is>
      </c>
      <c r="F67" s="17" t="n">
        <v>2</v>
      </c>
      <c r="G67" s="17" t="inlineStr">
        <is>
          <t>Trung bình</t>
        </is>
      </c>
      <c r="H67" s="18">
        <f>IF(G67="Khó và phức tạp",200,IF(G67="Cao",150,IF(G67="Trung bình",120,IF(G67="Thấp",100))))</f>
        <v/>
      </c>
      <c r="I67" s="18">
        <f>H67*0.01</f>
        <v/>
      </c>
      <c r="J67" s="18">
        <f>F67*I67</f>
        <v/>
      </c>
      <c r="K67" s="19" t="n"/>
      <c r="L67" s="54" t="n"/>
      <c r="M67" s="19" t="n"/>
      <c r="N67" s="54" t="n"/>
      <c r="O67" s="19" t="n"/>
      <c r="P67" s="54" t="n"/>
      <c r="Q67" s="55" t="inlineStr">
        <is>
          <t>[KH 834 II.5] Chưa có kết quả — Bộ phận Văn phòng Đảng ủy: không có báo cáo.</t>
        </is>
      </c>
    </row>
    <row r="68" ht="49.5" customHeight="1">
      <c r="A68" s="15" t="inlineStr">
        <is>
          <t>6</t>
        </is>
      </c>
      <c r="B68" s="16" t="inlineStr">
        <is>
          <t>Ban hành Phương án giá dịch vụ đào tạo các ngành, nghề trình độ cao đẳng, trung cấp</t>
        </is>
      </c>
      <c r="C68" s="17" t="inlineStr">
        <is>
          <t>Hiệu trưởng</t>
        </is>
      </c>
      <c r="D68" s="17" t="inlineStr">
        <is>
          <t>Phòng TC-KT</t>
        </is>
      </c>
      <c r="E68" s="17" t="inlineStr">
        <is>
          <t>Quyết định; Tờ trình</t>
        </is>
      </c>
      <c r="F68" s="17" t="n">
        <v>3</v>
      </c>
      <c r="G68" s="17" t="inlineStr">
        <is>
          <t>Cao</t>
        </is>
      </c>
      <c r="H68" s="18">
        <f>IF(G68="Khó và phức tạp",200,IF(G68="Cao",150,IF(G68="Trung bình",120,IF(G68="Thấp",100))))</f>
        <v/>
      </c>
      <c r="I68" s="18">
        <f>H68*0.01</f>
        <v/>
      </c>
      <c r="J68" s="18">
        <f>F68*I68</f>
        <v/>
      </c>
      <c r="K68" s="19" t="n"/>
      <c r="L68" s="54" t="n"/>
      <c r="M68" s="19" t="n"/>
      <c r="N68" s="54" t="n"/>
      <c r="O68" s="19" t="n"/>
      <c r="P68" s="54" t="n"/>
      <c r="Q68" s="55" t="inlineStr">
        <is>
          <t>[KH 834 II.6] Chưa có kết quả — IIb P-TCKT không có dòng tương ứng.</t>
        </is>
      </c>
    </row>
  </sheetData>
  <mergeCells count="21">
    <mergeCell ref="E5:E6"/>
    <mergeCell ref="K5:L5"/>
    <mergeCell ref="B8:J8"/>
    <mergeCell ref="M5:N5"/>
    <mergeCell ref="A4:P4"/>
    <mergeCell ref="F5:F6"/>
    <mergeCell ref="G1:P1"/>
    <mergeCell ref="A1:B1"/>
    <mergeCell ref="O5:P5"/>
    <mergeCell ref="G2:P2"/>
    <mergeCell ref="I5:I6"/>
    <mergeCell ref="A5:A6"/>
    <mergeCell ref="G5:G6"/>
    <mergeCell ref="A2:B2"/>
    <mergeCell ref="B5:B6"/>
    <mergeCell ref="B62:J62"/>
    <mergeCell ref="D5:D6"/>
    <mergeCell ref="H5:H6"/>
    <mergeCell ref="J5:J6"/>
    <mergeCell ref="A3:P3"/>
    <mergeCell ref="C5:C6"/>
  </mergeCells>
  <conditionalFormatting sqref="B26">
    <cfRule type="dataBar" priority="21">
      <dataBar>
        <cfvo type="min"/>
        <cfvo type="max"/>
        <color rgb="FF638EC6"/>
      </dataBar>
    </cfRule>
  </conditionalFormatting>
  <conditionalFormatting sqref="B27">
    <cfRule type="dataBar" priority="19">
      <dataBar>
        <cfvo type="min"/>
        <cfvo type="max"/>
        <color rgb="FF638EC6"/>
      </dataBar>
    </cfRule>
  </conditionalFormatting>
  <conditionalFormatting sqref="B49">
    <cfRule type="dataBar" priority="3">
      <dataBar>
        <cfvo type="min"/>
        <cfvo type="max"/>
        <color rgb="FF638EC6"/>
      </dataBar>
    </cfRule>
  </conditionalFormatting>
  <conditionalFormatting sqref="C10">
    <cfRule type="dataBar" priority="76">
      <dataBar>
        <cfvo type="min"/>
        <cfvo type="max"/>
        <color rgb="FF638EC6"/>
      </dataBar>
    </cfRule>
  </conditionalFormatting>
  <conditionalFormatting sqref="C11">
    <cfRule type="dataBar" priority="33">
      <dataBar>
        <cfvo type="min"/>
        <cfvo type="max"/>
        <color rgb="FF638EC6"/>
      </dataBar>
    </cfRule>
  </conditionalFormatting>
  <conditionalFormatting sqref="C12">
    <cfRule type="dataBar" priority="31">
      <dataBar>
        <cfvo type="min"/>
        <cfvo type="max"/>
        <color rgb="FF638EC6"/>
      </dataBar>
    </cfRule>
  </conditionalFormatting>
  <conditionalFormatting sqref="C13">
    <cfRule type="dataBar" priority="32">
      <dataBar>
        <cfvo type="min"/>
        <cfvo type="max"/>
        <color rgb="FF638EC6"/>
      </dataBar>
    </cfRule>
  </conditionalFormatting>
  <conditionalFormatting sqref="C14">
    <cfRule type="dataBar" priority="34">
      <dataBar>
        <cfvo type="min"/>
        <cfvo type="max"/>
        <color rgb="FF638EC6"/>
      </dataBar>
    </cfRule>
  </conditionalFormatting>
  <conditionalFormatting sqref="C15:C18">
    <cfRule type="dataBar" priority="35">
      <dataBar>
        <cfvo type="min"/>
        <cfvo type="max"/>
        <color rgb="FF638EC6"/>
      </dataBar>
    </cfRule>
  </conditionalFormatting>
  <conditionalFormatting sqref="C21">
    <cfRule type="dataBar" priority="29">
      <dataBar>
        <cfvo type="min"/>
        <cfvo type="max"/>
        <color rgb="FF638EC6"/>
      </dataBar>
    </cfRule>
  </conditionalFormatting>
  <conditionalFormatting sqref="C22">
    <cfRule type="dataBar" priority="25">
      <dataBar>
        <cfvo type="min"/>
        <cfvo type="max"/>
        <color rgb="FF638EC6"/>
      </dataBar>
    </cfRule>
  </conditionalFormatting>
  <conditionalFormatting sqref="C23">
    <cfRule type="dataBar" priority="30">
      <dataBar>
        <cfvo type="min"/>
        <cfvo type="max"/>
        <color rgb="FF638EC6"/>
      </dataBar>
    </cfRule>
  </conditionalFormatting>
  <conditionalFormatting sqref="C24">
    <cfRule type="dataBar" priority="24">
      <dataBar>
        <cfvo type="min"/>
        <cfvo type="max"/>
        <color rgb="FF638EC6"/>
      </dataBar>
    </cfRule>
  </conditionalFormatting>
  <conditionalFormatting sqref="C26">
    <cfRule type="dataBar" priority="22">
      <dataBar>
        <cfvo type="min"/>
        <cfvo type="max"/>
        <color rgb="FF638EC6"/>
      </dataBar>
    </cfRule>
  </conditionalFormatting>
  <conditionalFormatting sqref="C27">
    <cfRule type="dataBar" priority="20">
      <dataBar>
        <cfvo type="min"/>
        <cfvo type="max"/>
        <color rgb="FF638EC6"/>
      </dataBar>
    </cfRule>
  </conditionalFormatting>
  <conditionalFormatting sqref="C28:C29">
    <cfRule type="dataBar" priority="79">
      <dataBar>
        <cfvo type="min"/>
        <cfvo type="max"/>
        <color rgb="FF638EC6"/>
      </dataBar>
    </cfRule>
  </conditionalFormatting>
  <conditionalFormatting sqref="C34">
    <cfRule type="dataBar" priority="15">
      <dataBar>
        <cfvo type="min"/>
        <cfvo type="max"/>
        <color rgb="FF638EC6"/>
      </dataBar>
    </cfRule>
  </conditionalFormatting>
  <conditionalFormatting sqref="C35">
    <cfRule type="dataBar" priority="10">
      <dataBar>
        <cfvo type="min"/>
        <cfvo type="max"/>
        <color rgb="FF638EC6"/>
      </dataBar>
    </cfRule>
    <cfRule type="dataBar" priority="9">
      <dataBar>
        <cfvo type="min"/>
        <cfvo type="max"/>
        <color rgb="FF638EC6"/>
      </dataBar>
    </cfRule>
  </conditionalFormatting>
  <conditionalFormatting sqref="C36">
    <cfRule type="dataBar" priority="11">
      <dataBar>
        <cfvo type="min"/>
        <cfvo type="max"/>
        <color rgb="FF638EC6"/>
      </dataBar>
    </cfRule>
  </conditionalFormatting>
  <conditionalFormatting sqref="C37">
    <cfRule type="dataBar" priority="12">
      <dataBar>
        <cfvo type="min"/>
        <cfvo type="max"/>
        <color rgb="FF638EC6"/>
      </dataBar>
    </cfRule>
  </conditionalFormatting>
  <conditionalFormatting sqref="C38">
    <cfRule type="dataBar" priority="14">
      <dataBar>
        <cfvo type="min"/>
        <cfvo type="max"/>
        <color rgb="FF638EC6"/>
      </dataBar>
    </cfRule>
  </conditionalFormatting>
  <conditionalFormatting sqref="C39">
    <cfRule type="dataBar" priority="13">
      <dataBar>
        <cfvo type="min"/>
        <cfvo type="max"/>
        <color rgb="FF638EC6"/>
      </dataBar>
    </cfRule>
  </conditionalFormatting>
  <conditionalFormatting sqref="C40">
    <cfRule type="dataBar" priority="17">
      <dataBar>
        <cfvo type="min"/>
        <cfvo type="max"/>
        <color rgb="FF638EC6"/>
      </dataBar>
    </cfRule>
  </conditionalFormatting>
  <conditionalFormatting sqref="C41:C44">
    <cfRule type="dataBar" priority="16">
      <dataBar>
        <cfvo type="min"/>
        <cfvo type="max"/>
        <color rgb="FF638EC6"/>
      </dataBar>
    </cfRule>
  </conditionalFormatting>
  <conditionalFormatting sqref="C46">
    <cfRule type="dataBar" priority="52">
      <dataBar>
        <cfvo type="min"/>
        <cfvo type="max"/>
        <color rgb="FF638EC6"/>
      </dataBar>
    </cfRule>
  </conditionalFormatting>
  <conditionalFormatting sqref="C49">
    <cfRule type="dataBar" priority="77">
      <dataBar>
        <cfvo type="min"/>
        <cfvo type="max"/>
        <color rgb="FF638EC6"/>
      </dataBar>
    </cfRule>
  </conditionalFormatting>
  <conditionalFormatting sqref="C50">
    <cfRule type="dataBar" priority="5">
      <dataBar>
        <cfvo type="min"/>
        <cfvo type="max"/>
        <color rgb="FF638EC6"/>
      </dataBar>
    </cfRule>
  </conditionalFormatting>
  <conditionalFormatting sqref="C48 C51:C53">
    <cfRule type="dataBar" priority="6">
      <dataBar>
        <cfvo type="min"/>
        <cfvo type="max"/>
        <color rgb="FF638EC6"/>
      </dataBar>
    </cfRule>
  </conditionalFormatting>
  <conditionalFormatting sqref="C54">
    <cfRule type="dataBar" priority="78">
      <dataBar>
        <cfvo type="min"/>
        <cfvo type="max"/>
        <color rgb="FF638EC6"/>
      </dataBar>
    </cfRule>
  </conditionalFormatting>
  <conditionalFormatting sqref="C31 C32:D32">
    <cfRule type="dataBar" priority="18">
      <dataBar>
        <cfvo type="min"/>
        <cfvo type="max"/>
        <color rgb="FF638EC6"/>
      </dataBar>
    </cfRule>
  </conditionalFormatting>
  <conditionalFormatting sqref="C20:E20">
    <cfRule type="dataBar" priority="26">
      <dataBar>
        <cfvo type="min"/>
        <cfvo type="max"/>
        <color rgb="FF638EC6"/>
      </dataBar>
    </cfRule>
  </conditionalFormatting>
  <conditionalFormatting sqref="D46">
    <cfRule type="dataBar" priority="51">
      <dataBar>
        <cfvo type="min"/>
        <cfvo type="max"/>
        <color rgb="FF638EC6"/>
      </dataBar>
    </cfRule>
  </conditionalFormatting>
  <conditionalFormatting sqref="D49">
    <cfRule type="dataBar" priority="1">
      <dataBar>
        <cfvo type="min"/>
        <cfvo type="max"/>
        <color rgb="FF638EC6"/>
      </dataBar>
    </cfRule>
  </conditionalFormatting>
  <conditionalFormatting sqref="E49">
    <cfRule type="dataBar" priority="2">
      <dataBar>
        <cfvo type="min"/>
        <cfvo type="max"/>
        <color rgb="FF638EC6"/>
      </dataBar>
    </cfRule>
  </conditionalFormatting>
  <conditionalFormatting sqref="G20">
    <cfRule type="dataBar" priority="27">
      <dataBar>
        <cfvo type="min"/>
        <cfvo type="max"/>
        <color rgb="FF638EC6"/>
      </dataBar>
    </cfRule>
  </conditionalFormatting>
  <dataValidations count="8">
    <dataValidation sqref="D10"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 sqref="C10:C18 C20:C24 C26:C29 C31:C32 C34 C36:C44 C46 C48:C54"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G10:G18 G20:G24 G26:G29 G31:G32 G34:G44 G46 G48:G54" showDropDown="0" showInputMessage="1" showErrorMessage="0" allowBlank="1" type="list">
      <formula1>"Thấp,Trung bình,Cao,Khó và phức tạp"</formula1>
    </dataValidation>
    <dataValidation sqref="H10:K18 H20:K24 H26:K29 H31:K32 H34:K44 H46:K46 H48:K54" showDropDown="0" showInputMessage="1" showErrorMessage="0" allowBlank="1"/>
    <dataValidation sqref="E15:E18 E23:E24 E28:E29 E41:E44 E49:E50 E54"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E11:E18 E20:E24 E27:E29 E31:E32 E34:E39"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D11:D18 D20:D24 D26:D29 D31:D32 D34:D44 D48:D54"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E26" showDropDown="0" showInputMessage="0"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3" right="0.56496063" top="0.893700787" bottom="0.393700787401575" header="0.31496062992126" footer="0.31496062992126"/>
  <pageSetup orientation="landscape" paperSize="9" scale="85"/>
  <headerFooter>
    <oddHeader>&amp;L_x000a_&amp;C&amp;"Times New Roman,Regular"&amp;14 &amp;P</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2026-09-28T11:56:27Z</dcterms:modified>
  <cp:lastModifiedBy>Nguyễn Ngọc Quang Phục</cp:lastModifiedBy>
  <cp:lastPrinted>2026-08-19T10:57:15Z</cp:lastPrinted>
</cp:coreProperties>
</file>