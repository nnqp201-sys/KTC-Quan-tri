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KH Quý IV" sheetId="1" state="visible" r:id="rId1"/>
    <sheet xmlns:r="http://schemas.openxmlformats.org/officeDocument/2006/relationships" name="Nhật ký thay đổi" sheetId="2" state="visible" r:id="rId2"/>
    <sheet xmlns:r="http://schemas.openxmlformats.org/officeDocument/2006/relationships" name="Nguồn đối chiếu" sheetId="3" state="visible" r:id="rId3"/>
    <sheet xmlns:r="http://schemas.openxmlformats.org/officeDocument/2006/relationships" name="Quy ước màu" sheetId="4" state="visible" r:id="rId4"/>
  </sheets>
  <definedNames>
    <definedName name="_xlnm.Print_Titles" localSheetId="0">'KH Quý IV'!$10:$12</definedName>
    <definedName name="_xlnm.Print_Area" localSheetId="0">'KH Quý IV'!$A$1:$K$148</definedName>
  </definedNames>
  <calcPr calcId="191029" fullCalcOnLoad="1"/>
</workbook>
</file>

<file path=xl/styles.xml><?xml version="1.0" encoding="utf-8"?>
<styleSheet xmlns="http://schemas.openxmlformats.org/spreadsheetml/2006/main">
  <numFmts count="0"/>
  <fonts count="19">
    <font>
      <name val="Arial"/>
      <color theme="1"/>
      <sz val="11"/>
    </font>
    <font>
      <name val="Times New Roman"/>
      <family val="1"/>
      <sz val="12"/>
    </font>
    <font>
      <name val="Times New Roman"/>
      <family val="1"/>
      <sz val="14"/>
    </font>
    <font>
      <name val="Times New Roman"/>
      <family val="1"/>
      <b val="1"/>
      <sz val="14"/>
    </font>
    <font>
      <name val="Times New Roman"/>
      <family val="1"/>
      <i val="1"/>
      <sz val="14"/>
    </font>
    <font>
      <name val="Times New Roman"/>
      <family val="1"/>
      <sz val="13"/>
    </font>
    <font>
      <name val="Times New Roman"/>
      <family val="1"/>
      <b val="1"/>
      <sz val="13"/>
    </font>
    <font>
      <name val="Calibri"/>
      <charset val="1"/>
      <family val="2"/>
      <color theme="1"/>
      <sz val="11"/>
    </font>
    <font>
      <name val="Calibri"/>
      <family val="2"/>
      <color rgb="FF000000"/>
      <sz val="11"/>
      <scheme val="minor"/>
    </font>
    <font>
      <name val="Arial"/>
      <family val="2"/>
      <sz val="8"/>
    </font>
    <font>
      <name val="Times New Roman"/>
      <family val="1"/>
      <sz val="11"/>
    </font>
    <font>
      <name val="Arial"/>
      <family val="2"/>
      <color theme="1"/>
      <sz val="11"/>
    </font>
    <font>
      <name val="Times New Roman"/>
      <family val="1"/>
      <i val="1"/>
      <sz val="13"/>
    </font>
    <font>
      <name val="Times New Roman"/>
      <family val="1"/>
      <b val="1"/>
      <i val="1"/>
      <sz val="12"/>
    </font>
    <font>
      <name val="Times New Roman"/>
      <i val="1"/>
      <color rgb="FF7F3F00"/>
      <sz val="12"/>
    </font>
    <font>
      <name val="Times New Roman"/>
      <b val="1"/>
      <color rgb="FFFFFFFF"/>
      <sz val="13"/>
    </font>
    <font>
      <name val="Times New Roman"/>
      <i val="1"/>
      <sz val="12"/>
    </font>
    <font>
      <name val="Times New Roman"/>
      <b val="1"/>
      <sz val="12"/>
    </font>
    <font>
      <name val="Times New Roman"/>
      <sz val="12"/>
    </font>
  </fonts>
  <fills count="7">
    <fill>
      <patternFill/>
    </fill>
    <fill>
      <patternFill patternType="gray125"/>
    </fill>
    <fill>
      <patternFill patternType="solid">
        <fgColor rgb="FFF4CCCC"/>
      </patternFill>
    </fill>
    <fill>
      <patternFill patternType="solid">
        <fgColor rgb="FFFFF2CC"/>
      </patternFill>
    </fill>
    <fill>
      <patternFill patternType="solid">
        <fgColor rgb="FFE2F0D9"/>
      </patternFill>
    </fill>
    <fill>
      <patternFill patternType="solid">
        <fgColor rgb="FF1F4E78"/>
      </patternFill>
    </fill>
    <fill>
      <patternFill patternType="solid">
        <fgColor rgb="FFD9E1F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right style="thin"/>
      <top style="thin"/>
      <bottom style="thin"/>
    </border>
  </borders>
  <cellStyleXfs count="4">
    <xf numFmtId="0" fontId="0" fillId="0" borderId="0"/>
    <xf numFmtId="0" fontId="7" fillId="0" borderId="0"/>
    <xf numFmtId="0" fontId="8" fillId="0" borderId="0"/>
    <xf numFmtId="0" fontId="11" fillId="0" borderId="0"/>
  </cellStyleXfs>
  <cellXfs count="72">
    <xf numFmtId="0" fontId="0" fillId="0" borderId="0" pivotButton="0" quotePrefix="0" xfId="0"/>
    <xf numFmtId="0" fontId="5" fillId="0" borderId="0" pivotButton="0" quotePrefix="0" xfId="0"/>
    <xf numFmtId="0" fontId="5" fillId="0" borderId="0" applyAlignment="1" pivotButton="0" quotePrefix="0" xfId="0">
      <alignment vertical="top"/>
    </xf>
    <xf numFmtId="0" fontId="1" fillId="0" borderId="0" applyAlignment="1" pivotButton="0" quotePrefix="0" xfId="0">
      <alignment horizontal="center"/>
    </xf>
    <xf numFmtId="0" fontId="1" fillId="0" borderId="0" applyAlignment="1" pivotButton="0" quotePrefix="0" xfId="0">
      <alignment horizontal="justify"/>
    </xf>
    <xf numFmtId="0" fontId="1" fillId="0" borderId="0" pivotButton="0" quotePrefix="0" xfId="0"/>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horizontal="justify" vertical="center"/>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0" fontId="5" fillId="0" borderId="1" applyAlignment="1" pivotButton="0" quotePrefix="0" xfId="0">
      <alignment horizontal="justify" vertical="center" wrapText="1"/>
    </xf>
    <xf numFmtId="0" fontId="5" fillId="0" borderId="2" applyAlignment="1" pivotButton="0" quotePrefix="0" xfId="0">
      <alignment horizontal="center" vertical="center" wrapText="1"/>
    </xf>
    <xf numFmtId="0" fontId="5" fillId="0" borderId="1" applyAlignment="1" pivotButton="0" quotePrefix="0" xfId="0">
      <alignment horizontal="center" vertical="center"/>
    </xf>
    <xf numFmtId="0" fontId="10" fillId="0" borderId="0" pivotButton="0" quotePrefix="0" xfId="0"/>
    <xf numFmtId="0" fontId="1" fillId="0" borderId="0" applyAlignment="1" pivotButton="0" quotePrefix="0" xfId="0">
      <alignment wrapText="1"/>
    </xf>
    <xf numFmtId="0" fontId="5" fillId="0" borderId="1" applyAlignment="1" pivotButton="0" quotePrefix="0" xfId="0">
      <alignment vertical="center" wrapText="1"/>
    </xf>
    <xf numFmtId="0" fontId="5" fillId="0" borderId="1" applyAlignment="1" pivotButton="0" quotePrefix="1" xfId="0">
      <alignment horizontal="center" vertical="center" wrapText="1"/>
    </xf>
    <xf numFmtId="0" fontId="5" fillId="0" borderId="1" applyAlignment="1" pivotButton="0" quotePrefix="0" xfId="3">
      <alignment horizontal="center" vertical="center" wrapText="1"/>
    </xf>
    <xf numFmtId="0" fontId="5" fillId="0" borderId="1" applyAlignment="1" pivotButton="0" quotePrefix="0" xfId="2">
      <alignment horizontal="center" vertical="center" wrapText="1"/>
    </xf>
    <xf numFmtId="0" fontId="2" fillId="0" borderId="0" pivotButton="0" quotePrefix="0" xfId="0"/>
    <xf numFmtId="14" fontId="5" fillId="0" borderId="1" applyAlignment="1" pivotButton="0" quotePrefix="1" xfId="0">
      <alignment horizontal="center" vertical="center" wrapText="1"/>
    </xf>
    <xf numFmtId="0" fontId="5" fillId="0" borderId="1" pivotButton="0" quotePrefix="0" xfId="0"/>
    <xf numFmtId="0" fontId="4" fillId="0" borderId="0" applyAlignment="1" pivotButton="0" quotePrefix="0" xfId="0">
      <alignment horizontal="center"/>
    </xf>
    <xf numFmtId="0" fontId="5" fillId="0" borderId="0" pivotButton="0" quotePrefix="0" xfId="0"/>
    <xf numFmtId="0" fontId="2" fillId="0" borderId="0" applyAlignment="1" pivotButton="0" quotePrefix="0" xfId="0">
      <alignment horizontal="center" vertical="center"/>
    </xf>
    <xf numFmtId="0" fontId="1" fillId="0" borderId="0" applyAlignment="1" pivotButton="0" quotePrefix="0" xfId="0">
      <alignment horizontal="justify"/>
    </xf>
    <xf numFmtId="0" fontId="1" fillId="0" borderId="0" pivotButton="0" quotePrefix="0" xfId="0"/>
    <xf numFmtId="0" fontId="1" fillId="0" borderId="0" applyAlignment="1" pivotButton="0" quotePrefix="0" xfId="0">
      <alignment horizontal="center"/>
    </xf>
    <xf numFmtId="0" fontId="3" fillId="0" borderId="0" applyAlignment="1" pivotButton="0" quotePrefix="0" xfId="0">
      <alignment horizontal="center" vertical="top" wrapText="1"/>
    </xf>
    <xf numFmtId="0" fontId="2" fillId="0" borderId="0" pivotButton="0" quotePrefix="0" xfId="0"/>
    <xf numFmtId="0" fontId="6" fillId="0" borderId="1" applyAlignment="1" pivotButton="0" quotePrefix="0" xfId="0">
      <alignment horizontal="left" vertical="center"/>
    </xf>
    <xf numFmtId="0" fontId="0" fillId="0" borderId="4" pivotButton="0" quotePrefix="0" xfId="0"/>
    <xf numFmtId="0" fontId="0" fillId="0" borderId="5" pivotButton="0" quotePrefix="0" xfId="0"/>
    <xf numFmtId="0" fontId="2" fillId="0" borderId="0" applyAlignment="1" pivotButton="0" quotePrefix="0" xfId="0">
      <alignment horizontal="justify" vertical="top"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3" pivotButton="0" quotePrefix="0" xfId="0"/>
    <xf numFmtId="0" fontId="6" fillId="0" borderId="0" applyAlignment="1" pivotButton="0" quotePrefix="0" xfId="0">
      <alignment horizontal="center" vertical="top" wrapText="1"/>
    </xf>
    <xf numFmtId="0" fontId="3" fillId="0" borderId="0" applyAlignment="1" pivotButton="0" quotePrefix="0" xfId="0">
      <alignment horizontal="center" vertical="center" wrapText="1"/>
    </xf>
    <xf numFmtId="0" fontId="5" fillId="0" borderId="0" applyAlignment="1" pivotButton="0" quotePrefix="0" xfId="0">
      <alignment horizontal="justify" vertical="center" wrapText="1"/>
    </xf>
    <xf numFmtId="0" fontId="5" fillId="0" borderId="0" applyAlignment="1" pivotButton="0" quotePrefix="0" xfId="0">
      <alignment horizontal="center" vertical="top" wrapText="1"/>
    </xf>
    <xf numFmtId="0" fontId="6" fillId="0" borderId="1" applyAlignment="1" pivotButton="0" quotePrefix="0" xfId="0">
      <alignment vertical="center" wrapText="1"/>
    </xf>
    <xf numFmtId="0" fontId="5" fillId="0" borderId="0" applyAlignment="1" pivotButton="0" quotePrefix="0" xfId="0">
      <alignment horizontal="center"/>
    </xf>
    <xf numFmtId="0" fontId="2" fillId="0" borderId="0" applyAlignment="1" pivotButton="0" quotePrefix="0" xfId="0">
      <alignment horizontal="left" vertical="center"/>
    </xf>
    <xf numFmtId="0" fontId="14" fillId="0" borderId="10" applyAlignment="1" pivotButton="0" quotePrefix="0" xfId="0">
      <alignment horizontal="left" vertical="center" wrapText="1"/>
    </xf>
    <xf numFmtId="0" fontId="5" fillId="3" borderId="1" applyAlignment="1" pivotButton="0" quotePrefix="1" xfId="0">
      <alignment horizontal="center" vertical="center" wrapText="1"/>
    </xf>
    <xf numFmtId="0" fontId="5" fillId="3" borderId="1" applyAlignment="1" pivotButton="0" quotePrefix="0" xfId="0">
      <alignment horizontal="justify" vertical="center" wrapText="1"/>
    </xf>
    <xf numFmtId="0" fontId="5" fillId="3" borderId="1" applyAlignment="1" pivotButton="0" quotePrefix="0" xfId="0">
      <alignment horizontal="center" vertical="center" wrapText="1"/>
    </xf>
    <xf numFmtId="14" fontId="5" fillId="3" borderId="1" applyAlignment="1" pivotButton="0" quotePrefix="1" xfId="0">
      <alignment horizontal="center" vertical="center" wrapText="1"/>
    </xf>
    <xf numFmtId="0" fontId="5" fillId="3" borderId="1" pivotButton="0" quotePrefix="0" xfId="0"/>
    <xf numFmtId="0" fontId="5" fillId="2" borderId="1" applyAlignment="1" pivotButton="0" quotePrefix="0" xfId="0">
      <alignment horizontal="center" vertical="center" wrapText="1"/>
    </xf>
    <xf numFmtId="0" fontId="5" fillId="2" borderId="1" applyAlignment="1" pivotButton="0" quotePrefix="0" xfId="0">
      <alignment horizontal="justify" vertical="center" wrapText="1"/>
    </xf>
    <xf numFmtId="0" fontId="5" fillId="2" borderId="1" applyAlignment="1" pivotButton="0" quotePrefix="0" xfId="3">
      <alignment horizontal="center" vertical="center" wrapText="1"/>
    </xf>
    <xf numFmtId="0" fontId="5" fillId="2" borderId="1" applyAlignment="1" pivotButton="0" quotePrefix="0" xfId="0">
      <alignment horizontal="center" vertical="center"/>
    </xf>
    <xf numFmtId="0" fontId="5" fillId="3" borderId="1" applyAlignment="1" pivotButton="0" quotePrefix="0" xfId="0">
      <alignment horizontal="center" vertical="center"/>
    </xf>
    <xf numFmtId="0" fontId="5" fillId="4" borderId="1" applyAlignment="1" pivotButton="0" quotePrefix="0" xfId="0">
      <alignment horizontal="center" vertical="center" wrapText="1"/>
    </xf>
    <xf numFmtId="0" fontId="5" fillId="4" borderId="1" applyAlignment="1" pivotButton="0" quotePrefix="0" xfId="0">
      <alignment horizontal="justify" vertical="center" wrapText="1"/>
    </xf>
    <xf numFmtId="0" fontId="5" fillId="4" borderId="1" applyAlignment="1" pivotButton="0" quotePrefix="0" xfId="0">
      <alignment horizontal="center" vertical="center"/>
    </xf>
    <xf numFmtId="0" fontId="5"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15" fillId="5" borderId="0" pivotButton="0" quotePrefix="0" xfId="0"/>
    <xf numFmtId="0" fontId="0" fillId="5" borderId="0" pivotButton="0" quotePrefix="0" xfId="0"/>
    <xf numFmtId="0" fontId="16" fillId="0" borderId="0" pivotButton="0" quotePrefix="0" xfId="0"/>
    <xf numFmtId="0" fontId="17" fillId="6" borderId="0" applyAlignment="1" pivotButton="0" quotePrefix="0" xfId="0">
      <alignment horizontal="center" vertical="center" wrapText="1"/>
    </xf>
    <xf numFmtId="0" fontId="18" fillId="3" borderId="10" applyAlignment="1" pivotButton="0" quotePrefix="0" xfId="0">
      <alignment vertical="top" wrapText="1"/>
    </xf>
    <xf numFmtId="0" fontId="18" fillId="2" borderId="10" applyAlignment="1" pivotButton="0" quotePrefix="0" xfId="0">
      <alignment vertical="top" wrapText="1"/>
    </xf>
    <xf numFmtId="0" fontId="18" fillId="4" borderId="10" applyAlignment="1" pivotButton="0" quotePrefix="0" xfId="0">
      <alignment vertical="top" wrapText="1"/>
    </xf>
    <xf numFmtId="0" fontId="18" fillId="0" borderId="10" applyAlignment="1" pivotButton="0" quotePrefix="0" xfId="0">
      <alignment vertical="top" wrapText="1"/>
    </xf>
    <xf numFmtId="0" fontId="17" fillId="0" borderId="0" pivotButton="0" quotePrefix="0" xfId="0"/>
    <xf numFmtId="0" fontId="18" fillId="0" borderId="0" pivotButton="0" quotePrefix="0" xfId="0"/>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8"/>
  <sheetViews>
    <sheetView tabSelected="1" zoomScale="85" zoomScaleNormal="85" zoomScaleSheetLayoutView="85" workbookViewId="0">
      <selection activeCell="A6" sqref="A6:K6"/>
    </sheetView>
  </sheetViews>
  <sheetFormatPr baseColWidth="8" defaultColWidth="42" defaultRowHeight="15.5"/>
  <cols>
    <col width="6.58203125" customWidth="1" style="29" min="1" max="1"/>
    <col width="28.1640625" customWidth="1" style="27" min="2" max="2"/>
    <col width="10.83203125" customWidth="1" style="28" min="3" max="3"/>
    <col width="10.1640625" bestFit="1" customWidth="1" style="28" min="4" max="4"/>
    <col width="11.5" bestFit="1" customWidth="1" style="28" min="5" max="5"/>
    <col width="7.33203125" customWidth="1" style="29" min="6" max="6"/>
    <col width="13.33203125" customWidth="1" style="28" min="7" max="7"/>
    <col width="10.5" customWidth="1" style="28" min="8" max="8"/>
    <col width="8" customWidth="1" style="29" min="9" max="9"/>
    <col width="7.08203125" customWidth="1" style="28" min="10" max="10"/>
    <col width="6.83203125" customWidth="1" style="28" min="11" max="11"/>
    <col width="46" customWidth="1" style="28" min="12" max="16384"/>
  </cols>
  <sheetData>
    <row r="1" ht="44.5" customFormat="1" customHeight="1" s="25">
      <c r="A1" s="42" t="inlineStr">
        <is>
          <r>
            <t xml:space="preserve">UBND TỈNH QUẢNG NGÃI
</t>
          </r>
          <r>
            <rPr>
              <rFont val="Times New Roman"/>
              <family val="1"/>
              <b val="1"/>
              <sz val="13"/>
            </rPr>
            <t>TRƯỜNG CAO ĐẲNG KON TUM</t>
          </r>
        </is>
      </c>
      <c r="D1" s="2" t="n"/>
      <c r="E1" s="39" t="inlineStr">
        <is>
          <t>CỘNG HÒA XÃ HỘI CHỦ NGHĨA VIỆT NAM
Độc lập - Tự do - Hạnh phúc</t>
        </is>
      </c>
    </row>
    <row r="2" ht="2.5" customHeight="1"/>
    <row r="3" ht="19.75" customFormat="1" customHeight="1" s="25">
      <c r="A3" s="44" t="inlineStr">
        <is>
          <t>Số:             /KH-CĐKT</t>
        </is>
      </c>
      <c r="E3" s="24" t="inlineStr">
        <is>
          <t>Quảng Ngãi, ngày      tháng 9 năm 2026</t>
        </is>
      </c>
    </row>
    <row r="4" ht="6.75" customHeight="1"/>
    <row r="5" ht="40.75" customHeight="1">
      <c r="A5" s="40" t="inlineStr">
        <is>
          <t>KẾ HOẠCH
công tác Quý IV năm 2026</t>
        </is>
      </c>
    </row>
    <row r="6" ht="4.25" customHeight="1">
      <c r="A6" s="45" t="n"/>
    </row>
    <row r="7" ht="8.4" customHeight="1">
      <c r="A7" s="26" t="n"/>
    </row>
    <row r="8" ht="144" customHeight="1">
      <c r="A8" s="41" t="inlineStr">
        <is>
          <r>
            <rPr>
              <rFont val="Times New Roman"/>
              <sz val="13"/>
            </rPr>
            <t xml:space="preserve">          Căn cứ Quyết định số 1976/QĐ-CĐKT ngày 14/9/2026 của Hiệu trưởng Trường Cao đẳng Kon Tum ban hành Quy chế tổ chức và hoạt động của Trường Cao đẳng Kon Tum; Quyết định số </t>
          </r>
          <r>
            <rPr>
              <rFont val="Times New Roman"/>
              <strike val="1"/>
              <color rgb="FFC00000"/>
              <sz val="13"/>
            </rPr>
            <t>1299/QĐ-CĐKT ngày 27/5/2026</t>
          </r>
          <r>
            <rPr>
              <rFont val="Times New Roman"/>
              <color rgb="FF0033CC"/>
              <sz val="13"/>
              <u val="single"/>
            </rPr>
            <t xml:space="preserve"> 2073/QĐ-CĐKT ngày 23/9/2026</t>
          </r>
          <r>
            <rPr>
              <rFont val="Times New Roman"/>
              <sz val="13"/>
            </rPr>
            <t xml:space="preserve"> của Hiệu trưởng Trường Cao đẳng Kon Tum ban hành Quy chế làm việc của Trường Cao đẳng Kon Tum;
          Căn cứ Quyết định số 311/QĐ-CĐKT ngày 04/02/2026 của Hiệu trưởng Trường Cao đẳng Kon Tum ban hành Chương trình công tác trọng tâm năm 2026;
         Căn cứ các kế hoạch, hướng dẫn của Tỉnh ủy, Đảng ủy UBND tỉnh, UBND tỉnh về xây dựng kế hoạch, khung tiêu chí đánh giá tập thể, cá nhân và kết luận, chỉ đạo của Lãnh đạo Trường.
          Nhà trường ban hành Kế hoạch công tác Quý IV năm 2026, cụ thể như sau:</t>
          </r>
        </is>
      </c>
    </row>
    <row r="9" ht="3.25" customHeight="1">
      <c r="A9" s="26" t="n"/>
      <c r="B9" s="8" t="n"/>
      <c r="C9" s="45" t="n"/>
      <c r="D9" s="45" t="n"/>
      <c r="E9" s="45" t="n"/>
      <c r="F9" s="26" t="n"/>
      <c r="G9" s="45" t="n"/>
      <c r="H9" s="45" t="n"/>
      <c r="I9" s="26" t="n"/>
      <c r="J9" s="45" t="n"/>
      <c r="K9" s="45" t="n"/>
    </row>
    <row r="10" ht="40.5" customHeight="1">
      <c r="A10" s="37" t="inlineStr">
        <is>
          <t>TT</t>
        </is>
      </c>
      <c r="B10" s="37" t="inlineStr">
        <is>
          <t>NỘI DUNG CÔNG VIỆC</t>
        </is>
      </c>
      <c r="C10" s="37" t="inlineStr">
        <is>
          <t>Người trực tiếp chỉ đạo</t>
        </is>
      </c>
      <c r="D10" s="37" t="inlineStr">
        <is>
          <t>Đơn vị chủ trì</t>
        </is>
      </c>
      <c r="E10" s="37" t="inlineStr">
        <is>
          <t>Sản phẩm/ công việc</t>
        </is>
      </c>
      <c r="F10" s="37" t="inlineStr">
        <is>
          <t>Số lượng</t>
        </is>
      </c>
      <c r="G10" s="37" t="inlineStr">
        <is>
          <t>Độ khó, mới, phức tạp; phạm vi tác động</t>
        </is>
      </c>
      <c r="H10" s="37" t="inlineStr">
        <is>
          <t>Thời gian hoàn thành</t>
        </is>
      </c>
      <c r="I10" s="37" t="inlineStr">
        <is>
          <t>Điểm chấm công việc</t>
        </is>
      </c>
      <c r="J10" s="37" t="inlineStr">
        <is>
          <t>Hệ số quy đổi</t>
        </is>
      </c>
      <c r="K10" s="37" t="inlineStr">
        <is>
          <t>Ghi chú</t>
        </is>
      </c>
      <c r="L10" s="37" t="inlineStr">
        <is>
          <t>Ghi chú rà soát (Track Changes) — xóa trước khi ký</t>
        </is>
      </c>
    </row>
    <row r="11" ht="40.5" customHeight="1">
      <c r="A11" s="38" t="n"/>
      <c r="B11" s="38" t="n"/>
      <c r="C11" s="38" t="n"/>
      <c r="D11" s="38" t="n"/>
      <c r="E11" s="38" t="n"/>
      <c r="F11" s="38" t="n"/>
      <c r="G11" s="38" t="n"/>
      <c r="H11" s="38" t="n"/>
      <c r="I11" s="38" t="n"/>
      <c r="J11" s="38" t="n"/>
      <c r="K11" s="38" t="n"/>
    </row>
    <row r="12" ht="16.75" customHeight="1">
      <c r="A12" s="10" t="inlineStr">
        <is>
          <t>(1)</t>
        </is>
      </c>
      <c r="B12" s="10" t="inlineStr">
        <is>
          <t>(2)</t>
        </is>
      </c>
      <c r="C12" s="10" t="inlineStr">
        <is>
          <t>(3)</t>
        </is>
      </c>
      <c r="D12" s="10" t="inlineStr">
        <is>
          <t>(4)</t>
        </is>
      </c>
      <c r="E12" s="10" t="inlineStr">
        <is>
          <t>(5)</t>
        </is>
      </c>
      <c r="F12" s="10" t="inlineStr">
        <is>
          <t>(6)</t>
        </is>
      </c>
      <c r="G12" s="10" t="inlineStr">
        <is>
          <t>(7)</t>
        </is>
      </c>
      <c r="H12" s="10" t="inlineStr">
        <is>
          <t>(8)</t>
        </is>
      </c>
      <c r="I12" s="10" t="inlineStr">
        <is>
          <t>(9)</t>
        </is>
      </c>
      <c r="J12" s="10" t="inlineStr">
        <is>
          <t>(10)</t>
        </is>
      </c>
      <c r="K12" s="10" t="inlineStr">
        <is>
          <t>(11)</t>
        </is>
      </c>
    </row>
    <row r="13" ht="16.75" customHeight="1">
      <c r="A13" s="37" t="inlineStr">
        <is>
          <t>I</t>
        </is>
      </c>
      <c r="B13" s="43" t="inlineStr">
        <is>
          <t xml:space="preserve"> Các nhiệm vụ theo kế hoạch (chương trình) công tác đã đề ra từ đầu năm</t>
        </is>
      </c>
      <c r="C13" s="33" t="n"/>
      <c r="D13" s="33" t="n"/>
      <c r="E13" s="33" t="n"/>
      <c r="F13" s="33" t="n"/>
      <c r="G13" s="33" t="n"/>
      <c r="H13" s="33" t="n"/>
      <c r="I13" s="33" t="n"/>
      <c r="J13" s="33" t="n"/>
      <c r="K13" s="34" t="n"/>
    </row>
    <row r="14" ht="16.75" customHeight="1">
      <c r="A14" s="11" t="n">
        <v>1</v>
      </c>
      <c r="B14" s="32" t="inlineStr">
        <is>
          <t xml:space="preserve">Trục (1) - Thực hiện mục tiêu phát triển Kinh tế - xã hội và nhiệm vụ chính trị được giao </t>
        </is>
      </c>
      <c r="C14" s="33" t="n"/>
      <c r="D14" s="33" t="n"/>
      <c r="E14" s="33" t="n"/>
      <c r="F14" s="33" t="n"/>
      <c r="G14" s="33" t="n"/>
      <c r="H14" s="33" t="n"/>
      <c r="I14" s="33" t="n"/>
      <c r="J14" s="33" t="n"/>
      <c r="K14" s="34" t="n"/>
    </row>
    <row r="15" ht="66" customFormat="1" customHeight="1" s="25">
      <c r="A15" s="10" t="inlineStr">
        <is>
          <t>1.1</t>
        </is>
      </c>
      <c r="B15" s="12" t="inlineStr">
        <is>
          <t>Đánh giá ngoài chất lượng chương trình đào tạo</t>
        </is>
      </c>
      <c r="C15" s="13" t="inlineStr">
        <is>
          <t>PHT Dương Văn Anh Dũng</t>
        </is>
      </c>
      <c r="D15" s="10" t="inlineStr">
        <is>
          <t>Phòng QLĐT&amp;BĐCL</t>
        </is>
      </c>
      <c r="E15" s="13" t="inlineStr">
        <is>
          <t>Kế hoạch</t>
        </is>
      </c>
      <c r="F15" s="10" t="n">
        <v>1</v>
      </c>
      <c r="G15" s="10" t="inlineStr">
        <is>
          <t>Cao</t>
        </is>
      </c>
      <c r="H15" s="10" t="inlineStr">
        <is>
          <t>31/10/2026</t>
        </is>
      </c>
      <c r="I15" s="10">
        <f>IF(G15="Khó và phức tạp",200,IF(G15="Cao",150,IF(G15="Trung bình",120,IF(G15="Thấp",100))))</f>
        <v/>
      </c>
      <c r="J15" s="10">
        <f>I15*0.01</f>
        <v/>
      </c>
      <c r="K15" s="37" t="n"/>
    </row>
    <row r="16" ht="49.5" customFormat="1" customHeight="1" s="25">
      <c r="A16" s="10" t="inlineStr">
        <is>
          <t>1.2</t>
        </is>
      </c>
      <c r="B16" s="12" t="inlineStr">
        <is>
          <t>Thẩm định, ban hành quy trình bảo đảm chất lượng đợt 2 năm 2026</t>
        </is>
      </c>
      <c r="C16" s="13" t="inlineStr">
        <is>
          <t>Hiệu trưởng</t>
        </is>
      </c>
      <c r="D16" s="10" t="inlineStr">
        <is>
          <t>Phòng QLĐT&amp;BĐCL</t>
        </is>
      </c>
      <c r="E16" s="13" t="inlineStr">
        <is>
          <t>Quyết định</t>
        </is>
      </c>
      <c r="F16" s="10" t="n">
        <v>3</v>
      </c>
      <c r="G16" s="10" t="inlineStr">
        <is>
          <t>Cao</t>
        </is>
      </c>
      <c r="H16" s="10" t="inlineStr">
        <is>
          <t>31/10/2026</t>
        </is>
      </c>
      <c r="I16" s="10">
        <f>IF(G16="Khó và phức tạp",200,IF(G16="Cao",150,IF(G16="Trung bình",120,IF(G16="Thấp",100))))</f>
        <v/>
      </c>
      <c r="J16" s="10">
        <f>I16*0.01</f>
        <v/>
      </c>
      <c r="K16" s="37" t="n"/>
    </row>
    <row r="17" ht="242" customHeight="1">
      <c r="A17" s="10" t="inlineStr">
        <is>
          <t>1.3</t>
        </is>
      </c>
      <c r="B17" s="12" t="inlineStr">
        <is>
          <t>Báo cáo kết quả khảo sát các bên liên quan về hoạt động của nhà trường và chất lượng các CTĐT năm 2026</t>
        </is>
      </c>
      <c r="C17" s="10" t="inlineStr">
        <is>
          <t>PHT Huỳnh Văn Chung</t>
        </is>
      </c>
      <c r="D17" s="10" t="inlineStr">
        <is>
          <t>Phòng QLKHCN&amp;HTPT</t>
        </is>
      </c>
      <c r="E17" s="10" t="inlineStr">
        <is>
          <t>Báo cáo</t>
        </is>
      </c>
      <c r="F17" s="10" t="n">
        <v>4</v>
      </c>
      <c r="G17" s="10" t="inlineStr">
        <is>
          <t>Cao</t>
        </is>
      </c>
      <c r="H17" s="10" t="inlineStr">
        <is>
          <t>31/10/2026</t>
        </is>
      </c>
      <c r="I17" s="10">
        <f>IF(G17="Khó và phức tạp",200,IF(G17="Cao",150,IF(G17="Trung bình",120,IF(G17="Thấp",100))))</f>
        <v/>
      </c>
      <c r="J17" s="10">
        <f>I17*0.01</f>
        <v/>
      </c>
      <c r="K17" s="37" t="inlineStr">
        <is>
          <t>881KH-CĐKT</t>
        </is>
      </c>
      <c r="L17" s="46" t="inlineStr">
        <is>
          <t>Ghi nguồn: KH 881 mục 24 (lấy ý kiến doanh nghiệp, Quý III/IV) đã nằm trong nhiệm vụ này; không thêm dòng.</t>
        </is>
      </c>
    </row>
    <row r="18" ht="242" customHeight="1">
      <c r="A18" s="10" t="inlineStr">
        <is>
          <t>1.4</t>
        </is>
      </c>
      <c r="B18" s="12" t="inlineStr">
        <is>
          <t>Tổ chức Cuộc thi Khởi nghiệp sáng tạo cấp Trường</t>
        </is>
      </c>
      <c r="C18" s="10" t="inlineStr">
        <is>
          <t>PHT Huỳnh Văn Chung</t>
        </is>
      </c>
      <c r="D18" s="10" t="inlineStr">
        <is>
          <t>Phòng QLKHCN&amp;HTPT</t>
        </is>
      </c>
      <c r="E18" s="10" t="inlineStr">
        <is>
          <t>Hồ sơ chuyên môn</t>
        </is>
      </c>
      <c r="F18" s="10" t="n">
        <v>1</v>
      </c>
      <c r="G18" s="10" t="inlineStr">
        <is>
          <t>Cao</t>
        </is>
      </c>
      <c r="H18" s="10" t="inlineStr">
        <is>
          <t>30/11/2026</t>
        </is>
      </c>
      <c r="I18" s="10">
        <f>IF(G18="Khó và phức tạp",200,IF(G18="Cao",150,IF(G18="Trung bình",120,IF(G18="Thấp",100))))</f>
        <v/>
      </c>
      <c r="J18" s="10">
        <f>I18*0.01</f>
        <v/>
      </c>
      <c r="K18" s="37" t="inlineStr">
        <is>
          <t>932KH-CĐKT</t>
        </is>
      </c>
      <c r="L18" s="46" t="inlineStr">
        <is>
          <t>Ghi nguồn: KH 932 đặt Cuộc thi HSSV với ý tưởng khởi nghiệp cấp Trường vào tháng 11/2026 — khớp.</t>
        </is>
      </c>
    </row>
    <row r="19" ht="67.25" customFormat="1" customHeight="1" s="25">
      <c r="A19" s="10" t="inlineStr">
        <is>
          <t>1.5</t>
        </is>
      </c>
      <c r="B19" s="12" t="inlineStr">
        <is>
          <t>Đánh giá hệ thống bảo đảm chất lượng</t>
        </is>
      </c>
      <c r="C19" s="10" t="inlineStr">
        <is>
          <t>Hiệu trưởng</t>
        </is>
      </c>
      <c r="D19" s="10" t="inlineStr">
        <is>
          <t>Phòng QLĐT&amp;BĐCL</t>
        </is>
      </c>
      <c r="E19" s="10" t="inlineStr">
        <is>
          <t>Kế hoạch</t>
        </is>
      </c>
      <c r="F19" s="10" t="n">
        <v>1</v>
      </c>
      <c r="G19" s="10" t="inlineStr">
        <is>
          <t>Trung bình</t>
        </is>
      </c>
      <c r="H19" s="10" t="inlineStr">
        <is>
          <t>30/11/2026</t>
        </is>
      </c>
      <c r="I19" s="10">
        <f>IF(G19="Khó và phức tạp",200,IF(G19="Cao",150,IF(G19="Trung bình",120,IF(G19="Thấp",100))))</f>
        <v/>
      </c>
      <c r="J19" s="10">
        <f>I19*0.01</f>
        <v/>
      </c>
      <c r="K19" s="37" t="n"/>
    </row>
    <row r="20" ht="67.25" customHeight="1">
      <c r="A20" s="10" t="inlineStr">
        <is>
          <t>1.6</t>
        </is>
      </c>
      <c r="B20" s="12" t="inlineStr">
        <is>
          <t xml:space="preserve">Triển khai hoạt động đào tạo theo đặt hàng của doanh nghiệp </t>
        </is>
      </c>
      <c r="C20" s="10" t="inlineStr">
        <is>
          <t>PHT Huỳnh Văn Chung</t>
        </is>
      </c>
      <c r="D20" s="10" t="inlineStr">
        <is>
          <t>Phòng QLKHCN&amp;HTPT</t>
        </is>
      </c>
      <c r="E20" s="10" t="inlineStr">
        <is>
          <t>Hợp đồng</t>
        </is>
      </c>
      <c r="F20" s="10" t="n">
        <v>1</v>
      </c>
      <c r="G20" s="10" t="inlineStr">
        <is>
          <t>Cao</t>
        </is>
      </c>
      <c r="H20" s="10" t="inlineStr">
        <is>
          <t>31/12/2026</t>
        </is>
      </c>
      <c r="I20" s="10">
        <f>IF(G20="Khó và phức tạp",200,IF(G20="Cao",150,IF(G20="Trung bình",120,IF(G20="Thấp",100))))</f>
        <v/>
      </c>
      <c r="J20" s="10">
        <f>I20*0.01</f>
        <v/>
      </c>
      <c r="K20" s="37" t="n"/>
    </row>
    <row r="21" ht="67.25" customHeight="1">
      <c r="A21" s="10" t="inlineStr">
        <is>
          <t>1.7</t>
        </is>
      </c>
      <c r="B21" s="12" t="inlineStr">
        <is>
          <t>Xây dựng Kế hoạch kiểm kê ngày 01/01/2027</t>
        </is>
      </c>
      <c r="C21" s="13" t="inlineStr">
        <is>
          <t>Hiệu trưởng</t>
        </is>
      </c>
      <c r="D21" s="10" t="inlineStr">
        <is>
          <t>Phòng TH-HC&amp;QT</t>
        </is>
      </c>
      <c r="E21" s="10" t="inlineStr">
        <is>
          <t>Kế hoạch</t>
        </is>
      </c>
      <c r="F21" s="10" t="n">
        <v>1</v>
      </c>
      <c r="G21" s="10" t="inlineStr">
        <is>
          <t>Trung bình</t>
        </is>
      </c>
      <c r="H21" s="10" t="inlineStr">
        <is>
          <t>31/12/2026</t>
        </is>
      </c>
      <c r="I21" s="10">
        <f>IF(G21="Khó và phức tạp",200,IF(G21="Cao",150,IF(G21="Trung bình",120,IF(G21="Thấp",100))))</f>
        <v/>
      </c>
      <c r="J21" s="10">
        <f>I21*0.01</f>
        <v/>
      </c>
      <c r="K21" s="37" t="n"/>
    </row>
    <row r="22" ht="67.25" customHeight="1">
      <c r="A22" s="10" t="inlineStr">
        <is>
          <t>1.8</t>
        </is>
      </c>
      <c r="B22" s="12" t="inlineStr">
        <is>
          <t>Tổ chức chương trình tư vấn việc làm cho HSSV</t>
        </is>
      </c>
      <c r="C22" s="10" t="inlineStr">
        <is>
          <t>PHT Huỳnh Văn Chung</t>
        </is>
      </c>
      <c r="D22" s="10" t="inlineStr">
        <is>
          <t>Phòng QLKHCN&amp;HTPT</t>
        </is>
      </c>
      <c r="E22" s="10" t="inlineStr">
        <is>
          <t>Kế hoạch</t>
        </is>
      </c>
      <c r="F22" s="10" t="n">
        <v>1</v>
      </c>
      <c r="G22" s="10" t="inlineStr">
        <is>
          <t>Cao</t>
        </is>
      </c>
      <c r="H22" s="10" t="inlineStr">
        <is>
          <t>31/12/2026</t>
        </is>
      </c>
      <c r="I22" s="10">
        <f>IF(G22="Khó và phức tạp",200,IF(G22="Cao",150,IF(G22="Trung bình",120,IF(G22="Thấp",100))))</f>
        <v/>
      </c>
      <c r="J22" s="10">
        <f>I22*0.01</f>
        <v/>
      </c>
      <c r="K22" s="37" t="n"/>
    </row>
    <row r="23" ht="67.25" customHeight="1">
      <c r="A23" s="10" t="inlineStr">
        <is>
          <t>1.9</t>
        </is>
      </c>
      <c r="B23" s="12" t="inlineStr">
        <is>
          <t>Ban hành Quyết định định mức kinh tế kỹ thuật và giá dịch vụ đào tạo nghề sơ cấp và dưới 3 tháng</t>
        </is>
      </c>
      <c r="C23" s="10" t="inlineStr">
        <is>
          <t>Hiệu trưởng</t>
        </is>
      </c>
      <c r="D23" s="10" t="inlineStr">
        <is>
          <t>Phòng TC-KT</t>
        </is>
      </c>
      <c r="E23" s="10" t="inlineStr">
        <is>
          <t>Quyết định</t>
        </is>
      </c>
      <c r="F23" s="10" t="inlineStr">
        <is>
          <t>Theo số lượng thực tế</t>
        </is>
      </c>
      <c r="G23" s="10" t="inlineStr">
        <is>
          <t>Cao</t>
        </is>
      </c>
      <c r="H23" s="10" t="inlineStr">
        <is>
          <t>31/12/2026</t>
        </is>
      </c>
      <c r="I23" s="10">
        <f>IF(G23="Khó và phức tạp",200,IF(G23="Cao",150,IF(G23="Trung bình",120,IF(G23="Thấp",100))))</f>
        <v/>
      </c>
      <c r="J23" s="10">
        <f>I23*0.01</f>
        <v/>
      </c>
      <c r="K23" s="37" t="n"/>
    </row>
    <row r="24" ht="67.25" customHeight="1">
      <c r="A24" s="10" t="inlineStr">
        <is>
          <t>1.10</t>
        </is>
      </c>
      <c r="B24" s="12" t="inlineStr">
        <is>
          <t>Tổng hợp kết quả tuyển sinh, nhập học, mở lớp, duy trì sĩ số năm 2026;</t>
        </is>
      </c>
      <c r="C24" s="10" t="inlineStr">
        <is>
          <t>Hiệu trưởng</t>
        </is>
      </c>
      <c r="D24" s="10" t="inlineStr">
        <is>
          <t>Phòng QLĐT&amp;BĐCL</t>
        </is>
      </c>
      <c r="E24" s="10" t="inlineStr">
        <is>
          <t>Báo cáo tuyển sinh; Báo cáo tổng kết</t>
        </is>
      </c>
      <c r="F24" s="10" t="n">
        <v>2</v>
      </c>
      <c r="G24" s="10" t="inlineStr">
        <is>
          <t>Trung bình</t>
        </is>
      </c>
      <c r="H24" s="10" t="inlineStr">
        <is>
          <t>25/12/2026</t>
        </is>
      </c>
      <c r="I24" s="10">
        <f>IF(G24="Khó và phức tạp",200,IF(G24="Cao",150,IF(G24="Trung bình",120,IF(G24="Thấp",100))))</f>
        <v/>
      </c>
      <c r="J24" s="10">
        <f>I24*0.01</f>
        <v/>
      </c>
      <c r="K24" s="37" t="n"/>
    </row>
    <row r="25" ht="100.75" customHeight="1">
      <c r="A25" s="10" t="inlineStr">
        <is>
          <t>1.11</t>
        </is>
      </c>
      <c r="B25" s="12" t="inlineStr">
        <is>
          <t>Hoàn thiện hồ sơ, sổ sách đào tạo năm học 2025-2026; theo dõi, điều chỉnh kế hoạch đào tạo toàn khóa, kế hoạch đào tạo năm học 2026-2027</t>
        </is>
      </c>
      <c r="C25" s="10" t="inlineStr">
        <is>
          <t>PHT Dương Văn Anh Dũng</t>
        </is>
      </c>
      <c r="D25" s="10" t="inlineStr">
        <is>
          <t>Phòng QLĐT&amp;BĐCL</t>
        </is>
      </c>
      <c r="E25" s="10" t="inlineStr">
        <is>
          <t>Hồ sơ chuyên môn; Hồ sơ lưu trữ</t>
        </is>
      </c>
      <c r="F25" s="10" t="n">
        <v>2</v>
      </c>
      <c r="G25" s="10" t="inlineStr">
        <is>
          <t>Trung bình</t>
        </is>
      </c>
      <c r="H25" s="10" t="inlineStr">
        <is>
          <t>31/12/2026</t>
        </is>
      </c>
      <c r="I25" s="10">
        <f>IF(G25="Khó và phức tạp",200,IF(G25="Cao",150,IF(G25="Trung bình",120,IF(G25="Thấp",100))))</f>
        <v/>
      </c>
      <c r="J25" s="10">
        <f>I25*0.01</f>
        <v/>
      </c>
      <c r="K25" s="37" t="n"/>
    </row>
    <row r="26" ht="242" customHeight="1">
      <c r="A26" s="10" t="inlineStr">
        <is>
          <t>1.12</t>
        </is>
      </c>
      <c r="B26" s="12" t="inlineStr">
        <is>
          <t>Hoàn thiện hồ sơ mô hình đào tạo kép "Một chương trình - Hai địa điểm"; triển khai thí điểm chương trình đào tạo ngắn hạn theo đơn đặt hàng của doanh nghiệp</t>
        </is>
      </c>
      <c r="C26" s="10" t="inlineStr">
        <is>
          <t>Hiệu trưởng</t>
        </is>
      </c>
      <c r="D26" s="10" t="inlineStr">
        <is>
          <t>Phòng QLĐT&amp;BĐCL</t>
        </is>
      </c>
      <c r="E26" s="10" t="inlineStr">
        <is>
          <t>Hồ sơ mô hình đào tạo kép; Chương trình đào tạo ngắn hạn</t>
        </is>
      </c>
      <c r="F26" s="10" t="n">
        <v>2</v>
      </c>
      <c r="G26" s="10" t="inlineStr">
        <is>
          <t>Cao</t>
        </is>
      </c>
      <c r="H26" s="10" t="inlineStr">
        <is>
          <t>31/12/2026</t>
        </is>
      </c>
      <c r="I26" s="10">
        <f>IF(G26="Khó và phức tạp",200,IF(G26="Cao",150,IF(G26="Trung bình",120,IF(G26="Thấp",100))))</f>
        <v/>
      </c>
      <c r="J26" s="10">
        <f>I26*0.01</f>
        <v/>
      </c>
      <c r="K26" s="37" t="inlineStr">
        <is>
          <t>909KH-CĐKT</t>
        </is>
      </c>
      <c r="L26" s="46" t="inlineStr">
        <is>
          <t>Ghi nguồn: Hội nghị sơ kết mô hình đào tạo kép tổ chức 30/9/2026 (KH 909).</t>
        </is>
      </c>
    </row>
    <row r="27" ht="84" customHeight="1">
      <c r="A27" s="10" t="inlineStr">
        <is>
          <t>1.13</t>
        </is>
      </c>
      <c r="B27" s="12" t="inlineStr">
        <is>
          <t>Rà soát, cập nhật, chuẩn hóa chương trình đào tạo, giáo trình đào tạo theo quy định mới hoặc yêu cầu phát sinh</t>
        </is>
      </c>
      <c r="C27" s="10" t="inlineStr">
        <is>
          <t>PHT Dương Văn Anh Dũng</t>
        </is>
      </c>
      <c r="D27" s="10" t="inlineStr">
        <is>
          <t>Phòng QLĐT&amp;BĐCL</t>
        </is>
      </c>
      <c r="E27" s="10" t="inlineStr">
        <is>
          <t>Chương trình đào tạo; Giáo trình đào tạo</t>
        </is>
      </c>
      <c r="F27" s="10" t="n">
        <v>2</v>
      </c>
      <c r="G27" s="10" t="inlineStr">
        <is>
          <t>Trung bình</t>
        </is>
      </c>
      <c r="H27" s="10" t="inlineStr">
        <is>
          <t>30/11/2026</t>
        </is>
      </c>
      <c r="I27" s="10">
        <f>IF(G27="Khó và phức tạp",200,IF(G27="Cao",150,IF(G27="Trung bình",120,IF(G27="Thấp",100))))</f>
        <v/>
      </c>
      <c r="J27" s="10">
        <f>I27*0.01</f>
        <v/>
      </c>
      <c r="K27" s="37" t="n"/>
    </row>
    <row r="28" ht="100.75" customHeight="1">
      <c r="A28" s="10" t="inlineStr">
        <is>
          <t>1.14</t>
        </is>
      </c>
      <c r="B28" s="12" t="inlineStr">
        <is>
          <t>Hoàn thành các nội dung thuộc năm 2026 trong lộ trình xây dựng Trường thành trường cao đẳng chất lượng cao giai đoạn 2026-2030</t>
        </is>
      </c>
      <c r="C28" s="10" t="inlineStr">
        <is>
          <t>Hiệu trưởng</t>
        </is>
      </c>
      <c r="D28" s="10" t="inlineStr">
        <is>
          <t>Phòng QLĐT&amp;BĐCL</t>
        </is>
      </c>
      <c r="E28" s="10" t="inlineStr">
        <is>
          <t>Báo cáo tiến độ; Hồ sơ minh chứng</t>
        </is>
      </c>
      <c r="F28" s="10" t="n">
        <v>1</v>
      </c>
      <c r="G28" s="10" t="inlineStr">
        <is>
          <t>Khó và phức tạp</t>
        </is>
      </c>
      <c r="H28" s="10" t="inlineStr">
        <is>
          <t>31/12/2026</t>
        </is>
      </c>
      <c r="I28" s="10">
        <f>IF(G28="Khó và phức tạp",200,IF(G28="Cao",150,IF(G28="Trung bình",120,IF(G28="Thấp",100))))</f>
        <v/>
      </c>
      <c r="J28" s="10">
        <f>I28*0.01</f>
        <v/>
      </c>
      <c r="K28" s="37" t="n"/>
    </row>
    <row r="29" ht="49.5" customHeight="1">
      <c r="A29" s="10" t="inlineStr">
        <is>
          <t>1.15</t>
        </is>
      </c>
      <c r="B29" s="12" t="inlineStr">
        <is>
          <t>Ban hành Kế hoạch tuyển dụng đợt bổ sung năm 2026</t>
        </is>
      </c>
      <c r="C29" s="10" t="inlineStr">
        <is>
          <t>Hiệu trưởng</t>
        </is>
      </c>
      <c r="D29" s="10" t="inlineStr">
        <is>
          <t>Phòng TCCB&amp;CTHSSV</t>
        </is>
      </c>
      <c r="E29" s="10" t="inlineStr">
        <is>
          <t>Kế hoạch</t>
        </is>
      </c>
      <c r="F29" s="10" t="inlineStr">
        <is>
          <t>1</t>
        </is>
      </c>
      <c r="G29" s="10" t="inlineStr">
        <is>
          <t>Khó và phức tạp</t>
        </is>
      </c>
      <c r="H29" s="10" t="inlineStr">
        <is>
          <t>31/12/2026</t>
        </is>
      </c>
      <c r="I29" s="10">
        <f>IF(G29="Khó và phức tạp",200,IF(G29="Cao",150,IF(G29="Trung bình",120,IF(G29="Thấp",100))))</f>
        <v/>
      </c>
      <c r="J29" s="10" t="n">
        <v>2</v>
      </c>
      <c r="K29" s="37" t="n"/>
    </row>
    <row r="30" ht="26.5" customHeight="1">
      <c r="A30" s="11" t="n">
        <v>2</v>
      </c>
      <c r="B30" s="32" t="inlineStr">
        <is>
          <t>Trục (2) - Hoàn thiện thể chế, đẩy mạnh phân cấp, phân quyền gắn với kiểm tra, giám sát</t>
        </is>
      </c>
      <c r="C30" s="33" t="n"/>
      <c r="D30" s="33" t="n"/>
      <c r="E30" s="33" t="n"/>
      <c r="F30" s="33" t="n"/>
      <c r="G30" s="33" t="n"/>
      <c r="H30" s="33" t="n"/>
      <c r="I30" s="33" t="n"/>
      <c r="J30" s="33" t="n"/>
      <c r="K30" s="34" t="n"/>
    </row>
    <row r="31" ht="67.25" customHeight="1">
      <c r="A31" s="10" t="inlineStr">
        <is>
          <t>2.1</t>
        </is>
      </c>
      <c r="B31" s="12" t="inlineStr">
        <is>
          <t>Ban hành định mức kinh tế kỹ thuật ngành nghề Y sỹ đa khoa và định giá đào tạo</t>
        </is>
      </c>
      <c r="C31" s="10" t="inlineStr">
        <is>
          <t>Hiệu trưởng</t>
        </is>
      </c>
      <c r="D31" s="10" t="inlineStr">
        <is>
          <t>Phòng TC-KT</t>
        </is>
      </c>
      <c r="E31" s="10" t="inlineStr">
        <is>
          <t>Quyết định + phụ lục đinh mức</t>
        </is>
      </c>
      <c r="F31" s="14" t="n">
        <v>2</v>
      </c>
      <c r="G31" s="10" t="inlineStr">
        <is>
          <t>Cao</t>
        </is>
      </c>
      <c r="H31" s="10" t="inlineStr">
        <is>
          <t>31/10/2026</t>
        </is>
      </c>
      <c r="I31" s="10">
        <f>IF(G31="Khó và phức tạp",200,IF(G31="Cao",150,IF(G31="Trung bình",120,IF(G31="Thấp",100))))</f>
        <v/>
      </c>
      <c r="J31" s="10">
        <f>I31*0.01</f>
        <v/>
      </c>
      <c r="K31" s="10" t="n"/>
    </row>
    <row r="32" ht="63" customFormat="1" customHeight="1" s="15">
      <c r="A32" s="10" t="inlineStr">
        <is>
          <t>2.2</t>
        </is>
      </c>
      <c r="B32" s="12" t="inlineStr">
        <is>
          <t>Ban hành định mức kinh tế - kỹ thuật và định giá đào tạo lái xe</t>
        </is>
      </c>
      <c r="C32" s="10" t="inlineStr">
        <is>
          <t>Hiệu trưởng</t>
        </is>
      </c>
      <c r="D32" s="10" t="inlineStr">
        <is>
          <t>Phòng TC-KT</t>
        </is>
      </c>
      <c r="E32" s="10" t="inlineStr">
        <is>
          <t>Quyết định + phụ lục đinh mức</t>
        </is>
      </c>
      <c r="F32" s="10" t="n">
        <v>4</v>
      </c>
      <c r="G32" s="10" t="inlineStr">
        <is>
          <t>Cao</t>
        </is>
      </c>
      <c r="H32" s="10" t="inlineStr">
        <is>
          <t>31/10/2026</t>
        </is>
      </c>
      <c r="I32" s="10">
        <f>IF(G32="Khó và phức tạp",200,IF(G32="Cao",150,IF(G32="Trung bình",120,IF(G32="Thấp",100))))</f>
        <v/>
      </c>
      <c r="J32" s="10">
        <f>I32*0.01</f>
        <v/>
      </c>
      <c r="K32" s="10" t="n"/>
    </row>
    <row r="33" ht="84" customFormat="1" customHeight="1" s="15">
      <c r="A33" s="10" t="inlineStr">
        <is>
          <t>2.3</t>
        </is>
      </c>
      <c r="B33" s="12" t="inlineStr">
        <is>
          <t>Tổ chức kiểm tra theo Kế hoạch kiểm tra năm học 2026-2027 (đợt 1) đối với các khoa thuộc Trường</t>
        </is>
      </c>
      <c r="C33" s="10" t="inlineStr">
        <is>
          <t>Hiệu trưởng</t>
        </is>
      </c>
      <c r="D33" s="10" t="inlineStr">
        <is>
          <t>Phòng QLĐT&amp;BĐCL</t>
        </is>
      </c>
      <c r="E33" s="10" t="inlineStr">
        <is>
          <t>Kế hoạch kiểm tra; Biên bản; Thông báo kết luận</t>
        </is>
      </c>
      <c r="F33" s="10" t="n">
        <v>2</v>
      </c>
      <c r="G33" s="10" t="inlineStr">
        <is>
          <t>Cao</t>
        </is>
      </c>
      <c r="H33" s="10" t="inlineStr">
        <is>
          <t>30/11/2026</t>
        </is>
      </c>
      <c r="I33" s="10">
        <f>IF(G33="Khó và phức tạp",200,IF(G33="Cao",150,IF(G33="Trung bình",120,IF(G33="Thấp",100))))</f>
        <v/>
      </c>
      <c r="J33" s="10">
        <f>I33*0.01</f>
        <v/>
      </c>
      <c r="K33" s="37" t="n"/>
    </row>
    <row r="34" ht="84" customFormat="1" customHeight="1" s="15">
      <c r="A34" s="10" t="inlineStr">
        <is>
          <t>2.4</t>
        </is>
      </c>
      <c r="B34" s="12" t="inlineStr">
        <is>
          <t>Tổng hợp, báo cáo tiến độ thực hiện 10 nhiệm vụ trọng tâm về công tác quản lý đào tạo, bảo đảm chất lượng Quý IV/2026</t>
        </is>
      </c>
      <c r="C34" s="10" t="inlineStr">
        <is>
          <t>Hiệu trưởng</t>
        </is>
      </c>
      <c r="D34" s="10" t="inlineStr">
        <is>
          <t>Phòng QLĐT&amp;BĐCL</t>
        </is>
      </c>
      <c r="E34" s="10" t="inlineStr">
        <is>
          <t>Báo cáo tiến độ</t>
        </is>
      </c>
      <c r="F34" s="10" t="n">
        <v>1</v>
      </c>
      <c r="G34" s="10" t="inlineStr">
        <is>
          <t>Trung bình</t>
        </is>
      </c>
      <c r="H34" s="10" t="inlineStr">
        <is>
          <t>31/12/2026</t>
        </is>
      </c>
      <c r="I34" s="10">
        <f>IF(G34="Khó và phức tạp",200,IF(G34="Cao",150,IF(G34="Trung bình",120,IF(G34="Thấp",100))))</f>
        <v/>
      </c>
      <c r="J34" s="10">
        <f>I34*0.01</f>
        <v/>
      </c>
      <c r="K34" s="37" t="n"/>
    </row>
    <row r="35" ht="100.75" customFormat="1" customHeight="1" s="15">
      <c r="A35" s="10" t="inlineStr">
        <is>
          <t>2.5</t>
        </is>
      </c>
      <c r="B35" s="12" t="inlineStr">
        <is>
          <t>Kiểm tra công tác tài chính công đoàn năm 2026</t>
        </is>
      </c>
      <c r="C35" s="10" t="inlineStr">
        <is>
          <t>Phó Chủ tịch CĐCS - Chủ nhiệm UBKT</t>
        </is>
      </c>
      <c r="D35" s="10" t="inlineStr">
        <is>
          <t>UBKT CĐCS</t>
        </is>
      </c>
      <c r="E35" s="10" t="inlineStr">
        <is>
          <t>Kế hoạch</t>
        </is>
      </c>
      <c r="F35" s="10" t="n">
        <v>1</v>
      </c>
      <c r="G35" s="10" t="inlineStr">
        <is>
          <t>Cao</t>
        </is>
      </c>
      <c r="H35" s="10" t="inlineStr">
        <is>
          <t>31/12/2026</t>
        </is>
      </c>
      <c r="I35" s="10">
        <f>IF(G35="Khó và phức tạp",200,IF(G35="Cao",150,IF(G35="Trung bình",120,IF(G35="Thấp",100))))</f>
        <v/>
      </c>
      <c r="J35" s="10">
        <f>I35*0.01</f>
        <v/>
      </c>
      <c r="K35" s="37" t="n"/>
    </row>
    <row r="36" ht="16.75" customHeight="1">
      <c r="A36" s="11" t="n">
        <v>3</v>
      </c>
      <c r="B36" s="32" t="inlineStr">
        <is>
          <t>Trục (3) - Thúc đẩy phát triển khoa học, công nghệ, đổi mới sáng tạo và chuyển đổi số</t>
        </is>
      </c>
      <c r="C36" s="33" t="n"/>
      <c r="D36" s="33" t="n"/>
      <c r="E36" s="33" t="n"/>
      <c r="F36" s="33" t="n"/>
      <c r="G36" s="33" t="n"/>
      <c r="H36" s="33" t="n"/>
      <c r="I36" s="33" t="n"/>
      <c r="J36" s="33" t="n"/>
      <c r="K36" s="34" t="n"/>
    </row>
    <row r="37" ht="84" customHeight="1">
      <c r="A37" s="10" t="inlineStr">
        <is>
          <t>3.1</t>
        </is>
      </c>
      <c r="B37" s="12" t="inlineStr">
        <is>
          <t>Tổ chức Hội thảo khoa học “Chuyển đổi số toàn diện trong quản trị nhà trường gắn với nâng cao chất lượng đào tạo</t>
        </is>
      </c>
      <c r="C37" s="10" t="inlineStr">
        <is>
          <t>Hiệu trưởng</t>
        </is>
      </c>
      <c r="D37" s="10" t="inlineStr">
        <is>
          <t>Phòng QLKHCN&amp;HTPT</t>
        </is>
      </c>
      <c r="E37" s="10" t="inlineStr">
        <is>
          <t>Hồ sơ chuyên môn</t>
        </is>
      </c>
      <c r="F37" s="10" t="n">
        <v>1</v>
      </c>
      <c r="G37" s="10" t="inlineStr">
        <is>
          <t>Cao</t>
        </is>
      </c>
      <c r="H37" s="10" t="inlineStr">
        <is>
          <t>31/10/2026</t>
        </is>
      </c>
      <c r="I37" s="10">
        <f>IF(G37="Khó và phức tạp",200,IF(G37="Cao",150,IF(G37="Trung bình",120,IF(G37="Thấp",100))))</f>
        <v/>
      </c>
      <c r="J37" s="10">
        <f>I37*0.01</f>
        <v/>
      </c>
      <c r="K37" s="37" t="n"/>
    </row>
    <row r="38" ht="84" customHeight="1">
      <c r="A38" s="10" t="inlineStr">
        <is>
          <t>3.2</t>
        </is>
      </c>
      <c r="B38" s="12" t="inlineStr">
        <is>
          <t>Ban hành Quyết định tạm thời khung kiến trúc dữ liệu, khung quản trị dữ liệu và từ điển dữ liệu của nhà trường</t>
        </is>
      </c>
      <c r="C38" s="10" t="inlineStr">
        <is>
          <t>Hiệu trưởng</t>
        </is>
      </c>
      <c r="D38" s="10" t="inlineStr">
        <is>
          <t>Phòng QLKHCN&amp;HTPT</t>
        </is>
      </c>
      <c r="E38" s="10" t="inlineStr">
        <is>
          <t>Quyết định</t>
        </is>
      </c>
      <c r="F38" s="10" t="n">
        <v>1</v>
      </c>
      <c r="G38" s="10" t="inlineStr">
        <is>
          <t>Khó và phức tạp</t>
        </is>
      </c>
      <c r="H38" s="10" t="inlineStr">
        <is>
          <t>31/10/2026</t>
        </is>
      </c>
      <c r="I38" s="10">
        <f>IF(G38="Khó và phức tạp",200,IF(G38="Cao",150,IF(G38="Trung bình",120,IF(G38="Thấp",100))))</f>
        <v/>
      </c>
      <c r="J38" s="10">
        <f>I38*0.01</f>
        <v/>
      </c>
      <c r="K38" s="10" t="n"/>
    </row>
    <row r="39" ht="151.25" customHeight="1">
      <c r="A39" s="10" t="inlineStr">
        <is>
          <t>3.3</t>
        </is>
      </c>
      <c r="B39" s="12" t="inlineStr">
        <is>
          <t>Ban hành Quyết định tạm thời danh mục cơ sở dữ liệu dùng chung của nhà trường, trong đó quy định rõ khái niệm, nội hàm, trường dữ liệu, trách nhiệm tạo lập, cập nhật, chia sẻ, khai thác và giá trị pháp lý của dữ liệu</t>
        </is>
      </c>
      <c r="C39" s="10" t="inlineStr">
        <is>
          <t>Hiệu trưởng</t>
        </is>
      </c>
      <c r="D39" s="10" t="inlineStr">
        <is>
          <t>Phòng QLKHCN&amp;HTPT</t>
        </is>
      </c>
      <c r="E39" s="10" t="inlineStr">
        <is>
          <t>Quyết định</t>
        </is>
      </c>
      <c r="F39" s="10" t="n">
        <v>1</v>
      </c>
      <c r="G39" s="10" t="inlineStr">
        <is>
          <t>Khó và phức tạp</t>
        </is>
      </c>
      <c r="H39" s="10" t="inlineStr">
        <is>
          <t>31/10/2026</t>
        </is>
      </c>
      <c r="I39" s="10">
        <f>IF(G39="Khó và phức tạp",200,IF(G39="Cao",150,IF(G39="Trung bình",120,IF(G39="Thấp",100))))</f>
        <v/>
      </c>
      <c r="J39" s="10">
        <f>I39*0.01</f>
        <v/>
      </c>
      <c r="K39" s="10" t="n"/>
    </row>
    <row r="40" ht="84" customHeight="1">
      <c r="A40" s="10" t="inlineStr">
        <is>
          <t>3.4</t>
        </is>
      </c>
      <c r="B40" s="12" t="inlineStr">
        <is>
          <t>Xây dựng Kế hoạch xây dựng, quản lý, khai thác, kết nối, chia sẻ và phát triển cơ sở dữ liệu giai đoạn 2026 - 2030</t>
        </is>
      </c>
      <c r="C40" s="10" t="inlineStr">
        <is>
          <t>Hiệu trưởng</t>
        </is>
      </c>
      <c r="D40" s="10" t="inlineStr">
        <is>
          <t>Phòng QLKHCN&amp;HTPT</t>
        </is>
      </c>
      <c r="E40" s="10" t="inlineStr">
        <is>
          <t>Kế hoạch</t>
        </is>
      </c>
      <c r="F40" s="10" t="n">
        <v>1</v>
      </c>
      <c r="G40" s="10" t="inlineStr">
        <is>
          <t>Trung bình</t>
        </is>
      </c>
      <c r="H40" s="10" t="inlineStr">
        <is>
          <t>31/10/2026</t>
        </is>
      </c>
      <c r="I40" s="10">
        <f>IF(G40="Khó và phức tạp",200,IF(G40="Cao",150,IF(G40="Trung bình",120,IF(G40="Thấp",100))))</f>
        <v/>
      </c>
      <c r="J40" s="10">
        <f>I40*0.01</f>
        <v/>
      </c>
      <c r="K40" s="10" t="n"/>
    </row>
    <row r="41" ht="242" customHeight="1">
      <c r="A41" s="10" t="inlineStr">
        <is>
          <t>3.5</t>
        </is>
      </c>
      <c r="B41" s="12" t="inlineStr">
        <is>
          <t>Xây dựng công cụ AI hỗ trợ biên soạn, cập nhật chương trình đào tạo, tự đánh giá chất lượng giáo dục nghề nghiệp và rà soát kế hoạch tiến độ đào tạo của các đơn vị, kèm bộ dữ liệu chương trình đào tạo, khung chương trình và lịch năm học</t>
        </is>
      </c>
      <c r="C41" s="10" t="inlineStr">
        <is>
          <t>Hiệu trưởng</t>
        </is>
      </c>
      <c r="D41" s="10" t="inlineStr">
        <is>
          <t>Phòng QLĐT&amp;BĐCL</t>
        </is>
      </c>
      <c r="E41" s="10" t="inlineStr">
        <is>
          <t>Bộ công cụ đóng gói: Skills, Prompt, quy trình, thông báo</t>
        </is>
      </c>
      <c r="F41" s="10" t="n">
        <v>3</v>
      </c>
      <c r="G41" s="10" t="inlineStr">
        <is>
          <t>Khó và phức tạp</t>
        </is>
      </c>
      <c r="H41" s="10" t="inlineStr">
        <is>
          <t>30/11/2026</t>
        </is>
      </c>
      <c r="I41" s="10">
        <f>IF(G41="Khó và phức tạp",200,IF(G41="Cao",150,IF(G41="Trung bình",120,IF(G41="Thấp",100))))</f>
        <v/>
      </c>
      <c r="J41" s="10">
        <f>I41*0.01</f>
        <v/>
      </c>
      <c r="K41" s="10" t="inlineStr">
        <is>
          <t>848KH-CĐKT</t>
        </is>
      </c>
      <c r="L41" s="46" t="inlineStr">
        <is>
          <t>Ghi nguồn: KH 848 mục 8, 9, 10. Giáo trình (mục 11) tách thành dòng BS riêng.</t>
        </is>
      </c>
    </row>
    <row r="42" ht="84" customHeight="1">
      <c r="A42" s="10" t="inlineStr">
        <is>
          <t>3.6</t>
        </is>
      </c>
      <c r="B42" s="12" t="inlineStr">
        <is>
          <t>Chuẩn hóa đào tạo trực tuyến; xây dựng danh mục học liệu số; thiết lập kho minh chứng số dùng chung phục vụ bảo đảm chất lượng</t>
        </is>
      </c>
      <c r="C42" s="10" t="inlineStr">
        <is>
          <t>Hiệu trưởng</t>
        </is>
      </c>
      <c r="D42" s="10" t="inlineStr">
        <is>
          <t>Phòng QLĐT&amp;BĐCL</t>
        </is>
      </c>
      <c r="E42" s="10" t="inlineStr">
        <is>
          <t>Danh mục học liệu số; Kho minh chứng số</t>
        </is>
      </c>
      <c r="F42" s="10" t="n">
        <v>1</v>
      </c>
      <c r="G42" s="10" t="inlineStr">
        <is>
          <t>Cao</t>
        </is>
      </c>
      <c r="H42" s="10" t="inlineStr">
        <is>
          <t>31/12/2026</t>
        </is>
      </c>
      <c r="I42" s="10">
        <f>IF(G42="Khó và phức tạp",200,IF(G42="Cao",150,IF(G42="Trung bình",120,IF(G42="Thấp",100))))</f>
        <v/>
      </c>
      <c r="J42" s="10">
        <f>I42*0.01</f>
        <v/>
      </c>
      <c r="K42" s="10" t="n"/>
    </row>
    <row r="43" ht="36" customFormat="1" customHeight="1" s="16">
      <c r="A43" s="37" t="n">
        <v>4</v>
      </c>
      <c r="B43" s="36" t="inlineStr">
        <is>
          <t>Trục (4) - Xây dựng đảng và hệ thống chính trị trong sạch, vững mạnh; giữ gìn đoàn kết, thống nhất nội bộ; phòng, chống tham nhũng, lãng phí, tiêu cực</t>
        </is>
      </c>
      <c r="C43" s="33" t="n"/>
      <c r="D43" s="33" t="n"/>
      <c r="E43" s="33" t="n"/>
      <c r="F43" s="33" t="n"/>
      <c r="G43" s="33" t="n"/>
      <c r="H43" s="33" t="n"/>
      <c r="I43" s="33" t="n"/>
      <c r="J43" s="33" t="n"/>
      <c r="K43" s="34" t="n"/>
    </row>
    <row r="44" ht="67.25" customHeight="1">
      <c r="A44" s="10" t="inlineStr">
        <is>
          <t>4.1</t>
        </is>
      </c>
      <c r="B44" s="17" t="inlineStr">
        <is>
          <t>Tổ chức Đại hội các Chi đoàn học sinh, sinh viên nhiệm kỳ 2026- 2027</t>
        </is>
      </c>
      <c r="C44" s="10" t="inlineStr">
        <is>
          <t>PHT Huỳnh Văn Chung</t>
        </is>
      </c>
      <c r="D44" s="10" t="inlineStr">
        <is>
          <t>Đoàn TN - Hội SV</t>
        </is>
      </c>
      <c r="E44" s="10" t="inlineStr">
        <is>
          <t>Kế hoạch</t>
        </is>
      </c>
      <c r="F44" s="10" t="n">
        <v>1</v>
      </c>
      <c r="G44" s="10" t="inlineStr">
        <is>
          <t>Cao</t>
        </is>
      </c>
      <c r="H44" s="10" t="inlineStr">
        <is>
          <t>30/10/2026</t>
        </is>
      </c>
      <c r="I44" s="10">
        <f>IF(G44="Khó và phức tạp",200,IF(G44="Cao",150,IF(G44="Trung bình",120,IF(G44="Thấp",100))))</f>
        <v/>
      </c>
      <c r="J44" s="10">
        <f>I44*0.01</f>
        <v/>
      </c>
      <c r="K44" s="37" t="n"/>
    </row>
    <row r="45" ht="100.75" customHeight="1">
      <c r="A45" s="10" t="inlineStr">
        <is>
          <t>4.2</t>
        </is>
      </c>
      <c r="B45" s="12" t="inlineStr">
        <is>
          <t>Kế hoạch về việc phát huy ưu điểm; sửa chữa, khắc phục hạn chế, khuyết điểm sau kiểm điểm đối với tập thể, cá nhân Lãnh đạo Trường năm 2026</t>
        </is>
      </c>
      <c r="C45" s="13" t="inlineStr">
        <is>
          <t>Hiệu trưởng</t>
        </is>
      </c>
      <c r="D45" s="10" t="inlineStr">
        <is>
          <t>Phòng TCCB&amp;CTHSSV</t>
        </is>
      </c>
      <c r="E45" s="10" t="inlineStr">
        <is>
          <t>Kế hoạch</t>
        </is>
      </c>
      <c r="F45" s="10" t="n">
        <v>1</v>
      </c>
      <c r="G45" s="10" t="inlineStr">
        <is>
          <t>Cao</t>
        </is>
      </c>
      <c r="H45" s="10" t="inlineStr">
        <is>
          <t>31/12/2026</t>
        </is>
      </c>
      <c r="I45" s="10">
        <f>IF(G45="Khó và phức tạp",200,IF(G45="Cao",150,IF(G45="Trung bình",120,IF(G45="Thấp",100))))</f>
        <v/>
      </c>
      <c r="J45" s="10">
        <f>I45*0.01</f>
        <v/>
      </c>
      <c r="K45" s="37" t="n"/>
    </row>
    <row r="46" ht="117.65" customHeight="1">
      <c r="A46" s="10" t="inlineStr">
        <is>
          <t>4.3</t>
        </is>
      </c>
      <c r="B46" s="17" t="inlineStr">
        <is>
          <t>Xây dựng Kế hoạch và triển khai công tác tổ chức các hoạt động chào mừng kỷ niệm 77 năm Ngày truyền thống học sinh, sinh viên và Hội Sinh viên Việt Nam (9/01/1950 – 9/01/2027)</t>
        </is>
      </c>
      <c r="C46" s="10" t="inlineStr">
        <is>
          <t>PHT Huỳnh Văn Chung</t>
        </is>
      </c>
      <c r="D46" s="10" t="inlineStr">
        <is>
          <t>Đoàn TN - Hội SV</t>
        </is>
      </c>
      <c r="E46" s="10" t="inlineStr">
        <is>
          <t>Kế hoạch</t>
        </is>
      </c>
      <c r="F46" s="10" t="n">
        <v>1</v>
      </c>
      <c r="G46" s="10" t="inlineStr">
        <is>
          <t>Cao</t>
        </is>
      </c>
      <c r="H46" s="10" t="inlineStr">
        <is>
          <t>31/12/2026</t>
        </is>
      </c>
      <c r="I46" s="10">
        <f>IF(G46="Khó và phức tạp",200,IF(G46="Cao",150,IF(G46="Trung bình",120,IF(G46="Thấp",100))))</f>
        <v/>
      </c>
      <c r="J46" s="10">
        <f>I46*0.01</f>
        <v/>
      </c>
      <c r="K46" s="37" t="n"/>
    </row>
    <row r="47" ht="67.25" customHeight="1">
      <c r="A47" s="10" t="inlineStr">
        <is>
          <t>4.4</t>
        </is>
      </c>
      <c r="B47" s="12" t="inlineStr">
        <is>
          <t>Ban hành kế hoạch công tác năm 2027 của Công đoàn cơ sở Trường Cao đẳng Kon Tum.</t>
        </is>
      </c>
      <c r="C47" s="10" t="inlineStr">
        <is>
          <t>Phó Chủ tịch Công đoàn</t>
        </is>
      </c>
      <c r="D47" s="10" t="inlineStr">
        <is>
          <t>BCH CĐCS</t>
        </is>
      </c>
      <c r="E47" s="10" t="inlineStr">
        <is>
          <t>Kế hoạch</t>
        </is>
      </c>
      <c r="F47" s="10" t="n">
        <v>1</v>
      </c>
      <c r="G47" s="10" t="inlineStr">
        <is>
          <t>Khó và phức tạp</t>
        </is>
      </c>
      <c r="H47" s="10" t="inlineStr">
        <is>
          <t>31/12/2026</t>
        </is>
      </c>
      <c r="I47" s="10">
        <f>IF(G47="Khó và phức tạp",200,IF(G47="Cao",150,IF(G47="Trung bình",120,IF(G47="Thấp",100))))</f>
        <v/>
      </c>
      <c r="J47" s="10">
        <f>I47*0.01</f>
        <v/>
      </c>
      <c r="K47" s="10" t="n"/>
    </row>
    <row r="48" ht="100.75" customHeight="1">
      <c r="A48" s="10" t="inlineStr">
        <is>
          <t>4.5</t>
        </is>
      </c>
      <c r="B48" s="12" t="inlineStr">
        <is>
          <t>Tổng kết công tác công đoàn năm 2026; bình xét thi đua, khen thưởng và đánh giá, xếp loại chất lượng Tổ Công đoàn, cán bộ, đoàn viên năm 2026.</t>
        </is>
      </c>
      <c r="C48" s="10" t="inlineStr">
        <is>
          <t>Chủ tịch Công đoàn</t>
        </is>
      </c>
      <c r="D48" s="10" t="inlineStr">
        <is>
          <t>BCH CĐCS / Ban Thi đua CĐ</t>
        </is>
      </c>
      <c r="E48" s="10" t="inlineStr">
        <is>
          <t>Báo cáo tổng kết năm 2026; Hồ sơ thi đua, khen thưởng</t>
        </is>
      </c>
      <c r="F48" s="10" t="n">
        <v>2</v>
      </c>
      <c r="G48" s="10" t="inlineStr">
        <is>
          <t>Khó và phức tạp</t>
        </is>
      </c>
      <c r="H48" s="10" t="inlineStr">
        <is>
          <t>31/12/2026</t>
        </is>
      </c>
      <c r="I48" s="10">
        <f>IF(G48="Khó và phức tạp",200,IF(G48="Cao",150,IF(G48="Trung bình",120,IF(G48="Thấp",100))))</f>
        <v/>
      </c>
      <c r="J48" s="10">
        <f>I48*0.01</f>
        <v/>
      </c>
      <c r="K48" s="10" t="n"/>
    </row>
    <row r="49" ht="16.75" customHeight="1">
      <c r="A49" s="11" t="n">
        <v>5</v>
      </c>
      <c r="B49" s="32" t="inlineStr">
        <is>
          <t>Trục (5) - Phát triển văn hóa, con người, bảo đảm an sinh xã hội, nâng cao đời sống nhân dân</t>
        </is>
      </c>
      <c r="C49" s="33" t="n"/>
      <c r="D49" s="33" t="n"/>
      <c r="E49" s="33" t="n"/>
      <c r="F49" s="33" t="n"/>
      <c r="G49" s="33" t="n"/>
      <c r="H49" s="33" t="n"/>
      <c r="I49" s="33" t="n"/>
      <c r="J49" s="33" t="n"/>
      <c r="K49" s="34" t="n"/>
    </row>
    <row r="50" ht="242" customFormat="1" customHeight="1" s="25">
      <c r="A50" s="47" t="inlineStr">
        <is>
          <t>5.1</t>
        </is>
      </c>
      <c r="B50" s="48" t="inlineStr">
        <is>
          <r>
            <rPr>
              <rFont val="Times New Roman"/>
              <sz val="13"/>
            </rPr>
            <t>Tổ chức Tuần lễ hưởng ứng học tập suốt đời năm 2026 (từ ngày 01/10 đến ngày 07/10/2026)</t>
          </r>
          <r>
            <rPr>
              <rFont val="Times New Roman"/>
              <color rgb="FF0033CC"/>
              <sz val="13"/>
              <u val="single"/>
            </rPr>
            <t>; báo cáo kết quả gửi Sở Giáo dục và Đào tạo</t>
          </r>
        </is>
      </c>
      <c r="C50" s="49" t="inlineStr">
        <is>
          <t>Hiệu trưởng</t>
        </is>
      </c>
      <c r="D50" s="49" t="inlineStr">
        <is>
          <t>Phòng TCCB&amp;CTHSSV</t>
        </is>
      </c>
      <c r="E50" s="49" t="inlineStr">
        <is>
          <r>
            <rPr>
              <rFont val="Times New Roman"/>
              <strike val="1"/>
              <color rgb="FFC00000"/>
              <sz val="13"/>
            </rPr>
            <t>Kế hoạch</t>
          </r>
          <r>
            <rPr>
              <rFont val="Times New Roman"/>
              <color rgb="FF0033CC"/>
              <sz val="13"/>
              <u val="single"/>
            </rPr>
            <t xml:space="preserve"> Báo cáo kết quả gửi Sở GD&amp;ĐT</t>
          </r>
        </is>
      </c>
      <c r="F50" s="49" t="n">
        <v>1</v>
      </c>
      <c r="G50" s="49" t="inlineStr">
        <is>
          <t>Trung bình</t>
        </is>
      </c>
      <c r="H50" s="50" t="inlineStr">
        <is>
          <r>
            <rPr>
              <rFont val="Times New Roman"/>
              <strike val="1"/>
              <color rgb="FFC00000"/>
              <sz val="13"/>
            </rPr>
            <t>07/10/2026</t>
          </r>
          <r>
            <rPr>
              <rFont val="Times New Roman"/>
              <color rgb="FF0033CC"/>
              <sz val="13"/>
              <u val="single"/>
            </rPr>
            <t xml:space="preserve"> 12/10/2026</t>
          </r>
        </is>
      </c>
      <c r="I50" s="49">
        <f>IF(G50="Khó và phức tạp",200,IF(G50="Cao",150,IF(G50="Trung bình",120,IF(G50="Thấp",100))))</f>
        <v/>
      </c>
      <c r="J50" s="49" t="n">
        <v>1.2</v>
      </c>
      <c r="K50" s="51" t="inlineStr">
        <is>
          <t>942KH-CĐKT</t>
        </is>
      </c>
      <c r="L50" s="46" t="inlineStr">
        <is>
          <t>Kế hoạch 942/KH-CĐKT đã ban hành 24/9/2026 nên sản phẩm Quý IV là báo cáo; mục 13 Phụ lục 942: gửi Sở GD&amp;ĐT trước 12/10/2026.</t>
        </is>
      </c>
    </row>
    <row r="51" ht="242" customHeight="1">
      <c r="A51" s="18" t="inlineStr">
        <is>
          <t>5.2</t>
        </is>
      </c>
      <c r="B51" s="12" t="inlineStr">
        <is>
          <t>Tổ chức Chương trình Tết Trung thu năm 2026 cho con viên chức, người lao động.</t>
        </is>
      </c>
      <c r="C51" s="10" t="inlineStr">
        <is>
          <t>Chủ tịch Công đoàn</t>
        </is>
      </c>
      <c r="D51" s="10" t="inlineStr">
        <is>
          <t>Ban Nữ công / CĐCS</t>
        </is>
      </c>
      <c r="E51" s="10" t="inlineStr">
        <is>
          <t>Hồ sơ quyết toán; Báo cáo kết quả Trung thu</t>
        </is>
      </c>
      <c r="F51" s="10" t="n">
        <v>1</v>
      </c>
      <c r="G51" s="10" t="inlineStr">
        <is>
          <t>Trung bình</t>
        </is>
      </c>
      <c r="H51" s="10" t="inlineStr">
        <is>
          <t>31/10/2026</t>
        </is>
      </c>
      <c r="I51" s="10">
        <f>IF(G51="Khó và phức tạp",200,IF(G51="Cao",150,IF(G51="Trung bình",120,IF(G51="Thấp",100))))</f>
        <v/>
      </c>
      <c r="J51" s="10">
        <f>I51*0.01</f>
        <v/>
      </c>
      <c r="K51" s="37" t="inlineStr">
        <is>
          <t>64KH-CĐCS</t>
        </is>
      </c>
      <c r="L51" s="46" t="inlineStr">
        <is>
          <t>Ghi nguồn: KH 64/KH-CĐCS tổ chức 23–25/9, báo cáo Ban Nữ công trước 30/9; Quý IV còn hồ sơ quyết toán.</t>
        </is>
      </c>
    </row>
    <row r="52" ht="67.25" customFormat="1" customHeight="1" s="25">
      <c r="A52" s="18" t="inlineStr">
        <is>
          <t>5.3</t>
        </is>
      </c>
      <c r="B52" s="12" t="inlineStr">
        <is>
          <t xml:space="preserve">Tổ chức tọa đàm kỷ niệm ngày Nhà giáo Việt Nam 20/11 </t>
        </is>
      </c>
      <c r="C52" s="10" t="inlineStr">
        <is>
          <t>Hiệu trưởng</t>
        </is>
      </c>
      <c r="D52" s="10" t="inlineStr">
        <is>
          <t>Phòng TCCB&amp;CTHSSV</t>
        </is>
      </c>
      <c r="E52" s="10" t="inlineStr">
        <is>
          <t>Kế hoạch</t>
        </is>
      </c>
      <c r="F52" s="10" t="n">
        <v>1</v>
      </c>
      <c r="G52" s="10" t="inlineStr">
        <is>
          <t>Trung bình</t>
        </is>
      </c>
      <c r="H52" s="10" t="inlineStr">
        <is>
          <t>30/11/2026</t>
        </is>
      </c>
      <c r="I52" s="10">
        <f>IF(G52="Khó và phức tạp",200,IF(G52="Cao",150,IF(G52="Trung bình",120,IF(G52="Thấp",100))))</f>
        <v/>
      </c>
      <c r="J52" s="10">
        <f>I52*0.01</f>
        <v/>
      </c>
      <c r="K52" s="37" t="n"/>
    </row>
    <row r="53" ht="49.5" customHeight="1">
      <c r="A53" s="18" t="inlineStr">
        <is>
          <t>5.4</t>
        </is>
      </c>
      <c r="B53" s="12" t="inlineStr">
        <is>
          <t>Kế hoạch triển khai các hoạt động chào mừng Ngày Nhà giáo Việt Nam 20/11</t>
        </is>
      </c>
      <c r="C53" s="10" t="inlineStr">
        <is>
          <t>PHT Huỳnh Văn Chung</t>
        </is>
      </c>
      <c r="D53" s="10" t="inlineStr">
        <is>
          <t>Đoàn TN - Hội SV</t>
        </is>
      </c>
      <c r="E53" s="10" t="inlineStr">
        <is>
          <t>Kế hoạch</t>
        </is>
      </c>
      <c r="F53" s="14" t="n">
        <v>1</v>
      </c>
      <c r="G53" s="10" t="inlineStr">
        <is>
          <t>Cao</t>
        </is>
      </c>
      <c r="H53" s="10" t="inlineStr">
        <is>
          <t>30/11/2026</t>
        </is>
      </c>
      <c r="I53" s="10">
        <f>IF(G53="Khó và phức tạp",200,IF(G53="Cao",150,IF(G53="Trung bình",120,IF(G53="Thấp",100))))</f>
        <v/>
      </c>
      <c r="J53" s="10">
        <f>I53*0.01</f>
        <v/>
      </c>
      <c r="K53" s="37" t="n"/>
    </row>
    <row r="54" ht="67.25" customHeight="1">
      <c r="A54" s="18" t="inlineStr">
        <is>
          <t>5.5</t>
        </is>
      </c>
      <c r="B54" s="12" t="inlineStr">
        <is>
          <t>Tổ chức các hoạt động chào mừng Ngày Nhà giáo Việt Nam 20/11.</t>
        </is>
      </c>
      <c r="C54" s="10" t="inlineStr">
        <is>
          <t>Chủ tịch Công đoàn</t>
        </is>
      </c>
      <c r="D54" s="10" t="inlineStr">
        <is>
          <t>Ban Nữ công / BCH CĐCS</t>
        </is>
      </c>
      <c r="E54" s="10" t="inlineStr">
        <is>
          <t>Kế hoạch</t>
        </is>
      </c>
      <c r="F54" s="10" t="n">
        <v>1</v>
      </c>
      <c r="G54" s="10" t="inlineStr">
        <is>
          <t>Cao</t>
        </is>
      </c>
      <c r="H54" s="10" t="inlineStr">
        <is>
          <t>30/11/2026</t>
        </is>
      </c>
      <c r="I54" s="10">
        <f>IF(G54="Khó và phức tạp",200,IF(G54="Cao",150,IF(G54="Trung bình",120,IF(G54="Thấp",100))))</f>
        <v/>
      </c>
      <c r="J54" s="10">
        <f>I54*0.01</f>
        <v/>
      </c>
      <c r="K54" s="37" t="n"/>
    </row>
    <row r="55" ht="117.65" customHeight="1">
      <c r="A55" s="18" t="inlineStr">
        <is>
          <t>5.6</t>
        </is>
      </c>
      <c r="B55" s="12" t="inlineStr">
        <is>
          <t>Thông báo triển khai khảo sát đánh giá công tác đào tạo bồi dưỡng viên chức và người lao động năm 2026; khảo sát nhu cầu đào tạo, bồi dưỡng của viên chức năm 2027.</t>
        </is>
      </c>
      <c r="C55" s="13" t="inlineStr">
        <is>
          <t>Hiệu trưởng</t>
        </is>
      </c>
      <c r="D55" s="10" t="inlineStr">
        <is>
          <t>Phòng TCCB&amp;CTHSSV</t>
        </is>
      </c>
      <c r="E55" s="10" t="inlineStr">
        <is>
          <t>Thông báo</t>
        </is>
      </c>
      <c r="F55" s="10" t="n">
        <v>1</v>
      </c>
      <c r="G55" s="10" t="inlineStr">
        <is>
          <t>Trung bình</t>
        </is>
      </c>
      <c r="H55" s="10" t="inlineStr">
        <is>
          <t>31/12/2026</t>
        </is>
      </c>
      <c r="I55" s="10">
        <f>IF(G55="Khó và phức tạp",200,IF(G55="Cao",150,IF(G55="Trung bình",120,IF(G55="Thấp",100))))</f>
        <v/>
      </c>
      <c r="J55" s="10">
        <f>I55*0.01</f>
        <v/>
      </c>
      <c r="K55" s="37" t="n"/>
    </row>
    <row r="56" ht="67.25" customHeight="1">
      <c r="A56" s="18" t="inlineStr">
        <is>
          <t>5.7</t>
        </is>
      </c>
      <c r="B56" s="12" t="inlineStr">
        <is>
          <t xml:space="preserve">Tổ chức thực hiện Chương trình “Tình nguyện mùa đông”, “Xuân tình nguyện” </t>
        </is>
      </c>
      <c r="C56" s="10" t="inlineStr">
        <is>
          <t>PHT Huỳnh Văn Chung</t>
        </is>
      </c>
      <c r="D56" s="10" t="inlineStr">
        <is>
          <t>Đoàn TN - Hội SV</t>
        </is>
      </c>
      <c r="E56" s="10" t="inlineStr">
        <is>
          <t>Kế hoạch</t>
        </is>
      </c>
      <c r="F56" s="10" t="n">
        <v>1</v>
      </c>
      <c r="G56" s="10" t="inlineStr">
        <is>
          <t>Cao</t>
        </is>
      </c>
      <c r="H56" s="10" t="inlineStr">
        <is>
          <t>31/12/2026</t>
        </is>
      </c>
      <c r="I56" s="10">
        <f>IF(G56="Khó và phức tạp",200,IF(G56="Cao",150,IF(G56="Trung bình",120,IF(G56="Thấp",100))))</f>
        <v/>
      </c>
      <c r="J56" s="10">
        <f>I56*0.01</f>
        <v/>
      </c>
      <c r="K56" s="37" t="n"/>
    </row>
    <row r="57" ht="16.75" customHeight="1">
      <c r="A57" s="11" t="n">
        <v>6</v>
      </c>
      <c r="B57" s="36" t="inlineStr">
        <is>
          <t>Trục (6) - Củng cố quốc phòng, an ninh, giữ vững ổn định chính trị - xã hội, nâng cao hiệu quả đối ngoại và hội nhập quốc tế</t>
        </is>
      </c>
      <c r="C57" s="33" t="n"/>
      <c r="D57" s="33" t="n"/>
      <c r="E57" s="33" t="n"/>
      <c r="F57" s="33" t="n"/>
      <c r="G57" s="33" t="n"/>
      <c r="H57" s="33" t="n"/>
      <c r="I57" s="33" t="n"/>
      <c r="J57" s="33" t="n"/>
      <c r="K57" s="34" t="n"/>
    </row>
    <row r="58" ht="242" customHeight="1">
      <c r="A58" s="49" t="inlineStr">
        <is>
          <t>6.1</t>
        </is>
      </c>
      <c r="B58" s="48" t="inlineStr">
        <is>
          <t>Duy trì ổn định chính trị nội bộ, bảo đảm an ninh trật tự trường học và thực hiện Đề án xây dựng xã hội trật tự, kỷ cương</t>
        </is>
      </c>
      <c r="C58" s="49" t="inlineStr">
        <is>
          <t>Hiệu trưởng</t>
        </is>
      </c>
      <c r="D58" s="49" t="inlineStr">
        <is>
          <t>Phòng TCCB&amp;CTHSSV</t>
        </is>
      </c>
      <c r="E58" s="49" t="inlineStr">
        <is>
          <t>Theo dõi, Giám sát, Báo cáo</t>
        </is>
      </c>
      <c r="F58" s="49" t="n">
        <v>3</v>
      </c>
      <c r="G58" s="49" t="inlineStr">
        <is>
          <t>Thấp</t>
        </is>
      </c>
      <c r="H58" s="49" t="inlineStr">
        <is>
          <r>
            <rPr>
              <rFont val="Times New Roman"/>
              <strike val="1"/>
              <color rgb="FFC00000"/>
              <sz val="13"/>
            </rPr>
            <t>Hằng tháng, chậm nhất 31/12/2026</t>
          </r>
          <r>
            <rPr>
              <rFont val="Times New Roman"/>
              <color rgb="FF0033CC"/>
              <sz val="13"/>
              <u val="single"/>
            </rPr>
            <t xml:space="preserve"> Hằng tháng đến 31/12/2026</t>
          </r>
        </is>
      </c>
      <c r="I58" s="49">
        <f>IF(G58="Khó và phức tạp",200,IF(G58="Cao",150,IF(G58="Trung bình",120,IF(G58="Thấp",100))))</f>
        <v/>
      </c>
      <c r="J58" s="49">
        <f>I58*0.01</f>
        <v/>
      </c>
      <c r="K58" s="49" t="n"/>
      <c r="L58" s="46" t="inlineStr">
        <is>
          <t>Bỏ cụm 'chậm nhất' ở cột thời gian theo quy ước mẫu TB 736.</t>
        </is>
      </c>
    </row>
    <row r="59" ht="67.25" customHeight="1">
      <c r="A59" s="10" t="inlineStr">
        <is>
          <t>6.2</t>
        </is>
      </c>
      <c r="B59" s="12" t="inlineStr">
        <is>
          <t>Tổ chức Đoàn ra tới thăm và làm việc với Sở Giáo dục và Thể thao các tỉnh Nam Lào</t>
        </is>
      </c>
      <c r="C59" s="10" t="inlineStr">
        <is>
          <t>Hiệu trưởng</t>
        </is>
      </c>
      <c r="D59" s="10" t="inlineStr">
        <is>
          <t>Phòng QLKHCN&amp;HTPT</t>
        </is>
      </c>
      <c r="E59" s="10" t="inlineStr">
        <is>
          <t>Quyết định, Kế hoạch, Báo cáo</t>
        </is>
      </c>
      <c r="F59" s="10" t="n">
        <v>4</v>
      </c>
      <c r="G59" s="10" t="inlineStr">
        <is>
          <t>Khó và phức tạp</t>
        </is>
      </c>
      <c r="H59" s="10" t="inlineStr">
        <is>
          <t>31/10/2026</t>
        </is>
      </c>
      <c r="I59" s="10">
        <f>IF(G59="Khó và phức tạp",200,IF(G59="Cao",150,IF(G59="Trung bình",120,IF(G59="Thấp",100))))</f>
        <v/>
      </c>
      <c r="J59" s="10">
        <f>I59*0.01</f>
        <v/>
      </c>
      <c r="K59" s="10" t="n"/>
    </row>
    <row r="60" ht="16.5" customHeight="1">
      <c r="A60" s="11" t="inlineStr">
        <is>
          <t>II</t>
        </is>
      </c>
      <c r="B60" s="32" t="inlineStr">
        <is>
          <t>Các nhiệm vụ đột xuất, phát sinh ở Quý trước phải thực hiện sang Quý sau (nếu có)</t>
        </is>
      </c>
      <c r="C60" s="33" t="n"/>
      <c r="D60" s="33" t="n"/>
      <c r="E60" s="33" t="n"/>
      <c r="F60" s="33" t="n"/>
      <c r="G60" s="33" t="n"/>
      <c r="H60" s="33" t="n"/>
      <c r="I60" s="33" t="n"/>
      <c r="J60" s="33" t="n"/>
      <c r="K60" s="34" t="n"/>
    </row>
    <row r="61" ht="66" customHeight="1">
      <c r="A61" s="10" t="n">
        <v>1</v>
      </c>
      <c r="B61" s="12" t="inlineStr">
        <is>
          <t>Rà soát, đăng ký loại bỏ các ngành, nghề đào tạo không còn phù hợp, nguồn tuyển sinh hạn chế</t>
        </is>
      </c>
      <c r="C61" s="10" t="inlineStr">
        <is>
          <t>Hiệu trưởng</t>
        </is>
      </c>
      <c r="D61" s="10" t="inlineStr">
        <is>
          <t>Phòng QLĐT&amp;BĐCL</t>
        </is>
      </c>
      <c r="E61" s="10" t="inlineStr">
        <is>
          <t>Kế hoạch; Công văn</t>
        </is>
      </c>
      <c r="F61" s="10" t="n">
        <v>1</v>
      </c>
      <c r="G61" s="10" t="inlineStr">
        <is>
          <t>Trung bình</t>
        </is>
      </c>
      <c r="H61" s="10" t="inlineStr">
        <is>
          <t>31/10/2026</t>
        </is>
      </c>
      <c r="I61" s="10">
        <f>IF(G61="Khó và phức tạp",200,IF(G61="Cao",150,IF(G61="Trung bình",120,IF(G61="Thấp",100))))</f>
        <v/>
      </c>
      <c r="J61" s="10">
        <f>I61*0.01</f>
        <v/>
      </c>
      <c r="K61" s="14" t="inlineStr">
        <is>
          <t>Trục 1</t>
        </is>
      </c>
    </row>
    <row r="62" ht="66" customHeight="1">
      <c r="A62" s="10" t="n">
        <v>2</v>
      </c>
      <c r="B62" s="12" t="inlineStr">
        <is>
          <t>Chuẩn bị điều kiện đánh giá ngoài chương trình đào tạo nghề Lâm sinh năm 2026</t>
        </is>
      </c>
      <c r="C62" s="10" t="inlineStr">
        <is>
          <t>Hiệu trưởng</t>
        </is>
      </c>
      <c r="D62" s="10" t="inlineStr">
        <is>
          <t>Phòng QLĐT&amp;BĐCL</t>
        </is>
      </c>
      <c r="E62" s="10" t="inlineStr">
        <is>
          <t>Hồ sơ minh chứng; báo cáo rà soát</t>
        </is>
      </c>
      <c r="F62" s="10" t="n">
        <v>1</v>
      </c>
      <c r="G62" s="10" t="inlineStr">
        <is>
          <t>Khó và phức tạp</t>
        </is>
      </c>
      <c r="H62" s="10" t="inlineStr">
        <is>
          <t>31/10/2026</t>
        </is>
      </c>
      <c r="I62" s="10">
        <f>IF(G62="Khó và phức tạp",200,IF(G62="Cao",150,IF(G62="Trung bình",120,IF(G62="Thấp",100))))</f>
        <v/>
      </c>
      <c r="J62" s="10">
        <f>I62*0.01</f>
        <v/>
      </c>
      <c r="K62" s="14" t="inlineStr">
        <is>
          <t>Trục 1</t>
        </is>
      </c>
    </row>
    <row r="63" ht="134.4" customHeight="1">
      <c r="A63" s="10" t="n">
        <v>3</v>
      </c>
      <c r="B63" s="12" t="inlineStr">
        <is>
          <t>Ban hành kế hoạch triển khai chương trình giáo dục trung học nghề, chương trình giáo dục thường xuyên cấp THPT; giảng dạy, liên kết đào tạo và cấp chứng chỉ giáo dục quốc phòng và an ninh</t>
        </is>
      </c>
      <c r="C63" s="10" t="inlineStr">
        <is>
          <t>Hiệu trưởng</t>
        </is>
      </c>
      <c r="D63" s="10" t="inlineStr">
        <is>
          <t>Khoa CKHCB</t>
        </is>
      </c>
      <c r="E63" s="10" t="inlineStr">
        <is>
          <t>Kế hoạch</t>
        </is>
      </c>
      <c r="F63" s="37" t="n">
        <v>1</v>
      </c>
      <c r="G63" s="10" t="inlineStr">
        <is>
          <t>Cao</t>
        </is>
      </c>
      <c r="H63" s="10" t="inlineStr">
        <is>
          <t>31/10/2026</t>
        </is>
      </c>
      <c r="I63" s="10">
        <f>IF(G63="Khó và phức tạp",200,IF(G63="Cao",150,IF(G63="Trung bình",120,IF(G63="Thấp",100))))</f>
        <v/>
      </c>
      <c r="J63" s="10">
        <f>I63*0.01</f>
        <v/>
      </c>
      <c r="K63" s="14" t="inlineStr">
        <is>
          <t>Trục 1</t>
        </is>
      </c>
    </row>
    <row r="64" ht="285.65" customHeight="1">
      <c r="A64" s="10" t="n">
        <v>4</v>
      </c>
      <c r="B64" s="12" t="inlineStr">
        <is>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 quy định chi tiết một số điều của Luật Giáo dục nghề nghiệp về chính sách hỗ trợ của Nhà nước đối với doanh nghiệp và Quỹ đào tạo nhân lực của doanh nghiệp, và các quy định, hướng dẫn có liên quan</t>
        </is>
      </c>
      <c r="C64" s="10" t="inlineStr">
        <is>
          <t>Hiệu trưởng</t>
        </is>
      </c>
      <c r="D64" s="10" t="inlineStr">
        <is>
          <t>Phòng QLKHCN&amp;HTPT</t>
        </is>
      </c>
      <c r="E64" s="10" t="inlineStr">
        <is>
          <t>Quyết định</t>
        </is>
      </c>
      <c r="F64" s="37" t="n">
        <v>1</v>
      </c>
      <c r="G64" s="10" t="inlineStr">
        <is>
          <t>Trung bình</t>
        </is>
      </c>
      <c r="H64" s="10" t="inlineStr">
        <is>
          <t>31/10/2026</t>
        </is>
      </c>
      <c r="I64" s="10">
        <f>IF(G64="Khó và phức tạp",200,IF(G64="Cao",150,IF(G64="Trung bình",120,IF(G64="Thấp",100))))</f>
        <v/>
      </c>
      <c r="J64" s="10">
        <f>I64*0.01</f>
        <v/>
      </c>
      <c r="K64" s="14" t="inlineStr">
        <is>
          <t>Trục 1</t>
        </is>
      </c>
    </row>
    <row r="65" ht="242" customHeight="1">
      <c r="A65" s="10" t="n">
        <v>5</v>
      </c>
      <c r="B65" s="12" t="inlineStr">
        <is>
          <t>Xây dựng Đề án vị trí việc làm sau khi sắp xếp lại các đơn vị thuộc Trường.</t>
        </is>
      </c>
      <c r="C65" s="10" t="inlineStr">
        <is>
          <t>Hiệu trưởng</t>
        </is>
      </c>
      <c r="D65" s="19" t="inlineStr">
        <is>
          <t>Phòng TCCB&amp;CTHSSV</t>
        </is>
      </c>
      <c r="E65" s="10" t="inlineStr">
        <is>
          <t>Kế hoạch</t>
        </is>
      </c>
      <c r="F65" s="10" t="n">
        <v>1</v>
      </c>
      <c r="G65" s="10" t="inlineStr">
        <is>
          <t>Khó và phức tạp</t>
        </is>
      </c>
      <c r="H65" s="10" t="inlineStr">
        <is>
          <t>09/10/2026</t>
        </is>
      </c>
      <c r="I65" s="10">
        <f>IF(G65="Khó và phức tạp",200,IF(G65="Cao",150,IF(G65="Trung bình",120,IF(G65="Thấp",100))))</f>
        <v/>
      </c>
      <c r="J65" s="10">
        <f>I65*0.01</f>
        <v/>
      </c>
      <c r="K65" s="14" t="inlineStr">
        <is>
          <t>Trục 1; 841KH-CĐKT</t>
        </is>
      </c>
      <c r="L65" s="46" t="inlineStr">
        <is>
          <t>Ghi nguồn: KH 841 mục I.2.1 (phê duyệt lại vị trí việc làm 100% đơn vị trong năm 2026).</t>
        </is>
      </c>
    </row>
    <row r="66" ht="49.5" customHeight="1">
      <c r="A66" s="10" t="n">
        <v>6</v>
      </c>
      <c r="B66" s="12" t="inlineStr">
        <is>
          <t>Rà soát, đánh giá, thanh lý tài sản năm 2026</t>
        </is>
      </c>
      <c r="C66" s="10" t="inlineStr">
        <is>
          <t>Hiệu trưởng</t>
        </is>
      </c>
      <c r="D66" s="10" t="inlineStr">
        <is>
          <t>Phòng TH-HC&amp;QT</t>
        </is>
      </c>
      <c r="E66" s="10" t="inlineStr">
        <is>
          <t>Biên bản; hồ sơ thanh lý</t>
        </is>
      </c>
      <c r="F66" s="10" t="n">
        <v>1</v>
      </c>
      <c r="G66" s="10" t="inlineStr">
        <is>
          <t>Cao</t>
        </is>
      </c>
      <c r="H66" s="10" t="inlineStr">
        <is>
          <t>31/10/2026</t>
        </is>
      </c>
      <c r="I66" s="10">
        <f>IF(G66="Khó và phức tạp",200,IF(G66="Cao",150,IF(G66="Trung bình",120,IF(G66="Thấp",100))))</f>
        <v/>
      </c>
      <c r="J66" s="10">
        <f>I66*0.01</f>
        <v/>
      </c>
      <c r="K66" s="14" t="inlineStr">
        <is>
          <t>Trục 1</t>
        </is>
      </c>
    </row>
    <row r="67" ht="242" customHeight="1">
      <c r="A67" s="52" t="n">
        <v>7</v>
      </c>
      <c r="B67" s="53" t="inlineStr">
        <is>
          <r>
            <rPr>
              <rFont val="Times New Roman"/>
              <strike val="1"/>
              <color rgb="FFC00000"/>
              <sz val="13"/>
            </rPr>
            <t>Rà soát, sửa đổi Quy chế làm việc của Trường phù hợp quy định mới về viên chức, kỷ luật và hợp đồng</t>
          </r>
          <r>
            <rPr>
              <rFont val="Times New Roman"/>
              <color rgb="FF0033CC"/>
              <sz val="13"/>
              <u val="single"/>
            </rPr>
            <t xml:space="preserve"> HỦY — đã hoàn thành trước kỳ</t>
          </r>
        </is>
      </c>
      <c r="C67" s="52" t="inlineStr">
        <is>
          <t>Hiệu trưởng</t>
        </is>
      </c>
      <c r="D67" s="54" t="inlineStr">
        <is>
          <t>Phòng TCCB&amp;CTHSSV</t>
        </is>
      </c>
      <c r="E67" s="52" t="inlineStr">
        <is>
          <t>Dự thảo; Quyết định</t>
        </is>
      </c>
      <c r="F67" s="52" t="n">
        <v>1</v>
      </c>
      <c r="G67" s="52" t="inlineStr">
        <is>
          <t>Cao</t>
        </is>
      </c>
      <c r="H67" s="52" t="inlineStr">
        <is>
          <t>31/10/2026</t>
        </is>
      </c>
      <c r="I67" s="52">
        <f>IF(G67="Khó và phức tạp",200,IF(G67="Cao",150,IF(G67="Trung bình",120,IF(G67="Thấp",100))))</f>
        <v/>
      </c>
      <c r="J67" s="52">
        <f>I67*0.01</f>
        <v/>
      </c>
      <c r="K67" s="55" t="inlineStr">
        <is>
          <t>Trục 2; QĐ 2073/QĐ-CĐKT ngày 23/9/2026</t>
        </is>
      </c>
      <c r="L67" s="46" t="inlineStr">
        <is>
          <t>HỦY: Quy chế làm việc mới đã ban hành ngày 23/9/2026 (QĐ 2073/QĐ-CĐKT thay thế QĐ 1299). Giữ dòng để truy vết.</t>
        </is>
      </c>
    </row>
    <row r="68" ht="242" customHeight="1">
      <c r="A68" s="10" t="n">
        <v>8</v>
      </c>
      <c r="B68" s="12" t="inlineStr">
        <is>
          <t>Thông báo hướng dẫn sử dụng Skill rà soát Hồ sơ đề tài KH&amp;CN, sáng kiến</t>
        </is>
      </c>
      <c r="C68" s="20" t="inlineStr">
        <is>
          <t>Hiệu trưởng</t>
        </is>
      </c>
      <c r="D68" s="20" t="inlineStr">
        <is>
          <t>Phòng QLKHCN&amp;HTPT</t>
        </is>
      </c>
      <c r="E68" s="20" t="inlineStr">
        <is>
          <t>Văn bản</t>
        </is>
      </c>
      <c r="F68" s="20" t="n">
        <v>1</v>
      </c>
      <c r="G68" s="20" t="inlineStr">
        <is>
          <t>Cao</t>
        </is>
      </c>
      <c r="H68" s="10" t="inlineStr">
        <is>
          <t>31/10/2026</t>
        </is>
      </c>
      <c r="I68" s="10">
        <f>IF(G68="Khó và phức tạp",200,IF(G68="Cao",150,IF(G68="Trung bình",120,IF(G68="Thấp",100))))</f>
        <v/>
      </c>
      <c r="J68" s="10">
        <f>I68*0.01</f>
        <v/>
      </c>
      <c r="K68" s="14" t="inlineStr">
        <is>
          <t>Trục 3; 848KH-CĐKT</t>
        </is>
      </c>
      <c r="L68" s="46" t="inlineStr">
        <is>
          <t>Ghi nguồn: KH 848 mục 3 (bộ công cụ rà soát hồ sơ đề tài KH&amp;CN, sáng kiến, 30/10/2026).</t>
        </is>
      </c>
    </row>
    <row r="69" ht="67.25" customHeight="1">
      <c r="A69" s="10" t="n">
        <v>9</v>
      </c>
      <c r="B69" s="12" t="inlineStr">
        <is>
          <t>Xây dựng Chiến lược ứng dụng công nghệ giai đoạn 2026-2030</t>
        </is>
      </c>
      <c r="C69" s="10" t="inlineStr">
        <is>
          <t>Hiệu trưởng</t>
        </is>
      </c>
      <c r="D69" s="10" t="inlineStr">
        <is>
          <t>Phòng QLKHCN&amp;HTPT</t>
        </is>
      </c>
      <c r="E69" s="10" t="inlineStr">
        <is>
          <t>Chiến lược; kế hoạch</t>
        </is>
      </c>
      <c r="F69" s="10" t="n">
        <v>1</v>
      </c>
      <c r="G69" s="10" t="inlineStr">
        <is>
          <t>Khó và phức tạp</t>
        </is>
      </c>
      <c r="H69" s="10" t="inlineStr">
        <is>
          <t>31/10/2026</t>
        </is>
      </c>
      <c r="I69" s="10">
        <f>IF(G69="Khó và phức tạp",200,IF(G69="Cao",150,IF(G69="Trung bình",120,IF(G69="Thấp",100))))</f>
        <v/>
      </c>
      <c r="J69" s="10">
        <f>I69*0.01</f>
        <v/>
      </c>
      <c r="K69" s="14" t="inlineStr">
        <is>
          <t>Trục 3</t>
        </is>
      </c>
    </row>
    <row r="70" ht="49.5" customHeight="1">
      <c r="A70" s="10" t="n">
        <v>10</v>
      </c>
      <c r="B70" s="12" t="inlineStr">
        <is>
          <t>Quyết định ban hành Quy chế hỗ trợ học sinh, sinh viên khởi nghiệp sáng tạo</t>
        </is>
      </c>
      <c r="C70" s="10" t="inlineStr">
        <is>
          <t>Hiệu trưởng</t>
        </is>
      </c>
      <c r="D70" s="10" t="inlineStr">
        <is>
          <t>Phòng QLKHCN&amp;HTPT</t>
        </is>
      </c>
      <c r="E70" s="10" t="inlineStr">
        <is>
          <t>Quyết định</t>
        </is>
      </c>
      <c r="F70" s="10" t="n">
        <v>1</v>
      </c>
      <c r="G70" s="10" t="inlineStr">
        <is>
          <t>Cao</t>
        </is>
      </c>
      <c r="H70" s="10" t="inlineStr">
        <is>
          <t>31/10/2026</t>
        </is>
      </c>
      <c r="I70" s="10">
        <f>IF(G70="Khó và phức tạp",200,IF(G70="Cao",150,IF(G70="Trung bình",120,IF(G70="Thấp",100))))</f>
        <v/>
      </c>
      <c r="J70" s="10">
        <f>I70*0.01</f>
        <v/>
      </c>
      <c r="K70" s="14" t="inlineStr">
        <is>
          <t>Trục 3</t>
        </is>
      </c>
    </row>
    <row r="71" ht="84" customHeight="1">
      <c r="A71" s="10" t="n">
        <v>11</v>
      </c>
      <c r="B71" s="12" t="inlineStr">
        <is>
          <t>Báo cáo sơ kết công tác quý III và phương hướng, nhiệm vụ công tác quý IV năm 2026 của Đảng ủy Trường.</t>
        </is>
      </c>
      <c r="C71" s="10" t="inlineStr">
        <is>
          <t>Phó Bí thư Đảng ủy</t>
        </is>
      </c>
      <c r="D71" s="10" t="inlineStr">
        <is>
          <t>BPVPĐU</t>
        </is>
      </c>
      <c r="E71" s="10" t="inlineStr">
        <is>
          <t>Báo cáo</t>
        </is>
      </c>
      <c r="F71" s="10" t="n">
        <v>1</v>
      </c>
      <c r="G71" s="10" t="inlineStr">
        <is>
          <t>Trung bình</t>
        </is>
      </c>
      <c r="H71" s="10" t="inlineStr">
        <is>
          <t>31/10/2026</t>
        </is>
      </c>
      <c r="I71" s="10">
        <f>IF(G71="Khó và phức tạp",200,IF(G71="Cao",150,IF(G71="Trung bình",120,IF(G71="Thấp",100))))</f>
        <v/>
      </c>
      <c r="J71" s="10">
        <f>I71*0.01</f>
        <v/>
      </c>
      <c r="K71" s="14" t="inlineStr">
        <is>
          <t>Trục 4</t>
        </is>
      </c>
    </row>
    <row r="72" ht="67.25" customHeight="1">
      <c r="A72" s="10" t="n">
        <v>12</v>
      </c>
      <c r="B72" s="12" t="inlineStr">
        <is>
          <t>Xây dựng Chương trình Công tác Đoàn và phong trào thanh niên năm học 2026-2027</t>
        </is>
      </c>
      <c r="C72" s="10" t="inlineStr">
        <is>
          <t>Bí thư Đảng ủy</t>
        </is>
      </c>
      <c r="D72" s="10" t="inlineStr">
        <is>
          <t>Đoàn TN - Hội SV</t>
        </is>
      </c>
      <c r="E72" s="10" t="inlineStr">
        <is>
          <t>Chương trình</t>
        </is>
      </c>
      <c r="F72" s="10" t="n">
        <v>1</v>
      </c>
      <c r="G72" s="10" t="inlineStr">
        <is>
          <t>Trung bình</t>
        </is>
      </c>
      <c r="H72" s="10" t="inlineStr">
        <is>
          <t>31/10/2026</t>
        </is>
      </c>
      <c r="I72" s="10">
        <f>IF(G72="Khó và phức tạp",200,IF(G72="Cao",150,IF(G72="Trung bình",120,IF(G72="Thấp",100))))</f>
        <v/>
      </c>
      <c r="J72" s="10">
        <f>I72*0.01</f>
        <v/>
      </c>
      <c r="K72" s="14" t="inlineStr">
        <is>
          <t>Trục 4</t>
        </is>
      </c>
    </row>
    <row r="73" ht="67.25" customHeight="1">
      <c r="A73" s="10" t="n">
        <v>13</v>
      </c>
      <c r="B73" s="12" t="inlineStr">
        <is>
          <t>Xây dựng Chương trình Công tác Hội và phong trào Sinh viên năm học 2026-2027</t>
        </is>
      </c>
      <c r="C73" s="10" t="inlineStr">
        <is>
          <t>Bí thư Đảng ủy</t>
        </is>
      </c>
      <c r="D73" s="10" t="inlineStr">
        <is>
          <t>Đoàn TN - Hội SV</t>
        </is>
      </c>
      <c r="E73" s="10" t="inlineStr">
        <is>
          <t>Chương trình</t>
        </is>
      </c>
      <c r="F73" s="10" t="n">
        <v>1</v>
      </c>
      <c r="G73" s="10" t="inlineStr">
        <is>
          <t>Trung bình</t>
        </is>
      </c>
      <c r="H73" s="10" t="inlineStr">
        <is>
          <t>31/10/2026</t>
        </is>
      </c>
      <c r="I73" s="10">
        <f>IF(G73="Khó và phức tạp",200,IF(G73="Cao",150,IF(G73="Trung bình",120,IF(G73="Thấp",100))))</f>
        <v/>
      </c>
      <c r="J73" s="10">
        <f>I73*0.01</f>
        <v/>
      </c>
      <c r="K73" s="14" t="inlineStr">
        <is>
          <t>Trục 4</t>
        </is>
      </c>
    </row>
    <row r="74" ht="66" customHeight="1">
      <c r="A74" s="10" t="n">
        <v>14</v>
      </c>
      <c r="B74" s="12" t="inlineStr">
        <is>
          <t>Tổ chức các hoạt động chào mừng Ngày Phụ nữ Việt Nam 20/10</t>
        </is>
      </c>
      <c r="C74" s="10" t="inlineStr">
        <is>
          <t>Chủ tịch Công đoàn</t>
        </is>
      </c>
      <c r="D74" s="10" t="inlineStr">
        <is>
          <t>Ban Nữ công; BCH CĐCS</t>
        </is>
      </c>
      <c r="E74" s="10" t="inlineStr">
        <is>
          <t>Kế hoạch</t>
        </is>
      </c>
      <c r="F74" s="10" t="n">
        <v>1</v>
      </c>
      <c r="G74" s="10" t="inlineStr">
        <is>
          <t>Cao</t>
        </is>
      </c>
      <c r="H74" s="10" t="inlineStr">
        <is>
          <t>31/10/2026</t>
        </is>
      </c>
      <c r="I74" s="10">
        <f>IF(G74="Khó và phức tạp",200,IF(G74="Cao",150,IF(G74="Trung bình",120,IF(G74="Thấp",100))))</f>
        <v/>
      </c>
      <c r="J74" s="10">
        <f>I74*0.01</f>
        <v/>
      </c>
      <c r="K74" s="14" t="inlineStr">
        <is>
          <t>Trục 4</t>
        </is>
      </c>
    </row>
    <row r="75" ht="134.4" customHeight="1">
      <c r="A75" s="10" t="n">
        <v>15</v>
      </c>
      <c r="B75" s="12" t="inlineStr">
        <is>
          <t>Ban hành Kế hoạch triển khai Thông tư số 59/2026/TT-BGDĐT ngày 15/7/2026 của Bộ trưởng Bộ Giáo dục và Đào tạo quy định về nhà giáo hợp đồng toàn thời gian sau khi nghỉ hưu và nhà giáo thỉnh giảng</t>
        </is>
      </c>
      <c r="C75" s="10" t="inlineStr">
        <is>
          <t>Hiệu trưởng</t>
        </is>
      </c>
      <c r="D75" s="10" t="inlineStr">
        <is>
          <t>Phòng TCCB&amp;CTHSSV</t>
        </is>
      </c>
      <c r="E75" s="10" t="inlineStr">
        <is>
          <t>Kế hoạch</t>
        </is>
      </c>
      <c r="F75" s="10" t="n">
        <v>1</v>
      </c>
      <c r="G75" s="10" t="inlineStr">
        <is>
          <t>Trung bình</t>
        </is>
      </c>
      <c r="H75" s="10" t="inlineStr">
        <is>
          <t>31/10/2026</t>
        </is>
      </c>
      <c r="I75" s="10">
        <f>IF(G75="Khó và phức tạp",200,IF(G75="Cao",150,IF(G75="Trung bình",120,IF(G75="Thấp",100))))</f>
        <v/>
      </c>
      <c r="J75" s="10">
        <f>I75*0.01</f>
        <v/>
      </c>
      <c r="K75" s="14" t="inlineStr">
        <is>
          <t>Trục 4</t>
        </is>
      </c>
    </row>
    <row r="76" ht="165" customHeight="1">
      <c r="A76" s="10" t="n">
        <v>16</v>
      </c>
      <c r="B76" s="12" t="inlineStr">
        <is>
          <t>Kế hoạch triển khai thực hiện Kế hoạch số 101-KH/TU ngày 15/8/2026 của BTV Tỉnh ủy về phân công các cơ quan, đơn vị phụ trách, giúp đỡ xây dựng mô hình “Dân vận khéo” về vận động đồng bào dân tộc thiểu số thay đổi nếp nghĩ, cách làm để vươn lên thoát nghèo bền vững</t>
        </is>
      </c>
      <c r="C76" s="10" t="inlineStr">
        <is>
          <t>Bí thư Đảng ủy</t>
        </is>
      </c>
      <c r="D76" s="10" t="inlineStr">
        <is>
          <t>BPVPĐU</t>
        </is>
      </c>
      <c r="E76" s="10" t="inlineStr">
        <is>
          <t>Kế hoạch</t>
        </is>
      </c>
      <c r="F76" s="10" t="n">
        <v>1</v>
      </c>
      <c r="G76" s="10" t="inlineStr">
        <is>
          <t>Trung bình</t>
        </is>
      </c>
      <c r="H76" s="10" t="inlineStr">
        <is>
          <t>31/10/2026</t>
        </is>
      </c>
      <c r="I76" s="10">
        <f>IF(G76="Khó và phức tạp",200,IF(G76="Cao",150,IF(G76="Trung bình",120,IF(G76="Thấp",100))))</f>
        <v/>
      </c>
      <c r="J76" s="10">
        <f>I76*0.01</f>
        <v/>
      </c>
      <c r="K76" s="14" t="inlineStr">
        <is>
          <t>Trục 4</t>
        </is>
      </c>
    </row>
    <row r="77" ht="151.25" customHeight="1">
      <c r="A77" s="10" t="n">
        <v>17</v>
      </c>
      <c r="B77" s="12" t="inlineStr">
        <is>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is>
      </c>
      <c r="C77" s="10" t="inlineStr">
        <is>
          <t>Hiệu trưởng</t>
        </is>
      </c>
      <c r="D77" s="10" t="inlineStr">
        <is>
          <t>Phòng TH-HC&amp;QT</t>
        </is>
      </c>
      <c r="E77" s="10" t="inlineStr">
        <is>
          <t>Kế hoạch</t>
        </is>
      </c>
      <c r="F77" s="10" t="n">
        <v>1</v>
      </c>
      <c r="G77" s="10" t="inlineStr">
        <is>
          <t>Cao</t>
        </is>
      </c>
      <c r="H77" s="10" t="inlineStr">
        <is>
          <t>31/10/2026</t>
        </is>
      </c>
      <c r="I77" s="10">
        <f>IF(G77="Khó và phức tạp",200,IF(G77="Cao",150,IF(G77="Trung bình",120,IF(G77="Thấp",100))))</f>
        <v/>
      </c>
      <c r="J77" s="10">
        <f>I77*0.01</f>
        <v/>
      </c>
      <c r="K77" s="14" t="inlineStr">
        <is>
          <t>Trục 5</t>
        </is>
      </c>
    </row>
    <row r="78" ht="134.4" customHeight="1">
      <c r="A78" s="10" t="n">
        <v>18</v>
      </c>
      <c r="B78" s="12" t="inlineStr">
        <is>
          <t xml:space="preserve">Phương án sắp xếp, bố trí máy móc, thiết bị phục vụ công tác các chức danh và phục vụ hoạt động chung theo Quyết định số 1763/QĐ-CĐKT ngày 13/8/2026 của Hiệu trưởng nhà trường; </t>
        </is>
      </c>
      <c r="C78" s="10" t="inlineStr">
        <is>
          <t>Hiệu trưởng</t>
        </is>
      </c>
      <c r="D78" s="10" t="inlineStr">
        <is>
          <t>Phòng TH-HC&amp;QT</t>
        </is>
      </c>
      <c r="E78" s="10" t="inlineStr">
        <is>
          <t>Phương án</t>
        </is>
      </c>
      <c r="F78" s="10" t="n">
        <v>1</v>
      </c>
      <c r="G78" s="10" t="inlineStr">
        <is>
          <t>Trung bình</t>
        </is>
      </c>
      <c r="H78" s="10" t="inlineStr">
        <is>
          <t>31/10/2026</t>
        </is>
      </c>
      <c r="I78" s="10">
        <f>IF(G78="Khó và phức tạp",200,IF(G78="Cao",150,IF(G78="Trung bình",120,IF(G78="Thấp",100))))</f>
        <v/>
      </c>
      <c r="J78" s="10">
        <f>I78*0.01</f>
        <v/>
      </c>
      <c r="K78" s="14" t="inlineStr">
        <is>
          <t>Trục 5</t>
        </is>
      </c>
    </row>
    <row r="79" ht="84" customHeight="1">
      <c r="A79" s="10" t="n">
        <v>19</v>
      </c>
      <c r="B79" s="12" t="inlineStr">
        <is>
          <t>Triển khai sửa chữa sân nền tiếp giáp giữa trục đường chính và lối vào Nhà để xe ô tô phía sau Khu hiệu bộ, Trụ sở chính</t>
        </is>
      </c>
      <c r="C79" s="10" t="inlineStr">
        <is>
          <t>Hiệu trưởng</t>
        </is>
      </c>
      <c r="D79" s="10" t="inlineStr">
        <is>
          <t>Phòng TH-HC&amp;QT</t>
        </is>
      </c>
      <c r="E79" s="10" t="inlineStr">
        <is>
          <t>Hồ sơ triển khai sửa chữa</t>
        </is>
      </c>
      <c r="F79" s="10" t="n">
        <v>1</v>
      </c>
      <c r="G79" s="10" t="inlineStr">
        <is>
          <t>Trung bình</t>
        </is>
      </c>
      <c r="H79" s="10" t="inlineStr">
        <is>
          <t>31/10/2026</t>
        </is>
      </c>
      <c r="I79" s="10">
        <f>IF(G79="Khó và phức tạp",200,IF(G79="Cao",150,IF(G79="Trung bình",120,IF(G79="Thấp",100))))</f>
        <v/>
      </c>
      <c r="J79" s="10">
        <f>I79*0.01</f>
        <v/>
      </c>
      <c r="K79" s="14" t="inlineStr">
        <is>
          <t>Trục 5</t>
        </is>
      </c>
    </row>
    <row r="80" ht="327" customHeight="1">
      <c r="A80" s="49" t="n">
        <v>20</v>
      </c>
      <c r="B80" s="48" t="inlineStr">
        <is>
          <t>Kế hoạch triển khai thực hiện Nghị quyết số 398/NQ-UBTVQH16 ngày 08/8/2026 về việc phê chuẩn bộ học liệu đa phương tiện (tập 1) - bài giảng và câu hỏi trắc nghiệm kiến thức, kỹ năng số cơ bản (micro-learning) dùng cho cán bộ, công chức, viên chức và người lao động trong khối cơ quan nhà nước; lan tỏa phong trào “bình dân học vụ số” cho các tổ chức, cơ quan, đơn vị, địa phương trong toàn hệ thống chính trị và Phong trào “Bình dân học vụ số”</t>
        </is>
      </c>
      <c r="C80" s="49" t="inlineStr">
        <is>
          <t>Hiệu trưởng</t>
        </is>
      </c>
      <c r="D80" s="49" t="inlineStr">
        <is>
          <t>Phòng QLKHCN&amp;HTPT</t>
        </is>
      </c>
      <c r="E80" s="49" t="inlineStr">
        <is>
          <t>Kế hoạch</t>
        </is>
      </c>
      <c r="F80" s="49" t="n">
        <v>1</v>
      </c>
      <c r="G80" s="49" t="inlineStr">
        <is>
          <t>Cao</t>
        </is>
      </c>
      <c r="H80" s="49" t="inlineStr">
        <is>
          <t>31/10/2026</t>
        </is>
      </c>
      <c r="I80" s="49">
        <f>IF(G80="Khó và phức tạp",200,IF(G80="Cao",150,IF(G80="Trung bình",120,IF(G80="Thấp",100))))</f>
        <v/>
      </c>
      <c r="J80" s="49">
        <f>I80*0.01</f>
        <v/>
      </c>
      <c r="K80" s="56" t="inlineStr">
        <is>
          <t>Trục 5; 942KH-CĐKT</t>
        </is>
      </c>
      <c r="L80" s="46" t="inlineStr">
        <is>
          <t>Sửa độ khó: Trung bình → Cao (150/1,5) theo mục 2 Phụ lục 942. CẦN XÁC NHẬN: 942 đặt hạn ban hành trước 30/9/2026 (theo Công văn 2514-CV/ĐU ngày 19/8/2026); nếu đã ban hành thì bỏ khỏi Quý IV/tháng 10, nếu chưa thì giữ 31/10 và ghi lý do.</t>
        </is>
      </c>
    </row>
    <row r="81" ht="49.5" customHeight="1">
      <c r="A81" s="10" t="n">
        <v>21</v>
      </c>
      <c r="B81" s="12" t="inlineStr">
        <is>
          <t>Huấn luyện an toàn, vệ sinh lao động khóa V năm 2026</t>
        </is>
      </c>
      <c r="C81" s="10" t="inlineStr">
        <is>
          <t>Hiệu trưởng</t>
        </is>
      </c>
      <c r="D81" s="19" t="inlineStr">
        <is>
          <t>Phòng TCCB&amp;CTHSSV</t>
        </is>
      </c>
      <c r="E81" s="10" t="inlineStr">
        <is>
          <t>Kế hoạch; danh sách; chứng nhận</t>
        </is>
      </c>
      <c r="F81" s="10" t="n">
        <v>1</v>
      </c>
      <c r="G81" s="10" t="inlineStr">
        <is>
          <t>Cao</t>
        </is>
      </c>
      <c r="H81" s="10" t="inlineStr">
        <is>
          <t>31/10/2026</t>
        </is>
      </c>
      <c r="I81" s="10">
        <f>IF(G81="Khó và phức tạp",200,IF(G81="Cao",150,IF(G81="Trung bình",120,IF(G81="Thấp",100))))</f>
        <v/>
      </c>
      <c r="J81" s="10">
        <f>I81*0.01</f>
        <v/>
      </c>
      <c r="K81" s="14" t="inlineStr">
        <is>
          <t>Trục 6</t>
        </is>
      </c>
    </row>
    <row r="82" ht="242" customHeight="1">
      <c r="A82" s="57" t="n">
        <v>22</v>
      </c>
      <c r="B82" s="58" t="inlineStr">
        <is>
          <t>Ban hành Chiến lược phát triển khoa các Khoa học cơ bản đến năm 2030 và tầm nhìn đến năm 2045</t>
        </is>
      </c>
      <c r="C82" s="57" t="inlineStr">
        <is>
          <t>PHT Huỳnh Văn Chung</t>
        </is>
      </c>
      <c r="D82" s="57" t="inlineStr">
        <is>
          <t>Khoa CKHCB</t>
        </is>
      </c>
      <c r="E82" s="57" t="inlineStr">
        <is>
          <t>Quyết định</t>
        </is>
      </c>
      <c r="F82" s="57" t="n">
        <v>1</v>
      </c>
      <c r="G82" s="57" t="inlineStr">
        <is>
          <t>Khó và phức tạp</t>
        </is>
      </c>
      <c r="H82" s="57" t="inlineStr">
        <is>
          <t>31/10/2026</t>
        </is>
      </c>
      <c r="I82" s="57">
        <f>IF(G82="Khó và phức tạp",200,IF(G82="Cao",150,IF(G82="Trung bình",120,IF(G82="Thấp",100))))</f>
        <v/>
      </c>
      <c r="J82" s="57">
        <f>I82*0.01</f>
        <v/>
      </c>
      <c r="K82" s="59" t="inlineStr">
        <is>
          <t>Trục 1; 828KH-CĐKT</t>
        </is>
      </c>
      <c r="L82" s="46" t="inlineStr">
        <is>
          <t>Độ khó do rà soát đề xuất (kế hoạch nguồn không ghi điểm). KH 828: trình Hiệu trưởng trước 30/9/2026; KH Quý III chưa có nhiệm vụ này. Cần xác nhận đã ban hành hay chưa.</t>
        </is>
      </c>
    </row>
    <row r="83" ht="242" customFormat="1" customHeight="1" s="31">
      <c r="A83" s="57" t="n">
        <v>23</v>
      </c>
      <c r="B83" s="58" t="inlineStr">
        <is>
          <t>Ban hành Chiến lược phát triển khoa Kỹ thuật và Công nghệ đến năm 2030 và tầm nhìn đến năm 2045</t>
        </is>
      </c>
      <c r="C83" s="57" t="inlineStr">
        <is>
          <t>PHT Nguyễn Trung Hiếu</t>
        </is>
      </c>
      <c r="D83" s="57" t="inlineStr">
        <is>
          <t>Khoa KT&amp;CN</t>
        </is>
      </c>
      <c r="E83" s="57" t="inlineStr">
        <is>
          <t>Quyết định</t>
        </is>
      </c>
      <c r="F83" s="57" t="n">
        <v>1</v>
      </c>
      <c r="G83" s="57" t="inlineStr">
        <is>
          <t>Khó và phức tạp</t>
        </is>
      </c>
      <c r="H83" s="57" t="inlineStr">
        <is>
          <t>31/10/2026</t>
        </is>
      </c>
      <c r="I83" s="57">
        <f>IF(G83="Khó và phức tạp",200,IF(G83="Cao",150,IF(G83="Trung bình",120,IF(G83="Thấp",100))))</f>
        <v/>
      </c>
      <c r="J83" s="57">
        <f>I83*0.01</f>
        <v/>
      </c>
      <c r="K83" s="59" t="inlineStr">
        <is>
          <t>Trục 1; 832KH-CĐKT</t>
        </is>
      </c>
      <c r="L83" s="46" t="inlineStr">
        <is>
          <t>Độ khó do rà soát đề xuất (kế hoạch nguồn không ghi điểm). KH 832: trình Hiệu trưởng trước 30/9/2026; KH Quý III chưa có nhiệm vụ này. Cần xác nhận đã ban hành hay chưa.</t>
        </is>
      </c>
    </row>
    <row r="84" ht="34" customHeight="1">
      <c r="A84" s="37" t="inlineStr">
        <is>
          <t>III</t>
        </is>
      </c>
      <c r="B84" s="43" t="inlineStr">
        <is>
          <t>Nhiệm vụ bổ sung sau khi rà soát các kế hoạch chuyên đề ban hành trong Quý III/2026</t>
        </is>
      </c>
      <c r="C84" s="33" t="n"/>
      <c r="D84" s="33" t="n"/>
      <c r="E84" s="33" t="n"/>
      <c r="F84" s="33" t="n"/>
      <c r="G84" s="33" t="n"/>
      <c r="H84" s="33" t="n"/>
      <c r="I84" s="33" t="n"/>
      <c r="J84" s="33" t="n"/>
      <c r="K84" s="34" t="n"/>
    </row>
    <row r="85" ht="34" customHeight="1">
      <c r="A85" s="11" t="n">
        <v>1</v>
      </c>
      <c r="B85" s="32" t="inlineStr">
        <is>
          <t>Trục (1) - Thực hiện mục tiêu phát triển Kinh tế - xã hội và nhiệm vụ chính trị được giao</t>
        </is>
      </c>
      <c r="C85" s="33" t="n"/>
      <c r="D85" s="33" t="n"/>
      <c r="E85" s="33" t="n"/>
      <c r="F85" s="33" t="n"/>
      <c r="G85" s="33" t="n"/>
      <c r="H85" s="33" t="n"/>
      <c r="I85" s="33" t="n"/>
      <c r="J85" s="33" t="n"/>
      <c r="K85" s="34" t="n"/>
    </row>
    <row r="86" ht="242" customHeight="1">
      <c r="A86" s="57" t="inlineStr">
        <is>
          <t>BS-1.01</t>
        </is>
      </c>
      <c r="B86" s="58" t="inlineStr">
        <is>
          <t>Xây dựng, ban hành Quy định Hội giảng nhà giáo lần thứ VII, năm học 2026 – 2027 (tiêu chí, biểu mẫu, quy trình)</t>
        </is>
      </c>
      <c r="C86" s="60" t="inlineStr">
        <is>
          <t>PHT Dương Văn Anh Dũng</t>
        </is>
      </c>
      <c r="D86" s="57" t="inlineStr">
        <is>
          <t>Phòng QLĐT&amp;BĐCL</t>
        </is>
      </c>
      <c r="E86" s="60" t="inlineStr">
        <is>
          <t>Quy định; Biểu mẫu</t>
        </is>
      </c>
      <c r="F86" s="57" t="n">
        <v>1</v>
      </c>
      <c r="G86" s="57" t="inlineStr">
        <is>
          <t>Trung bình</t>
        </is>
      </c>
      <c r="H86" s="57" t="inlineStr">
        <is>
          <t>15/10/2026</t>
        </is>
      </c>
      <c r="I86" s="57">
        <f>IF(G86="Khó và phức tạp",200,IF(G86="Cao",150,IF(G86="Trung bình",120,IF(G86="Thấp",100))))</f>
        <v/>
      </c>
      <c r="J86" s="57">
        <f>I86*0.01</f>
        <v/>
      </c>
      <c r="K86" s="61" t="inlineStr">
        <is>
          <t>907KH-CĐKT</t>
        </is>
      </c>
      <c r="L86" s="46" t="inlineStr">
        <is>
          <t>Độ khó do rà soát đề xuất (kế hoạch nguồn không ghi điểm). KH 907 (số, ngày còn để trống, đang dự thảo): trước ngày 15/10/2026.</t>
        </is>
      </c>
    </row>
    <row r="87" ht="242" customHeight="1">
      <c r="A87" s="57" t="inlineStr">
        <is>
          <t>BS-1.02</t>
        </is>
      </c>
      <c r="B87" s="58" t="inlineStr">
        <is>
          <t>Các khoa xây dựng, ban hành Kế hoạch Hội giảng cấp khoa và Lịch trình trình giảng, gửi phòng QLĐT&amp;BĐCL</t>
        </is>
      </c>
      <c r="C87" s="60" t="inlineStr">
        <is>
          <t>PHT Dương Văn Anh Dũng</t>
        </is>
      </c>
      <c r="D87" s="57" t="inlineStr">
        <is>
          <t>Các khoa thuộc Trường</t>
        </is>
      </c>
      <c r="E87" s="60" t="inlineStr">
        <is>
          <t>Kế hoạch</t>
        </is>
      </c>
      <c r="F87" s="57" t="inlineStr">
        <is>
          <t>Theo số khoa</t>
        </is>
      </c>
      <c r="G87" s="57" t="inlineStr">
        <is>
          <t>Thấp</t>
        </is>
      </c>
      <c r="H87" s="57" t="inlineStr">
        <is>
          <t>22/10/2026</t>
        </is>
      </c>
      <c r="I87" s="57">
        <f>IF(G87="Khó và phức tạp",200,IF(G87="Cao",150,IF(G87="Trung bình",120,IF(G87="Thấp",100))))</f>
        <v/>
      </c>
      <c r="J87" s="57">
        <f>I87*0.01</f>
        <v/>
      </c>
      <c r="K87" s="61" t="inlineStr">
        <is>
          <t>907KH-CĐKT</t>
        </is>
      </c>
      <c r="L87" s="46" t="inlineStr">
        <is>
          <t>Độ khó do rà soát đề xuất (kế hoạch nguồn không ghi điểm). Hội giảng cấp khoa tổ chức trong HK I, hoàn thành trước 22/01/2027 (chuyển Quý I/2027).</t>
        </is>
      </c>
    </row>
    <row r="88" ht="242" customHeight="1">
      <c r="A88" s="57" t="inlineStr">
        <is>
          <t>BS-1.03</t>
        </is>
      </c>
      <c r="B88" s="58" t="inlineStr">
        <is>
          <t>Theo dõi, kiểm tra việc triển khai Kế hoạch số 850/KH-CĐKT; tổng hợp kết quả, khó khăn, vướng mắc; báo cáo định kỳ</t>
        </is>
      </c>
      <c r="C88" s="60" t="inlineStr">
        <is>
          <t>Hiệu trưởng</t>
        </is>
      </c>
      <c r="D88" s="57" t="inlineStr">
        <is>
          <t>Phòng QLĐT&amp;BĐCL</t>
        </is>
      </c>
      <c r="E88" s="60" t="inlineStr">
        <is>
          <t>Báo cáo</t>
        </is>
      </c>
      <c r="F88" s="57" t="n">
        <v>1</v>
      </c>
      <c r="G88" s="57" t="inlineStr">
        <is>
          <t>Cao</t>
        </is>
      </c>
      <c r="H88" s="57" t="inlineStr">
        <is>
          <t>10/11/2026</t>
        </is>
      </c>
      <c r="I88" s="57">
        <f>IF(G88="Khó và phức tạp",200,IF(G88="Cao",150,IF(G88="Trung bình",120,IF(G88="Thấp",100))))</f>
        <v/>
      </c>
      <c r="J88" s="57">
        <f>I88*0.01</f>
        <v/>
      </c>
      <c r="K88" s="61" t="inlineStr">
        <is>
          <t>850KH-CĐKT</t>
        </is>
      </c>
      <c r="L88" s="46" t="inlineStr">
        <is>
          <t>KH 850 mục 15: trước ngày 10/11 hằng năm.</t>
        </is>
      </c>
    </row>
    <row r="89" ht="242" customHeight="1">
      <c r="A89" s="57" t="inlineStr">
        <is>
          <t>BS-1.04</t>
        </is>
      </c>
      <c r="B89" s="58" t="inlineStr">
        <is>
          <t>Tổ chức tham quan, trải nghiệm doanh nghiệp cho học sinh, sinh viên các ngành, nghề đào tạo</t>
        </is>
      </c>
      <c r="C89" s="60" t="inlineStr">
        <is>
          <t>PHT Huỳnh Văn Chung</t>
        </is>
      </c>
      <c r="D89" s="57" t="inlineStr">
        <is>
          <t>Các khoa thuộc Trường</t>
        </is>
      </c>
      <c r="E89" s="60" t="inlineStr">
        <is>
          <t>Kế hoạch; Danh sách HSSV</t>
        </is>
      </c>
      <c r="F89" s="57" t="inlineStr">
        <is>
          <t>Theo thực tế</t>
        </is>
      </c>
      <c r="G89" s="57" t="inlineStr">
        <is>
          <t>Thấp</t>
        </is>
      </c>
      <c r="H89" s="57" t="inlineStr">
        <is>
          <t>Quý IV</t>
        </is>
      </c>
      <c r="I89" s="57">
        <f>IF(G89="Khó và phức tạp",200,IF(G89="Cao",150,IF(G89="Trung bình",120,IF(G89="Thấp",100))))</f>
        <v/>
      </c>
      <c r="J89" s="57">
        <f>I89*0.01</f>
        <v/>
      </c>
      <c r="K89" s="61" t="inlineStr">
        <is>
          <t>881KH-CĐKT</t>
        </is>
      </c>
      <c r="L89" s="46" t="inlineStr">
        <is>
          <t>KH 881 mục 11: Quý IV hằng năm; điểm 100/hệ số 1,0 (nhãn 'Trung bình' nhưng điểm tương ứng 'Thấp').</t>
        </is>
      </c>
    </row>
    <row r="90" ht="242" customHeight="1">
      <c r="A90" s="57" t="inlineStr">
        <is>
          <t>BS-1.05</t>
        </is>
      </c>
      <c r="B90" s="58" t="inlineStr">
        <is>
          <t>Tổng hợp, đánh giá hiệu quả huy động và sử dụng các nguồn lực xã hội phục vụ đào tạo</t>
        </is>
      </c>
      <c r="C90" s="60" t="inlineStr">
        <is>
          <t>Hiệu trưởng</t>
        </is>
      </c>
      <c r="D90" s="57" t="inlineStr">
        <is>
          <t>Phòng QLKHCN&amp;HTPT</t>
        </is>
      </c>
      <c r="E90" s="60" t="inlineStr">
        <is>
          <t>Báo cáo đánh giá</t>
        </is>
      </c>
      <c r="F90" s="57" t="n">
        <v>1</v>
      </c>
      <c r="G90" s="57" t="inlineStr">
        <is>
          <t>Cao</t>
        </is>
      </c>
      <c r="H90" s="57" t="inlineStr">
        <is>
          <t>Quý IV</t>
        </is>
      </c>
      <c r="I90" s="57">
        <f>IF(G90="Khó và phức tạp",200,IF(G90="Cao",150,IF(G90="Trung bình",120,IF(G90="Thấp",100))))</f>
        <v/>
      </c>
      <c r="J90" s="57">
        <f>I90*0.01</f>
        <v/>
      </c>
      <c r="K90" s="61" t="inlineStr">
        <is>
          <t>881KH-CĐKT</t>
        </is>
      </c>
      <c r="L90" s="46" t="inlineStr">
        <is>
          <t>KH 881 mục 18: Quý IV hằng năm; điểm 150 (nhãn 'Trung bình' quy đổi theo điểm sang 'Cao'). SL 5 của KH nguồn là cả giai đoạn; năm 2026 = 1.</t>
        </is>
      </c>
    </row>
    <row r="91" ht="242" customHeight="1">
      <c r="A91" s="57" t="inlineStr">
        <is>
          <t>BS-1.06</t>
        </is>
      </c>
      <c r="B91" s="58" t="inlineStr">
        <is>
          <t>Khảo sát việc làm của học sinh, sinh viên sau tốt nghiệp</t>
        </is>
      </c>
      <c r="C91" s="60" t="inlineStr">
        <is>
          <t>PHT Huỳnh Văn Chung</t>
        </is>
      </c>
      <c r="D91" s="57" t="inlineStr">
        <is>
          <t>Phòng QLKHCN&amp;HTPT</t>
        </is>
      </c>
      <c r="E91" s="60" t="inlineStr">
        <is>
          <t>Kế hoạch; Báo cáo khảo sát</t>
        </is>
      </c>
      <c r="F91" s="57" t="n">
        <v>1</v>
      </c>
      <c r="G91" s="57" t="inlineStr">
        <is>
          <t>Cao</t>
        </is>
      </c>
      <c r="H91" s="57" t="inlineStr">
        <is>
          <t>Quý IV</t>
        </is>
      </c>
      <c r="I91" s="57">
        <f>IF(G91="Khó và phức tạp",200,IF(G91="Cao",150,IF(G91="Trung bình",120,IF(G91="Thấp",100))))</f>
        <v/>
      </c>
      <c r="J91" s="57">
        <f>I91*0.01</f>
        <v/>
      </c>
      <c r="K91" s="61" t="inlineStr">
        <is>
          <t>881KH-CĐKT</t>
        </is>
      </c>
      <c r="L91" s="46" t="inlineStr">
        <is>
          <t>KH 881 mục 23: Quý III–IV; điểm 150.</t>
        </is>
      </c>
    </row>
    <row r="92" ht="242" customHeight="1">
      <c r="A92" s="57" t="inlineStr">
        <is>
          <t>BS-1.07</t>
        </is>
      </c>
      <c r="B92" s="58" t="inlineStr">
        <is>
          <t>Đề xuất cải tiến chương trình đào tạo</t>
        </is>
      </c>
      <c r="C92" s="60" t="inlineStr">
        <is>
          <t>PHT Huỳnh Văn Chung</t>
        </is>
      </c>
      <c r="D92" s="57" t="inlineStr">
        <is>
          <t>Phòng QLĐT&amp;BĐCL</t>
        </is>
      </c>
      <c r="E92" s="60" t="inlineStr">
        <is>
          <t>Báo cáo cải tiến</t>
        </is>
      </c>
      <c r="F92" s="57" t="n">
        <v>1</v>
      </c>
      <c r="G92" s="57" t="inlineStr">
        <is>
          <t>Cao</t>
        </is>
      </c>
      <c r="H92" s="57" t="inlineStr">
        <is>
          <t>Quý IV</t>
        </is>
      </c>
      <c r="I92" s="57">
        <f>IF(G92="Khó và phức tạp",200,IF(G92="Cao",150,IF(G92="Trung bình",120,IF(G92="Thấp",100))))</f>
        <v/>
      </c>
      <c r="J92" s="57">
        <f>I92*0.01</f>
        <v/>
      </c>
      <c r="K92" s="61" t="inlineStr">
        <is>
          <t>881KH-CĐKT</t>
        </is>
      </c>
      <c r="L92" s="46" t="inlineStr">
        <is>
          <t>KH 881 mục 25: Quý III/IV; điểm 150.</t>
        </is>
      </c>
    </row>
    <row r="93" ht="242" customHeight="1">
      <c r="A93" s="57" t="inlineStr">
        <is>
          <t>BS-1.08</t>
        </is>
      </c>
      <c r="B93" s="58" t="inlineStr">
        <is>
          <t>Sơ kết Kế hoạch số 881/KH-CĐKT triển khai Công văn số 4201/SGDĐT-GDNNQLĐT ngày 26/8/2026 của Sở Giáo dục và Đào tạo</t>
        </is>
      </c>
      <c r="C93" s="60" t="inlineStr">
        <is>
          <t>Hiệu trưởng</t>
        </is>
      </c>
      <c r="D93" s="57" t="inlineStr">
        <is>
          <t>Phòng QLKHCN&amp;HTPT</t>
        </is>
      </c>
      <c r="E93" s="60" t="inlineStr">
        <is>
          <t>Báo cáo sơ kết</t>
        </is>
      </c>
      <c r="F93" s="57" t="n">
        <v>1</v>
      </c>
      <c r="G93" s="57" t="inlineStr">
        <is>
          <t>Cao</t>
        </is>
      </c>
      <c r="H93" s="57" t="inlineStr">
        <is>
          <t>Quý IV</t>
        </is>
      </c>
      <c r="I93" s="57">
        <f>IF(G93="Khó và phức tạp",200,IF(G93="Cao",150,IF(G93="Trung bình",120,IF(G93="Thấp",100))))</f>
        <v/>
      </c>
      <c r="J93" s="57">
        <f>I93*0.01</f>
        <v/>
      </c>
      <c r="K93" s="61" t="inlineStr">
        <is>
          <t>881KH-CĐKT</t>
        </is>
      </c>
      <c r="L93" s="46" t="inlineStr">
        <is>
          <t>KH 881 mục 36: sơ kết Quý IV hằng năm; điểm 150.</t>
        </is>
      </c>
    </row>
    <row r="94" ht="242" customHeight="1">
      <c r="A94" s="57" t="inlineStr">
        <is>
          <t>BS-1.09</t>
        </is>
      </c>
      <c r="B94" s="58" t="inlineStr">
        <is>
          <t>Rà soát, khảo sát hiện trạng nguồn nhân lực, ngành, nghề, đội ngũ nhà giáo, chương trình đào tạo, cơ sở vật chất, hạ tầng số và nhu cầu đào tạo, sử dụng lao động liên quan đến công nghiệp bán dẫn; đề xuất nhiệm vụ, giải pháp</t>
        </is>
      </c>
      <c r="C94" s="60" t="inlineStr">
        <is>
          <t>Hiệu trưởng</t>
        </is>
      </c>
      <c r="D94" s="57" t="inlineStr">
        <is>
          <t>Phòng QLĐT&amp;BĐCL</t>
        </is>
      </c>
      <c r="E94" s="60" t="inlineStr">
        <is>
          <t>Công văn; Báo cáo</t>
        </is>
      </c>
      <c r="F94" s="57" t="n">
        <v>2</v>
      </c>
      <c r="G94" s="57" t="inlineStr">
        <is>
          <t>Cao</t>
        </is>
      </c>
      <c r="H94" s="57" t="inlineStr">
        <is>
          <t>Năm 2026</t>
        </is>
      </c>
      <c r="I94" s="57">
        <f>IF(G94="Khó và phức tạp",200,IF(G94="Cao",150,IF(G94="Trung bình",120,IF(G94="Thấp",100))))</f>
        <v/>
      </c>
      <c r="J94" s="57">
        <f>I94*0.01</f>
        <v/>
      </c>
      <c r="K94" s="61" t="inlineStr">
        <is>
          <t>850KH-CĐKT</t>
        </is>
      </c>
      <c r="L94" s="46" t="inlineStr">
        <is>
          <t>KH 850 mục 1 (triển khai KH 295/KH-UBND). KH nguồn chỉ ghi 'Năm 2026'; đề nghị đơn vị xác định mốc cụ thể trong Quý IV.</t>
        </is>
      </c>
    </row>
    <row r="95" ht="242" customHeight="1">
      <c r="A95" s="57" t="inlineStr">
        <is>
          <t>BS-1.10</t>
        </is>
      </c>
      <c r="B95" s="58" t="inlineStr">
        <is>
          <t>Xây dựng, cập nhật danh mục cơ sở đào tạo, viện nghiên cứu, doanh nghiệp, chuyên gia có khả năng phối hợp đào tạo, tuyển dụng, nghiên cứu về công nghiệp bán dẫn</t>
        </is>
      </c>
      <c r="C95" s="60" t="inlineStr">
        <is>
          <t>Hiệu trưởng</t>
        </is>
      </c>
      <c r="D95" s="57" t="inlineStr">
        <is>
          <t>Phòng QLKHCN&amp;HTPT</t>
        </is>
      </c>
      <c r="E95" s="60" t="inlineStr">
        <is>
          <t>Danh mục đối tác</t>
        </is>
      </c>
      <c r="F95" s="57" t="n">
        <v>1</v>
      </c>
      <c r="G95" s="57" t="inlineStr">
        <is>
          <t>Trung bình</t>
        </is>
      </c>
      <c r="H95" s="57" t="inlineStr">
        <is>
          <t>Năm 2026</t>
        </is>
      </c>
      <c r="I95" s="57">
        <f>IF(G95="Khó và phức tạp",200,IF(G95="Cao",150,IF(G95="Trung bình",120,IF(G95="Thấp",100))))</f>
        <v/>
      </c>
      <c r="J95" s="57">
        <f>I95*0.01</f>
        <v/>
      </c>
      <c r="K95" s="61" t="inlineStr">
        <is>
          <t>850KH-CĐKT</t>
        </is>
      </c>
      <c r="L95" s="46" t="inlineStr">
        <is>
          <t>KH 850 mục 2. KH nguồn chỉ ghi 'Năm 2026'; đề nghị đơn vị xác định mốc cụ thể trong Quý IV.</t>
        </is>
      </c>
    </row>
    <row r="96" ht="242" customHeight="1">
      <c r="A96" s="57" t="inlineStr">
        <is>
          <t>BS-1.11</t>
        </is>
      </c>
      <c r="B96" s="58" t="inlineStr">
        <is>
          <t>Triển khai mô hình hợp tác toàn diện ba bên "Nhà trường - Chính quyền địa phương - Doanh nghiệp" trong đào tạo, thực hành, thực tập, tuyển dụng</t>
        </is>
      </c>
      <c r="C96" s="60" t="inlineStr">
        <is>
          <t>Hiệu trưởng</t>
        </is>
      </c>
      <c r="D96" s="57" t="inlineStr">
        <is>
          <t>Phòng QLKHCN&amp;HTPT</t>
        </is>
      </c>
      <c r="E96" s="60" t="inlineStr">
        <is>
          <t>Kế hoạch; Báo cáo</t>
        </is>
      </c>
      <c r="F96" s="57" t="n">
        <v>2</v>
      </c>
      <c r="G96" s="57" t="inlineStr">
        <is>
          <t>Cao</t>
        </is>
      </c>
      <c r="H96" s="57" t="inlineStr">
        <is>
          <t>Năm 2026</t>
        </is>
      </c>
      <c r="I96" s="57">
        <f>IF(G96="Khó và phức tạp",200,IF(G96="Cao",150,IF(G96="Trung bình",120,IF(G96="Thấp",100))))</f>
        <v/>
      </c>
      <c r="J96" s="57">
        <f>I96*0.01</f>
        <v/>
      </c>
      <c r="K96" s="61" t="inlineStr">
        <is>
          <t>850KH-CĐKT</t>
        </is>
      </c>
      <c r="L96" s="46" t="inlineStr">
        <is>
          <t>KH 850 mục 3. KH nguồn chỉ ghi 'Năm 2026'; đề nghị đơn vị xác định mốc cụ thể trong Quý IV.</t>
        </is>
      </c>
    </row>
    <row r="97" ht="242" customHeight="1">
      <c r="A97" s="57" t="inlineStr">
        <is>
          <t>BS-1.12</t>
        </is>
      </c>
      <c r="B97" s="58" t="inlineStr">
        <is>
          <t>Rà soát nhu cầu, đề xuất cơ chế, chính sách hỗ trợ học sinh, sinh viên, nhà giáo tham gia đào tạo, bồi dưỡng về công nghiệp bán dẫn</t>
        </is>
      </c>
      <c r="C97" s="60" t="inlineStr">
        <is>
          <t>Hiệu trưởng</t>
        </is>
      </c>
      <c r="D97" s="57" t="inlineStr">
        <is>
          <t>Phòng TCCB&amp;CTHSSV</t>
        </is>
      </c>
      <c r="E97" s="60" t="inlineStr">
        <is>
          <t>Công văn; Báo cáo</t>
        </is>
      </c>
      <c r="F97" s="57" t="n">
        <v>1</v>
      </c>
      <c r="G97" s="57" t="inlineStr">
        <is>
          <t>Trung bình</t>
        </is>
      </c>
      <c r="H97" s="57" t="inlineStr">
        <is>
          <t>Năm 2026</t>
        </is>
      </c>
      <c r="I97" s="57">
        <f>IF(G97="Khó và phức tạp",200,IF(G97="Cao",150,IF(G97="Trung bình",120,IF(G97="Thấp",100))))</f>
        <v/>
      </c>
      <c r="J97" s="57">
        <f>I97*0.01</f>
        <v/>
      </c>
      <c r="K97" s="61" t="inlineStr">
        <is>
          <t>850KH-CĐKT</t>
        </is>
      </c>
      <c r="L97" s="46" t="inlineStr">
        <is>
          <t>KH 850 mục 4. KH nguồn chỉ ghi 'Năm 2026'; đề nghị đơn vị xác định mốc cụ thể trong Quý IV.</t>
        </is>
      </c>
    </row>
    <row r="98" ht="242" customHeight="1">
      <c r="A98" s="57" t="inlineStr">
        <is>
          <t>BS-1.13</t>
        </is>
      </c>
      <c r="B98" s="58" t="inlineStr">
        <is>
          <t>Rà soát nhu cầu, khả năng đầu tư, nâng cấp hạ tầng đào tạo, phòng thực hành, thiết bị; lồng ghép, bố trí nguồn lực thực hiện Kế hoạch số 850/KH-CĐKT</t>
        </is>
      </c>
      <c r="C98" s="60" t="inlineStr">
        <is>
          <t>Hiệu trưởng</t>
        </is>
      </c>
      <c r="D98" s="57" t="inlineStr">
        <is>
          <t>Phòng TC-KT</t>
        </is>
      </c>
      <c r="E98" s="60" t="inlineStr">
        <is>
          <t>Báo cáo; Phương án/Dự toán kinh phí</t>
        </is>
      </c>
      <c r="F98" s="57" t="n">
        <v>2</v>
      </c>
      <c r="G98" s="57" t="inlineStr">
        <is>
          <t>Trung bình</t>
        </is>
      </c>
      <c r="H98" s="57" t="inlineStr">
        <is>
          <t>Năm 2026</t>
        </is>
      </c>
      <c r="I98" s="57">
        <f>IF(G98="Khó và phức tạp",200,IF(G98="Cao",150,IF(G98="Trung bình",120,IF(G98="Thấp",100))))</f>
        <v/>
      </c>
      <c r="J98" s="57">
        <f>I98*0.01</f>
        <v/>
      </c>
      <c r="K98" s="61" t="inlineStr">
        <is>
          <t>850KH-CĐKT</t>
        </is>
      </c>
      <c r="L98" s="46" t="inlineStr">
        <is>
          <t>KH 850 mục 5. KH nguồn chỉ ghi 'Năm 2026'; đề nghị đơn vị xác định mốc cụ thể trong Quý IV.</t>
        </is>
      </c>
    </row>
    <row r="99" ht="242" customHeight="1">
      <c r="A99" s="57" t="inlineStr">
        <is>
          <t>BS-1.14</t>
        </is>
      </c>
      <c r="B99" s="58" t="inlineStr">
        <is>
          <t>Phối hợp cơ sở đào tạo, viện nghiên cứu, doanh nghiệp triển khai các chương trình liên kết, hợp tác đào tạo, bồi dưỡng về vi mạch, công nghiệp bán dẫn</t>
        </is>
      </c>
      <c r="C99" s="60" t="inlineStr">
        <is>
          <t>Hiệu trưởng</t>
        </is>
      </c>
      <c r="D99" s="57" t="inlineStr">
        <is>
          <t>Phòng QLKHCN&amp;HTPT</t>
        </is>
      </c>
      <c r="E99" s="60" t="inlineStr">
        <is>
          <t>Kế hoạch; Hồ sơ hợp tác</t>
        </is>
      </c>
      <c r="F99" s="57" t="n">
        <v>2</v>
      </c>
      <c r="G99" s="57" t="inlineStr">
        <is>
          <t>Cao</t>
        </is>
      </c>
      <c r="H99" s="57" t="inlineStr">
        <is>
          <t>Năm 2026</t>
        </is>
      </c>
      <c r="I99" s="57">
        <f>IF(G99="Khó và phức tạp",200,IF(G99="Cao",150,IF(G99="Trung bình",120,IF(G99="Thấp",100))))</f>
        <v/>
      </c>
      <c r="J99" s="57">
        <f>I99*0.01</f>
        <v/>
      </c>
      <c r="K99" s="61" t="inlineStr">
        <is>
          <t>850KH-CĐKT</t>
        </is>
      </c>
      <c r="L99" s="46" t="inlineStr">
        <is>
          <t>KH 850 mục 6. KH nguồn chỉ ghi 'Năm 2026'; đề nghị đơn vị xác định mốc cụ thể trong Quý IV.</t>
        </is>
      </c>
    </row>
    <row r="100" ht="242" customHeight="1">
      <c r="A100" s="57" t="inlineStr">
        <is>
          <t>BS-1.15</t>
        </is>
      </c>
      <c r="B100" s="58" t="inlineStr">
        <is>
          <t>Cử, hỗ trợ cán bộ quản lý, nhà giáo tham gia đào tạo, bồi dưỡng, tập huấn về công nghiệp bán dẫn và các ngành gần</t>
        </is>
      </c>
      <c r="C100" s="60" t="inlineStr">
        <is>
          <t>Hiệu trưởng</t>
        </is>
      </c>
      <c r="D100" s="57" t="inlineStr">
        <is>
          <t>Phòng TCCB&amp;CTHSSV</t>
        </is>
      </c>
      <c r="E100" s="60" t="inlineStr">
        <is>
          <t>Kế hoạch/Công văn; Báo cáo</t>
        </is>
      </c>
      <c r="F100" s="57" t="n">
        <v>2</v>
      </c>
      <c r="G100" s="57" t="inlineStr">
        <is>
          <t>Trung bình</t>
        </is>
      </c>
      <c r="H100" s="57" t="inlineStr">
        <is>
          <t>Năm 2026</t>
        </is>
      </c>
      <c r="I100" s="57">
        <f>IF(G100="Khó và phức tạp",200,IF(G100="Cao",150,IF(G100="Trung bình",120,IF(G100="Thấp",100))))</f>
        <v/>
      </c>
      <c r="J100" s="57">
        <f>I100*0.01</f>
        <v/>
      </c>
      <c r="K100" s="61" t="inlineStr">
        <is>
          <t>850KH-CĐKT</t>
        </is>
      </c>
      <c r="L100" s="46" t="inlineStr">
        <is>
          <t>KH 850 mục 7. KH nguồn chỉ ghi 'Năm 2026'; đề nghị đơn vị xác định mốc cụ thể trong Quý IV.</t>
        </is>
      </c>
    </row>
    <row r="101" ht="242" customHeight="1">
      <c r="A101" s="57" t="inlineStr">
        <is>
          <t>BS-1.16</t>
        </is>
      </c>
      <c r="B101" s="58" t="inlineStr">
        <is>
          <t>Rà soát, cập nhật chương trình đào tạo các ngành, nghề gần với công nghiệp bán dẫn; xác định khoảng trống năng lực, nội dung cần bổ sung</t>
        </is>
      </c>
      <c r="C101" s="60" t="inlineStr">
        <is>
          <t>Hiệu trưởng</t>
        </is>
      </c>
      <c r="D101" s="57" t="inlineStr">
        <is>
          <t>Các khoa thuộc Trường</t>
        </is>
      </c>
      <c r="E101" s="60" t="inlineStr">
        <is>
          <t>Chương trình đào tạo</t>
        </is>
      </c>
      <c r="F101" s="57" t="n">
        <v>8</v>
      </c>
      <c r="G101" s="57" t="inlineStr">
        <is>
          <t>Khó và phức tạp</t>
        </is>
      </c>
      <c r="H101" s="57" t="inlineStr">
        <is>
          <t>Năm 2026</t>
        </is>
      </c>
      <c r="I101" s="57">
        <f>IF(G101="Khó và phức tạp",200,IF(G101="Cao",150,IF(G101="Trung bình",120,IF(G101="Thấp",100))))</f>
        <v/>
      </c>
      <c r="J101" s="57">
        <f>I101*0.01</f>
        <v/>
      </c>
      <c r="K101" s="61" t="inlineStr">
        <is>
          <t>850KH-CĐKT</t>
        </is>
      </c>
      <c r="L101" s="46" t="inlineStr">
        <is>
          <t>KH 850 mục 8 (nhãn 'Rất cao', điểm 200/hệ số 2,0). KH nguồn chỉ ghi 'Năm 2026'; đề nghị đơn vị xác định mốc cụ thể trong Quý IV.</t>
        </is>
      </c>
    </row>
    <row r="102" ht="242" customHeight="1">
      <c r="A102" s="57" t="inlineStr">
        <is>
          <t>BS-1.17</t>
        </is>
      </c>
      <c r="B102" s="58" t="inlineStr">
        <is>
          <t>Tăng cường kết nối doanh nghiệp, cơ quan, đơn vị để hỗ trợ học sinh, sinh viên, nhà giáo thực tập, thực hành, làm việc thực tế; cập nhật thông tin nguồn nhân lực, vị trí việc làm</t>
        </is>
      </c>
      <c r="C102" s="60" t="inlineStr">
        <is>
          <t>Hiệu trưởng</t>
        </is>
      </c>
      <c r="D102" s="57" t="inlineStr">
        <is>
          <t>Phòng QLKHCN&amp;HTPT</t>
        </is>
      </c>
      <c r="E102" s="60" t="inlineStr">
        <is>
          <t>Kế hoạch; Hồ sơ bản tin</t>
        </is>
      </c>
      <c r="F102" s="57" t="n">
        <v>2</v>
      </c>
      <c r="G102" s="57" t="inlineStr">
        <is>
          <t>Cao</t>
        </is>
      </c>
      <c r="H102" s="57" t="inlineStr">
        <is>
          <t>Năm 2026</t>
        </is>
      </c>
      <c r="I102" s="57">
        <f>IF(G102="Khó và phức tạp",200,IF(G102="Cao",150,IF(G102="Trung bình",120,IF(G102="Thấp",100))))</f>
        <v/>
      </c>
      <c r="J102" s="57">
        <f>I102*0.01</f>
        <v/>
      </c>
      <c r="K102" s="61" t="inlineStr">
        <is>
          <t>850KH-CĐKT</t>
        </is>
      </c>
      <c r="L102" s="46" t="inlineStr">
        <is>
          <t>KH 850 mục 11. KH nguồn chỉ ghi 'Năm 2026'; đề nghị đơn vị xác định mốc cụ thể trong Quý IV.</t>
        </is>
      </c>
    </row>
    <row r="103" ht="34" customHeight="1">
      <c r="A103" s="11" t="n">
        <v>2</v>
      </c>
      <c r="B103" s="32" t="inlineStr">
        <is>
          <t>Trục (2) - Hoàn thiện thể chế, đẩy mạnh phân cấp, phân quyền gắn với kiểm tra, giám sát</t>
        </is>
      </c>
      <c r="C103" s="33" t="n"/>
      <c r="D103" s="33" t="n"/>
      <c r="E103" s="33" t="n"/>
      <c r="F103" s="33" t="n"/>
      <c r="G103" s="33" t="n"/>
      <c r="H103" s="33" t="n"/>
      <c r="I103" s="33" t="n"/>
      <c r="J103" s="33" t="n"/>
      <c r="K103" s="34" t="n"/>
    </row>
    <row r="104" ht="242" customHeight="1">
      <c r="A104" s="57" t="inlineStr">
        <is>
          <t>BS-2.01</t>
        </is>
      </c>
      <c r="B104" s="58" t="inlineStr">
        <is>
          <t>Kiểm kê, rà soát hiện trạng máy móc, thiết bị chuyên dùng hiện có tại Khoa; rà soát tiêu chuẩn, định mức đã ban hành (Quyết định số 1763/QĐ-CĐKT, Phụ lục 11 Quyết định số 1039/QĐ-CĐKT) theo Điều 7 Thông tư số 66/2026/TT-BGDĐT</t>
        </is>
      </c>
      <c r="C104" s="60" t="inlineStr">
        <is>
          <t>Hiệu trưởng</t>
        </is>
      </c>
      <c r="D104" s="57" t="inlineStr">
        <is>
          <t>Phòng TH-HC&amp;QT</t>
        </is>
      </c>
      <c r="E104" s="60" t="inlineStr">
        <is>
          <t>Danh mục; Báo cáo kết quả rà soát, đối chiếu</t>
        </is>
      </c>
      <c r="F104" s="57" t="n">
        <v>2</v>
      </c>
      <c r="G104" s="57" t="inlineStr">
        <is>
          <t>Trung bình</t>
        </is>
      </c>
      <c r="H104" s="57" t="inlineStr">
        <is>
          <t>31/10/2026</t>
        </is>
      </c>
      <c r="I104" s="57">
        <f>IF(G104="Khó và phức tạp",200,IF(G104="Cao",150,IF(G104="Trung bình",120,IF(G104="Thấp",100))))</f>
        <v/>
      </c>
      <c r="J104" s="57">
        <f>I104*0.01</f>
        <v/>
      </c>
      <c r="K104" s="61" t="inlineStr">
        <is>
          <t>893KH-CĐKT</t>
        </is>
      </c>
      <c r="L104" s="46" t="inlineStr">
        <is>
          <t>KH 893 mục 3.</t>
        </is>
      </c>
    </row>
    <row r="105" ht="242" customHeight="1">
      <c r="A105" s="57" t="inlineStr">
        <is>
          <t>BS-2.02</t>
        </is>
      </c>
      <c r="B105" s="58" t="inlineStr">
        <is>
          <t>Khảo sát, tổng hợp nhu cầu trang bị bổ sung máy móc, thiết bị chuyên dùng ngành Giáo dục Mầm non, trình độ cao đẳng</t>
        </is>
      </c>
      <c r="C105" s="60" t="inlineStr">
        <is>
          <t>PHT Dương Văn Anh Dũng</t>
        </is>
      </c>
      <c r="D105" s="57" t="inlineStr">
        <is>
          <t>Khoa Sư phạm</t>
        </is>
      </c>
      <c r="E105" s="60" t="inlineStr">
        <is>
          <t>Bảng tổng hợp danh mục thiết bị</t>
        </is>
      </c>
      <c r="F105" s="57" t="n">
        <v>1</v>
      </c>
      <c r="G105" s="57" t="inlineStr">
        <is>
          <t>Trung bình</t>
        </is>
      </c>
      <c r="H105" s="57" t="inlineStr">
        <is>
          <t>31/10/2026</t>
        </is>
      </c>
      <c r="I105" s="57">
        <f>IF(G105="Khó và phức tạp",200,IF(G105="Cao",150,IF(G105="Trung bình",120,IF(G105="Thấp",100))))</f>
        <v/>
      </c>
      <c r="J105" s="57">
        <f>I105*0.01</f>
        <v/>
      </c>
      <c r="K105" s="61" t="inlineStr">
        <is>
          <t>893KH-CĐKT</t>
        </is>
      </c>
      <c r="L105" s="46" t="inlineStr">
        <is>
          <t>KH 893 mục 4.</t>
        </is>
      </c>
    </row>
    <row r="106" ht="242" customHeight="1">
      <c r="A106" s="57" t="inlineStr">
        <is>
          <t>BS-2.03</t>
        </is>
      </c>
      <c r="B106" s="58" t="inlineStr">
        <is>
          <t>Xây dựng dự thảo Quyết định tiêu chuẩn, định mức sử dụng máy móc, thiết bị chuyên dùng trong lĩnh vực giáo dục và đào tạo của Trường</t>
        </is>
      </c>
      <c r="C106" s="60" t="inlineStr">
        <is>
          <t>Hiệu trưởng</t>
        </is>
      </c>
      <c r="D106" s="57" t="inlineStr">
        <is>
          <t>Phòng TH-HC&amp;QT</t>
        </is>
      </c>
      <c r="E106" s="60" t="inlineStr">
        <is>
          <t>Dự thảo Quyết định và Phụ lục</t>
        </is>
      </c>
      <c r="F106" s="57" t="n">
        <v>1</v>
      </c>
      <c r="G106" s="57" t="inlineStr">
        <is>
          <t>Cao</t>
        </is>
      </c>
      <c r="H106" s="57" t="inlineStr">
        <is>
          <t>20/11/2026</t>
        </is>
      </c>
      <c r="I106" s="57">
        <f>IF(G106="Khó và phức tạp",200,IF(G106="Cao",150,IF(G106="Trung bình",120,IF(G106="Thấp",100))))</f>
        <v/>
      </c>
      <c r="J106" s="57">
        <f>I106*0.01</f>
        <v/>
      </c>
      <c r="K106" s="61" t="inlineStr">
        <is>
          <t>893KH-CĐKT</t>
        </is>
      </c>
      <c r="L106" s="46" t="inlineStr">
        <is>
          <t>KH 893 mục 5.</t>
        </is>
      </c>
    </row>
    <row r="107" ht="242" customHeight="1">
      <c r="A107" s="57" t="inlineStr">
        <is>
          <t>BS-2.04</t>
        </is>
      </c>
      <c r="B107" s="58" t="inlineStr">
        <is>
          <t>Hội đồng khoa học và đào tạo thẩm định danh mục máy móc, thiết bị chuyên dùng (sự cần thiết, thông số kỹ thuật, mức độ phù hợp)</t>
        </is>
      </c>
      <c r="C107" s="60" t="inlineStr">
        <is>
          <t>Chủ tịch Hội đồng</t>
        </is>
      </c>
      <c r="D107" s="57" t="inlineStr">
        <is>
          <t>Phòng QLKHCN&amp;HTPT</t>
        </is>
      </c>
      <c r="E107" s="60" t="inlineStr">
        <is>
          <t>Thông báo kết luận</t>
        </is>
      </c>
      <c r="F107" s="57" t="n">
        <v>1</v>
      </c>
      <c r="G107" s="57" t="inlineStr">
        <is>
          <t>Trung bình</t>
        </is>
      </c>
      <c r="H107" s="57" t="inlineStr">
        <is>
          <t>30/11/2026</t>
        </is>
      </c>
      <c r="I107" s="57">
        <f>IF(G107="Khó và phức tạp",200,IF(G107="Cao",150,IF(G107="Trung bình",120,IF(G107="Thấp",100))))</f>
        <v/>
      </c>
      <c r="J107" s="57">
        <f>I107*0.01</f>
        <v/>
      </c>
      <c r="K107" s="61" t="inlineStr">
        <is>
          <t>893KH-CĐKT</t>
        </is>
      </c>
      <c r="L107" s="46" t="inlineStr">
        <is>
          <t>KH 893 mục 6.</t>
        </is>
      </c>
    </row>
    <row r="108" ht="242" customHeight="1">
      <c r="A108" s="57" t="inlineStr">
        <is>
          <t>BS-2.05</t>
        </is>
      </c>
      <c r="B108" s="58" t="inlineStr">
        <is>
          <t>Trình Hiệu trưởng ban hành Quyết định tiêu chuẩn, định mức sử dụng máy móc, thiết bị chuyên dùng trong lĩnh vực giáo dục và đào tạo của Trường</t>
        </is>
      </c>
      <c r="C108" s="60" t="inlineStr">
        <is>
          <t>Hiệu trưởng</t>
        </is>
      </c>
      <c r="D108" s="57" t="inlineStr">
        <is>
          <t>Phòng TH-HC&amp;QT</t>
        </is>
      </c>
      <c r="E108" s="60" t="inlineStr">
        <is>
          <t>Quyết định và Phụ lục</t>
        </is>
      </c>
      <c r="F108" s="57" t="n">
        <v>1</v>
      </c>
      <c r="G108" s="57" t="inlineStr">
        <is>
          <t>Trung bình</t>
        </is>
      </c>
      <c r="H108" s="57" t="inlineStr">
        <is>
          <t>31/12/2026</t>
        </is>
      </c>
      <c r="I108" s="57">
        <f>IF(G108="Khó và phức tạp",200,IF(G108="Cao",150,IF(G108="Trung bình",120,IF(G108="Thấp",100))))</f>
        <v/>
      </c>
      <c r="J108" s="57">
        <f>I108*0.01</f>
        <v/>
      </c>
      <c r="K108" s="61" t="inlineStr">
        <is>
          <t>893KH-CĐKT</t>
        </is>
      </c>
      <c r="L108" s="46" t="inlineStr">
        <is>
          <t>KH 893 mục 7.</t>
        </is>
      </c>
    </row>
    <row r="109" ht="242" customHeight="1">
      <c r="A109" s="57" t="inlineStr">
        <is>
          <t>BS-2.06</t>
        </is>
      </c>
      <c r="B109" s="58" t="inlineStr">
        <is>
          <t>Công khai Quyết định tiêu chuẩn, định mức sử dụng máy móc, thiết bị chuyên dùng trên Cổng thông tin điện tử của Trường</t>
        </is>
      </c>
      <c r="C109" s="60" t="inlineStr">
        <is>
          <t>Hiệu trưởng</t>
        </is>
      </c>
      <c r="D109" s="57" t="inlineStr">
        <is>
          <t>Phòng TH-HC&amp;QT</t>
        </is>
      </c>
      <c r="E109" s="60" t="inlineStr">
        <is>
          <t>Tin đăng công khai</t>
        </is>
      </c>
      <c r="F109" s="57" t="n">
        <v>1</v>
      </c>
      <c r="G109" s="57" t="inlineStr">
        <is>
          <t>Thấp</t>
        </is>
      </c>
      <c r="H109" s="57" t="inlineStr">
        <is>
          <t>31/12/2026</t>
        </is>
      </c>
      <c r="I109" s="57">
        <f>IF(G109="Khó và phức tạp",200,IF(G109="Cao",150,IF(G109="Trung bình",120,IF(G109="Thấp",100))))</f>
        <v/>
      </c>
      <c r="J109" s="57">
        <f>I109*0.01</f>
        <v/>
      </c>
      <c r="K109" s="61" t="inlineStr">
        <is>
          <t>893KH-CĐKT</t>
        </is>
      </c>
      <c r="L109" s="46" t="inlineStr">
        <is>
          <t>KH 893 mục 8.</t>
        </is>
      </c>
    </row>
    <row r="110" ht="34" customHeight="1">
      <c r="A110" s="11" t="n">
        <v>3</v>
      </c>
      <c r="B110" s="32" t="inlineStr">
        <is>
          <t>Trục (3) - Thúc đẩy phát triển khoa học, công nghệ, đổi mới sáng tạo và chuyển đổi số</t>
        </is>
      </c>
      <c r="C110" s="33" t="n"/>
      <c r="D110" s="33" t="n"/>
      <c r="E110" s="33" t="n"/>
      <c r="F110" s="33" t="n"/>
      <c r="G110" s="33" t="n"/>
      <c r="H110" s="33" t="n"/>
      <c r="I110" s="33" t="n"/>
      <c r="J110" s="33" t="n"/>
      <c r="K110" s="34" t="n"/>
    </row>
    <row r="111" ht="242" customHeight="1">
      <c r="A111" s="57" t="inlineStr">
        <is>
          <t>BS-3.01</t>
        </is>
      </c>
      <c r="B111" s="58" t="inlineStr">
        <is>
          <t>Xây dựng bộ công cụ kiểm tra, rà soát, dự thảo thông báo thu học phí</t>
        </is>
      </c>
      <c r="C111" s="60" t="inlineStr">
        <is>
          <t>Hiệu trưởng</t>
        </is>
      </c>
      <c r="D111" s="57" t="inlineStr">
        <is>
          <t>Phòng TC-KT</t>
        </is>
      </c>
      <c r="E111" s="60" t="inlineStr">
        <is>
          <t>Bộ công cụ đóng gói: Skills, Prompt, quy trình, thông báo</t>
        </is>
      </c>
      <c r="F111" s="57" t="n">
        <v>1</v>
      </c>
      <c r="G111" s="57" t="inlineStr">
        <is>
          <t>Khó và phức tạp</t>
        </is>
      </c>
      <c r="H111" s="57" t="inlineStr">
        <is>
          <t>30/10/2026</t>
        </is>
      </c>
      <c r="I111" s="57">
        <f>IF(G111="Khó và phức tạp",200,IF(G111="Cao",150,IF(G111="Trung bình",120,IF(G111="Thấp",100))))</f>
        <v/>
      </c>
      <c r="J111" s="57">
        <f>I111*0.01</f>
        <v/>
      </c>
      <c r="K111" s="61" t="inlineStr">
        <is>
          <t>848KH-CĐKT</t>
        </is>
      </c>
      <c r="L111" s="46" t="inlineStr">
        <is>
          <t>KH 848 mục 16.</t>
        </is>
      </c>
    </row>
    <row r="112" ht="242" customHeight="1">
      <c r="A112" s="57" t="inlineStr">
        <is>
          <t>BS-3.02</t>
        </is>
      </c>
      <c r="B112" s="58" t="inlineStr">
        <is>
          <t>Xây dựng bộ công cụ kiểm tra, rà soát, chi trả chế độ, chính sách cho học sinh, sinh viên</t>
        </is>
      </c>
      <c r="C112" s="60" t="inlineStr">
        <is>
          <t>Hiệu trưởng</t>
        </is>
      </c>
      <c r="D112" s="57" t="inlineStr">
        <is>
          <t>Phòng TC-KT</t>
        </is>
      </c>
      <c r="E112" s="60" t="inlineStr">
        <is>
          <t>Bộ công cụ đóng gói: Skills, Prompt, quy trình, thông báo</t>
        </is>
      </c>
      <c r="F112" s="57" t="n">
        <v>1</v>
      </c>
      <c r="G112" s="57" t="inlineStr">
        <is>
          <t>Khó và phức tạp</t>
        </is>
      </c>
      <c r="H112" s="57" t="inlineStr">
        <is>
          <t>30/10/2026</t>
        </is>
      </c>
      <c r="I112" s="57">
        <f>IF(G112="Khó và phức tạp",200,IF(G112="Cao",150,IF(G112="Trung bình",120,IF(G112="Thấp",100))))</f>
        <v/>
      </c>
      <c r="J112" s="57">
        <f>I112*0.01</f>
        <v/>
      </c>
      <c r="K112" s="61" t="inlineStr">
        <is>
          <t>848KH-CĐKT</t>
        </is>
      </c>
      <c r="L112" s="46" t="inlineStr">
        <is>
          <t>KH 848 mục 17.</t>
        </is>
      </c>
    </row>
    <row r="113" ht="242" customHeight="1">
      <c r="A113" s="57" t="inlineStr">
        <is>
          <t>BS-3.03</t>
        </is>
      </c>
      <c r="B113" s="58" t="inlineStr">
        <is>
          <t>Xây dựng bộ công cụ kiểm tra, rà soát, chi trả học bổng khuyến khích học tập cho học sinh, sinh viên</t>
        </is>
      </c>
      <c r="C113" s="60" t="inlineStr">
        <is>
          <t>Hiệu trưởng</t>
        </is>
      </c>
      <c r="D113" s="57" t="inlineStr">
        <is>
          <t>Phòng TC-KT</t>
        </is>
      </c>
      <c r="E113" s="60" t="inlineStr">
        <is>
          <t>Bộ công cụ đóng gói: Skills, Prompt, quy trình, thông báo</t>
        </is>
      </c>
      <c r="F113" s="57" t="n">
        <v>1</v>
      </c>
      <c r="G113" s="57" t="inlineStr">
        <is>
          <t>Khó và phức tạp</t>
        </is>
      </c>
      <c r="H113" s="57" t="inlineStr">
        <is>
          <t>30/10/2026</t>
        </is>
      </c>
      <c r="I113" s="57">
        <f>IF(G113="Khó và phức tạp",200,IF(G113="Cao",150,IF(G113="Trung bình",120,IF(G113="Thấp",100))))</f>
        <v/>
      </c>
      <c r="J113" s="57">
        <f>I113*0.01</f>
        <v/>
      </c>
      <c r="K113" s="61" t="inlineStr">
        <is>
          <t>848KH-CĐKT</t>
        </is>
      </c>
      <c r="L113" s="46" t="inlineStr">
        <is>
          <t>KH 848 mục 18.</t>
        </is>
      </c>
    </row>
    <row r="114" ht="242" customHeight="1">
      <c r="A114" s="57" t="inlineStr">
        <is>
          <t>BS-3.04</t>
        </is>
      </c>
      <c r="B114" s="58" t="inlineStr">
        <is>
          <t>Xây dựng công cụ rà soát, đề xuất xét chế độ chính sách đối với công tác học sinh, sinh viên</t>
        </is>
      </c>
      <c r="C114" s="60" t="inlineStr">
        <is>
          <t>Hiệu trưởng</t>
        </is>
      </c>
      <c r="D114" s="57" t="inlineStr">
        <is>
          <t>Phòng TCCB&amp;CTHSSV</t>
        </is>
      </c>
      <c r="E114" s="60" t="inlineStr">
        <is>
          <t>Bộ công cụ đóng gói: Skills, Prompt, quy trình, thông báo</t>
        </is>
      </c>
      <c r="F114" s="57" t="n">
        <v>1</v>
      </c>
      <c r="G114" s="57" t="inlineStr">
        <is>
          <t>Khó và phức tạp</t>
        </is>
      </c>
      <c r="H114" s="57" t="inlineStr">
        <is>
          <t>30/10/2026</t>
        </is>
      </c>
      <c r="I114" s="57">
        <f>IF(G114="Khó và phức tạp",200,IF(G114="Cao",150,IF(G114="Trung bình",120,IF(G114="Thấp",100))))</f>
        <v/>
      </c>
      <c r="J114" s="57">
        <f>I114*0.01</f>
        <v/>
      </c>
      <c r="K114" s="61" t="inlineStr">
        <is>
          <t>848KH-CĐKT</t>
        </is>
      </c>
      <c r="L114" s="46" t="inlineStr">
        <is>
          <t>KH 848 mục 19.</t>
        </is>
      </c>
    </row>
    <row r="115" ht="242" customHeight="1">
      <c r="A115" s="57" t="inlineStr">
        <is>
          <t>BS-3.05</t>
        </is>
      </c>
      <c r="B115" s="58" t="inlineStr">
        <is>
          <t>Xây dựng công cụ rà soát, đề xuất xét chế độ nâng lương, khen thưởng đối với công tác tổ chức cán bộ</t>
        </is>
      </c>
      <c r="C115" s="60" t="inlineStr">
        <is>
          <t>Hiệu trưởng</t>
        </is>
      </c>
      <c r="D115" s="57" t="inlineStr">
        <is>
          <t>Phòng TCCB&amp;CTHSSV</t>
        </is>
      </c>
      <c r="E115" s="60" t="inlineStr">
        <is>
          <t>Bộ công cụ đóng gói: Skills, Prompt, quy trình, thông báo</t>
        </is>
      </c>
      <c r="F115" s="57" t="n">
        <v>1</v>
      </c>
      <c r="G115" s="57" t="inlineStr">
        <is>
          <t>Khó và phức tạp</t>
        </is>
      </c>
      <c r="H115" s="57" t="inlineStr">
        <is>
          <t>30/10/2026</t>
        </is>
      </c>
      <c r="I115" s="57">
        <f>IF(G115="Khó và phức tạp",200,IF(G115="Cao",150,IF(G115="Trung bình",120,IF(G115="Thấp",100))))</f>
        <v/>
      </c>
      <c r="J115" s="57">
        <f>I115*0.01</f>
        <v/>
      </c>
      <c r="K115" s="61" t="inlineStr">
        <is>
          <t>848KH-CĐKT</t>
        </is>
      </c>
      <c r="L115" s="46" t="inlineStr">
        <is>
          <t>KH 848 mục 20.</t>
        </is>
      </c>
    </row>
    <row r="116" ht="242" customHeight="1">
      <c r="A116" s="57" t="inlineStr">
        <is>
          <t>BS-3.06</t>
        </is>
      </c>
      <c r="B116" s="58" t="inlineStr">
        <is>
          <t>Xây dựng công cụ rà soát, tham mưu quy trình bổ nhiệm, bổ nhiệm lại viên chức quản lý thuộc Trường, bộ môn thuộc khoa và tương đương</t>
        </is>
      </c>
      <c r="C116" s="60" t="inlineStr">
        <is>
          <t>Hiệu trưởng</t>
        </is>
      </c>
      <c r="D116" s="57" t="inlineStr">
        <is>
          <t>Phòng TCCB&amp;CTHSSV</t>
        </is>
      </c>
      <c r="E116" s="60" t="inlineStr">
        <is>
          <t>Bộ công cụ đóng gói: Skills, Prompt, quy trình, thông báo</t>
        </is>
      </c>
      <c r="F116" s="57" t="n">
        <v>1</v>
      </c>
      <c r="G116" s="57" t="inlineStr">
        <is>
          <t>Khó và phức tạp</t>
        </is>
      </c>
      <c r="H116" s="57" t="inlineStr">
        <is>
          <t>30/10/2026</t>
        </is>
      </c>
      <c r="I116" s="57">
        <f>IF(G116="Khó và phức tạp",200,IF(G116="Cao",150,IF(G116="Trung bình",120,IF(G116="Thấp",100))))</f>
        <v/>
      </c>
      <c r="J116" s="57">
        <f>I116*0.01</f>
        <v/>
      </c>
      <c r="K116" s="61" t="inlineStr">
        <is>
          <t>848KH-CĐKT</t>
        </is>
      </c>
      <c r="L116" s="46" t="inlineStr">
        <is>
          <t>KH 848 mục 21.</t>
        </is>
      </c>
    </row>
    <row r="117" ht="242" customHeight="1">
      <c r="A117" s="57" t="inlineStr">
        <is>
          <t>BS-3.07</t>
        </is>
      </c>
      <c r="B117" s="58" t="inlineStr">
        <is>
          <t>Xây dựng công cụ rà soát, thống nhất danh mục sản phẩm/công việc của các đơn vị; xác định sản phẩm/công việc chuẩn, định mức, đơn vị tính</t>
        </is>
      </c>
      <c r="C117" s="60" t="inlineStr">
        <is>
          <t>Hiệu trưởng</t>
        </is>
      </c>
      <c r="D117" s="57" t="inlineStr">
        <is>
          <t>Phòng TCCB&amp;CTHSSV</t>
        </is>
      </c>
      <c r="E117" s="60" t="inlineStr">
        <is>
          <t>Bộ công cụ đóng gói: Skills, Prompt, quy trình, thông báo</t>
        </is>
      </c>
      <c r="F117" s="57" t="n">
        <v>1</v>
      </c>
      <c r="G117" s="57" t="inlineStr">
        <is>
          <t>Khó và phức tạp</t>
        </is>
      </c>
      <c r="H117" s="57" t="inlineStr">
        <is>
          <t>30/10/2026</t>
        </is>
      </c>
      <c r="I117" s="57">
        <f>IF(G117="Khó và phức tạp",200,IF(G117="Cao",150,IF(G117="Trung bình",120,IF(G117="Thấp",100))))</f>
        <v/>
      </c>
      <c r="J117" s="57">
        <f>I117*0.01</f>
        <v/>
      </c>
      <c r="K117" s="61" t="inlineStr">
        <is>
          <t>848KH-CĐKT</t>
        </is>
      </c>
      <c r="L117" s="46" t="inlineStr">
        <is>
          <t>KH 848 mục 22.</t>
        </is>
      </c>
    </row>
    <row r="118" ht="242" customHeight="1">
      <c r="A118" s="57" t="inlineStr">
        <is>
          <t>BS-3.08</t>
        </is>
      </c>
      <c r="B118" s="58" t="inlineStr">
        <is>
          <t>Xây dựng công cụ rà soát, tư vấn chuyên môn về công tác tổng hợp, báo cáo, văn bản hành chính thông thường của Văn phòng Đảng ủy</t>
        </is>
      </c>
      <c r="C118" s="60" t="inlineStr">
        <is>
          <t>Hiệu trưởng</t>
        </is>
      </c>
      <c r="D118" s="57" t="inlineStr">
        <is>
          <t>Phòng TCCB&amp;CTHSSV</t>
        </is>
      </c>
      <c r="E118" s="60" t="inlineStr">
        <is>
          <t>Bộ công cụ đóng gói: Skills, Prompt, quy trình, thông báo</t>
        </is>
      </c>
      <c r="F118" s="57" t="n">
        <v>1</v>
      </c>
      <c r="G118" s="57" t="inlineStr">
        <is>
          <t>Khó và phức tạp</t>
        </is>
      </c>
      <c r="H118" s="57" t="inlineStr">
        <is>
          <t>30/10/2026</t>
        </is>
      </c>
      <c r="I118" s="57">
        <f>IF(G118="Khó và phức tạp",200,IF(G118="Cao",150,IF(G118="Trung bình",120,IF(G118="Thấp",100))))</f>
        <v/>
      </c>
      <c r="J118" s="57">
        <f>I118*0.01</f>
        <v/>
      </c>
      <c r="K118" s="61" t="inlineStr">
        <is>
          <t>848KH-CĐKT</t>
        </is>
      </c>
      <c r="L118" s="46" t="inlineStr">
        <is>
          <t>KH 848 mục 23.</t>
        </is>
      </c>
    </row>
    <row r="119" ht="242" customHeight="1">
      <c r="A119" s="57" t="inlineStr">
        <is>
          <t>BS-3.09</t>
        </is>
      </c>
      <c r="B119" s="58" t="inlineStr">
        <is>
          <t>Xây dựng công cụ thiết kế bộ học liệu hỗ trợ dạy học tích hợp (bảng quy trình, phiếu đánh giá thực hiện, phiếu học tập, phiếu hướng dẫn luyện tập)</t>
        </is>
      </c>
      <c r="C119" s="60" t="inlineStr">
        <is>
          <t>Hiệu trưởng</t>
        </is>
      </c>
      <c r="D119" s="57" t="inlineStr">
        <is>
          <t>Khoa CKHCB</t>
        </is>
      </c>
      <c r="E119" s="60" t="inlineStr">
        <is>
          <t>Bộ công cụ đóng gói: Skills, Prompt, quy trình, thông báo</t>
        </is>
      </c>
      <c r="F119" s="57" t="n">
        <v>1</v>
      </c>
      <c r="G119" s="57" t="inlineStr">
        <is>
          <t>Khó và phức tạp</t>
        </is>
      </c>
      <c r="H119" s="57" t="inlineStr">
        <is>
          <t>30/10/2026</t>
        </is>
      </c>
      <c r="I119" s="57">
        <f>IF(G119="Khó và phức tạp",200,IF(G119="Cao",150,IF(G119="Trung bình",120,IF(G119="Thấp",100))))</f>
        <v/>
      </c>
      <c r="J119" s="57">
        <f>I119*0.01</f>
        <v/>
      </c>
      <c r="K119" s="61" t="inlineStr">
        <is>
          <t>848KH-CĐKT</t>
        </is>
      </c>
      <c r="L119" s="46" t="inlineStr">
        <is>
          <t>KH 848 mục 24.</t>
        </is>
      </c>
    </row>
    <row r="120" ht="242" customHeight="1">
      <c r="A120" s="57" t="inlineStr">
        <is>
          <t>BS-3.10</t>
        </is>
      </c>
      <c r="B120" s="58" t="inlineStr">
        <is>
          <t>Xây dựng công cụ hỗ trợ kiểm soát chất lượng đào tạo và sát hạch lái xe</t>
        </is>
      </c>
      <c r="C120" s="60" t="inlineStr">
        <is>
          <t>Hiệu trưởng</t>
        </is>
      </c>
      <c r="D120" s="57" t="inlineStr">
        <is>
          <t>Khoa ĐT&amp;SHLX</t>
        </is>
      </c>
      <c r="E120" s="60" t="inlineStr">
        <is>
          <t>Bộ công cụ đóng gói: Skills, Prompt, quy trình, thông báo</t>
        </is>
      </c>
      <c r="F120" s="57" t="n">
        <v>1</v>
      </c>
      <c r="G120" s="57" t="inlineStr">
        <is>
          <t>Khó và phức tạp</t>
        </is>
      </c>
      <c r="H120" s="57" t="inlineStr">
        <is>
          <t>30/10/2026</t>
        </is>
      </c>
      <c r="I120" s="57">
        <f>IF(G120="Khó và phức tạp",200,IF(G120="Cao",150,IF(G120="Trung bình",120,IF(G120="Thấp",100))))</f>
        <v/>
      </c>
      <c r="J120" s="57">
        <f>I120*0.01</f>
        <v/>
      </c>
      <c r="K120" s="61" t="inlineStr">
        <is>
          <t>848KH-CĐKT</t>
        </is>
      </c>
      <c r="L120" s="46" t="inlineStr">
        <is>
          <t>KH 848 mục 27.</t>
        </is>
      </c>
    </row>
    <row r="121" ht="242" customHeight="1">
      <c r="A121" s="57" t="inlineStr">
        <is>
          <t>BS-3.11</t>
        </is>
      </c>
      <c r="B121" s="58" t="inlineStr">
        <is>
          <t>Xây dựng công cụ AI hỗ trợ biên soạn, cập nhật giáo trình đào tạo</t>
        </is>
      </c>
      <c r="C121" s="60" t="inlineStr">
        <is>
          <t>Hiệu trưởng</t>
        </is>
      </c>
      <c r="D121" s="57" t="inlineStr">
        <is>
          <t>Phòng QLĐT&amp;BĐCL</t>
        </is>
      </c>
      <c r="E121" s="60" t="inlineStr">
        <is>
          <t>Bộ công cụ đóng gói: Skills, Prompt, quy trình, thông báo</t>
        </is>
      </c>
      <c r="F121" s="57" t="n">
        <v>1</v>
      </c>
      <c r="G121" s="57" t="inlineStr">
        <is>
          <t>Khó và phức tạp</t>
        </is>
      </c>
      <c r="H121" s="57" t="inlineStr">
        <is>
          <t>31/10/2026</t>
        </is>
      </c>
      <c r="I121" s="57">
        <f>IF(G121="Khó và phức tạp",200,IF(G121="Cao",150,IF(G121="Trung bình",120,IF(G121="Thấp",100))))</f>
        <v/>
      </c>
      <c r="J121" s="57">
        <f>I121*0.01</f>
        <v/>
      </c>
      <c r="K121" s="61" t="inlineStr">
        <is>
          <t>848KH-CĐKT</t>
        </is>
      </c>
      <c r="L121" s="46" t="inlineStr">
        <is>
          <t>KH 848 mục 11 (ghi '10/2026').</t>
        </is>
      </c>
    </row>
    <row r="122" ht="242" customHeight="1">
      <c r="A122" s="57" t="inlineStr">
        <is>
          <t>BS-3.12</t>
        </is>
      </c>
      <c r="B122" s="58" t="inlineStr">
        <is>
          <t>Cập nhật, sửa đổi Quy định quản lý và tổ chức hoạt động khoa học, công nghệ, đổi mới sáng tạo của học sinh, sinh viên</t>
        </is>
      </c>
      <c r="C122" s="60" t="inlineStr">
        <is>
          <t>Hiệu trưởng</t>
        </is>
      </c>
      <c r="D122" s="57" t="inlineStr">
        <is>
          <t>Phòng QLKHCN&amp;HTPT</t>
        </is>
      </c>
      <c r="E122" s="60" t="inlineStr">
        <is>
          <t>Quyết định</t>
        </is>
      </c>
      <c r="F122" s="57" t="n">
        <v>1</v>
      </c>
      <c r="G122" s="57" t="inlineStr">
        <is>
          <t>Khó và phức tạp</t>
        </is>
      </c>
      <c r="H122" s="57" t="inlineStr">
        <is>
          <t>31/10/2026</t>
        </is>
      </c>
      <c r="I122" s="57">
        <f>IF(G122="Khó và phức tạp",200,IF(G122="Cao",150,IF(G122="Trung bình",120,IF(G122="Thấp",100))))</f>
        <v/>
      </c>
      <c r="J122" s="57">
        <f>I122*0.01</f>
        <v/>
      </c>
      <c r="K122" s="61" t="inlineStr">
        <is>
          <t>932KH-CĐKT</t>
        </is>
      </c>
      <c r="L122" s="46" t="inlineStr">
        <is>
          <t>KH 932: Tháng 10/2026 (nhãn 'Cao', điểm 200/hệ số 2,0).</t>
        </is>
      </c>
    </row>
    <row r="123" ht="242" customHeight="1">
      <c r="A123" s="57" t="inlineStr">
        <is>
          <t>BS-3.13</t>
        </is>
      </c>
      <c r="B123" s="58" t="inlineStr">
        <is>
          <t>Số hóa dữ liệu văn bằng, chứng chỉ đã cấp (kể cả do các trường tiền thân cấp); đối soát, nghiệm thu, ký số trên Hệ thống CSDL VBCC của Bộ GD&amp;ĐT</t>
        </is>
      </c>
      <c r="C123" s="60" t="inlineStr">
        <is>
          <t>Hiệu trưởng</t>
        </is>
      </c>
      <c r="D123" s="57" t="inlineStr">
        <is>
          <t>Phòng QLĐT&amp;BĐCL</t>
        </is>
      </c>
      <c r="E123" s="60" t="inlineStr">
        <is>
          <t>Dữ liệu VBCC trên hệ thống; Biên bản số hóa</t>
        </is>
      </c>
      <c r="F123" s="57" t="n">
        <v>1</v>
      </c>
      <c r="G123" s="57" t="inlineStr">
        <is>
          <t>Cao</t>
        </is>
      </c>
      <c r="H123" s="57" t="inlineStr">
        <is>
          <t>31/10/2026</t>
        </is>
      </c>
      <c r="I123" s="57">
        <f>IF(G123="Khó và phức tạp",200,IF(G123="Cao",150,IF(G123="Trung bình",120,IF(G123="Thấp",100))))</f>
        <v/>
      </c>
      <c r="J123" s="57">
        <f>I123*0.01</f>
        <v/>
      </c>
      <c r="K123" s="61" t="inlineStr">
        <is>
          <t>882KH-CĐKT</t>
        </is>
      </c>
      <c r="L123" s="46" t="inlineStr">
        <is>
          <t>Độ khó do rà soát đề xuất (kế hoạch nguồn không ghi điểm). KH 882: 01–31/10 số hóa VBCC giai đoạn 1986–1999; 11–20/11 đối soát, nghiệm thu.</t>
        </is>
      </c>
    </row>
    <row r="124" ht="242" customHeight="1">
      <c r="A124" s="57" t="inlineStr">
        <is>
          <t>BS-3.14</t>
        </is>
      </c>
      <c r="B124" s="58" t="inlineStr">
        <is>
          <t>Xây dựng bộ công cụ kiểm tra, rà soát, dự thảo Quyết định ban hành mức thu học phí</t>
        </is>
      </c>
      <c r="C124" s="60" t="inlineStr">
        <is>
          <t>Hiệu trưởng</t>
        </is>
      </c>
      <c r="D124" s="57" t="inlineStr">
        <is>
          <t>Phòng TC-KT</t>
        </is>
      </c>
      <c r="E124" s="60" t="inlineStr">
        <is>
          <t>Bộ công cụ đóng gói: Skills, Prompt, quy trình, thông báo</t>
        </is>
      </c>
      <c r="F124" s="57" t="n">
        <v>1</v>
      </c>
      <c r="G124" s="57" t="inlineStr">
        <is>
          <t>Khó và phức tạp</t>
        </is>
      </c>
      <c r="H124" s="57" t="inlineStr">
        <is>
          <t>30/11/2026</t>
        </is>
      </c>
      <c r="I124" s="57">
        <f>IF(G124="Khó và phức tạp",200,IF(G124="Cao",150,IF(G124="Trung bình",120,IF(G124="Thấp",100))))</f>
        <v/>
      </c>
      <c r="J124" s="57">
        <f>I124*0.01</f>
        <v/>
      </c>
      <c r="K124" s="61" t="inlineStr">
        <is>
          <t>848KH-CĐKT</t>
        </is>
      </c>
      <c r="L124" s="46" t="inlineStr">
        <is>
          <t>KH 848 mục 14.</t>
        </is>
      </c>
    </row>
    <row r="125" ht="242" customHeight="1">
      <c r="A125" s="57" t="inlineStr">
        <is>
          <t>BS-3.15</t>
        </is>
      </c>
      <c r="B125" s="58" t="inlineStr">
        <is>
          <t>Xây dựng bộ công cụ kiểm tra, rà soát bảng thanh toán lương và các khoản trích theo lương</t>
        </is>
      </c>
      <c r="C125" s="60" t="inlineStr">
        <is>
          <t>Hiệu trưởng</t>
        </is>
      </c>
      <c r="D125" s="57" t="inlineStr">
        <is>
          <t>Phòng TC-KT</t>
        </is>
      </c>
      <c r="E125" s="60" t="inlineStr">
        <is>
          <t>Bộ công cụ đóng gói: Skills, Prompt, quy trình, thông báo</t>
        </is>
      </c>
      <c r="F125" s="57" t="n">
        <v>1</v>
      </c>
      <c r="G125" s="57" t="inlineStr">
        <is>
          <t>Khó và phức tạp</t>
        </is>
      </c>
      <c r="H125" s="57" t="inlineStr">
        <is>
          <t>30/11/2026</t>
        </is>
      </c>
      <c r="I125" s="57">
        <f>IF(G125="Khó và phức tạp",200,IF(G125="Cao",150,IF(G125="Trung bình",120,IF(G125="Thấp",100))))</f>
        <v/>
      </c>
      <c r="J125" s="57">
        <f>I125*0.01</f>
        <v/>
      </c>
      <c r="K125" s="61" t="inlineStr">
        <is>
          <t>848KH-CĐKT</t>
        </is>
      </c>
      <c r="L125" s="46" t="inlineStr">
        <is>
          <t>KH 848 mục 15.</t>
        </is>
      </c>
    </row>
    <row r="126" ht="242" customHeight="1">
      <c r="A126" s="57" t="inlineStr">
        <is>
          <t>BS-3.16</t>
        </is>
      </c>
      <c r="B126" s="58" t="inlineStr">
        <is>
          <t>Xây dựng và triển khai công cụ AI hỗ trợ phân tích, đánh giá hiệu quả kinh tế và lập báo cáo các mô hình sản xuất nông nghiệp</t>
        </is>
      </c>
      <c r="C126" s="60" t="inlineStr">
        <is>
          <t>Hiệu trưởng</t>
        </is>
      </c>
      <c r="D126" s="57" t="inlineStr">
        <is>
          <t>Khoa KT&amp;NL</t>
        </is>
      </c>
      <c r="E126" s="60" t="inlineStr">
        <is>
          <t>Bộ công cụ đóng gói: Skills, Prompt, quy trình, thông báo</t>
        </is>
      </c>
      <c r="F126" s="57" t="n">
        <v>1</v>
      </c>
      <c r="G126" s="57" t="inlineStr">
        <is>
          <t>Khó và phức tạp</t>
        </is>
      </c>
      <c r="H126" s="57" t="inlineStr">
        <is>
          <t>28/12/2026</t>
        </is>
      </c>
      <c r="I126" s="57">
        <f>IF(G126="Khó và phức tạp",200,IF(G126="Cao",150,IF(G126="Trung bình",120,IF(G126="Thấp",100))))</f>
        <v/>
      </c>
      <c r="J126" s="57">
        <f>I126*0.01</f>
        <v/>
      </c>
      <c r="K126" s="61" t="inlineStr">
        <is>
          <t>848KH-CĐKT</t>
        </is>
      </c>
      <c r="L126" s="46" t="inlineStr">
        <is>
          <t>KH 848 mục 28.</t>
        </is>
      </c>
    </row>
    <row r="127" ht="242" customHeight="1">
      <c r="A127" s="57" t="inlineStr">
        <is>
          <t>BS-3.17</t>
        </is>
      </c>
      <c r="B127" s="58" t="inlineStr">
        <is>
          <t>Xây dựng và triển khai công cụ AI hỗ trợ xây dựng Kế hoạch thực tập sư phạm năm 2 trình độ cao đẳng ngành Giáo dục Mầm non</t>
        </is>
      </c>
      <c r="C127" s="60" t="inlineStr">
        <is>
          <t>Hiệu trưởng</t>
        </is>
      </c>
      <c r="D127" s="57" t="inlineStr">
        <is>
          <t>Khoa Sư phạm</t>
        </is>
      </c>
      <c r="E127" s="60" t="inlineStr">
        <is>
          <t>Bộ công cụ đóng gói: Skills, Prompt, quy trình, thông báo</t>
        </is>
      </c>
      <c r="F127" s="57" t="n">
        <v>1</v>
      </c>
      <c r="G127" s="57" t="inlineStr">
        <is>
          <t>Khó và phức tạp</t>
        </is>
      </c>
      <c r="H127" s="57" t="inlineStr">
        <is>
          <t>28/12/2026</t>
        </is>
      </c>
      <c r="I127" s="57">
        <f>IF(G127="Khó và phức tạp",200,IF(G127="Cao",150,IF(G127="Trung bình",120,IF(G127="Thấp",100))))</f>
        <v/>
      </c>
      <c r="J127" s="57">
        <f>I127*0.01</f>
        <v/>
      </c>
      <c r="K127" s="61" t="inlineStr">
        <is>
          <t>848KH-CĐKT</t>
        </is>
      </c>
      <c r="L127" s="46" t="inlineStr">
        <is>
          <t>KH 848 mục 29.</t>
        </is>
      </c>
    </row>
    <row r="128" ht="242" customHeight="1">
      <c r="A128" s="57" t="inlineStr">
        <is>
          <t>BS-3.18</t>
        </is>
      </c>
      <c r="B128" s="58" t="inlineStr">
        <is>
          <t>Xây dựng bộ công cụ kiểm tra, rà soát các bảng kiểm kỹ thuật thực hành Điều dưỡng</t>
        </is>
      </c>
      <c r="C128" s="60" t="inlineStr">
        <is>
          <t>Hiệu trưởng</t>
        </is>
      </c>
      <c r="D128" s="57" t="inlineStr">
        <is>
          <t>Khoa Y – Dược</t>
        </is>
      </c>
      <c r="E128" s="60" t="inlineStr">
        <is>
          <t>Bộ công cụ đóng gói: Skills, Prompt, quy trình, thông báo</t>
        </is>
      </c>
      <c r="F128" s="57" t="n">
        <v>1</v>
      </c>
      <c r="G128" s="57" t="inlineStr">
        <is>
          <t>Khó và phức tạp</t>
        </is>
      </c>
      <c r="H128" s="57" t="inlineStr">
        <is>
          <t>28/12/2026</t>
        </is>
      </c>
      <c r="I128" s="57">
        <f>IF(G128="Khó và phức tạp",200,IF(G128="Cao",150,IF(G128="Trung bình",120,IF(G128="Thấp",100))))</f>
        <v/>
      </c>
      <c r="J128" s="57">
        <f>I128*0.01</f>
        <v/>
      </c>
      <c r="K128" s="61" t="inlineStr">
        <is>
          <t>848KH-CĐKT</t>
        </is>
      </c>
      <c r="L128" s="46" t="inlineStr">
        <is>
          <t>KH 848 mục 30.</t>
        </is>
      </c>
    </row>
    <row r="129" ht="242" customHeight="1">
      <c r="A129" s="57" t="inlineStr">
        <is>
          <t>BS-3.19</t>
        </is>
      </c>
      <c r="B129" s="58" t="inlineStr">
        <is>
          <t>Xây dựng bộ công cụ kiểm tra, rà soát Kế hoạch vật tư thực hành</t>
        </is>
      </c>
      <c r="C129" s="60" t="inlineStr">
        <is>
          <t>Hiệu trưởng</t>
        </is>
      </c>
      <c r="D129" s="57" t="inlineStr">
        <is>
          <t>Phòng TC-KT</t>
        </is>
      </c>
      <c r="E129" s="60" t="inlineStr">
        <is>
          <t>Bộ công cụ đóng gói: Skills, Prompt, quy trình, thông báo</t>
        </is>
      </c>
      <c r="F129" s="57" t="n">
        <v>1</v>
      </c>
      <c r="G129" s="57" t="inlineStr">
        <is>
          <t>Khó và phức tạp</t>
        </is>
      </c>
      <c r="H129" s="57" t="inlineStr">
        <is>
          <t>30/12/2026</t>
        </is>
      </c>
      <c r="I129" s="57">
        <f>IF(G129="Khó và phức tạp",200,IF(G129="Cao",150,IF(G129="Trung bình",120,IF(G129="Thấp",100))))</f>
        <v/>
      </c>
      <c r="J129" s="57">
        <f>I129*0.01</f>
        <v/>
      </c>
      <c r="K129" s="61" t="inlineStr">
        <is>
          <t>848KH-CĐKT</t>
        </is>
      </c>
      <c r="L129" s="46" t="inlineStr">
        <is>
          <t>KH 848 mục 12.</t>
        </is>
      </c>
    </row>
    <row r="130" ht="242" customHeight="1">
      <c r="A130" s="57" t="inlineStr">
        <is>
          <t>BS-3.20</t>
        </is>
      </c>
      <c r="B130" s="58" t="inlineStr">
        <is>
          <t>Xây dựng bộ công cụ kiểm tra, rà soát bài báo khoa học</t>
        </is>
      </c>
      <c r="C130" s="60" t="inlineStr">
        <is>
          <t>Hiệu trưởng</t>
        </is>
      </c>
      <c r="D130" s="57" t="inlineStr">
        <is>
          <t>Phòng QLKHCN&amp;HTPT</t>
        </is>
      </c>
      <c r="E130" s="60" t="inlineStr">
        <is>
          <t>Bộ công cụ đóng gói: Skills, Prompt, quy trình, thông báo</t>
        </is>
      </c>
      <c r="F130" s="57" t="n">
        <v>1</v>
      </c>
      <c r="G130" s="57" t="inlineStr">
        <is>
          <t>Khó và phức tạp</t>
        </is>
      </c>
      <c r="H130" s="57" t="inlineStr">
        <is>
          <t>30/12/2026</t>
        </is>
      </c>
      <c r="I130" s="57">
        <f>IF(G130="Khó và phức tạp",200,IF(G130="Cao",150,IF(G130="Trung bình",120,IF(G130="Thấp",100))))</f>
        <v/>
      </c>
      <c r="J130" s="57">
        <f>I130*0.01</f>
        <v/>
      </c>
      <c r="K130" s="61" t="inlineStr">
        <is>
          <t>848KH-CĐKT</t>
        </is>
      </c>
      <c r="L130" s="46" t="inlineStr">
        <is>
          <t>KH 848 mục 4.</t>
        </is>
      </c>
    </row>
    <row r="131" ht="242" customHeight="1">
      <c r="A131" s="57" t="inlineStr">
        <is>
          <t>BS-3.21</t>
        </is>
      </c>
      <c r="B131" s="58" t="inlineStr">
        <is>
          <t>Thiết kế trợ lý tuyển sinh tích hợp vào chuyên mục Hỏi – Đáp – Tuyển sinh trên Trang thông tin điện tử Trường</t>
        </is>
      </c>
      <c r="C131" s="60" t="inlineStr">
        <is>
          <t>Hiệu trưởng</t>
        </is>
      </c>
      <c r="D131" s="57" t="inlineStr">
        <is>
          <t>Phòng QLKHCN&amp;HTPT</t>
        </is>
      </c>
      <c r="E131" s="60" t="inlineStr">
        <is>
          <t>Trợ lý AI tuyển sinh</t>
        </is>
      </c>
      <c r="F131" s="57" t="n">
        <v>1</v>
      </c>
      <c r="G131" s="57" t="inlineStr">
        <is>
          <t>Khó và phức tạp</t>
        </is>
      </c>
      <c r="H131" s="57" t="inlineStr">
        <is>
          <t>30/12/2026</t>
        </is>
      </c>
      <c r="I131" s="57">
        <f>IF(G131="Khó và phức tạp",200,IF(G131="Cao",150,IF(G131="Trung bình",120,IF(G131="Thấp",100))))</f>
        <v/>
      </c>
      <c r="J131" s="57">
        <f>I131*0.01</f>
        <v/>
      </c>
      <c r="K131" s="61" t="inlineStr">
        <is>
          <t>848KH-CĐKT</t>
        </is>
      </c>
      <c r="L131" s="46" t="inlineStr">
        <is>
          <t>KH 848 mục 5.</t>
        </is>
      </c>
    </row>
    <row r="132" ht="242" customHeight="1">
      <c r="A132" s="57" t="inlineStr">
        <is>
          <t>BS-3.22</t>
        </is>
      </c>
      <c r="B132" s="58" t="inlineStr">
        <is>
          <t>Xây dựng công cụ AI phân tích dữ liệu đo kiểm ô tô (mã lỗi DTC, cảm biến, dữ liệu động); thử nghiệm</t>
        </is>
      </c>
      <c r="C132" s="60" t="inlineStr">
        <is>
          <t>Hiệu trưởng</t>
        </is>
      </c>
      <c r="D132" s="57" t="inlineStr">
        <is>
          <t>Khoa KT&amp;CN</t>
        </is>
      </c>
      <c r="E132" s="60" t="inlineStr">
        <is>
          <t>Bộ công cụ đóng gói: Skills, Prompt, quy trình, thông báo</t>
        </is>
      </c>
      <c r="F132" s="57" t="n">
        <v>1</v>
      </c>
      <c r="G132" s="57" t="inlineStr">
        <is>
          <t>Khó và phức tạp</t>
        </is>
      </c>
      <c r="H132" s="57" t="inlineStr">
        <is>
          <t>31/12/2026</t>
        </is>
      </c>
      <c r="I132" s="57">
        <f>IF(G132="Khó và phức tạp",200,IF(G132="Cao",150,IF(G132="Trung bình",120,IF(G132="Thấp",100))))</f>
        <v/>
      </c>
      <c r="J132" s="57">
        <f>I132*0.01</f>
        <v/>
      </c>
      <c r="K132" s="61" t="inlineStr">
        <is>
          <t>848KH-CĐKT</t>
        </is>
      </c>
      <c r="L132" s="46" t="inlineStr">
        <is>
          <t>KH 848 mục 25: thử nghiệm trước 31/12/2026, hoàn thành 31/3/2027.</t>
        </is>
      </c>
    </row>
    <row r="133" ht="242" customHeight="1">
      <c r="A133" s="57" t="inlineStr">
        <is>
          <t>BS-3.23</t>
        </is>
      </c>
      <c r="B133" s="58" t="inlineStr">
        <is>
          <t>Tổ chức sử dụng thử nghiệm phần mềm VNPT KPI theo quy trình cơ bản (giao nhiệm vụ, đăng ký/phê duyệt kế hoạch, theo dõi, minh chứng, tự đánh giá, xếp loại, tổng hợp, báo cáo)</t>
        </is>
      </c>
      <c r="C133" s="60" t="inlineStr">
        <is>
          <t>Hiệu trưởng</t>
        </is>
      </c>
      <c r="D133" s="57" t="inlineStr">
        <is>
          <t>Phòng TCCB&amp;CTHSSV</t>
        </is>
      </c>
      <c r="E133" s="60" t="inlineStr">
        <is>
          <t>Kết quả thử nghiệm trên phần mềm</t>
        </is>
      </c>
      <c r="F133" s="57" t="inlineStr">
        <is>
          <t>Theo thực tế</t>
        </is>
      </c>
      <c r="G133" s="57" t="inlineStr">
        <is>
          <t>Khó và phức tạp</t>
        </is>
      </c>
      <c r="H133" s="57" t="inlineStr">
        <is>
          <t>Quý IV</t>
        </is>
      </c>
      <c r="I133" s="57">
        <f>IF(G133="Khó và phức tạp",200,IF(G133="Cao",150,IF(G133="Trung bình",120,IF(G133="Thấp",100))))</f>
        <v/>
      </c>
      <c r="J133" s="57">
        <f>I133*0.01</f>
        <v/>
      </c>
      <c r="K133" s="61" t="inlineStr">
        <is>
          <t>831KH-CĐKT</t>
        </is>
      </c>
      <c r="L133" s="46" t="inlineStr">
        <is>
          <t>KH 831 mục 3: đơn vị chủ trì ghi 'Viên chức, người lao động'; đề xuất đầu mối Phòng TCCB&amp;CTHSSV — cần xác nhận.</t>
        </is>
      </c>
    </row>
    <row r="134" ht="242" customHeight="1">
      <c r="A134" s="57" t="inlineStr">
        <is>
          <t>BS-3.24</t>
        </is>
      </c>
      <c r="B134" s="58" t="inlineStr">
        <is>
          <t>Đánh giá, rút kinh nghiệm quy trình nghiệp vụ, giải pháp kỹ thuật, hạ tầng và hiệu quả giai đoạn thử nghiệm phần mềm VNPT KPI</t>
        </is>
      </c>
      <c r="C134" s="60" t="inlineStr">
        <is>
          <t>Hiệu trưởng</t>
        </is>
      </c>
      <c r="D134" s="57" t="inlineStr">
        <is>
          <t>Phòng TCCB&amp;CTHSSV</t>
        </is>
      </c>
      <c r="E134" s="60" t="inlineStr">
        <is>
          <t>Báo cáo</t>
        </is>
      </c>
      <c r="F134" s="57" t="n">
        <v>1</v>
      </c>
      <c r="G134" s="57" t="inlineStr">
        <is>
          <t>Trung bình</t>
        </is>
      </c>
      <c r="H134" s="57" t="inlineStr">
        <is>
          <t>Tháng 12/2026</t>
        </is>
      </c>
      <c r="I134" s="57">
        <f>IF(G134="Khó và phức tạp",200,IF(G134="Cao",150,IF(G134="Trung bình",120,IF(G134="Thấp",100))))</f>
        <v/>
      </c>
      <c r="J134" s="57">
        <f>I134*0.01</f>
        <v/>
      </c>
      <c r="K134" s="61" t="inlineStr">
        <is>
          <t>831KH-CĐKT</t>
        </is>
      </c>
      <c r="L134" s="46" t="inlineStr">
        <is>
          <t>KH 831 mục 4.</t>
        </is>
      </c>
    </row>
    <row r="135" ht="242" customHeight="1">
      <c r="A135" s="57" t="inlineStr">
        <is>
          <t>BS-3.25</t>
        </is>
      </c>
      <c r="B135" s="58" t="inlineStr">
        <is>
          <t>Kết nối doanh nghiệp, chuyên gia hỗ trợ bồi dưỡng dự án xuất sắc tham gia các cuộc thi cấp tỉnh, cấp quốc gia</t>
        </is>
      </c>
      <c r="C135" s="60" t="inlineStr">
        <is>
          <t>PHT Huỳnh Văn Chung</t>
        </is>
      </c>
      <c r="D135" s="57" t="inlineStr">
        <is>
          <t>Phòng QLKHCN&amp;HTPT</t>
        </is>
      </c>
      <c r="E135" s="60" t="inlineStr">
        <is>
          <t>Biên bản ghi nhớ, hợp tác</t>
        </is>
      </c>
      <c r="F135" s="57" t="n">
        <v>1</v>
      </c>
      <c r="G135" s="57" t="inlineStr">
        <is>
          <t>Khó và phức tạp</t>
        </is>
      </c>
      <c r="H135" s="57" t="inlineStr">
        <is>
          <t>Trước tháng 12/2026</t>
        </is>
      </c>
      <c r="I135" s="57">
        <f>IF(G135="Khó và phức tạp",200,IF(G135="Cao",150,IF(G135="Trung bình",120,IF(G135="Thấp",100))))</f>
        <v/>
      </c>
      <c r="J135" s="57">
        <f>I135*0.01</f>
        <v/>
      </c>
      <c r="K135" s="61" t="inlineStr">
        <is>
          <t>932KH-CĐKT</t>
        </is>
      </c>
      <c r="L135" s="46" t="inlineStr">
        <is>
          <t>KH 932; điểm 200/hệ số 2,0.</t>
        </is>
      </c>
    </row>
    <row r="136" ht="242" customHeight="1">
      <c r="A136" s="57" t="inlineStr">
        <is>
          <t>BS-3.26</t>
        </is>
      </c>
      <c r="B136" s="58" t="inlineStr">
        <is>
          <t>Rà soát khả năng, điều kiện nghiên cứu, đề xuất và triển khai các nhiệm vụ khoa học và công nghệ liên quan đến công nghiệp bán dẫn và công nghệ hỗ trợ</t>
        </is>
      </c>
      <c r="C136" s="60" t="inlineStr">
        <is>
          <t>Hiệu trưởng</t>
        </is>
      </c>
      <c r="D136" s="57" t="inlineStr">
        <is>
          <t>Phòng QLKHCN&amp;HTPT</t>
        </is>
      </c>
      <c r="E136" s="60" t="inlineStr">
        <is>
          <t>Kế hoạch; Báo cáo</t>
        </is>
      </c>
      <c r="F136" s="57" t="n">
        <v>2</v>
      </c>
      <c r="G136" s="57" t="inlineStr">
        <is>
          <t>Cao</t>
        </is>
      </c>
      <c r="H136" s="57" t="inlineStr">
        <is>
          <t>Năm 2026</t>
        </is>
      </c>
      <c r="I136" s="57">
        <f>IF(G136="Khó và phức tạp",200,IF(G136="Cao",150,IF(G136="Trung bình",120,IF(G136="Thấp",100))))</f>
        <v/>
      </c>
      <c r="J136" s="57">
        <f>I136*0.01</f>
        <v/>
      </c>
      <c r="K136" s="61" t="inlineStr">
        <is>
          <t>850KH-CĐKT</t>
        </is>
      </c>
      <c r="L136" s="46" t="inlineStr">
        <is>
          <t>KH 850 mục 12. KH nguồn chỉ ghi 'Năm 2026'; đề nghị đơn vị xác định mốc cụ thể trong Quý IV.</t>
        </is>
      </c>
    </row>
    <row r="137" ht="34" customHeight="1">
      <c r="A137" s="11" t="n">
        <v>4</v>
      </c>
      <c r="B137" s="32" t="inlineStr">
        <is>
          <t>Trục (4) - Xây dựng đảng và hệ thống chính trị trong sạch, vững mạnh; giữ gìn đoàn kết, thống nhất nội bộ; phòng, chống tham nhũng, lãng phí, tiêu cực</t>
        </is>
      </c>
      <c r="C137" s="33" t="n"/>
      <c r="D137" s="33" t="n"/>
      <c r="E137" s="33" t="n"/>
      <c r="F137" s="33" t="n"/>
      <c r="G137" s="33" t="n"/>
      <c r="H137" s="33" t="n"/>
      <c r="I137" s="33" t="n"/>
      <c r="J137" s="33" t="n"/>
      <c r="K137" s="34" t="n"/>
    </row>
    <row r="138" ht="242" customHeight="1">
      <c r="A138" s="57" t="inlineStr">
        <is>
          <t>BS-4.01</t>
        </is>
      </c>
      <c r="B138" s="58" t="inlineStr">
        <is>
          <t>Tổ chức nghiên cứu, học tập, quán triệt, tuyên truyền các nghị quyết, chỉ thị, quy định, kết luận và chương trình, kế hoạch thực hiện Nghị quyết Hội nghị lần thứ ba Ban Chấp hành Trung ương Đảng khóa XIV; báo cáo kết quả về Đảng ủy Trường</t>
        </is>
      </c>
      <c r="C138" s="60" t="inlineStr">
        <is>
          <t>Bí thư Đảng ủy</t>
        </is>
      </c>
      <c r="D138" s="57" t="inlineStr">
        <is>
          <t>BPVPĐU</t>
        </is>
      </c>
      <c r="E138" s="60" t="inlineStr">
        <is>
          <t>Báo cáo kết quả quán triệt</t>
        </is>
      </c>
      <c r="F138" s="57" t="n">
        <v>1</v>
      </c>
      <c r="G138" s="57" t="inlineStr">
        <is>
          <t>Trung bình</t>
        </is>
      </c>
      <c r="H138" s="57" t="inlineStr">
        <is>
          <t>07/10/2026</t>
        </is>
      </c>
      <c r="I138" s="57">
        <f>IF(G138="Khó và phức tạp",200,IF(G138="Cao",150,IF(G138="Trung bình",120,IF(G138="Thấp",100))))</f>
        <v/>
      </c>
      <c r="J138" s="57">
        <f>I138*0.01</f>
        <v/>
      </c>
      <c r="K138" s="61" t="inlineStr">
        <is>
          <t>33-KH/ĐU</t>
        </is>
      </c>
      <c r="L138" s="46" t="inlineStr">
        <is>
          <t>Độ khó do rà soát đề xuất (kế hoạch nguồn không ghi điểm). Kế hoạch số 33-KH/ĐU ngày 23/9/2026: quán triệt xong trước 05/10, báo cáo trước 07/10/2026.</t>
        </is>
      </c>
    </row>
    <row r="139" ht="242" customHeight="1">
      <c r="A139" s="57" t="inlineStr">
        <is>
          <t>BS-4.02</t>
        </is>
      </c>
      <c r="B139" s="58" t="inlineStr">
        <is>
          <t>Rà soát thực trạng đội ngũ nhà giáo thuộc phạm vi áp dụng Thông tư số 64/2026/TT-BGDĐT theo chuẩn nghề nghiệp</t>
        </is>
      </c>
      <c r="C139" s="60" t="inlineStr">
        <is>
          <t>Hiệu trưởng</t>
        </is>
      </c>
      <c r="D139" s="57" t="inlineStr">
        <is>
          <t>Phòng TCCB&amp;CTHSSV</t>
        </is>
      </c>
      <c r="E139" s="60" t="inlineStr">
        <is>
          <t>Danh sách rà soát</t>
        </is>
      </c>
      <c r="F139" s="57" t="n">
        <v>1</v>
      </c>
      <c r="G139" s="57" t="inlineStr">
        <is>
          <t>Cao</t>
        </is>
      </c>
      <c r="H139" s="57" t="inlineStr">
        <is>
          <t>31/10/2026</t>
        </is>
      </c>
      <c r="I139" s="57">
        <f>IF(G139="Khó và phức tạp",200,IF(G139="Cao",150,IF(G139="Trung bình",120,IF(G139="Thấp",100))))</f>
        <v/>
      </c>
      <c r="J139" s="57">
        <f>I139*0.01</f>
        <v/>
      </c>
      <c r="K139" s="61" t="inlineStr">
        <is>
          <t>874KH-CĐKT</t>
        </is>
      </c>
      <c r="L139" s="46" t="inlineStr">
        <is>
          <t>KH 874 mục 2: Tháng 10/2026.</t>
        </is>
      </c>
    </row>
    <row r="140" ht="242" customHeight="1">
      <c r="A140" s="57" t="inlineStr">
        <is>
          <t>BS-4.03</t>
        </is>
      </c>
      <c r="B140" s="58" t="inlineStr">
        <is>
          <t>Xây dựng Phương án bổ nhiệm chức danh nghề nghiệp và xếp lương đối với nhà giáo thuộc phạm vi áp dụng Thông tư số 64/2026/TT-BGDĐT</t>
        </is>
      </c>
      <c r="C140" s="60" t="inlineStr">
        <is>
          <t>Hiệu trưởng</t>
        </is>
      </c>
      <c r="D140" s="57" t="inlineStr">
        <is>
          <t>Phòng TCCB&amp;CTHSSV</t>
        </is>
      </c>
      <c r="E140" s="60" t="inlineStr">
        <is>
          <t>Quyết định; Phương án</t>
        </is>
      </c>
      <c r="F140" s="57" t="n">
        <v>1</v>
      </c>
      <c r="G140" s="57" t="inlineStr">
        <is>
          <t>Khó và phức tạp</t>
        </is>
      </c>
      <c r="H140" s="57" t="inlineStr">
        <is>
          <t>30/11/2026</t>
        </is>
      </c>
      <c r="I140" s="57">
        <f>IF(G140="Khó và phức tạp",200,IF(G140="Cao",150,IF(G140="Trung bình",120,IF(G140="Thấp",100))))</f>
        <v/>
      </c>
      <c r="J140" s="57">
        <f>I140*0.01</f>
        <v/>
      </c>
      <c r="K140" s="61" t="inlineStr">
        <is>
          <t>874KH-CĐKT</t>
        </is>
      </c>
      <c r="L140" s="46" t="inlineStr">
        <is>
          <t>KH 874 mục 3: Tháng 11/2026.</t>
        </is>
      </c>
    </row>
    <row r="141" ht="242" customHeight="1">
      <c r="A141" s="57" t="inlineStr">
        <is>
          <t>BS-4.04</t>
        </is>
      </c>
      <c r="B141" s="58" t="inlineStr">
        <is>
          <t>Xây dựng Kế hoạch đào tạo, bồi dưỡng chuẩn hóa đội ngũ nhà giáo trung học nghề</t>
        </is>
      </c>
      <c r="C141" s="60" t="inlineStr">
        <is>
          <t>Hiệu trưởng</t>
        </is>
      </c>
      <c r="D141" s="57" t="inlineStr">
        <is>
          <t>Phòng TCCB&amp;CTHSSV</t>
        </is>
      </c>
      <c r="E141" s="60" t="inlineStr">
        <is>
          <t>Kế hoạch đào tạo</t>
        </is>
      </c>
      <c r="F141" s="57" t="n">
        <v>1</v>
      </c>
      <c r="G141" s="57" t="inlineStr">
        <is>
          <t>Cao</t>
        </is>
      </c>
      <c r="H141" s="57" t="inlineStr">
        <is>
          <t>31/12/2026</t>
        </is>
      </c>
      <c r="I141" s="57">
        <f>IF(G141="Khó và phức tạp",200,IF(G141="Cao",150,IF(G141="Trung bình",120,IF(G141="Thấp",100))))</f>
        <v/>
      </c>
      <c r="J141" s="57">
        <f>I141*0.01</f>
        <v/>
      </c>
      <c r="K141" s="61" t="inlineStr">
        <is>
          <t>874KH-CĐKT</t>
        </is>
      </c>
      <c r="L141" s="46" t="inlineStr">
        <is>
          <t>KH 874 mục 4.</t>
        </is>
      </c>
    </row>
    <row r="142" ht="34" customHeight="1">
      <c r="A142" s="11" t="n">
        <v>5</v>
      </c>
      <c r="B142" s="32" t="inlineStr">
        <is>
          <t>Trục (5) - Phát triển văn hóa, con người, bảo đảm an sinh xã hội, nâng cao đời sống nhân dân</t>
        </is>
      </c>
      <c r="C142" s="33" t="n"/>
      <c r="D142" s="33" t="n"/>
      <c r="E142" s="33" t="n"/>
      <c r="F142" s="33" t="n"/>
      <c r="G142" s="33" t="n"/>
      <c r="H142" s="33" t="n"/>
      <c r="I142" s="33" t="n"/>
      <c r="J142" s="33" t="n"/>
      <c r="K142" s="34" t="n"/>
    </row>
    <row r="143" ht="242" customHeight="1">
      <c r="A143" s="57" t="inlineStr">
        <is>
          <t>BS-5.01</t>
        </is>
      </c>
      <c r="B143" s="58" t="inlineStr">
        <is>
          <t>Tổ chức đối thoại giữa Hiệu trưởng với học sinh, sinh viên (học kỳ I, năm học 2026-2027)</t>
        </is>
      </c>
      <c r="C143" s="60" t="inlineStr">
        <is>
          <t>Hiệu trưởng</t>
        </is>
      </c>
      <c r="D143" s="57" t="inlineStr">
        <is>
          <t>Phòng TCCB&amp;CTHSSV</t>
        </is>
      </c>
      <c r="E143" s="60" t="inlineStr">
        <is>
          <t>Kế hoạch; Thông báo; Kết luận; Báo cáo xử lý</t>
        </is>
      </c>
      <c r="F143" s="57" t="n">
        <v>1</v>
      </c>
      <c r="G143" s="57" t="inlineStr">
        <is>
          <t>Cao</t>
        </is>
      </c>
      <c r="H143" s="57" t="inlineStr">
        <is>
          <t>30/11/2026</t>
        </is>
      </c>
      <c r="I143" s="57">
        <f>IF(G143="Khó và phức tạp",200,IF(G143="Cao",150,IF(G143="Trung bình",120,IF(G143="Thấp",100))))</f>
        <v/>
      </c>
      <c r="J143" s="57">
        <f>I143*0.01</f>
        <v/>
      </c>
      <c r="K143" s="61" t="inlineStr">
        <is>
          <t>872KH-CĐKT</t>
        </is>
      </c>
      <c r="L143" s="46" t="inlineStr">
        <is>
          <t>KH 872 mục 17: dự kiến tháng 11/2026.</t>
        </is>
      </c>
    </row>
    <row r="144" ht="242" customHeight="1">
      <c r="A144" s="57" t="inlineStr">
        <is>
          <t>BS-5.02</t>
        </is>
      </c>
      <c r="B144" s="58" t="inlineStr">
        <is>
          <t>Xây dựng, ban hành Kế hoạch thực hiện Chương trình Sức khỏe học đường giai đoạn 2026 - 2035 và kế hoạch hằng năm</t>
        </is>
      </c>
      <c r="C144" s="60" t="inlineStr">
        <is>
          <t>Phó Hiệu trưởng phụ trách</t>
        </is>
      </c>
      <c r="D144" s="57" t="inlineStr">
        <is>
          <t>Khoa Y – Dược</t>
        </is>
      </c>
      <c r="E144" s="60" t="inlineStr">
        <is>
          <t>Kế hoạch</t>
        </is>
      </c>
      <c r="F144" s="57" t="n">
        <v>1</v>
      </c>
      <c r="G144" s="57" t="inlineStr">
        <is>
          <t>Cao</t>
        </is>
      </c>
      <c r="H144" s="57" t="inlineStr">
        <is>
          <t>Năm 2026</t>
        </is>
      </c>
      <c r="I144" s="57">
        <f>IF(G144="Khó và phức tạp",200,IF(G144="Cao",150,IF(G144="Trung bình",120,IF(G144="Thấp",100))))</f>
        <v/>
      </c>
      <c r="J144" s="57">
        <f>I144*0.01</f>
        <v/>
      </c>
      <c r="K144" s="61" t="inlineStr">
        <is>
          <t>888KH-CĐKT</t>
        </is>
      </c>
      <c r="L144" s="46" t="inlineStr">
        <is>
          <t>KH 888 mục 1. KH nguồn chỉ ghi 'Năm 2026'; đề nghị đơn vị xác định mốc cụ thể trong Quý IV.</t>
        </is>
      </c>
    </row>
    <row r="145" ht="242" customHeight="1">
      <c r="A145" s="57" t="inlineStr">
        <is>
          <t>BS-5.03</t>
        </is>
      </c>
      <c r="B145" s="58" t="inlineStr">
        <is>
          <t>Rà soát hiện trạng công tác y tế trường học: nhân lực, phòng y tế, trang thiết bị, thuốc thiết yếu, nước sạch, nhà vệ sinh, ký túc xá, căng tin</t>
        </is>
      </c>
      <c r="C145" s="60" t="inlineStr">
        <is>
          <t>Phó Hiệu trưởng phụ trách</t>
        </is>
      </c>
      <c r="D145" s="57" t="inlineStr">
        <is>
          <t>Khoa Y – Dược</t>
        </is>
      </c>
      <c r="E145" s="60" t="inlineStr">
        <is>
          <t>Báo cáo rà soát hiện trạng</t>
        </is>
      </c>
      <c r="F145" s="57" t="n">
        <v>1</v>
      </c>
      <c r="G145" s="57" t="inlineStr">
        <is>
          <t>Trung bình</t>
        </is>
      </c>
      <c r="H145" s="57" t="inlineStr">
        <is>
          <t>Năm 2026</t>
        </is>
      </c>
      <c r="I145" s="57">
        <f>IF(G145="Khó và phức tạp",200,IF(G145="Cao",150,IF(G145="Trung bình",120,IF(G145="Thấp",100))))</f>
        <v/>
      </c>
      <c r="J145" s="57">
        <f>I145*0.01</f>
        <v/>
      </c>
      <c r="K145" s="61" t="inlineStr">
        <is>
          <t>888KH-CĐKT</t>
        </is>
      </c>
      <c r="L145" s="46" t="inlineStr">
        <is>
          <t>KH 888 mục 2. KH nguồn chỉ ghi 'Năm 2026'; đề nghị đơn vị xác định mốc cụ thể trong Quý IV.</t>
        </is>
      </c>
    </row>
    <row r="146" ht="242" customHeight="1">
      <c r="A146" s="57" t="inlineStr">
        <is>
          <t>BS-5.04</t>
        </is>
      </c>
      <c r="B146" s="58" t="inlineStr">
        <is>
          <t>Triển khai giai đoạn 1 phong trào "Xanh hóa nhà trường" (08–12/2026): khảo sát, lập sơ đồ quy hoạch cảnh quan; phát động trồng hoa địa lan; phân công khu vực chăm sóc; trang bị công cụ, dụng cụ lao động</t>
        </is>
      </c>
      <c r="C146" s="60" t="inlineStr">
        <is>
          <t>Hiệu trưởng</t>
        </is>
      </c>
      <c r="D146" s="57" t="inlineStr">
        <is>
          <t>Phòng TH-HC&amp;QT</t>
        </is>
      </c>
      <c r="E146" s="60" t="inlineStr">
        <is>
          <t>Sơ đồ quy hoạch cảnh quan; Phân công khu vực; Báo cáo</t>
        </is>
      </c>
      <c r="F146" s="57" t="n">
        <v>1</v>
      </c>
      <c r="G146" s="57" t="inlineStr">
        <is>
          <t>Trung bình</t>
        </is>
      </c>
      <c r="H146" s="57" t="inlineStr">
        <is>
          <t>31/12/2026</t>
        </is>
      </c>
      <c r="I146" s="57">
        <f>IF(G146="Khó và phức tạp",200,IF(G146="Cao",150,IF(G146="Trung bình",120,IF(G146="Thấp",100))))</f>
        <v/>
      </c>
      <c r="J146" s="57">
        <f>I146*0.01</f>
        <v/>
      </c>
      <c r="K146" s="61" t="inlineStr">
        <is>
          <t>735KH-CĐKT</t>
        </is>
      </c>
      <c r="L146" s="46" t="inlineStr">
        <is>
          <t>Độ khó do rà soát đề xuất (kế hoạch nguồn không ghi điểm). Phối hợp BCH Công đoàn, BCH Đoàn Trường; phân vào Trục 5 (bảo vệ môi trường).</t>
        </is>
      </c>
    </row>
    <row r="148" ht="161.5" customHeight="1">
      <c r="A148" s="35" t="inlineStr">
        <is>
          <r>
            <rPr>
              <rFont val="Times New Roman"/>
              <family val="1"/>
              <b val="1"/>
              <i val="1"/>
              <sz val="12"/>
            </rPr>
            <t xml:space="preserve">Nơi nhận: </t>
          </r>
          <r>
            <rPr>
              <rFont val="Times New Roman"/>
              <family val="1"/>
              <sz val="14"/>
            </rPr>
            <t>
</t>
          </r>
          <r>
            <rPr>
              <rFont val="Times New Roman"/>
              <family val="1"/>
              <sz val="11"/>
            </rPr>
            <t>- UBND tỉnh Quảng Ngãi (để báo cáo);
- Ban Tổ chức Tỉnh ủy (để báo cáo);
- Sở Nội vụ (để theo dõi);
- Đảng ủy Trường;
- Lãnh đạo Trường;
- Công đoàn Trường;
- Đoàn Trường;
- Các đơn vị thuộc Trường;
- Lưu: VT, THHCQT.</t>
          </r>
        </is>
      </c>
      <c r="E148" s="30" t="inlineStr">
        <is>
          <t>HIỆU TRƯỞNG
Lê Trí Khải</t>
        </is>
      </c>
    </row>
  </sheetData>
  <mergeCells count="35">
    <mergeCell ref="B137:K137"/>
    <mergeCell ref="A148:B148"/>
    <mergeCell ref="B49:K49"/>
    <mergeCell ref="B84:K84"/>
    <mergeCell ref="B30:K30"/>
    <mergeCell ref="A3:C3"/>
    <mergeCell ref="C10:C11"/>
    <mergeCell ref="E10:E11"/>
    <mergeCell ref="B142:K142"/>
    <mergeCell ref="G10:G11"/>
    <mergeCell ref="B36:K36"/>
    <mergeCell ref="A6:K6"/>
    <mergeCell ref="B110:K110"/>
    <mergeCell ref="B85:K85"/>
    <mergeCell ref="E3:K3"/>
    <mergeCell ref="A7:K7"/>
    <mergeCell ref="B10:B11"/>
    <mergeCell ref="B43:K43"/>
    <mergeCell ref="A10:A11"/>
    <mergeCell ref="E1:K1"/>
    <mergeCell ref="A5:K5"/>
    <mergeCell ref="I10:I11"/>
    <mergeCell ref="A8:K8"/>
    <mergeCell ref="K10:K11"/>
    <mergeCell ref="B60:K60"/>
    <mergeCell ref="D10:D11"/>
    <mergeCell ref="B14:K14"/>
    <mergeCell ref="B57:K57"/>
    <mergeCell ref="A1:C1"/>
    <mergeCell ref="B13:K13"/>
    <mergeCell ref="E148:K148"/>
    <mergeCell ref="B103:K103"/>
    <mergeCell ref="F10:F11"/>
    <mergeCell ref="H10:H11"/>
    <mergeCell ref="J10:J11"/>
  </mergeCells>
  <conditionalFormatting sqref="B15">
    <cfRule type="dataBar" priority="52">
      <dataBar>
        <cfvo type="min"/>
        <cfvo type="max"/>
        <color rgb="FF638EC6"/>
      </dataBar>
    </cfRule>
  </conditionalFormatting>
  <conditionalFormatting sqref="B16">
    <cfRule type="dataBar" priority="51">
      <dataBar>
        <cfvo type="min"/>
        <cfvo type="max"/>
        <color rgb="FF638EC6"/>
      </dataBar>
    </cfRule>
  </conditionalFormatting>
  <conditionalFormatting sqref="B17">
    <cfRule type="dataBar" priority="28">
      <dataBar>
        <cfvo type="min"/>
        <cfvo type="max"/>
        <color rgb="FF638EC6"/>
      </dataBar>
    </cfRule>
  </conditionalFormatting>
  <conditionalFormatting sqref="B19 B52">
    <cfRule type="dataBar" priority="726">
      <dataBar>
        <cfvo type="min"/>
        <cfvo type="max"/>
        <color rgb="FF638EC6"/>
      </dataBar>
    </cfRule>
  </conditionalFormatting>
  <conditionalFormatting sqref="B20">
    <cfRule type="dataBar" priority="23">
      <dataBar>
        <cfvo type="min"/>
        <cfvo type="max"/>
        <color rgb="FF638EC6"/>
      </dataBar>
    </cfRule>
    <cfRule type="dataBar" priority="20">
      <dataBar>
        <cfvo type="min"/>
        <cfvo type="max"/>
        <color rgb="FF638EC6"/>
      </dataBar>
    </cfRule>
  </conditionalFormatting>
  <conditionalFormatting sqref="B22:B23">
    <cfRule type="dataBar" priority="778">
      <dataBar>
        <cfvo type="min"/>
        <cfvo type="max"/>
        <color rgb="FF638EC6"/>
      </dataBar>
    </cfRule>
  </conditionalFormatting>
  <conditionalFormatting sqref="B24:B28">
    <cfRule type="dataBar" priority="850">
      <dataBar>
        <cfvo type="min"/>
        <cfvo type="max"/>
        <color rgb="FF638EC6"/>
      </dataBar>
    </cfRule>
  </conditionalFormatting>
  <conditionalFormatting sqref="B40">
    <cfRule type="dataBar" priority="13">
      <dataBar>
        <cfvo type="min"/>
        <cfvo type="max"/>
        <color rgb="FF638EC6"/>
      </dataBar>
    </cfRule>
    <cfRule type="dataBar" priority="14">
      <dataBar>
        <cfvo type="min"/>
        <cfvo type="max"/>
        <color rgb="FF638EC6"/>
      </dataBar>
    </cfRule>
  </conditionalFormatting>
  <conditionalFormatting sqref="B37:B39 B41:B42">
    <cfRule type="dataBar" priority="829">
      <dataBar>
        <cfvo type="min"/>
        <cfvo type="max"/>
        <color rgb="FF638EC6"/>
      </dataBar>
    </cfRule>
    <cfRule type="dataBar" priority="830">
      <dataBar>
        <cfvo type="min"/>
        <cfvo type="max"/>
        <color rgb="FF638EC6"/>
      </dataBar>
    </cfRule>
  </conditionalFormatting>
  <conditionalFormatting sqref="B47:B48">
    <cfRule type="dataBar" priority="840">
      <dataBar>
        <cfvo type="min"/>
        <cfvo type="max"/>
        <color rgb="FF638EC6"/>
      </dataBar>
    </cfRule>
  </conditionalFormatting>
  <conditionalFormatting sqref="B15:B16 B18:B19 B21:B23 B45 B51:B56">
    <cfRule type="dataBar" priority="865">
      <dataBar>
        <cfvo type="min"/>
        <cfvo type="max"/>
        <color rgb="FF638EC6"/>
      </dataBar>
    </cfRule>
  </conditionalFormatting>
  <conditionalFormatting sqref="B61">
    <cfRule type="dataBar" priority="31">
      <dataBar>
        <cfvo type="min"/>
        <cfvo type="max"/>
        <color rgb="FF638EC6"/>
      </dataBar>
    </cfRule>
  </conditionalFormatting>
  <conditionalFormatting sqref="B68">
    <cfRule type="dataBar" priority="8">
      <dataBar>
        <cfvo type="min"/>
        <cfvo type="max"/>
        <color rgb="FF638EC6"/>
      </dataBar>
    </cfRule>
  </conditionalFormatting>
  <conditionalFormatting sqref="B69:B70">
    <cfRule type="dataBar" priority="6">
      <dataBar>
        <cfvo type="min"/>
        <cfvo type="max"/>
        <color rgb="FF638EC6"/>
      </dataBar>
    </cfRule>
  </conditionalFormatting>
  <conditionalFormatting sqref="B62:B67 B71:B81">
    <cfRule type="dataBar" priority="864">
      <dataBar>
        <cfvo type="min"/>
        <cfvo type="max"/>
        <color rgb="FF638EC6"/>
      </dataBar>
    </cfRule>
  </conditionalFormatting>
  <conditionalFormatting sqref="B17:D17">
    <cfRule type="dataBar" priority="24">
      <dataBar>
        <cfvo type="min"/>
        <cfvo type="max"/>
        <color rgb="FF638EC6"/>
      </dataBar>
    </cfRule>
    <cfRule type="dataBar" priority="26">
      <dataBar>
        <cfvo type="min"/>
        <cfvo type="max"/>
        <color rgb="FF638EC6"/>
      </dataBar>
    </cfRule>
  </conditionalFormatting>
  <conditionalFormatting sqref="B31:E31 G31 K31:K32">
    <cfRule type="dataBar" priority="781">
      <dataBar>
        <cfvo type="min"/>
        <cfvo type="max"/>
        <color rgb="FF638EC6"/>
      </dataBar>
    </cfRule>
    <cfRule type="dataBar" priority="780">
      <dataBar>
        <cfvo type="min"/>
        <cfvo type="max"/>
        <color rgb="FF638EC6"/>
      </dataBar>
    </cfRule>
  </conditionalFormatting>
  <conditionalFormatting sqref="C15:C16">
    <cfRule type="dataBar" priority="62">
      <dataBar>
        <cfvo type="min"/>
        <cfvo type="max"/>
        <color rgb="FF638EC6"/>
      </dataBar>
    </cfRule>
  </conditionalFormatting>
  <conditionalFormatting sqref="C20">
    <cfRule type="dataBar" priority="19">
      <dataBar>
        <cfvo type="min"/>
        <cfvo type="max"/>
        <color rgb="FF638EC6"/>
      </dataBar>
    </cfRule>
  </conditionalFormatting>
  <conditionalFormatting sqref="C22:C23">
    <cfRule type="dataBar" priority="779">
      <dataBar>
        <cfvo type="min"/>
        <cfvo type="max"/>
        <color rgb="FF638EC6"/>
      </dataBar>
    </cfRule>
  </conditionalFormatting>
  <conditionalFormatting sqref="C24:C28">
    <cfRule type="dataBar" priority="852">
      <dataBar>
        <cfvo type="min"/>
        <cfvo type="max"/>
        <color rgb="FF638EC6"/>
      </dataBar>
    </cfRule>
  </conditionalFormatting>
  <conditionalFormatting sqref="C29">
    <cfRule type="dataBar" priority="2">
      <dataBar>
        <cfvo type="min"/>
        <cfvo type="max"/>
        <color rgb="FF638EC6"/>
      </dataBar>
    </cfRule>
    <cfRule type="dataBar" priority="3">
      <dataBar>
        <cfvo type="min"/>
        <cfvo type="max"/>
        <color rgb="FF638EC6"/>
      </dataBar>
    </cfRule>
  </conditionalFormatting>
  <conditionalFormatting sqref="C32:C35">
    <cfRule type="dataBar" priority="787">
      <dataBar>
        <cfvo type="min"/>
        <cfvo type="max"/>
        <color rgb="FF638EC6"/>
      </dataBar>
    </cfRule>
    <cfRule type="dataBar" priority="786">
      <dataBar>
        <cfvo type="min"/>
        <cfvo type="max"/>
        <color rgb="FF638EC6"/>
      </dataBar>
    </cfRule>
  </conditionalFormatting>
  <conditionalFormatting sqref="C37">
    <cfRule type="dataBar" priority="18">
      <dataBar>
        <cfvo type="min"/>
        <cfvo type="max"/>
        <color rgb="FF638EC6"/>
      </dataBar>
    </cfRule>
    <cfRule type="dataBar" priority="17">
      <dataBar>
        <cfvo type="min"/>
        <cfvo type="max"/>
        <color rgb="FF638EC6"/>
      </dataBar>
    </cfRule>
  </conditionalFormatting>
  <conditionalFormatting sqref="C38:C39">
    <cfRule type="dataBar" priority="861">
      <dataBar>
        <cfvo type="min"/>
        <cfvo type="max"/>
        <color rgb="FF638EC6"/>
      </dataBar>
    </cfRule>
    <cfRule type="dataBar" priority="860">
      <dataBar>
        <cfvo type="min"/>
        <cfvo type="max"/>
        <color rgb="FF638EC6"/>
      </dataBar>
    </cfRule>
  </conditionalFormatting>
  <conditionalFormatting sqref="C40">
    <cfRule type="dataBar" priority="12">
      <dataBar>
        <cfvo type="min"/>
        <cfvo type="max"/>
        <color rgb="FF638EC6"/>
      </dataBar>
    </cfRule>
    <cfRule type="dataBar" priority="11">
      <dataBar>
        <cfvo type="min"/>
        <cfvo type="max"/>
        <color rgb="FF638EC6"/>
      </dataBar>
    </cfRule>
  </conditionalFormatting>
  <conditionalFormatting sqref="C41:C42">
    <cfRule type="dataBar" priority="833">
      <dataBar>
        <cfvo type="min"/>
        <cfvo type="max"/>
        <color rgb="FF638EC6"/>
      </dataBar>
    </cfRule>
    <cfRule type="dataBar" priority="834">
      <dataBar>
        <cfvo type="min"/>
        <cfvo type="max"/>
        <color rgb="FF638EC6"/>
      </dataBar>
    </cfRule>
  </conditionalFormatting>
  <conditionalFormatting sqref="C44">
    <cfRule type="dataBar" priority="39">
      <dataBar>
        <cfvo type="min"/>
        <cfvo type="max"/>
        <color rgb="FF638EC6"/>
      </dataBar>
    </cfRule>
  </conditionalFormatting>
  <conditionalFormatting sqref="C46">
    <cfRule type="dataBar" priority="40">
      <dataBar>
        <cfvo type="min"/>
        <cfvo type="max"/>
        <color rgb="FF638EC6"/>
      </dataBar>
    </cfRule>
  </conditionalFormatting>
  <conditionalFormatting sqref="C47:C48">
    <cfRule type="dataBar" priority="733">
      <dataBar>
        <cfvo type="min"/>
        <cfvo type="max"/>
        <color rgb="FF638EC6"/>
      </dataBar>
    </cfRule>
    <cfRule type="dataBar" priority="734">
      <dataBar>
        <cfvo type="min"/>
        <cfvo type="max"/>
        <color rgb="FF638EC6"/>
      </dataBar>
    </cfRule>
  </conditionalFormatting>
  <conditionalFormatting sqref="C50">
    <cfRule type="dataBar" priority="1">
      <dataBar>
        <cfvo type="min"/>
        <cfvo type="max"/>
        <color rgb="FF638EC6"/>
      </dataBar>
    </cfRule>
  </conditionalFormatting>
  <conditionalFormatting sqref="C52">
    <cfRule type="dataBar" priority="293">
      <dataBar>
        <cfvo type="min"/>
        <cfvo type="max"/>
        <color rgb="FF638EC6"/>
      </dataBar>
    </cfRule>
    <cfRule type="dataBar" priority="591">
      <dataBar>
        <cfvo type="min"/>
        <cfvo type="max"/>
        <color rgb="FF638EC6"/>
      </dataBar>
    </cfRule>
  </conditionalFormatting>
  <conditionalFormatting sqref="C51 C53:C54 C56">
    <cfRule type="dataBar" priority="825">
      <dataBar>
        <cfvo type="min"/>
        <cfvo type="max"/>
        <color rgb="FF638EC6"/>
      </dataBar>
    </cfRule>
    <cfRule type="dataBar" priority="824">
      <dataBar>
        <cfvo type="min"/>
        <cfvo type="max"/>
        <color rgb="FF638EC6"/>
      </dataBar>
    </cfRule>
  </conditionalFormatting>
  <conditionalFormatting sqref="C58">
    <cfRule type="dataBar" priority="135">
      <dataBar>
        <cfvo type="min"/>
        <cfvo type="max"/>
        <color rgb="FF638EC6"/>
      </dataBar>
    </cfRule>
    <cfRule type="dataBar" priority="603">
      <dataBar>
        <cfvo type="min"/>
        <cfvo type="max"/>
        <color rgb="FF638EC6"/>
      </dataBar>
    </cfRule>
  </conditionalFormatting>
  <conditionalFormatting sqref="C59">
    <cfRule type="dataBar" priority="9">
      <dataBar>
        <cfvo type="min"/>
        <cfvo type="max"/>
        <color rgb="FF638EC6"/>
      </dataBar>
    </cfRule>
    <cfRule type="dataBar" priority="10">
      <dataBar>
        <cfvo type="min"/>
        <cfvo type="max"/>
        <color rgb="FF638EC6"/>
      </dataBar>
    </cfRule>
  </conditionalFormatting>
  <conditionalFormatting sqref="C61">
    <cfRule type="dataBar" priority="30">
      <dataBar>
        <cfvo type="min"/>
        <cfvo type="max"/>
        <color rgb="FF638EC6"/>
      </dataBar>
    </cfRule>
    <cfRule type="dataBar" priority="29">
      <dataBar>
        <cfvo type="min"/>
        <cfvo type="max"/>
        <color rgb="FF638EC6"/>
      </dataBar>
    </cfRule>
  </conditionalFormatting>
  <conditionalFormatting sqref="C63">
    <cfRule type="dataBar" priority="88">
      <dataBar>
        <cfvo type="min"/>
        <cfvo type="max"/>
        <color rgb="FF638EC6"/>
      </dataBar>
    </cfRule>
    <cfRule type="dataBar" priority="89">
      <dataBar>
        <cfvo type="min"/>
        <cfvo type="max"/>
        <color rgb="FF638EC6"/>
      </dataBar>
    </cfRule>
  </conditionalFormatting>
  <conditionalFormatting sqref="C64">
    <cfRule type="dataBar" priority="86">
      <dataBar>
        <cfvo type="min"/>
        <cfvo type="max"/>
        <color rgb="FF638EC6"/>
      </dataBar>
    </cfRule>
    <cfRule type="dataBar" priority="87">
      <dataBar>
        <cfvo type="min"/>
        <cfvo type="max"/>
        <color rgb="FF638EC6"/>
      </dataBar>
    </cfRule>
  </conditionalFormatting>
  <conditionalFormatting sqref="C66 C77">
    <cfRule type="dataBar" priority="863">
      <dataBar>
        <cfvo type="min"/>
        <cfvo type="max"/>
        <color rgb="FF638EC6"/>
      </dataBar>
    </cfRule>
  </conditionalFormatting>
  <conditionalFormatting sqref="C68">
    <cfRule type="dataBar" priority="7">
      <dataBar>
        <cfvo type="min"/>
        <cfvo type="max"/>
        <color rgb="FF638EC6"/>
      </dataBar>
    </cfRule>
  </conditionalFormatting>
  <conditionalFormatting sqref="C71">
    <cfRule type="dataBar" priority="79">
      <dataBar>
        <cfvo type="min"/>
        <cfvo type="max"/>
        <color rgb="FF638EC6"/>
      </dataBar>
    </cfRule>
    <cfRule type="dataBar" priority="78">
      <dataBar>
        <cfvo type="min"/>
        <cfvo type="max"/>
        <color rgb="FF638EC6"/>
      </dataBar>
    </cfRule>
  </conditionalFormatting>
  <conditionalFormatting sqref="C72:C73">
    <cfRule type="dataBar" priority="75">
      <dataBar>
        <cfvo type="min"/>
        <cfvo type="max"/>
        <color rgb="FF638EC6"/>
      </dataBar>
    </cfRule>
    <cfRule type="dataBar" priority="76">
      <dataBar>
        <cfvo type="min"/>
        <cfvo type="max"/>
        <color rgb="FF638EC6"/>
      </dataBar>
    </cfRule>
  </conditionalFormatting>
  <conditionalFormatting sqref="C74">
    <cfRule type="dataBar" priority="73">
      <dataBar>
        <cfvo type="min"/>
        <cfvo type="max"/>
        <color rgb="FF638EC6"/>
      </dataBar>
    </cfRule>
    <cfRule type="dataBar" priority="74">
      <dataBar>
        <cfvo type="min"/>
        <cfvo type="max"/>
        <color rgb="FF638EC6"/>
      </dataBar>
    </cfRule>
  </conditionalFormatting>
  <conditionalFormatting sqref="C75">
    <cfRule type="dataBar" priority="71">
      <dataBar>
        <cfvo type="min"/>
        <cfvo type="max"/>
        <color rgb="FF638EC6"/>
      </dataBar>
    </cfRule>
  </conditionalFormatting>
  <conditionalFormatting sqref="C78">
    <cfRule type="dataBar" priority="67">
      <dataBar>
        <cfvo type="min"/>
        <cfvo type="max"/>
        <color rgb="FF638EC6"/>
      </dataBar>
    </cfRule>
  </conditionalFormatting>
  <conditionalFormatting sqref="C79:C80">
    <cfRule type="dataBar" priority="65">
      <dataBar>
        <cfvo type="min"/>
        <cfvo type="max"/>
        <color rgb="FF638EC6"/>
      </dataBar>
    </cfRule>
  </conditionalFormatting>
  <conditionalFormatting sqref="C76:D76">
    <cfRule type="dataBar" priority="69">
      <dataBar>
        <cfvo type="min"/>
        <cfvo type="max"/>
        <color rgb="FF638EC6"/>
      </dataBar>
    </cfRule>
    <cfRule type="dataBar" priority="70">
      <dataBar>
        <cfvo type="min"/>
        <cfvo type="max"/>
        <color rgb="FF638EC6"/>
      </dataBar>
    </cfRule>
  </conditionalFormatting>
  <conditionalFormatting sqref="C18:E19">
    <cfRule type="dataBar" priority="548">
      <dataBar>
        <cfvo type="min"/>
        <cfvo type="max"/>
        <color rgb="FF638EC6"/>
      </dataBar>
    </cfRule>
    <cfRule type="dataBar" priority="588">
      <dataBar>
        <cfvo type="min"/>
        <cfvo type="max"/>
        <color rgb="FF638EC6"/>
      </dataBar>
    </cfRule>
  </conditionalFormatting>
  <conditionalFormatting sqref="C65:E65">
    <cfRule type="dataBar" priority="81">
      <dataBar>
        <cfvo type="min"/>
        <cfvo type="max"/>
        <color rgb="FF638EC6"/>
      </dataBar>
    </cfRule>
    <cfRule type="dataBar" priority="83">
      <dataBar>
        <cfvo type="min"/>
        <cfvo type="max"/>
        <color rgb="FF638EC6"/>
      </dataBar>
    </cfRule>
  </conditionalFormatting>
  <conditionalFormatting sqref="D32:D35">
    <cfRule type="dataBar" priority="793">
      <dataBar>
        <cfvo type="min"/>
        <cfvo type="max"/>
        <color rgb="FF638EC6"/>
      </dataBar>
    </cfRule>
    <cfRule type="dataBar" priority="794">
      <dataBar>
        <cfvo type="min"/>
        <cfvo type="max"/>
        <color rgb="FF638EC6"/>
      </dataBar>
    </cfRule>
  </conditionalFormatting>
  <conditionalFormatting sqref="D58">
    <cfRule type="dataBar" priority="613">
      <dataBar>
        <cfvo type="min"/>
        <cfvo type="max"/>
        <color rgb="FF638EC6"/>
      </dataBar>
    </cfRule>
    <cfRule type="dataBar" priority="134">
      <dataBar>
        <cfvo type="min"/>
        <cfvo type="max"/>
        <color rgb="FF638EC6"/>
      </dataBar>
    </cfRule>
  </conditionalFormatting>
  <conditionalFormatting sqref="D71">
    <cfRule type="dataBar" priority="80">
      <dataBar>
        <cfvo type="min"/>
        <cfvo type="max"/>
        <color rgb="FF638EC6"/>
      </dataBar>
    </cfRule>
    <cfRule type="dataBar" priority="77">
      <dataBar>
        <cfvo type="min"/>
        <cfvo type="max"/>
        <color rgb="FF638EC6"/>
      </dataBar>
    </cfRule>
  </conditionalFormatting>
  <conditionalFormatting sqref="E32:E35">
    <cfRule type="dataBar" priority="795">
      <dataBar>
        <cfvo type="min"/>
        <cfvo type="max"/>
        <color rgb="FF638EC6"/>
      </dataBar>
    </cfRule>
    <cfRule type="dataBar" priority="796">
      <dataBar>
        <cfvo type="min"/>
        <cfvo type="max"/>
        <color rgb="FF638EC6"/>
      </dataBar>
    </cfRule>
  </conditionalFormatting>
  <conditionalFormatting sqref="E52">
    <cfRule type="dataBar" priority="58">
      <dataBar>
        <cfvo type="min"/>
        <cfvo type="max"/>
        <color rgb="FF638EC6"/>
      </dataBar>
    </cfRule>
    <cfRule type="dataBar" priority="57">
      <dataBar>
        <cfvo type="min"/>
        <cfvo type="max"/>
        <color rgb="FF638EC6"/>
      </dataBar>
    </cfRule>
  </conditionalFormatting>
  <conditionalFormatting sqref="G17">
    <cfRule type="dataBar" priority="25">
      <dataBar>
        <cfvo type="min"/>
        <cfvo type="max"/>
        <color rgb="FF638EC6"/>
      </dataBar>
    </cfRule>
    <cfRule type="dataBar" priority="27">
      <dataBar>
        <cfvo type="min"/>
        <cfvo type="max"/>
        <color rgb="FF638EC6"/>
      </dataBar>
    </cfRule>
  </conditionalFormatting>
  <conditionalFormatting sqref="G16 G18:G19">
    <cfRule type="dataBar" priority="616">
      <dataBar>
        <cfvo type="min"/>
        <cfvo type="max"/>
        <color rgb="FF638EC6"/>
      </dataBar>
    </cfRule>
    <cfRule type="dataBar" priority="556">
      <dataBar>
        <cfvo type="min"/>
        <cfvo type="max"/>
        <color rgb="FF638EC6"/>
      </dataBar>
    </cfRule>
  </conditionalFormatting>
  <conditionalFormatting sqref="G20">
    <cfRule type="dataBar" priority="22">
      <dataBar>
        <cfvo type="min"/>
        <cfvo type="max"/>
        <color rgb="FF638EC6"/>
      </dataBar>
    </cfRule>
    <cfRule type="dataBar" priority="21">
      <dataBar>
        <cfvo type="min"/>
        <cfvo type="max"/>
        <color rgb="FF638EC6"/>
      </dataBar>
    </cfRule>
  </conditionalFormatting>
  <conditionalFormatting sqref="G65">
    <cfRule type="dataBar" priority="82">
      <dataBar>
        <cfvo type="min"/>
        <cfvo type="max"/>
        <color rgb="FF638EC6"/>
      </dataBar>
    </cfRule>
    <cfRule type="dataBar" priority="84">
      <dataBar>
        <cfvo type="min"/>
        <cfvo type="max"/>
        <color rgb="FF638EC6"/>
      </dataBar>
    </cfRule>
  </conditionalFormatting>
  <conditionalFormatting sqref="K38:K42">
    <cfRule type="dataBar" priority="837">
      <dataBar>
        <cfvo type="min"/>
        <cfvo type="max"/>
        <color rgb="FF638EC6"/>
      </dataBar>
    </cfRule>
    <cfRule type="dataBar" priority="838">
      <dataBar>
        <cfvo type="min"/>
        <cfvo type="max"/>
        <color rgb="FF638EC6"/>
      </dataBar>
    </cfRule>
  </conditionalFormatting>
  <conditionalFormatting sqref="K58:K59">
    <cfRule type="dataBar" priority="133">
      <dataBar>
        <cfvo type="min"/>
        <cfvo type="max"/>
        <color rgb="FF638EC6"/>
      </dataBar>
    </cfRule>
    <cfRule type="dataBar" priority="621">
      <dataBar>
        <cfvo type="min"/>
        <cfvo type="max"/>
        <color rgb="FF638EC6"/>
      </dataBar>
    </cfRule>
  </conditionalFormatting>
  <dataValidations count="10">
    <dataValidation sqref="G15:G29 G31:G34 G37:G42 G44:G46 G50:G53 G55:G56 G58:G59 G61:G66 G68:G69 G71:G80" showDropDown="0" showInputMessage="1" showErrorMessage="0" allowBlank="1" type="list">
      <formula1>"Thấp,Trung bình,Cao,Khó và phức tạp"</formula1>
    </dataValidation>
    <dataValidation sqref="E18:E29 E31:E35 E38:E42 E44:E47 E50:E56 E59 E61 E63:E66 E68 E70:E74 E76"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C17:C19 C29 C31:C34 C37:C40 C44 C46 C50:C54 C56 C58:C59 C61 C63:C66 C68 C71:C80"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D15:D29 D29:E29 D31:D34 D37:D42 D45 D51:D55 D58:D59 D61 D65:D66 D71 D75:D78 E53:E54 E56 E74"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 sqref="E75 E77:E78 H15:K29 H31:K35 H37:K42 H44:K48 H50:K56 H58:K59 H61:J81" showDropDown="0" showInputMessage="1" showErrorMessage="0" allowBlank="1"/>
    <dataValidation sqref="D63:D66 D68 D79:D80"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E15:E17 E37 E63:E66 E68 E70 E80"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C15:C16 C45 C55" showDropDown="0" showInputMessage="0" showErrorMessage="1" allowBlank="1" type="list">
      <formula1>"Hiệu trưởng,PHT Nguyễn Trung Hiếu,PHT Huỳnh Văn Chung,PHT Dương Văn Anh Dũng"</formula1>
    </dataValidation>
    <dataValidation sqref="C41:C42" showDropDown="0" showInputMessage="0" showErrorMessage="0" allowBlank="1" type="list">
      <formula1>"Hiệu trưởng,PHT Nguyễn Trung Hiếu,PHT Huỳnh Văn Chung,PHT Dương Văn Anh Dũng,Bí thư Đảng uỷ,Phó Bí thư Đảng uỷ,Uỷ viên BTV,Chủ tịch Công đoàn,Bí thư ĐTN,Chủ tịch HSV"</formula1>
    </dataValidation>
    <dataValidation sqref="C20:C29" showDropDown="0" showInputMessage="1" showErrorMessage="1" allowBlank="1" type="list">
      <formula1>"Hiệu trưởng, PHT Nguyễn Trung Hiếu, PHT Huỳnh Văn Chung, PHT Dương Văn Anh Dũng"</formula1>
    </dataValidation>
  </dataValidations>
  <printOptions horizontalCentered="1"/>
  <pageMargins left="0.7" right="0.7" top="0.6" bottom="0.5" header="0.3" footer="0.3"/>
  <pageSetup orientation="landscape" paperSize="9"/>
  <headerFooter differentFirst="1">
    <oddHeader>&amp;C&amp;"Times New Roman,Regular"&amp;14 &amp;P</oddHeader>
    <oddFooter/>
    <evenHeader/>
    <evenFooter/>
    <firstHeader/>
    <firstFooter/>
  </headerFooter>
  <rowBreaks count="6" manualBreakCount="6">
    <brk id="15" min="0" max="10" man="1"/>
    <brk id="44" min="0" max="10" man="1"/>
    <brk id="31" min="0" max="10" man="1"/>
    <brk id="43" min="0" max="10" man="1"/>
    <brk id="56" min="0" max="10" man="1"/>
    <brk id="62" min="0" max="10" man="1"/>
  </rowBreaks>
</worksheet>
</file>

<file path=xl/worksheets/sheet2.xml><?xml version="1.0" encoding="utf-8"?>
<worksheet xmlns="http://schemas.openxmlformats.org/spreadsheetml/2006/main">
  <sheetPr>
    <outlinePr summaryBelow="1" summaryRight="1"/>
    <pageSetUpPr fitToPage="1"/>
  </sheetPr>
  <dimension ref="A1:L68"/>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9" customWidth="1" min="3" max="3"/>
    <col width="10" customWidth="1" min="4" max="4"/>
    <col width="55" customWidth="1" min="5" max="5"/>
    <col width="20" customWidth="1" min="6" max="6"/>
    <col width="20" customWidth="1" min="7" max="7"/>
    <col width="26" customWidth="1" min="8" max="8"/>
    <col width="20" customWidth="1" min="9" max="9"/>
    <col width="20" customWidth="1" min="10" max="10"/>
    <col width="26" customWidth="1" min="11" max="11"/>
    <col width="34" customWidth="1" min="12" max="12"/>
  </cols>
  <sheetData>
    <row r="1">
      <c r="A1" s="62" t="inlineStr">
        <is>
          <t>NHẬT KÝ ĐIỀU CHỈNH, BỔ SUNG KẾ HOẠCH CÔNG TÁC QUÝ IV/2026</t>
        </is>
      </c>
      <c r="B1" s="63" t="n"/>
      <c r="C1" s="63" t="n"/>
      <c r="D1" s="63" t="n"/>
      <c r="E1" s="63" t="n"/>
      <c r="F1" s="63" t="n"/>
      <c r="G1" s="63" t="n"/>
      <c r="H1" s="63" t="n"/>
      <c r="I1" s="63" t="n"/>
      <c r="J1" s="63" t="n"/>
      <c r="K1" s="63" t="n"/>
      <c r="L1" s="63" t="n"/>
    </row>
    <row r="2">
      <c r="A2" s="64" t="inlineStr">
        <is>
          <t>Bổ sung 59; điều chỉnh 4; hủy 1. Nguồn rà soát: 29 tệp kế hoạch chuyên đề (10-Dau-Vao/04-Chuyen-de) và KTC-Database.</t>
        </is>
      </c>
    </row>
    <row r="4">
      <c r="A4" s="65" t="inlineStr">
        <is>
          <t>STT</t>
        </is>
      </c>
      <c r="B4" s="65" t="inlineStr">
        <is>
          <t>Loại thay đổi</t>
        </is>
      </c>
      <c r="C4" s="65" t="inlineStr">
        <is>
          <t>Trục</t>
        </is>
      </c>
      <c r="D4" s="65" t="inlineStr">
        <is>
          <t>Mã nhiệm vụ</t>
        </is>
      </c>
      <c r="E4" s="65" t="inlineStr">
        <is>
          <t>Nội dung công việc</t>
        </is>
      </c>
      <c r="F4" s="65" t="inlineStr">
        <is>
          <t>Người chỉ đạo</t>
        </is>
      </c>
      <c r="G4" s="65" t="inlineStr">
        <is>
          <t>Đơn vị chủ trì</t>
        </is>
      </c>
      <c r="H4" s="65" t="inlineStr">
        <is>
          <t>Sản phẩm/công việc</t>
        </is>
      </c>
      <c r="I4" s="65" t="inlineStr">
        <is>
          <t>Trước</t>
        </is>
      </c>
      <c r="J4" s="65" t="inlineStr">
        <is>
          <t>Sau</t>
        </is>
      </c>
      <c r="K4" s="65" t="inlineStr">
        <is>
          <t>Nguồn</t>
        </is>
      </c>
      <c r="L4" s="65" t="inlineStr">
        <is>
          <t>Cách xử lý</t>
        </is>
      </c>
    </row>
    <row r="5" ht="36" customHeight="1">
      <c r="A5" s="66" t="n">
        <v>1</v>
      </c>
      <c r="B5" s="66" t="inlineStr">
        <is>
          <t>SỬA CĂN CỨ</t>
        </is>
      </c>
      <c r="C5" s="66" t="inlineStr">
        <is>
          <t>—</t>
        </is>
      </c>
      <c r="D5" s="66" t="inlineStr">
        <is>
          <t>Căn cứ</t>
        </is>
      </c>
      <c r="E5" s="66" t="inlineStr">
        <is>
          <t>Quyết định ban hành Quy chế làm việc của Trường</t>
        </is>
      </c>
      <c r="F5" s="66" t="inlineStr"/>
      <c r="G5" s="66" t="inlineStr"/>
      <c r="H5" s="66" t="inlineStr"/>
      <c r="I5" s="66" t="inlineStr">
        <is>
          <t>QĐ 1299/QĐ-CĐKT ngày 27/5/2026</t>
        </is>
      </c>
      <c r="J5" s="66" t="inlineStr">
        <is>
          <t>QĐ 2073/QĐ-CĐKT ngày 23/9/2026</t>
        </is>
      </c>
      <c r="K5" s="66" t="inlineStr">
        <is>
          <t>KTC-Database 02-01 (QD-2073…thay-the-QD-1299); KH 937</t>
        </is>
      </c>
      <c r="L5" s="66" t="inlineStr">
        <is>
          <t>Thay căn cứ; QĐ 1299 đã bị thay thế</t>
        </is>
      </c>
    </row>
    <row r="6" ht="36" customHeight="1">
      <c r="A6" s="67" t="n">
        <v>2</v>
      </c>
      <c r="B6" s="67" t="inlineStr">
        <is>
          <t>HỦY</t>
        </is>
      </c>
      <c r="C6" s="67" t="inlineStr">
        <is>
          <t>Trục 2</t>
        </is>
      </c>
      <c r="D6" s="67" t="inlineStr">
        <is>
          <t>II.7</t>
        </is>
      </c>
      <c r="E6" s="67" t="inlineStr">
        <is>
          <t>Rà soát, sửa đổi Quy chế làm việc của Trường phù hợp quy định mới về viên chức, kỷ luật và hợp đồng</t>
        </is>
      </c>
      <c r="F6" s="67" t="inlineStr">
        <is>
          <t>Hiệu trưởng</t>
        </is>
      </c>
      <c r="G6" s="67" t="inlineStr">
        <is>
          <t>Phòng TCCB&amp;CTHSSV</t>
        </is>
      </c>
      <c r="H6" s="67" t="inlineStr">
        <is>
          <t>Dự thảo; Quyết định</t>
        </is>
      </c>
      <c r="I6" s="67" t="inlineStr">
        <is>
          <t>31/10/2026</t>
        </is>
      </c>
      <c r="J6" s="67" t="inlineStr">
        <is>
          <t>—</t>
        </is>
      </c>
      <c r="K6" s="67" t="inlineStr">
        <is>
          <t>KTC-Database 02-01: QĐ 2073</t>
        </is>
      </c>
      <c r="L6" s="67" t="inlineStr">
        <is>
          <t>Nhiệm vụ đã hoàn thành ngày 23/9/2026</t>
        </is>
      </c>
    </row>
    <row r="7" ht="36" customHeight="1">
      <c r="A7" s="66" t="n">
        <v>3</v>
      </c>
      <c r="B7" s="66" t="inlineStr">
        <is>
          <t>ĐIỀU CHỈNH</t>
        </is>
      </c>
      <c r="C7" s="66" t="inlineStr">
        <is>
          <t>Trục 5</t>
        </is>
      </c>
      <c r="D7" s="66" t="inlineStr">
        <is>
          <t>5.1</t>
        </is>
      </c>
      <c r="E7" s="66" t="inlineStr">
        <is>
          <t>Tổ chức Tuần lễ hưởng ứng học tập suốt đời năm 2026 (từ ngày 01/10 đến ngày 07/10/2026)</t>
        </is>
      </c>
      <c r="F7" s="66" t="inlineStr">
        <is>
          <t>Hiệu trưởng</t>
        </is>
      </c>
      <c r="G7" s="66" t="inlineStr">
        <is>
          <t>Phòng TCCB&amp;CTHSSV</t>
        </is>
      </c>
      <c r="H7" s="66" t="inlineStr">
        <is>
          <t>Kế hoạch → Báo cáo kết quả gửi Sở GD&amp;ĐT</t>
        </is>
      </c>
      <c r="I7" s="66" t="inlineStr">
        <is>
          <t>07/10/2026</t>
        </is>
      </c>
      <c r="J7" s="66" t="inlineStr">
        <is>
          <t>12/10/2026</t>
        </is>
      </c>
      <c r="K7" s="66" t="inlineStr">
        <is>
          <t>942KH-CĐKT</t>
        </is>
      </c>
      <c r="L7" s="66" t="inlineStr">
        <is>
          <t>Cập nhật sản phẩm, mốc hoàn thành</t>
        </is>
      </c>
    </row>
    <row r="8" ht="148" customHeight="1">
      <c r="A8" s="66" t="n">
        <v>4</v>
      </c>
      <c r="B8" s="66" t="inlineStr">
        <is>
          <t>ĐIỀU CHỈNH</t>
        </is>
      </c>
      <c r="C8" s="66" t="inlineStr">
        <is>
          <t>Trục 5</t>
        </is>
      </c>
      <c r="D8" s="66" t="inlineStr">
        <is>
          <t>II.20</t>
        </is>
      </c>
      <c r="E8" s="66" t="inlineStr">
        <is>
          <t>Kế hoạch triển khai thực hiện Nghị quyết số 398/NQ-UBTVQH16 ngày 08/8/2026 về việc phê chuẩn bộ học liệu đa phương tiện (tập 1) - bài giảng và câu hỏi trắc nghiệm kiến thức, kỹ năng số cơ bản (micro-learning) dùng cho cán bộ, công chức, viên chức và người lao động trong khối cơ quan nhà nước; lan tỏa phong trào “bình dân học vụ số” cho các tổ chức, cơ quan, đơn vị, địa phương trong toàn hệ thống chính trị và Phong trào “Bình dân học vụ số”</t>
        </is>
      </c>
      <c r="F8" s="66" t="inlineStr">
        <is>
          <t>Hiệu trưởng</t>
        </is>
      </c>
      <c r="G8" s="66" t="inlineStr">
        <is>
          <t>Phòng QLKHCN&amp;HTPT</t>
        </is>
      </c>
      <c r="H8" s="66" t="inlineStr">
        <is>
          <t>Kế hoạch</t>
        </is>
      </c>
      <c r="I8" s="66" t="inlineStr">
        <is>
          <t>Độ khó: Trung bình</t>
        </is>
      </c>
      <c r="J8" s="66" t="inlineStr">
        <is>
          <t>Độ khó: Cao</t>
        </is>
      </c>
      <c r="K8" s="66" t="inlineStr">
        <is>
          <t>942KH-CĐKT</t>
        </is>
      </c>
      <c r="L8" s="66" t="inlineStr">
        <is>
          <t>Chờ xác nhận hạn 30/9 hay 31/10</t>
        </is>
      </c>
    </row>
    <row r="9" ht="52" customHeight="1">
      <c r="A9" s="66" t="n">
        <v>5</v>
      </c>
      <c r="B9" s="66" t="inlineStr">
        <is>
          <t>ĐIỀU CHỈNH</t>
        </is>
      </c>
      <c r="C9" s="66" t="inlineStr">
        <is>
          <t>Trục 6</t>
        </is>
      </c>
      <c r="D9" s="66" t="inlineStr">
        <is>
          <t>6.1</t>
        </is>
      </c>
      <c r="E9" s="66" t="inlineStr">
        <is>
          <t>Duy trì ổn định chính trị nội bộ, bảo đảm an ninh trật tự trường học và thực hiện Đề án xây dựng xã hội trật tự, kỷ cương</t>
        </is>
      </c>
      <c r="F9" s="66" t="inlineStr">
        <is>
          <t>Hiệu trưởng</t>
        </is>
      </c>
      <c r="G9" s="66" t="inlineStr">
        <is>
          <t>Phòng TCCB&amp;CTHSSV</t>
        </is>
      </c>
      <c r="H9" s="66" t="inlineStr">
        <is>
          <t>Theo dõi, Giám sát, Báo cáo</t>
        </is>
      </c>
      <c r="I9" s="66" t="inlineStr">
        <is>
          <t>Hằng tháng, chậm nhất 31/12/2026</t>
        </is>
      </c>
      <c r="J9" s="66" t="inlineStr">
        <is>
          <t>Hằng tháng đến 31/12/2026</t>
        </is>
      </c>
      <c r="K9" s="66" t="inlineStr">
        <is>
          <t>Quy ước cột thời gian</t>
        </is>
      </c>
      <c r="L9" s="66" t="inlineStr">
        <is>
          <t>Chỉnh cách ghi</t>
        </is>
      </c>
    </row>
    <row r="10" ht="36" customHeight="1">
      <c r="A10" s="68" t="n">
        <v>6</v>
      </c>
      <c r="B10" s="68" t="inlineStr">
        <is>
          <t>BỔ SUNG</t>
        </is>
      </c>
      <c r="C10" s="68" t="inlineStr">
        <is>
          <t>Trục 1</t>
        </is>
      </c>
      <c r="D10" s="68" t="inlineStr">
        <is>
          <t>II.22</t>
        </is>
      </c>
      <c r="E10" s="68" t="inlineStr">
        <is>
          <t>Ban hành Chiến lược phát triển khoa các Khoa học cơ bản đến năm 2030 và tầm nhìn đến năm 2045</t>
        </is>
      </c>
      <c r="F10" s="68" t="inlineStr">
        <is>
          <t>PHT Huỳnh Văn Chung</t>
        </is>
      </c>
      <c r="G10" s="68" t="inlineStr">
        <is>
          <t>Khoa CKHCB</t>
        </is>
      </c>
      <c r="H10" s="68" t="inlineStr">
        <is>
          <t>Quyết định</t>
        </is>
      </c>
      <c r="I10" s="68" t="inlineStr">
        <is>
          <t>—</t>
        </is>
      </c>
      <c r="J10" s="68" t="inlineStr">
        <is>
          <t>31/10/2026</t>
        </is>
      </c>
      <c r="K10" s="68" t="inlineStr">
        <is>
          <t>828KH-CĐKT</t>
        </is>
      </c>
      <c r="L10" s="68" t="inlineStr">
        <is>
          <t>Thêm mới vào Mục II (Q.III chuyển sang)</t>
        </is>
      </c>
    </row>
    <row r="11" ht="36" customHeight="1">
      <c r="A11" s="68" t="n">
        <v>7</v>
      </c>
      <c r="B11" s="68" t="inlineStr">
        <is>
          <t>BỔ SUNG</t>
        </is>
      </c>
      <c r="C11" s="68" t="inlineStr">
        <is>
          <t>Trục 1</t>
        </is>
      </c>
      <c r="D11" s="68" t="inlineStr">
        <is>
          <t>II.23</t>
        </is>
      </c>
      <c r="E11" s="68" t="inlineStr">
        <is>
          <t>Ban hành Chiến lược phát triển khoa Kỹ thuật và Công nghệ đến năm 2030 và tầm nhìn đến năm 2045</t>
        </is>
      </c>
      <c r="F11" s="68" t="inlineStr">
        <is>
          <t>PHT Nguyễn Trung Hiếu</t>
        </is>
      </c>
      <c r="G11" s="68" t="inlineStr">
        <is>
          <t>Khoa KT&amp;CN</t>
        </is>
      </c>
      <c r="H11" s="68" t="inlineStr">
        <is>
          <t>Quyết định</t>
        </is>
      </c>
      <c r="I11" s="68" t="inlineStr">
        <is>
          <t>—</t>
        </is>
      </c>
      <c r="J11" s="68" t="inlineStr">
        <is>
          <t>31/10/2026</t>
        </is>
      </c>
      <c r="K11" s="68" t="inlineStr">
        <is>
          <t>832KH-CĐKT</t>
        </is>
      </c>
      <c r="L11" s="68" t="inlineStr">
        <is>
          <t>Thêm mới vào Mục II (Q.III chuyển sang)</t>
        </is>
      </c>
    </row>
    <row r="12" ht="52" customHeight="1">
      <c r="A12" s="68" t="n">
        <v>8</v>
      </c>
      <c r="B12" s="68" t="inlineStr">
        <is>
          <t>BỔ SUNG</t>
        </is>
      </c>
      <c r="C12" s="68" t="inlineStr">
        <is>
          <t>Trục 1</t>
        </is>
      </c>
      <c r="D12" s="68" t="inlineStr">
        <is>
          <t>BS-1.01</t>
        </is>
      </c>
      <c r="E12" s="68" t="inlineStr">
        <is>
          <t>Xây dựng, ban hành Quy định Hội giảng nhà giáo lần thứ VII, năm học 2026 – 2027 (tiêu chí, biểu mẫu, quy trình)</t>
        </is>
      </c>
      <c r="F12" s="68" t="inlineStr">
        <is>
          <t>PHT Dương Văn Anh Dũng</t>
        </is>
      </c>
      <c r="G12" s="68" t="inlineStr">
        <is>
          <t>Phòng QLĐT&amp;BĐCL</t>
        </is>
      </c>
      <c r="H12" s="68" t="inlineStr">
        <is>
          <t>Quy định; Biểu mẫu</t>
        </is>
      </c>
      <c r="I12" s="68" t="inlineStr">
        <is>
          <t>—</t>
        </is>
      </c>
      <c r="J12" s="68" t="inlineStr">
        <is>
          <t>15/10/2026</t>
        </is>
      </c>
      <c r="K12" s="68" t="inlineStr">
        <is>
          <t>907KH-CĐKT</t>
        </is>
      </c>
      <c r="L12" s="68" t="inlineStr">
        <is>
          <t>Thêm mới sau đối chiếu; không trùng nhiệm vụ đã có</t>
        </is>
      </c>
    </row>
    <row r="13" ht="36" customHeight="1">
      <c r="A13" s="68" t="n">
        <v>9</v>
      </c>
      <c r="B13" s="68" t="inlineStr">
        <is>
          <t>BỔ SUNG</t>
        </is>
      </c>
      <c r="C13" s="68" t="inlineStr">
        <is>
          <t>Trục 1</t>
        </is>
      </c>
      <c r="D13" s="68" t="inlineStr">
        <is>
          <t>BS-1.02</t>
        </is>
      </c>
      <c r="E13" s="68" t="inlineStr">
        <is>
          <t>Các khoa xây dựng, ban hành Kế hoạch Hội giảng cấp khoa và Lịch trình trình giảng, gửi phòng QLĐT&amp;BĐCL</t>
        </is>
      </c>
      <c r="F13" s="68" t="inlineStr">
        <is>
          <t>PHT Dương Văn Anh Dũng</t>
        </is>
      </c>
      <c r="G13" s="68" t="inlineStr">
        <is>
          <t>Các khoa thuộc Trường</t>
        </is>
      </c>
      <c r="H13" s="68" t="inlineStr">
        <is>
          <t>Kế hoạch</t>
        </is>
      </c>
      <c r="I13" s="68" t="inlineStr">
        <is>
          <t>—</t>
        </is>
      </c>
      <c r="J13" s="68" t="inlineStr">
        <is>
          <t>22/10/2026</t>
        </is>
      </c>
      <c r="K13" s="68" t="inlineStr">
        <is>
          <t>907KH-CĐKT</t>
        </is>
      </c>
      <c r="L13" s="68" t="inlineStr">
        <is>
          <t>Thêm mới sau đối chiếu; không trùng nhiệm vụ đã có</t>
        </is>
      </c>
    </row>
    <row r="14" ht="52" customHeight="1">
      <c r="A14" s="68" t="n">
        <v>10</v>
      </c>
      <c r="B14" s="68" t="inlineStr">
        <is>
          <t>BỔ SUNG</t>
        </is>
      </c>
      <c r="C14" s="68" t="inlineStr">
        <is>
          <t>Trục 1</t>
        </is>
      </c>
      <c r="D14" s="68" t="inlineStr">
        <is>
          <t>BS-1.03</t>
        </is>
      </c>
      <c r="E14" s="68" t="inlineStr">
        <is>
          <t>Theo dõi, kiểm tra việc triển khai Kế hoạch số 850/KH-CĐKT; tổng hợp kết quả, khó khăn, vướng mắc; báo cáo định kỳ</t>
        </is>
      </c>
      <c r="F14" s="68" t="inlineStr">
        <is>
          <t>Hiệu trưởng</t>
        </is>
      </c>
      <c r="G14" s="68" t="inlineStr">
        <is>
          <t>Phòng QLĐT&amp;BĐCL</t>
        </is>
      </c>
      <c r="H14" s="68" t="inlineStr">
        <is>
          <t>Báo cáo</t>
        </is>
      </c>
      <c r="I14" s="68" t="inlineStr">
        <is>
          <t>—</t>
        </is>
      </c>
      <c r="J14" s="68" t="inlineStr">
        <is>
          <t>10/11/2026</t>
        </is>
      </c>
      <c r="K14" s="68" t="inlineStr">
        <is>
          <t>850KH-CĐKT</t>
        </is>
      </c>
      <c r="L14" s="68" t="inlineStr">
        <is>
          <t>Thêm mới sau đối chiếu; không trùng nhiệm vụ đã có</t>
        </is>
      </c>
    </row>
    <row r="15" ht="36" customHeight="1">
      <c r="A15" s="68" t="n">
        <v>11</v>
      </c>
      <c r="B15" s="68" t="inlineStr">
        <is>
          <t>BỔ SUNG</t>
        </is>
      </c>
      <c r="C15" s="68" t="inlineStr">
        <is>
          <t>Trục 1</t>
        </is>
      </c>
      <c r="D15" s="68" t="inlineStr">
        <is>
          <t>BS-1.04</t>
        </is>
      </c>
      <c r="E15" s="68" t="inlineStr">
        <is>
          <t>Tổ chức tham quan, trải nghiệm doanh nghiệp cho học sinh, sinh viên các ngành, nghề đào tạo</t>
        </is>
      </c>
      <c r="F15" s="68" t="inlineStr">
        <is>
          <t>PHT Huỳnh Văn Chung</t>
        </is>
      </c>
      <c r="G15" s="68" t="inlineStr">
        <is>
          <t>Các khoa thuộc Trường</t>
        </is>
      </c>
      <c r="H15" s="68" t="inlineStr">
        <is>
          <t>Kế hoạch; Danh sách HSSV</t>
        </is>
      </c>
      <c r="I15" s="68" t="inlineStr">
        <is>
          <t>—</t>
        </is>
      </c>
      <c r="J15" s="68" t="inlineStr">
        <is>
          <t>Quý IV</t>
        </is>
      </c>
      <c r="K15" s="68" t="inlineStr">
        <is>
          <t>881KH-CĐKT</t>
        </is>
      </c>
      <c r="L15" s="68" t="inlineStr">
        <is>
          <t>Thêm mới sau đối chiếu; không trùng nhiệm vụ đã có</t>
        </is>
      </c>
    </row>
    <row r="16" ht="36" customHeight="1">
      <c r="A16" s="68" t="n">
        <v>12</v>
      </c>
      <c r="B16" s="68" t="inlineStr">
        <is>
          <t>BỔ SUNG</t>
        </is>
      </c>
      <c r="C16" s="68" t="inlineStr">
        <is>
          <t>Trục 1</t>
        </is>
      </c>
      <c r="D16" s="68" t="inlineStr">
        <is>
          <t>BS-1.05</t>
        </is>
      </c>
      <c r="E16" s="68" t="inlineStr">
        <is>
          <t>Tổng hợp, đánh giá hiệu quả huy động và sử dụng các nguồn lực xã hội phục vụ đào tạo</t>
        </is>
      </c>
      <c r="F16" s="68" t="inlineStr">
        <is>
          <t>Hiệu trưởng</t>
        </is>
      </c>
      <c r="G16" s="68" t="inlineStr">
        <is>
          <t>Phòng QLKHCN&amp;HTPT</t>
        </is>
      </c>
      <c r="H16" s="68" t="inlineStr">
        <is>
          <t>Báo cáo đánh giá</t>
        </is>
      </c>
      <c r="I16" s="68" t="inlineStr">
        <is>
          <t>—</t>
        </is>
      </c>
      <c r="J16" s="68" t="inlineStr">
        <is>
          <t>Quý IV</t>
        </is>
      </c>
      <c r="K16" s="68" t="inlineStr">
        <is>
          <t>881KH-CĐKT</t>
        </is>
      </c>
      <c r="L16" s="68" t="inlineStr">
        <is>
          <t>Thêm mới sau đối chiếu; không trùng nhiệm vụ đã có</t>
        </is>
      </c>
    </row>
    <row r="17" ht="36" customHeight="1">
      <c r="A17" s="68" t="n">
        <v>13</v>
      </c>
      <c r="B17" s="68" t="inlineStr">
        <is>
          <t>BỔ SUNG</t>
        </is>
      </c>
      <c r="C17" s="68" t="inlineStr">
        <is>
          <t>Trục 1</t>
        </is>
      </c>
      <c r="D17" s="68" t="inlineStr">
        <is>
          <t>BS-1.06</t>
        </is>
      </c>
      <c r="E17" s="68" t="inlineStr">
        <is>
          <t>Khảo sát việc làm của học sinh, sinh viên sau tốt nghiệp</t>
        </is>
      </c>
      <c r="F17" s="68" t="inlineStr">
        <is>
          <t>PHT Huỳnh Văn Chung</t>
        </is>
      </c>
      <c r="G17" s="68" t="inlineStr">
        <is>
          <t>Phòng QLKHCN&amp;HTPT</t>
        </is>
      </c>
      <c r="H17" s="68" t="inlineStr">
        <is>
          <t>Kế hoạch; Báo cáo khảo sát</t>
        </is>
      </c>
      <c r="I17" s="68" t="inlineStr">
        <is>
          <t>—</t>
        </is>
      </c>
      <c r="J17" s="68" t="inlineStr">
        <is>
          <t>Quý IV</t>
        </is>
      </c>
      <c r="K17" s="68" t="inlineStr">
        <is>
          <t>881KH-CĐKT</t>
        </is>
      </c>
      <c r="L17" s="68" t="inlineStr">
        <is>
          <t>Thêm mới sau đối chiếu; không trùng nhiệm vụ đã có</t>
        </is>
      </c>
    </row>
    <row r="18" ht="20" customHeight="1">
      <c r="A18" s="68" t="n">
        <v>14</v>
      </c>
      <c r="B18" s="68" t="inlineStr">
        <is>
          <t>BỔ SUNG</t>
        </is>
      </c>
      <c r="C18" s="68" t="inlineStr">
        <is>
          <t>Trục 1</t>
        </is>
      </c>
      <c r="D18" s="68" t="inlineStr">
        <is>
          <t>BS-1.07</t>
        </is>
      </c>
      <c r="E18" s="68" t="inlineStr">
        <is>
          <t>Đề xuất cải tiến chương trình đào tạo</t>
        </is>
      </c>
      <c r="F18" s="68" t="inlineStr">
        <is>
          <t>PHT Huỳnh Văn Chung</t>
        </is>
      </c>
      <c r="G18" s="68" t="inlineStr">
        <is>
          <t>Phòng QLĐT&amp;BĐCL</t>
        </is>
      </c>
      <c r="H18" s="68" t="inlineStr">
        <is>
          <t>Báo cáo cải tiến</t>
        </is>
      </c>
      <c r="I18" s="68" t="inlineStr">
        <is>
          <t>—</t>
        </is>
      </c>
      <c r="J18" s="68" t="inlineStr">
        <is>
          <t>Quý IV</t>
        </is>
      </c>
      <c r="K18" s="68" t="inlineStr">
        <is>
          <t>881KH-CĐKT</t>
        </is>
      </c>
      <c r="L18" s="68" t="inlineStr">
        <is>
          <t>Thêm mới sau đối chiếu; không trùng nhiệm vụ đã có</t>
        </is>
      </c>
    </row>
    <row r="19" ht="52" customHeight="1">
      <c r="A19" s="68" t="n">
        <v>15</v>
      </c>
      <c r="B19" s="68" t="inlineStr">
        <is>
          <t>BỔ SUNG</t>
        </is>
      </c>
      <c r="C19" s="68" t="inlineStr">
        <is>
          <t>Trục 1</t>
        </is>
      </c>
      <c r="D19" s="68" t="inlineStr">
        <is>
          <t>BS-1.08</t>
        </is>
      </c>
      <c r="E19" s="68" t="inlineStr">
        <is>
          <t>Sơ kết Kế hoạch số 881/KH-CĐKT triển khai Công văn số 4201/SGDĐT-GDNNQLĐT ngày 26/8/2026 của Sở Giáo dục và Đào tạo</t>
        </is>
      </c>
      <c r="F19" s="68" t="inlineStr">
        <is>
          <t>Hiệu trưởng</t>
        </is>
      </c>
      <c r="G19" s="68" t="inlineStr">
        <is>
          <t>Phòng QLKHCN&amp;HTPT</t>
        </is>
      </c>
      <c r="H19" s="68" t="inlineStr">
        <is>
          <t>Báo cáo sơ kết</t>
        </is>
      </c>
      <c r="I19" s="68" t="inlineStr">
        <is>
          <t>—</t>
        </is>
      </c>
      <c r="J19" s="68" t="inlineStr">
        <is>
          <t>Quý IV</t>
        </is>
      </c>
      <c r="K19" s="68" t="inlineStr">
        <is>
          <t>881KH-CĐKT</t>
        </is>
      </c>
      <c r="L19" s="68" t="inlineStr">
        <is>
          <t>Thêm mới sau đối chiếu; không trùng nhiệm vụ đã có</t>
        </is>
      </c>
    </row>
    <row r="20" ht="84" customHeight="1">
      <c r="A20" s="68" t="n">
        <v>16</v>
      </c>
      <c r="B20" s="68" t="inlineStr">
        <is>
          <t>BỔ SUNG</t>
        </is>
      </c>
      <c r="C20" s="68" t="inlineStr">
        <is>
          <t>Trục 1</t>
        </is>
      </c>
      <c r="D20" s="68" t="inlineStr">
        <is>
          <t>BS-1.09</t>
        </is>
      </c>
      <c r="E20" s="68" t="inlineStr">
        <is>
          <t>Rà soát, khảo sát hiện trạng nguồn nhân lực, ngành, nghề, đội ngũ nhà giáo, chương trình đào tạo, cơ sở vật chất, hạ tầng số và nhu cầu đào tạo, sử dụng lao động liên quan đến công nghiệp bán dẫn; đề xuất nhiệm vụ, giải pháp</t>
        </is>
      </c>
      <c r="F20" s="68" t="inlineStr">
        <is>
          <t>Hiệu trưởng</t>
        </is>
      </c>
      <c r="G20" s="68" t="inlineStr">
        <is>
          <t>Phòng QLĐT&amp;BĐCL</t>
        </is>
      </c>
      <c r="H20" s="68" t="inlineStr">
        <is>
          <t>Công văn; Báo cáo</t>
        </is>
      </c>
      <c r="I20" s="68" t="inlineStr">
        <is>
          <t>—</t>
        </is>
      </c>
      <c r="J20" s="68" t="inlineStr">
        <is>
          <t>Năm 2026</t>
        </is>
      </c>
      <c r="K20" s="68" t="inlineStr">
        <is>
          <t>850KH-CĐKT</t>
        </is>
      </c>
      <c r="L20" s="68" t="inlineStr">
        <is>
          <t>Thêm mới sau đối chiếu; không trùng nhiệm vụ đã có</t>
        </is>
      </c>
    </row>
    <row r="21" ht="68" customHeight="1">
      <c r="A21" s="68" t="n">
        <v>17</v>
      </c>
      <c r="B21" s="68" t="inlineStr">
        <is>
          <t>BỔ SUNG</t>
        </is>
      </c>
      <c r="C21" s="68" t="inlineStr">
        <is>
          <t>Trục 1</t>
        </is>
      </c>
      <c r="D21" s="68" t="inlineStr">
        <is>
          <t>BS-1.10</t>
        </is>
      </c>
      <c r="E21" s="68" t="inlineStr">
        <is>
          <t>Xây dựng, cập nhật danh mục cơ sở đào tạo, viện nghiên cứu, doanh nghiệp, chuyên gia có khả năng phối hợp đào tạo, tuyển dụng, nghiên cứu về công nghiệp bán dẫn</t>
        </is>
      </c>
      <c r="F21" s="68" t="inlineStr">
        <is>
          <t>Hiệu trưởng</t>
        </is>
      </c>
      <c r="G21" s="68" t="inlineStr">
        <is>
          <t>Phòng QLKHCN&amp;HTPT</t>
        </is>
      </c>
      <c r="H21" s="68" t="inlineStr">
        <is>
          <t>Danh mục đối tác</t>
        </is>
      </c>
      <c r="I21" s="68" t="inlineStr">
        <is>
          <t>—</t>
        </is>
      </c>
      <c r="J21" s="68" t="inlineStr">
        <is>
          <t>Năm 2026</t>
        </is>
      </c>
      <c r="K21" s="68" t="inlineStr">
        <is>
          <t>850KH-CĐKT</t>
        </is>
      </c>
      <c r="L21" s="68" t="inlineStr">
        <is>
          <t>Thêm mới sau đối chiếu; không trùng nhiệm vụ đã có</t>
        </is>
      </c>
    </row>
    <row r="22" ht="52" customHeight="1">
      <c r="A22" s="68" t="n">
        <v>18</v>
      </c>
      <c r="B22" s="68" t="inlineStr">
        <is>
          <t>BỔ SUNG</t>
        </is>
      </c>
      <c r="C22" s="68" t="inlineStr">
        <is>
          <t>Trục 1</t>
        </is>
      </c>
      <c r="D22" s="68" t="inlineStr">
        <is>
          <t>BS-1.11</t>
        </is>
      </c>
      <c r="E22" s="68" t="inlineStr">
        <is>
          <t>Triển khai mô hình hợp tác toàn diện ba bên "Nhà trường - Chính quyền địa phương - Doanh nghiệp" trong đào tạo, thực hành, thực tập, tuyển dụng</t>
        </is>
      </c>
      <c r="F22" s="68" t="inlineStr">
        <is>
          <t>Hiệu trưởng</t>
        </is>
      </c>
      <c r="G22" s="68" t="inlineStr">
        <is>
          <t>Phòng QLKHCN&amp;HTPT</t>
        </is>
      </c>
      <c r="H22" s="68" t="inlineStr">
        <is>
          <t>Kế hoạch; Báo cáo</t>
        </is>
      </c>
      <c r="I22" s="68" t="inlineStr">
        <is>
          <t>—</t>
        </is>
      </c>
      <c r="J22" s="68" t="inlineStr">
        <is>
          <t>Năm 2026</t>
        </is>
      </c>
      <c r="K22" s="68" t="inlineStr">
        <is>
          <t>850KH-CĐKT</t>
        </is>
      </c>
      <c r="L22" s="68" t="inlineStr">
        <is>
          <t>Thêm mới sau đối chiếu; không trùng nhiệm vụ đã có</t>
        </is>
      </c>
    </row>
    <row r="23" ht="52" customHeight="1">
      <c r="A23" s="68" t="n">
        <v>19</v>
      </c>
      <c r="B23" s="68" t="inlineStr">
        <is>
          <t>BỔ SUNG</t>
        </is>
      </c>
      <c r="C23" s="68" t="inlineStr">
        <is>
          <t>Trục 1</t>
        </is>
      </c>
      <c r="D23" s="68" t="inlineStr">
        <is>
          <t>BS-1.12</t>
        </is>
      </c>
      <c r="E23" s="68" t="inlineStr">
        <is>
          <t>Rà soát nhu cầu, đề xuất cơ chế, chính sách hỗ trợ học sinh, sinh viên, nhà giáo tham gia đào tạo, bồi dưỡng về công nghiệp bán dẫn</t>
        </is>
      </c>
      <c r="F23" s="68" t="inlineStr">
        <is>
          <t>Hiệu trưởng</t>
        </is>
      </c>
      <c r="G23" s="68" t="inlineStr">
        <is>
          <t>Phòng TCCB&amp;CTHSSV</t>
        </is>
      </c>
      <c r="H23" s="68" t="inlineStr">
        <is>
          <t>Công văn; Báo cáo</t>
        </is>
      </c>
      <c r="I23" s="68" t="inlineStr">
        <is>
          <t>—</t>
        </is>
      </c>
      <c r="J23" s="68" t="inlineStr">
        <is>
          <t>Năm 2026</t>
        </is>
      </c>
      <c r="K23" s="68" t="inlineStr">
        <is>
          <t>850KH-CĐKT</t>
        </is>
      </c>
      <c r="L23" s="68" t="inlineStr">
        <is>
          <t>Thêm mới sau đối chiếu; không trùng nhiệm vụ đã có</t>
        </is>
      </c>
    </row>
    <row r="24" ht="52" customHeight="1">
      <c r="A24" s="68" t="n">
        <v>20</v>
      </c>
      <c r="B24" s="68" t="inlineStr">
        <is>
          <t>BỔ SUNG</t>
        </is>
      </c>
      <c r="C24" s="68" t="inlineStr">
        <is>
          <t>Trục 1</t>
        </is>
      </c>
      <c r="D24" s="68" t="inlineStr">
        <is>
          <t>BS-1.13</t>
        </is>
      </c>
      <c r="E24" s="68" t="inlineStr">
        <is>
          <t>Rà soát nhu cầu, khả năng đầu tư, nâng cấp hạ tầng đào tạo, phòng thực hành, thiết bị; lồng ghép, bố trí nguồn lực thực hiện Kế hoạch số 850/KH-CĐKT</t>
        </is>
      </c>
      <c r="F24" s="68" t="inlineStr">
        <is>
          <t>Hiệu trưởng</t>
        </is>
      </c>
      <c r="G24" s="68" t="inlineStr">
        <is>
          <t>Phòng TC-KT</t>
        </is>
      </c>
      <c r="H24" s="68" t="inlineStr">
        <is>
          <t>Báo cáo; Phương án/Dự toán kinh phí</t>
        </is>
      </c>
      <c r="I24" s="68" t="inlineStr">
        <is>
          <t>—</t>
        </is>
      </c>
      <c r="J24" s="68" t="inlineStr">
        <is>
          <t>Năm 2026</t>
        </is>
      </c>
      <c r="K24" s="68" t="inlineStr">
        <is>
          <t>850KH-CĐKT</t>
        </is>
      </c>
      <c r="L24" s="68" t="inlineStr">
        <is>
          <t>Thêm mới sau đối chiếu; không trùng nhiệm vụ đã có</t>
        </is>
      </c>
    </row>
    <row r="25" ht="52" customHeight="1">
      <c r="A25" s="68" t="n">
        <v>21</v>
      </c>
      <c r="B25" s="68" t="inlineStr">
        <is>
          <t>BỔ SUNG</t>
        </is>
      </c>
      <c r="C25" s="68" t="inlineStr">
        <is>
          <t>Trục 1</t>
        </is>
      </c>
      <c r="D25" s="68" t="inlineStr">
        <is>
          <t>BS-1.14</t>
        </is>
      </c>
      <c r="E25" s="68" t="inlineStr">
        <is>
          <t>Phối hợp cơ sở đào tạo, viện nghiên cứu, doanh nghiệp triển khai các chương trình liên kết, hợp tác đào tạo, bồi dưỡng về vi mạch, công nghiệp bán dẫn</t>
        </is>
      </c>
      <c r="F25" s="68" t="inlineStr">
        <is>
          <t>Hiệu trưởng</t>
        </is>
      </c>
      <c r="G25" s="68" t="inlineStr">
        <is>
          <t>Phòng QLKHCN&amp;HTPT</t>
        </is>
      </c>
      <c r="H25" s="68" t="inlineStr">
        <is>
          <t>Kế hoạch; Hồ sơ hợp tác</t>
        </is>
      </c>
      <c r="I25" s="68" t="inlineStr">
        <is>
          <t>—</t>
        </is>
      </c>
      <c r="J25" s="68" t="inlineStr">
        <is>
          <t>Năm 2026</t>
        </is>
      </c>
      <c r="K25" s="68" t="inlineStr">
        <is>
          <t>850KH-CĐKT</t>
        </is>
      </c>
      <c r="L25" s="68" t="inlineStr">
        <is>
          <t>Thêm mới sau đối chiếu; không trùng nhiệm vụ đã có</t>
        </is>
      </c>
    </row>
    <row r="26" ht="52" customHeight="1">
      <c r="A26" s="68" t="n">
        <v>22</v>
      </c>
      <c r="B26" s="68" t="inlineStr">
        <is>
          <t>BỔ SUNG</t>
        </is>
      </c>
      <c r="C26" s="68" t="inlineStr">
        <is>
          <t>Trục 1</t>
        </is>
      </c>
      <c r="D26" s="68" t="inlineStr">
        <is>
          <t>BS-1.15</t>
        </is>
      </c>
      <c r="E26" s="68" t="inlineStr">
        <is>
          <t>Cử, hỗ trợ cán bộ quản lý, nhà giáo tham gia đào tạo, bồi dưỡng, tập huấn về công nghiệp bán dẫn và các ngành gần</t>
        </is>
      </c>
      <c r="F26" s="68" t="inlineStr">
        <is>
          <t>Hiệu trưởng</t>
        </is>
      </c>
      <c r="G26" s="68" t="inlineStr">
        <is>
          <t>Phòng TCCB&amp;CTHSSV</t>
        </is>
      </c>
      <c r="H26" s="68" t="inlineStr">
        <is>
          <t>Kế hoạch/Công văn; Báo cáo</t>
        </is>
      </c>
      <c r="I26" s="68" t="inlineStr">
        <is>
          <t>—</t>
        </is>
      </c>
      <c r="J26" s="68" t="inlineStr">
        <is>
          <t>Năm 2026</t>
        </is>
      </c>
      <c r="K26" s="68" t="inlineStr">
        <is>
          <t>850KH-CĐKT</t>
        </is>
      </c>
      <c r="L26" s="68" t="inlineStr">
        <is>
          <t>Thêm mới sau đối chiếu; không trùng nhiệm vụ đã có</t>
        </is>
      </c>
    </row>
    <row r="27" ht="52" customHeight="1">
      <c r="A27" s="68" t="n">
        <v>23</v>
      </c>
      <c r="B27" s="68" t="inlineStr">
        <is>
          <t>BỔ SUNG</t>
        </is>
      </c>
      <c r="C27" s="68" t="inlineStr">
        <is>
          <t>Trục 1</t>
        </is>
      </c>
      <c r="D27" s="68" t="inlineStr">
        <is>
          <t>BS-1.16</t>
        </is>
      </c>
      <c r="E27" s="68" t="inlineStr">
        <is>
          <t>Rà soát, cập nhật chương trình đào tạo các ngành, nghề gần với công nghiệp bán dẫn; xác định khoảng trống năng lực, nội dung cần bổ sung</t>
        </is>
      </c>
      <c r="F27" s="68" t="inlineStr">
        <is>
          <t>Hiệu trưởng</t>
        </is>
      </c>
      <c r="G27" s="68" t="inlineStr">
        <is>
          <t>Các khoa thuộc Trường</t>
        </is>
      </c>
      <c r="H27" s="68" t="inlineStr">
        <is>
          <t>Chương trình đào tạo</t>
        </is>
      </c>
      <c r="I27" s="68" t="inlineStr">
        <is>
          <t>—</t>
        </is>
      </c>
      <c r="J27" s="68" t="inlineStr">
        <is>
          <t>Năm 2026</t>
        </is>
      </c>
      <c r="K27" s="68" t="inlineStr">
        <is>
          <t>850KH-CĐKT</t>
        </is>
      </c>
      <c r="L27" s="68" t="inlineStr">
        <is>
          <t>Thêm mới sau đối chiếu; không trùng nhiệm vụ đã có</t>
        </is>
      </c>
    </row>
    <row r="28" ht="68" customHeight="1">
      <c r="A28" s="68" t="n">
        <v>24</v>
      </c>
      <c r="B28" s="68" t="inlineStr">
        <is>
          <t>BỔ SUNG</t>
        </is>
      </c>
      <c r="C28" s="68" t="inlineStr">
        <is>
          <t>Trục 1</t>
        </is>
      </c>
      <c r="D28" s="68" t="inlineStr">
        <is>
          <t>BS-1.17</t>
        </is>
      </c>
      <c r="E28" s="68" t="inlineStr">
        <is>
          <t>Tăng cường kết nối doanh nghiệp, cơ quan, đơn vị để hỗ trợ học sinh, sinh viên, nhà giáo thực tập, thực hành, làm việc thực tế; cập nhật thông tin nguồn nhân lực, vị trí việc làm</t>
        </is>
      </c>
      <c r="F28" s="68" t="inlineStr">
        <is>
          <t>Hiệu trưởng</t>
        </is>
      </c>
      <c r="G28" s="68" t="inlineStr">
        <is>
          <t>Phòng QLKHCN&amp;HTPT</t>
        </is>
      </c>
      <c r="H28" s="68" t="inlineStr">
        <is>
          <t>Kế hoạch; Hồ sơ bản tin</t>
        </is>
      </c>
      <c r="I28" s="68" t="inlineStr">
        <is>
          <t>—</t>
        </is>
      </c>
      <c r="J28" s="68" t="inlineStr">
        <is>
          <t>Năm 2026</t>
        </is>
      </c>
      <c r="K28" s="68" t="inlineStr">
        <is>
          <t>850KH-CĐKT</t>
        </is>
      </c>
      <c r="L28" s="68" t="inlineStr">
        <is>
          <t>Thêm mới sau đối chiếu; không trùng nhiệm vụ đã có</t>
        </is>
      </c>
    </row>
    <row r="29" ht="84" customHeight="1">
      <c r="A29" s="68" t="n">
        <v>25</v>
      </c>
      <c r="B29" s="68" t="inlineStr">
        <is>
          <t>BỔ SUNG</t>
        </is>
      </c>
      <c r="C29" s="68" t="inlineStr">
        <is>
          <t>Trục 2</t>
        </is>
      </c>
      <c r="D29" s="68" t="inlineStr">
        <is>
          <t>BS-2.01</t>
        </is>
      </c>
      <c r="E29" s="68" t="inlineStr">
        <is>
          <t>Kiểm kê, rà soát hiện trạng máy móc, thiết bị chuyên dùng hiện có tại Khoa; rà soát tiêu chuẩn, định mức đã ban hành (Quyết định số 1763/QĐ-CĐKT, Phụ lục 11 Quyết định số 1039/QĐ-CĐKT) theo Điều 7 Thông tư số 66/2026/TT-BGDĐT</t>
        </is>
      </c>
      <c r="F29" s="68" t="inlineStr">
        <is>
          <t>Hiệu trưởng</t>
        </is>
      </c>
      <c r="G29" s="68" t="inlineStr">
        <is>
          <t>Phòng TH-HC&amp;QT</t>
        </is>
      </c>
      <c r="H29" s="68" t="inlineStr">
        <is>
          <t>Danh mục; Báo cáo kết quả rà soát, đối chiếu</t>
        </is>
      </c>
      <c r="I29" s="68" t="inlineStr">
        <is>
          <t>—</t>
        </is>
      </c>
      <c r="J29" s="68" t="inlineStr">
        <is>
          <t>31/10/2026</t>
        </is>
      </c>
      <c r="K29" s="68" t="inlineStr">
        <is>
          <t>893KH-CĐKT</t>
        </is>
      </c>
      <c r="L29" s="68" t="inlineStr">
        <is>
          <t>Thêm mới sau đối chiếu; không trùng nhiệm vụ đã có</t>
        </is>
      </c>
    </row>
    <row r="30" ht="52" customHeight="1">
      <c r="A30" s="68" t="n">
        <v>26</v>
      </c>
      <c r="B30" s="68" t="inlineStr">
        <is>
          <t>BỔ SUNG</t>
        </is>
      </c>
      <c r="C30" s="68" t="inlineStr">
        <is>
          <t>Trục 2</t>
        </is>
      </c>
      <c r="D30" s="68" t="inlineStr">
        <is>
          <t>BS-2.02</t>
        </is>
      </c>
      <c r="E30" s="68" t="inlineStr">
        <is>
          <t>Khảo sát, tổng hợp nhu cầu trang bị bổ sung máy móc, thiết bị chuyên dùng ngành Giáo dục Mầm non, trình độ cao đẳng</t>
        </is>
      </c>
      <c r="F30" s="68" t="inlineStr">
        <is>
          <t>PHT Dương Văn Anh Dũng</t>
        </is>
      </c>
      <c r="G30" s="68" t="inlineStr">
        <is>
          <t>Khoa Sư phạm</t>
        </is>
      </c>
      <c r="H30" s="68" t="inlineStr">
        <is>
          <t>Bảng tổng hợp danh mục thiết bị</t>
        </is>
      </c>
      <c r="I30" s="68" t="inlineStr">
        <is>
          <t>—</t>
        </is>
      </c>
      <c r="J30" s="68" t="inlineStr">
        <is>
          <t>31/10/2026</t>
        </is>
      </c>
      <c r="K30" s="68" t="inlineStr">
        <is>
          <t>893KH-CĐKT</t>
        </is>
      </c>
      <c r="L30" s="68" t="inlineStr">
        <is>
          <t>Thêm mới sau đối chiếu; không trùng nhiệm vụ đã có</t>
        </is>
      </c>
    </row>
    <row r="31" ht="52" customHeight="1">
      <c r="A31" s="68" t="n">
        <v>27</v>
      </c>
      <c r="B31" s="68" t="inlineStr">
        <is>
          <t>BỔ SUNG</t>
        </is>
      </c>
      <c r="C31" s="68" t="inlineStr">
        <is>
          <t>Trục 2</t>
        </is>
      </c>
      <c r="D31" s="68" t="inlineStr">
        <is>
          <t>BS-2.03</t>
        </is>
      </c>
      <c r="E31" s="68" t="inlineStr">
        <is>
          <t>Xây dựng dự thảo Quyết định tiêu chuẩn, định mức sử dụng máy móc, thiết bị chuyên dùng trong lĩnh vực giáo dục và đào tạo của Trường</t>
        </is>
      </c>
      <c r="F31" s="68" t="inlineStr">
        <is>
          <t>Hiệu trưởng</t>
        </is>
      </c>
      <c r="G31" s="68" t="inlineStr">
        <is>
          <t>Phòng TH-HC&amp;QT</t>
        </is>
      </c>
      <c r="H31" s="68" t="inlineStr">
        <is>
          <t>Dự thảo Quyết định và Phụ lục</t>
        </is>
      </c>
      <c r="I31" s="68" t="inlineStr">
        <is>
          <t>—</t>
        </is>
      </c>
      <c r="J31" s="68" t="inlineStr">
        <is>
          <t>20/11/2026</t>
        </is>
      </c>
      <c r="K31" s="68" t="inlineStr">
        <is>
          <t>893KH-CĐKT</t>
        </is>
      </c>
      <c r="L31" s="68" t="inlineStr">
        <is>
          <t>Thêm mới sau đối chiếu; không trùng nhiệm vụ đã có</t>
        </is>
      </c>
    </row>
    <row r="32" ht="52" customHeight="1">
      <c r="A32" s="68" t="n">
        <v>28</v>
      </c>
      <c r="B32" s="68" t="inlineStr">
        <is>
          <t>BỔ SUNG</t>
        </is>
      </c>
      <c r="C32" s="68" t="inlineStr">
        <is>
          <t>Trục 2</t>
        </is>
      </c>
      <c r="D32" s="68" t="inlineStr">
        <is>
          <t>BS-2.04</t>
        </is>
      </c>
      <c r="E32" s="68" t="inlineStr">
        <is>
          <t>Hội đồng khoa học và đào tạo thẩm định danh mục máy móc, thiết bị chuyên dùng (sự cần thiết, thông số kỹ thuật, mức độ phù hợp)</t>
        </is>
      </c>
      <c r="F32" s="68" t="inlineStr">
        <is>
          <t>Chủ tịch Hội đồng</t>
        </is>
      </c>
      <c r="G32" s="68" t="inlineStr">
        <is>
          <t>Phòng QLKHCN&amp;HTPT</t>
        </is>
      </c>
      <c r="H32" s="68" t="inlineStr">
        <is>
          <t>Thông báo kết luận</t>
        </is>
      </c>
      <c r="I32" s="68" t="inlineStr">
        <is>
          <t>—</t>
        </is>
      </c>
      <c r="J32" s="68" t="inlineStr">
        <is>
          <t>30/11/2026</t>
        </is>
      </c>
      <c r="K32" s="68" t="inlineStr">
        <is>
          <t>893KH-CĐKT</t>
        </is>
      </c>
      <c r="L32" s="68" t="inlineStr">
        <is>
          <t>Thêm mới sau đối chiếu; không trùng nhiệm vụ đã có</t>
        </is>
      </c>
    </row>
    <row r="33" ht="52" customHeight="1">
      <c r="A33" s="68" t="n">
        <v>29</v>
      </c>
      <c r="B33" s="68" t="inlineStr">
        <is>
          <t>BỔ SUNG</t>
        </is>
      </c>
      <c r="C33" s="68" t="inlineStr">
        <is>
          <t>Trục 2</t>
        </is>
      </c>
      <c r="D33" s="68" t="inlineStr">
        <is>
          <t>BS-2.05</t>
        </is>
      </c>
      <c r="E33" s="68" t="inlineStr">
        <is>
          <t>Trình Hiệu trưởng ban hành Quyết định tiêu chuẩn, định mức sử dụng máy móc, thiết bị chuyên dùng trong lĩnh vực giáo dục và đào tạo của Trường</t>
        </is>
      </c>
      <c r="F33" s="68" t="inlineStr">
        <is>
          <t>Hiệu trưởng</t>
        </is>
      </c>
      <c r="G33" s="68" t="inlineStr">
        <is>
          <t>Phòng TH-HC&amp;QT</t>
        </is>
      </c>
      <c r="H33" s="68" t="inlineStr">
        <is>
          <t>Quyết định và Phụ lục</t>
        </is>
      </c>
      <c r="I33" s="68" t="inlineStr">
        <is>
          <t>—</t>
        </is>
      </c>
      <c r="J33" s="68" t="inlineStr">
        <is>
          <t>31/12/2026</t>
        </is>
      </c>
      <c r="K33" s="68" t="inlineStr">
        <is>
          <t>893KH-CĐKT</t>
        </is>
      </c>
      <c r="L33" s="68" t="inlineStr">
        <is>
          <t>Thêm mới sau đối chiếu; không trùng nhiệm vụ đã có</t>
        </is>
      </c>
    </row>
    <row r="34" ht="52" customHeight="1">
      <c r="A34" s="68" t="n">
        <v>30</v>
      </c>
      <c r="B34" s="68" t="inlineStr">
        <is>
          <t>BỔ SUNG</t>
        </is>
      </c>
      <c r="C34" s="68" t="inlineStr">
        <is>
          <t>Trục 2</t>
        </is>
      </c>
      <c r="D34" s="68" t="inlineStr">
        <is>
          <t>BS-2.06</t>
        </is>
      </c>
      <c r="E34" s="68" t="inlineStr">
        <is>
          <t>Công khai Quyết định tiêu chuẩn, định mức sử dụng máy móc, thiết bị chuyên dùng trên Cổng thông tin điện tử của Trường</t>
        </is>
      </c>
      <c r="F34" s="68" t="inlineStr">
        <is>
          <t>Hiệu trưởng</t>
        </is>
      </c>
      <c r="G34" s="68" t="inlineStr">
        <is>
          <t>Phòng TH-HC&amp;QT</t>
        </is>
      </c>
      <c r="H34" s="68" t="inlineStr">
        <is>
          <t>Tin đăng công khai</t>
        </is>
      </c>
      <c r="I34" s="68" t="inlineStr">
        <is>
          <t>—</t>
        </is>
      </c>
      <c r="J34" s="68" t="inlineStr">
        <is>
          <t>31/12/2026</t>
        </is>
      </c>
      <c r="K34" s="68" t="inlineStr">
        <is>
          <t>893KH-CĐKT</t>
        </is>
      </c>
      <c r="L34" s="68" t="inlineStr">
        <is>
          <t>Thêm mới sau đối chiếu; không trùng nhiệm vụ đã có</t>
        </is>
      </c>
    </row>
    <row r="35" ht="36" customHeight="1">
      <c r="A35" s="68" t="n">
        <v>31</v>
      </c>
      <c r="B35" s="68" t="inlineStr">
        <is>
          <t>BỔ SUNG</t>
        </is>
      </c>
      <c r="C35" s="68" t="inlineStr">
        <is>
          <t>Trục 3</t>
        </is>
      </c>
      <c r="D35" s="68" t="inlineStr">
        <is>
          <t>BS-3.01</t>
        </is>
      </c>
      <c r="E35" s="68" t="inlineStr">
        <is>
          <t>Xây dựng bộ công cụ kiểm tra, rà soát, dự thảo thông báo thu học phí</t>
        </is>
      </c>
      <c r="F35" s="68" t="inlineStr">
        <is>
          <t>Hiệu trưởng</t>
        </is>
      </c>
      <c r="G35" s="68" t="inlineStr">
        <is>
          <t>Phòng TC-KT</t>
        </is>
      </c>
      <c r="H35" s="68" t="inlineStr">
        <is>
          <t>Bộ công cụ đóng gói: Skills, Prompt, quy trình, thông báo</t>
        </is>
      </c>
      <c r="I35" s="68" t="inlineStr">
        <is>
          <t>—</t>
        </is>
      </c>
      <c r="J35" s="68" t="inlineStr">
        <is>
          <t>30/10/2026</t>
        </is>
      </c>
      <c r="K35" s="68" t="inlineStr">
        <is>
          <t>848KH-CĐKT</t>
        </is>
      </c>
      <c r="L35" s="68" t="inlineStr">
        <is>
          <t>Thêm mới sau đối chiếu; không trùng nhiệm vụ đã có</t>
        </is>
      </c>
    </row>
    <row r="36" ht="36" customHeight="1">
      <c r="A36" s="68" t="n">
        <v>32</v>
      </c>
      <c r="B36" s="68" t="inlineStr">
        <is>
          <t>BỔ SUNG</t>
        </is>
      </c>
      <c r="C36" s="68" t="inlineStr">
        <is>
          <t>Trục 3</t>
        </is>
      </c>
      <c r="D36" s="68" t="inlineStr">
        <is>
          <t>BS-3.02</t>
        </is>
      </c>
      <c r="E36" s="68" t="inlineStr">
        <is>
          <t>Xây dựng bộ công cụ kiểm tra, rà soát, chi trả chế độ, chính sách cho học sinh, sinh viên</t>
        </is>
      </c>
      <c r="F36" s="68" t="inlineStr">
        <is>
          <t>Hiệu trưởng</t>
        </is>
      </c>
      <c r="G36" s="68" t="inlineStr">
        <is>
          <t>Phòng TC-KT</t>
        </is>
      </c>
      <c r="H36" s="68" t="inlineStr">
        <is>
          <t>Bộ công cụ đóng gói: Skills, Prompt, quy trình, thông báo</t>
        </is>
      </c>
      <c r="I36" s="68" t="inlineStr">
        <is>
          <t>—</t>
        </is>
      </c>
      <c r="J36" s="68" t="inlineStr">
        <is>
          <t>30/10/2026</t>
        </is>
      </c>
      <c r="K36" s="68" t="inlineStr">
        <is>
          <t>848KH-CĐKT</t>
        </is>
      </c>
      <c r="L36" s="68" t="inlineStr">
        <is>
          <t>Thêm mới sau đối chiếu; không trùng nhiệm vụ đã có</t>
        </is>
      </c>
    </row>
    <row r="37" ht="36" customHeight="1">
      <c r="A37" s="68" t="n">
        <v>33</v>
      </c>
      <c r="B37" s="68" t="inlineStr">
        <is>
          <t>BỔ SUNG</t>
        </is>
      </c>
      <c r="C37" s="68" t="inlineStr">
        <is>
          <t>Trục 3</t>
        </is>
      </c>
      <c r="D37" s="68" t="inlineStr">
        <is>
          <t>BS-3.03</t>
        </is>
      </c>
      <c r="E37" s="68" t="inlineStr">
        <is>
          <t>Xây dựng bộ công cụ kiểm tra, rà soát, chi trả học bổng khuyến khích học tập cho học sinh, sinh viên</t>
        </is>
      </c>
      <c r="F37" s="68" t="inlineStr">
        <is>
          <t>Hiệu trưởng</t>
        </is>
      </c>
      <c r="G37" s="68" t="inlineStr">
        <is>
          <t>Phòng TC-KT</t>
        </is>
      </c>
      <c r="H37" s="68" t="inlineStr">
        <is>
          <t>Bộ công cụ đóng gói: Skills, Prompt, quy trình, thông báo</t>
        </is>
      </c>
      <c r="I37" s="68" t="inlineStr">
        <is>
          <t>—</t>
        </is>
      </c>
      <c r="J37" s="68" t="inlineStr">
        <is>
          <t>30/10/2026</t>
        </is>
      </c>
      <c r="K37" s="68" t="inlineStr">
        <is>
          <t>848KH-CĐKT</t>
        </is>
      </c>
      <c r="L37" s="68" t="inlineStr">
        <is>
          <t>Thêm mới sau đối chiếu; không trùng nhiệm vụ đã có</t>
        </is>
      </c>
    </row>
    <row r="38" ht="36" customHeight="1">
      <c r="A38" s="68" t="n">
        <v>34</v>
      </c>
      <c r="B38" s="68" t="inlineStr">
        <is>
          <t>BỔ SUNG</t>
        </is>
      </c>
      <c r="C38" s="68" t="inlineStr">
        <is>
          <t>Trục 3</t>
        </is>
      </c>
      <c r="D38" s="68" t="inlineStr">
        <is>
          <t>BS-3.04</t>
        </is>
      </c>
      <c r="E38" s="68" t="inlineStr">
        <is>
          <t>Xây dựng công cụ rà soát, đề xuất xét chế độ chính sách đối với công tác học sinh, sinh viên</t>
        </is>
      </c>
      <c r="F38" s="68" t="inlineStr">
        <is>
          <t>Hiệu trưởng</t>
        </is>
      </c>
      <c r="G38" s="68" t="inlineStr">
        <is>
          <t>Phòng TCCB&amp;CTHSSV</t>
        </is>
      </c>
      <c r="H38" s="68" t="inlineStr">
        <is>
          <t>Bộ công cụ đóng gói: Skills, Prompt, quy trình, thông báo</t>
        </is>
      </c>
      <c r="I38" s="68" t="inlineStr">
        <is>
          <t>—</t>
        </is>
      </c>
      <c r="J38" s="68" t="inlineStr">
        <is>
          <t>30/10/2026</t>
        </is>
      </c>
      <c r="K38" s="68" t="inlineStr">
        <is>
          <t>848KH-CĐKT</t>
        </is>
      </c>
      <c r="L38" s="68" t="inlineStr">
        <is>
          <t>Thêm mới sau đối chiếu; không trùng nhiệm vụ đã có</t>
        </is>
      </c>
    </row>
    <row r="39" ht="36" customHeight="1">
      <c r="A39" s="68" t="n">
        <v>35</v>
      </c>
      <c r="B39" s="68" t="inlineStr">
        <is>
          <t>BỔ SUNG</t>
        </is>
      </c>
      <c r="C39" s="68" t="inlineStr">
        <is>
          <t>Trục 3</t>
        </is>
      </c>
      <c r="D39" s="68" t="inlineStr">
        <is>
          <t>BS-3.05</t>
        </is>
      </c>
      <c r="E39" s="68" t="inlineStr">
        <is>
          <t>Xây dựng công cụ rà soát, đề xuất xét chế độ nâng lương, khen thưởng đối với công tác tổ chức cán bộ</t>
        </is>
      </c>
      <c r="F39" s="68" t="inlineStr">
        <is>
          <t>Hiệu trưởng</t>
        </is>
      </c>
      <c r="G39" s="68" t="inlineStr">
        <is>
          <t>Phòng TCCB&amp;CTHSSV</t>
        </is>
      </c>
      <c r="H39" s="68" t="inlineStr">
        <is>
          <t>Bộ công cụ đóng gói: Skills, Prompt, quy trình, thông báo</t>
        </is>
      </c>
      <c r="I39" s="68" t="inlineStr">
        <is>
          <t>—</t>
        </is>
      </c>
      <c r="J39" s="68" t="inlineStr">
        <is>
          <t>30/10/2026</t>
        </is>
      </c>
      <c r="K39" s="68" t="inlineStr">
        <is>
          <t>848KH-CĐKT</t>
        </is>
      </c>
      <c r="L39" s="68" t="inlineStr">
        <is>
          <t>Thêm mới sau đối chiếu; không trùng nhiệm vụ đã có</t>
        </is>
      </c>
    </row>
    <row r="40" ht="52" customHeight="1">
      <c r="A40" s="68" t="n">
        <v>36</v>
      </c>
      <c r="B40" s="68" t="inlineStr">
        <is>
          <t>BỔ SUNG</t>
        </is>
      </c>
      <c r="C40" s="68" t="inlineStr">
        <is>
          <t>Trục 3</t>
        </is>
      </c>
      <c r="D40" s="68" t="inlineStr">
        <is>
          <t>BS-3.06</t>
        </is>
      </c>
      <c r="E40" s="68" t="inlineStr">
        <is>
          <t>Xây dựng công cụ rà soát, tham mưu quy trình bổ nhiệm, bổ nhiệm lại viên chức quản lý thuộc Trường, bộ môn thuộc khoa và tương đương</t>
        </is>
      </c>
      <c r="F40" s="68" t="inlineStr">
        <is>
          <t>Hiệu trưởng</t>
        </is>
      </c>
      <c r="G40" s="68" t="inlineStr">
        <is>
          <t>Phòng TCCB&amp;CTHSSV</t>
        </is>
      </c>
      <c r="H40" s="68" t="inlineStr">
        <is>
          <t>Bộ công cụ đóng gói: Skills, Prompt, quy trình, thông báo</t>
        </is>
      </c>
      <c r="I40" s="68" t="inlineStr">
        <is>
          <t>—</t>
        </is>
      </c>
      <c r="J40" s="68" t="inlineStr">
        <is>
          <t>30/10/2026</t>
        </is>
      </c>
      <c r="K40" s="68" t="inlineStr">
        <is>
          <t>848KH-CĐKT</t>
        </is>
      </c>
      <c r="L40" s="68" t="inlineStr">
        <is>
          <t>Thêm mới sau đối chiếu; không trùng nhiệm vụ đã có</t>
        </is>
      </c>
    </row>
    <row r="41" ht="52" customHeight="1">
      <c r="A41" s="68" t="n">
        <v>37</v>
      </c>
      <c r="B41" s="68" t="inlineStr">
        <is>
          <t>BỔ SUNG</t>
        </is>
      </c>
      <c r="C41" s="68" t="inlineStr">
        <is>
          <t>Trục 3</t>
        </is>
      </c>
      <c r="D41" s="68" t="inlineStr">
        <is>
          <t>BS-3.07</t>
        </is>
      </c>
      <c r="E41" s="68" t="inlineStr">
        <is>
          <t>Xây dựng công cụ rà soát, thống nhất danh mục sản phẩm/công việc của các đơn vị; xác định sản phẩm/công việc chuẩn, định mức, đơn vị tính</t>
        </is>
      </c>
      <c r="F41" s="68" t="inlineStr">
        <is>
          <t>Hiệu trưởng</t>
        </is>
      </c>
      <c r="G41" s="68" t="inlineStr">
        <is>
          <t>Phòng TCCB&amp;CTHSSV</t>
        </is>
      </c>
      <c r="H41" s="68" t="inlineStr">
        <is>
          <t>Bộ công cụ đóng gói: Skills, Prompt, quy trình, thông báo</t>
        </is>
      </c>
      <c r="I41" s="68" t="inlineStr">
        <is>
          <t>—</t>
        </is>
      </c>
      <c r="J41" s="68" t="inlineStr">
        <is>
          <t>30/10/2026</t>
        </is>
      </c>
      <c r="K41" s="68" t="inlineStr">
        <is>
          <t>848KH-CĐKT</t>
        </is>
      </c>
      <c r="L41" s="68" t="inlineStr">
        <is>
          <t>Thêm mới sau đối chiếu; không trùng nhiệm vụ đã có</t>
        </is>
      </c>
    </row>
    <row r="42" ht="52" customHeight="1">
      <c r="A42" s="68" t="n">
        <v>38</v>
      </c>
      <c r="B42" s="68" t="inlineStr">
        <is>
          <t>BỔ SUNG</t>
        </is>
      </c>
      <c r="C42" s="68" t="inlineStr">
        <is>
          <t>Trục 3</t>
        </is>
      </c>
      <c r="D42" s="68" t="inlineStr">
        <is>
          <t>BS-3.08</t>
        </is>
      </c>
      <c r="E42" s="68" t="inlineStr">
        <is>
          <t>Xây dựng công cụ rà soát, tư vấn chuyên môn về công tác tổng hợp, báo cáo, văn bản hành chính thông thường của Văn phòng Đảng ủy</t>
        </is>
      </c>
      <c r="F42" s="68" t="inlineStr">
        <is>
          <t>Hiệu trưởng</t>
        </is>
      </c>
      <c r="G42" s="68" t="inlineStr">
        <is>
          <t>Phòng TCCB&amp;CTHSSV</t>
        </is>
      </c>
      <c r="H42" s="68" t="inlineStr">
        <is>
          <t>Bộ công cụ đóng gói: Skills, Prompt, quy trình, thông báo</t>
        </is>
      </c>
      <c r="I42" s="68" t="inlineStr">
        <is>
          <t>—</t>
        </is>
      </c>
      <c r="J42" s="68" t="inlineStr">
        <is>
          <t>30/10/2026</t>
        </is>
      </c>
      <c r="K42" s="68" t="inlineStr">
        <is>
          <t>848KH-CĐKT</t>
        </is>
      </c>
      <c r="L42" s="68" t="inlineStr">
        <is>
          <t>Thêm mới sau đối chiếu; không trùng nhiệm vụ đã có</t>
        </is>
      </c>
    </row>
    <row r="43" ht="52" customHeight="1">
      <c r="A43" s="68" t="n">
        <v>39</v>
      </c>
      <c r="B43" s="68" t="inlineStr">
        <is>
          <t>BỔ SUNG</t>
        </is>
      </c>
      <c r="C43" s="68" t="inlineStr">
        <is>
          <t>Trục 3</t>
        </is>
      </c>
      <c r="D43" s="68" t="inlineStr">
        <is>
          <t>BS-3.09</t>
        </is>
      </c>
      <c r="E43" s="68" t="inlineStr">
        <is>
          <t>Xây dựng công cụ thiết kế bộ học liệu hỗ trợ dạy học tích hợp (bảng quy trình, phiếu đánh giá thực hiện, phiếu học tập, phiếu hướng dẫn luyện tập)</t>
        </is>
      </c>
      <c r="F43" s="68" t="inlineStr">
        <is>
          <t>Hiệu trưởng</t>
        </is>
      </c>
      <c r="G43" s="68" t="inlineStr">
        <is>
          <t>Khoa CKHCB</t>
        </is>
      </c>
      <c r="H43" s="68" t="inlineStr">
        <is>
          <t>Bộ công cụ đóng gói: Skills, Prompt, quy trình, thông báo</t>
        </is>
      </c>
      <c r="I43" s="68" t="inlineStr">
        <is>
          <t>—</t>
        </is>
      </c>
      <c r="J43" s="68" t="inlineStr">
        <is>
          <t>30/10/2026</t>
        </is>
      </c>
      <c r="K43" s="68" t="inlineStr">
        <is>
          <t>848KH-CĐKT</t>
        </is>
      </c>
      <c r="L43" s="68" t="inlineStr">
        <is>
          <t>Thêm mới sau đối chiếu; không trùng nhiệm vụ đã có</t>
        </is>
      </c>
    </row>
    <row r="44" ht="36" customHeight="1">
      <c r="A44" s="68" t="n">
        <v>40</v>
      </c>
      <c r="B44" s="68" t="inlineStr">
        <is>
          <t>BỔ SUNG</t>
        </is>
      </c>
      <c r="C44" s="68" t="inlineStr">
        <is>
          <t>Trục 3</t>
        </is>
      </c>
      <c r="D44" s="68" t="inlineStr">
        <is>
          <t>BS-3.10</t>
        </is>
      </c>
      <c r="E44" s="68" t="inlineStr">
        <is>
          <t>Xây dựng công cụ hỗ trợ kiểm soát chất lượng đào tạo và sát hạch lái xe</t>
        </is>
      </c>
      <c r="F44" s="68" t="inlineStr">
        <is>
          <t>Hiệu trưởng</t>
        </is>
      </c>
      <c r="G44" s="68" t="inlineStr">
        <is>
          <t>Khoa ĐT&amp;SHLX</t>
        </is>
      </c>
      <c r="H44" s="68" t="inlineStr">
        <is>
          <t>Bộ công cụ đóng gói: Skills, Prompt, quy trình, thông báo</t>
        </is>
      </c>
      <c r="I44" s="68" t="inlineStr">
        <is>
          <t>—</t>
        </is>
      </c>
      <c r="J44" s="68" t="inlineStr">
        <is>
          <t>30/10/2026</t>
        </is>
      </c>
      <c r="K44" s="68" t="inlineStr">
        <is>
          <t>848KH-CĐKT</t>
        </is>
      </c>
      <c r="L44" s="68" t="inlineStr">
        <is>
          <t>Thêm mới sau đối chiếu; không trùng nhiệm vụ đã có</t>
        </is>
      </c>
    </row>
    <row r="45" ht="36" customHeight="1">
      <c r="A45" s="68" t="n">
        <v>41</v>
      </c>
      <c r="B45" s="68" t="inlineStr">
        <is>
          <t>BỔ SUNG</t>
        </is>
      </c>
      <c r="C45" s="68" t="inlineStr">
        <is>
          <t>Trục 3</t>
        </is>
      </c>
      <c r="D45" s="68" t="inlineStr">
        <is>
          <t>BS-3.11</t>
        </is>
      </c>
      <c r="E45" s="68" t="inlineStr">
        <is>
          <t>Xây dựng công cụ AI hỗ trợ biên soạn, cập nhật giáo trình đào tạo</t>
        </is>
      </c>
      <c r="F45" s="68" t="inlineStr">
        <is>
          <t>Hiệu trưởng</t>
        </is>
      </c>
      <c r="G45" s="68" t="inlineStr">
        <is>
          <t>Phòng QLĐT&amp;BĐCL</t>
        </is>
      </c>
      <c r="H45" s="68" t="inlineStr">
        <is>
          <t>Bộ công cụ đóng gói: Skills, Prompt, quy trình, thông báo</t>
        </is>
      </c>
      <c r="I45" s="68" t="inlineStr">
        <is>
          <t>—</t>
        </is>
      </c>
      <c r="J45" s="68" t="inlineStr">
        <is>
          <t>31/10/2026</t>
        </is>
      </c>
      <c r="K45" s="68" t="inlineStr">
        <is>
          <t>848KH-CĐKT</t>
        </is>
      </c>
      <c r="L45" s="68" t="inlineStr">
        <is>
          <t>Thêm mới sau đối chiếu; không trùng nhiệm vụ đã có</t>
        </is>
      </c>
    </row>
    <row r="46" ht="52" customHeight="1">
      <c r="A46" s="68" t="n">
        <v>42</v>
      </c>
      <c r="B46" s="68" t="inlineStr">
        <is>
          <t>BỔ SUNG</t>
        </is>
      </c>
      <c r="C46" s="68" t="inlineStr">
        <is>
          <t>Trục 3</t>
        </is>
      </c>
      <c r="D46" s="68" t="inlineStr">
        <is>
          <t>BS-3.12</t>
        </is>
      </c>
      <c r="E46" s="68" t="inlineStr">
        <is>
          <t>Cập nhật, sửa đổi Quy định quản lý và tổ chức hoạt động khoa học, công nghệ, đổi mới sáng tạo của học sinh, sinh viên</t>
        </is>
      </c>
      <c r="F46" s="68" t="inlineStr">
        <is>
          <t>Hiệu trưởng</t>
        </is>
      </c>
      <c r="G46" s="68" t="inlineStr">
        <is>
          <t>Phòng QLKHCN&amp;HTPT</t>
        </is>
      </c>
      <c r="H46" s="68" t="inlineStr">
        <is>
          <t>Quyết định</t>
        </is>
      </c>
      <c r="I46" s="68" t="inlineStr">
        <is>
          <t>—</t>
        </is>
      </c>
      <c r="J46" s="68" t="inlineStr">
        <is>
          <t>31/10/2026</t>
        </is>
      </c>
      <c r="K46" s="68" t="inlineStr">
        <is>
          <t>932KH-CĐKT</t>
        </is>
      </c>
      <c r="L46" s="68" t="inlineStr">
        <is>
          <t>Thêm mới sau đối chiếu; không trùng nhiệm vụ đã có</t>
        </is>
      </c>
    </row>
    <row r="47" ht="52" customHeight="1">
      <c r="A47" s="68" t="n">
        <v>43</v>
      </c>
      <c r="B47" s="68" t="inlineStr">
        <is>
          <t>BỔ SUNG</t>
        </is>
      </c>
      <c r="C47" s="68" t="inlineStr">
        <is>
          <t>Trục 3</t>
        </is>
      </c>
      <c r="D47" s="68" t="inlineStr">
        <is>
          <t>BS-3.13</t>
        </is>
      </c>
      <c r="E47" s="68" t="inlineStr">
        <is>
          <t>Số hóa dữ liệu văn bằng, chứng chỉ đã cấp (kể cả do các trường tiền thân cấp); đối soát, nghiệm thu, ký số trên Hệ thống CSDL VBCC của Bộ GD&amp;ĐT</t>
        </is>
      </c>
      <c r="F47" s="68" t="inlineStr">
        <is>
          <t>Hiệu trưởng</t>
        </is>
      </c>
      <c r="G47" s="68" t="inlineStr">
        <is>
          <t>Phòng QLĐT&amp;BĐCL</t>
        </is>
      </c>
      <c r="H47" s="68" t="inlineStr">
        <is>
          <t>Dữ liệu VBCC trên hệ thống; Biên bản số hóa</t>
        </is>
      </c>
      <c r="I47" s="68" t="inlineStr">
        <is>
          <t>—</t>
        </is>
      </c>
      <c r="J47" s="68" t="inlineStr">
        <is>
          <t>31/10/2026</t>
        </is>
      </c>
      <c r="K47" s="68" t="inlineStr">
        <is>
          <t>882KH-CĐKT</t>
        </is>
      </c>
      <c r="L47" s="68" t="inlineStr">
        <is>
          <t>Thêm mới sau đối chiếu; không trùng nhiệm vụ đã có</t>
        </is>
      </c>
    </row>
    <row r="48" ht="36" customHeight="1">
      <c r="A48" s="68" t="n">
        <v>44</v>
      </c>
      <c r="B48" s="68" t="inlineStr">
        <is>
          <t>BỔ SUNG</t>
        </is>
      </c>
      <c r="C48" s="68" t="inlineStr">
        <is>
          <t>Trục 3</t>
        </is>
      </c>
      <c r="D48" s="68" t="inlineStr">
        <is>
          <t>BS-3.14</t>
        </is>
      </c>
      <c r="E48" s="68" t="inlineStr">
        <is>
          <t>Xây dựng bộ công cụ kiểm tra, rà soát, dự thảo Quyết định ban hành mức thu học phí</t>
        </is>
      </c>
      <c r="F48" s="68" t="inlineStr">
        <is>
          <t>Hiệu trưởng</t>
        </is>
      </c>
      <c r="G48" s="68" t="inlineStr">
        <is>
          <t>Phòng TC-KT</t>
        </is>
      </c>
      <c r="H48" s="68" t="inlineStr">
        <is>
          <t>Bộ công cụ đóng gói: Skills, Prompt, quy trình, thông báo</t>
        </is>
      </c>
      <c r="I48" s="68" t="inlineStr">
        <is>
          <t>—</t>
        </is>
      </c>
      <c r="J48" s="68" t="inlineStr">
        <is>
          <t>30/11/2026</t>
        </is>
      </c>
      <c r="K48" s="68" t="inlineStr">
        <is>
          <t>848KH-CĐKT</t>
        </is>
      </c>
      <c r="L48" s="68" t="inlineStr">
        <is>
          <t>Thêm mới sau đối chiếu; không trùng nhiệm vụ đã có</t>
        </is>
      </c>
    </row>
    <row r="49" ht="36" customHeight="1">
      <c r="A49" s="68" t="n">
        <v>45</v>
      </c>
      <c r="B49" s="68" t="inlineStr">
        <is>
          <t>BỔ SUNG</t>
        </is>
      </c>
      <c r="C49" s="68" t="inlineStr">
        <is>
          <t>Trục 3</t>
        </is>
      </c>
      <c r="D49" s="68" t="inlineStr">
        <is>
          <t>BS-3.15</t>
        </is>
      </c>
      <c r="E49" s="68" t="inlineStr">
        <is>
          <t>Xây dựng bộ công cụ kiểm tra, rà soát bảng thanh toán lương và các khoản trích theo lương</t>
        </is>
      </c>
      <c r="F49" s="68" t="inlineStr">
        <is>
          <t>Hiệu trưởng</t>
        </is>
      </c>
      <c r="G49" s="68" t="inlineStr">
        <is>
          <t>Phòng TC-KT</t>
        </is>
      </c>
      <c r="H49" s="68" t="inlineStr">
        <is>
          <t>Bộ công cụ đóng gói: Skills, Prompt, quy trình, thông báo</t>
        </is>
      </c>
      <c r="I49" s="68" t="inlineStr">
        <is>
          <t>—</t>
        </is>
      </c>
      <c r="J49" s="68" t="inlineStr">
        <is>
          <t>30/11/2026</t>
        </is>
      </c>
      <c r="K49" s="68" t="inlineStr">
        <is>
          <t>848KH-CĐKT</t>
        </is>
      </c>
      <c r="L49" s="68" t="inlineStr">
        <is>
          <t>Thêm mới sau đối chiếu; không trùng nhiệm vụ đã có</t>
        </is>
      </c>
    </row>
    <row r="50" ht="52" customHeight="1">
      <c r="A50" s="68" t="n">
        <v>46</v>
      </c>
      <c r="B50" s="68" t="inlineStr">
        <is>
          <t>BỔ SUNG</t>
        </is>
      </c>
      <c r="C50" s="68" t="inlineStr">
        <is>
          <t>Trục 3</t>
        </is>
      </c>
      <c r="D50" s="68" t="inlineStr">
        <is>
          <t>BS-3.16</t>
        </is>
      </c>
      <c r="E50" s="68" t="inlineStr">
        <is>
          <t>Xây dựng và triển khai công cụ AI hỗ trợ phân tích, đánh giá hiệu quả kinh tế và lập báo cáo các mô hình sản xuất nông nghiệp</t>
        </is>
      </c>
      <c r="F50" s="68" t="inlineStr">
        <is>
          <t>Hiệu trưởng</t>
        </is>
      </c>
      <c r="G50" s="68" t="inlineStr">
        <is>
          <t>Khoa KT&amp;NL</t>
        </is>
      </c>
      <c r="H50" s="68" t="inlineStr">
        <is>
          <t>Bộ công cụ đóng gói: Skills, Prompt, quy trình, thông báo</t>
        </is>
      </c>
      <c r="I50" s="68" t="inlineStr">
        <is>
          <t>—</t>
        </is>
      </c>
      <c r="J50" s="68" t="inlineStr">
        <is>
          <t>28/12/2026</t>
        </is>
      </c>
      <c r="K50" s="68" t="inlineStr">
        <is>
          <t>848KH-CĐKT</t>
        </is>
      </c>
      <c r="L50" s="68" t="inlineStr">
        <is>
          <t>Thêm mới sau đối chiếu; không trùng nhiệm vụ đã có</t>
        </is>
      </c>
    </row>
    <row r="51" ht="52" customHeight="1">
      <c r="A51" s="68" t="n">
        <v>47</v>
      </c>
      <c r="B51" s="68" t="inlineStr">
        <is>
          <t>BỔ SUNG</t>
        </is>
      </c>
      <c r="C51" s="68" t="inlineStr">
        <is>
          <t>Trục 3</t>
        </is>
      </c>
      <c r="D51" s="68" t="inlineStr">
        <is>
          <t>BS-3.17</t>
        </is>
      </c>
      <c r="E51" s="68" t="inlineStr">
        <is>
          <t>Xây dựng và triển khai công cụ AI hỗ trợ xây dựng Kế hoạch thực tập sư phạm năm 2 trình độ cao đẳng ngành Giáo dục Mầm non</t>
        </is>
      </c>
      <c r="F51" s="68" t="inlineStr">
        <is>
          <t>Hiệu trưởng</t>
        </is>
      </c>
      <c r="G51" s="68" t="inlineStr">
        <is>
          <t>Khoa Sư phạm</t>
        </is>
      </c>
      <c r="H51" s="68" t="inlineStr">
        <is>
          <t>Bộ công cụ đóng gói: Skills, Prompt, quy trình, thông báo</t>
        </is>
      </c>
      <c r="I51" s="68" t="inlineStr">
        <is>
          <t>—</t>
        </is>
      </c>
      <c r="J51" s="68" t="inlineStr">
        <is>
          <t>28/12/2026</t>
        </is>
      </c>
      <c r="K51" s="68" t="inlineStr">
        <is>
          <t>848KH-CĐKT</t>
        </is>
      </c>
      <c r="L51" s="68" t="inlineStr">
        <is>
          <t>Thêm mới sau đối chiếu; không trùng nhiệm vụ đã có</t>
        </is>
      </c>
    </row>
    <row r="52" ht="36" customHeight="1">
      <c r="A52" s="68" t="n">
        <v>48</v>
      </c>
      <c r="B52" s="68" t="inlineStr">
        <is>
          <t>BỔ SUNG</t>
        </is>
      </c>
      <c r="C52" s="68" t="inlineStr">
        <is>
          <t>Trục 3</t>
        </is>
      </c>
      <c r="D52" s="68" t="inlineStr">
        <is>
          <t>BS-3.18</t>
        </is>
      </c>
      <c r="E52" s="68" t="inlineStr">
        <is>
          <t>Xây dựng bộ công cụ kiểm tra, rà soát các bảng kiểm kỹ thuật thực hành Điều dưỡng</t>
        </is>
      </c>
      <c r="F52" s="68" t="inlineStr">
        <is>
          <t>Hiệu trưởng</t>
        </is>
      </c>
      <c r="G52" s="68" t="inlineStr">
        <is>
          <t>Khoa Y – Dược</t>
        </is>
      </c>
      <c r="H52" s="68" t="inlineStr">
        <is>
          <t>Bộ công cụ đóng gói: Skills, Prompt, quy trình, thông báo</t>
        </is>
      </c>
      <c r="I52" s="68" t="inlineStr">
        <is>
          <t>—</t>
        </is>
      </c>
      <c r="J52" s="68" t="inlineStr">
        <is>
          <t>28/12/2026</t>
        </is>
      </c>
      <c r="K52" s="68" t="inlineStr">
        <is>
          <t>848KH-CĐKT</t>
        </is>
      </c>
      <c r="L52" s="68" t="inlineStr">
        <is>
          <t>Thêm mới sau đối chiếu; không trùng nhiệm vụ đã có</t>
        </is>
      </c>
    </row>
    <row r="53" ht="36" customHeight="1">
      <c r="A53" s="68" t="n">
        <v>49</v>
      </c>
      <c r="B53" s="68" t="inlineStr">
        <is>
          <t>BỔ SUNG</t>
        </is>
      </c>
      <c r="C53" s="68" t="inlineStr">
        <is>
          <t>Trục 3</t>
        </is>
      </c>
      <c r="D53" s="68" t="inlineStr">
        <is>
          <t>BS-3.19</t>
        </is>
      </c>
      <c r="E53" s="68" t="inlineStr">
        <is>
          <t>Xây dựng bộ công cụ kiểm tra, rà soát Kế hoạch vật tư thực hành</t>
        </is>
      </c>
      <c r="F53" s="68" t="inlineStr">
        <is>
          <t>Hiệu trưởng</t>
        </is>
      </c>
      <c r="G53" s="68" t="inlineStr">
        <is>
          <t>Phòng TC-KT</t>
        </is>
      </c>
      <c r="H53" s="68" t="inlineStr">
        <is>
          <t>Bộ công cụ đóng gói: Skills, Prompt, quy trình, thông báo</t>
        </is>
      </c>
      <c r="I53" s="68" t="inlineStr">
        <is>
          <t>—</t>
        </is>
      </c>
      <c r="J53" s="68" t="inlineStr">
        <is>
          <t>30/12/2026</t>
        </is>
      </c>
      <c r="K53" s="68" t="inlineStr">
        <is>
          <t>848KH-CĐKT</t>
        </is>
      </c>
      <c r="L53" s="68" t="inlineStr">
        <is>
          <t>Thêm mới sau đối chiếu; không trùng nhiệm vụ đã có</t>
        </is>
      </c>
    </row>
    <row r="54" ht="36" customHeight="1">
      <c r="A54" s="68" t="n">
        <v>50</v>
      </c>
      <c r="B54" s="68" t="inlineStr">
        <is>
          <t>BỔ SUNG</t>
        </is>
      </c>
      <c r="C54" s="68" t="inlineStr">
        <is>
          <t>Trục 3</t>
        </is>
      </c>
      <c r="D54" s="68" t="inlineStr">
        <is>
          <t>BS-3.20</t>
        </is>
      </c>
      <c r="E54" s="68" t="inlineStr">
        <is>
          <t>Xây dựng bộ công cụ kiểm tra, rà soát bài báo khoa học</t>
        </is>
      </c>
      <c r="F54" s="68" t="inlineStr">
        <is>
          <t>Hiệu trưởng</t>
        </is>
      </c>
      <c r="G54" s="68" t="inlineStr">
        <is>
          <t>Phòng QLKHCN&amp;HTPT</t>
        </is>
      </c>
      <c r="H54" s="68" t="inlineStr">
        <is>
          <t>Bộ công cụ đóng gói: Skills, Prompt, quy trình, thông báo</t>
        </is>
      </c>
      <c r="I54" s="68" t="inlineStr">
        <is>
          <t>—</t>
        </is>
      </c>
      <c r="J54" s="68" t="inlineStr">
        <is>
          <t>30/12/2026</t>
        </is>
      </c>
      <c r="K54" s="68" t="inlineStr">
        <is>
          <t>848KH-CĐKT</t>
        </is>
      </c>
      <c r="L54" s="68" t="inlineStr">
        <is>
          <t>Thêm mới sau đối chiếu; không trùng nhiệm vụ đã có</t>
        </is>
      </c>
    </row>
    <row r="55" ht="52" customHeight="1">
      <c r="A55" s="68" t="n">
        <v>51</v>
      </c>
      <c r="B55" s="68" t="inlineStr">
        <is>
          <t>BỔ SUNG</t>
        </is>
      </c>
      <c r="C55" s="68" t="inlineStr">
        <is>
          <t>Trục 3</t>
        </is>
      </c>
      <c r="D55" s="68" t="inlineStr">
        <is>
          <t>BS-3.21</t>
        </is>
      </c>
      <c r="E55" s="68" t="inlineStr">
        <is>
          <t>Thiết kế trợ lý tuyển sinh tích hợp vào chuyên mục Hỏi – Đáp – Tuyển sinh trên Trang thông tin điện tử Trường</t>
        </is>
      </c>
      <c r="F55" s="68" t="inlineStr">
        <is>
          <t>Hiệu trưởng</t>
        </is>
      </c>
      <c r="G55" s="68" t="inlineStr">
        <is>
          <t>Phòng QLKHCN&amp;HTPT</t>
        </is>
      </c>
      <c r="H55" s="68" t="inlineStr">
        <is>
          <t>Trợ lý AI tuyển sinh</t>
        </is>
      </c>
      <c r="I55" s="68" t="inlineStr">
        <is>
          <t>—</t>
        </is>
      </c>
      <c r="J55" s="68" t="inlineStr">
        <is>
          <t>30/12/2026</t>
        </is>
      </c>
      <c r="K55" s="68" t="inlineStr">
        <is>
          <t>848KH-CĐKT</t>
        </is>
      </c>
      <c r="L55" s="68" t="inlineStr">
        <is>
          <t>Thêm mới sau đối chiếu; không trùng nhiệm vụ đã có</t>
        </is>
      </c>
    </row>
    <row r="56" ht="36" customHeight="1">
      <c r="A56" s="68" t="n">
        <v>52</v>
      </c>
      <c r="B56" s="68" t="inlineStr">
        <is>
          <t>BỔ SUNG</t>
        </is>
      </c>
      <c r="C56" s="68" t="inlineStr">
        <is>
          <t>Trục 3</t>
        </is>
      </c>
      <c r="D56" s="68" t="inlineStr">
        <is>
          <t>BS-3.22</t>
        </is>
      </c>
      <c r="E56" s="68" t="inlineStr">
        <is>
          <t>Xây dựng công cụ AI phân tích dữ liệu đo kiểm ô tô (mã lỗi DTC, cảm biến, dữ liệu động); thử nghiệm</t>
        </is>
      </c>
      <c r="F56" s="68" t="inlineStr">
        <is>
          <t>Hiệu trưởng</t>
        </is>
      </c>
      <c r="G56" s="68" t="inlineStr">
        <is>
          <t>Khoa KT&amp;CN</t>
        </is>
      </c>
      <c r="H56" s="68" t="inlineStr">
        <is>
          <t>Bộ công cụ đóng gói: Skills, Prompt, quy trình, thông báo</t>
        </is>
      </c>
      <c r="I56" s="68" t="inlineStr">
        <is>
          <t>—</t>
        </is>
      </c>
      <c r="J56" s="68" t="inlineStr">
        <is>
          <t>31/12/2026</t>
        </is>
      </c>
      <c r="K56" s="68" t="inlineStr">
        <is>
          <t>848KH-CĐKT</t>
        </is>
      </c>
      <c r="L56" s="68" t="inlineStr">
        <is>
          <t>Thêm mới sau đối chiếu; không trùng nhiệm vụ đã có</t>
        </is>
      </c>
    </row>
    <row r="57" ht="68" customHeight="1">
      <c r="A57" s="68" t="n">
        <v>53</v>
      </c>
      <c r="B57" s="68" t="inlineStr">
        <is>
          <t>BỔ SUNG</t>
        </is>
      </c>
      <c r="C57" s="68" t="inlineStr">
        <is>
          <t>Trục 3</t>
        </is>
      </c>
      <c r="D57" s="68" t="inlineStr">
        <is>
          <t>BS-3.23</t>
        </is>
      </c>
      <c r="E57" s="68" t="inlineStr">
        <is>
          <t>Tổ chức sử dụng thử nghiệm phần mềm VNPT KPI theo quy trình cơ bản (giao nhiệm vụ, đăng ký/phê duyệt kế hoạch, theo dõi, minh chứng, tự đánh giá, xếp loại, tổng hợp, báo cáo)</t>
        </is>
      </c>
      <c r="F57" s="68" t="inlineStr">
        <is>
          <t>Hiệu trưởng</t>
        </is>
      </c>
      <c r="G57" s="68" t="inlineStr">
        <is>
          <t>Phòng TCCB&amp;CTHSSV</t>
        </is>
      </c>
      <c r="H57" s="68" t="inlineStr">
        <is>
          <t>Kết quả thử nghiệm trên phần mềm</t>
        </is>
      </c>
      <c r="I57" s="68" t="inlineStr">
        <is>
          <t>—</t>
        </is>
      </c>
      <c r="J57" s="68" t="inlineStr">
        <is>
          <t>Quý IV</t>
        </is>
      </c>
      <c r="K57" s="68" t="inlineStr">
        <is>
          <t>831KH-CĐKT</t>
        </is>
      </c>
      <c r="L57" s="68" t="inlineStr">
        <is>
          <t>Thêm mới sau đối chiếu; không trùng nhiệm vụ đã có</t>
        </is>
      </c>
    </row>
    <row r="58" ht="52" customHeight="1">
      <c r="A58" s="68" t="n">
        <v>54</v>
      </c>
      <c r="B58" s="68" t="inlineStr">
        <is>
          <t>BỔ SUNG</t>
        </is>
      </c>
      <c r="C58" s="68" t="inlineStr">
        <is>
          <t>Trục 3</t>
        </is>
      </c>
      <c r="D58" s="68" t="inlineStr">
        <is>
          <t>BS-3.24</t>
        </is>
      </c>
      <c r="E58" s="68" t="inlineStr">
        <is>
          <t>Đánh giá, rút kinh nghiệm quy trình nghiệp vụ, giải pháp kỹ thuật, hạ tầng và hiệu quả giai đoạn thử nghiệm phần mềm VNPT KPI</t>
        </is>
      </c>
      <c r="F58" s="68" t="inlineStr">
        <is>
          <t>Hiệu trưởng</t>
        </is>
      </c>
      <c r="G58" s="68" t="inlineStr">
        <is>
          <t>Phòng TCCB&amp;CTHSSV</t>
        </is>
      </c>
      <c r="H58" s="68" t="inlineStr">
        <is>
          <t>Báo cáo</t>
        </is>
      </c>
      <c r="I58" s="68" t="inlineStr">
        <is>
          <t>—</t>
        </is>
      </c>
      <c r="J58" s="68" t="inlineStr">
        <is>
          <t>Tháng 12/2026</t>
        </is>
      </c>
      <c r="K58" s="68" t="inlineStr">
        <is>
          <t>831KH-CĐKT</t>
        </is>
      </c>
      <c r="L58" s="68" t="inlineStr">
        <is>
          <t>Thêm mới sau đối chiếu; không trùng nhiệm vụ đã có</t>
        </is>
      </c>
    </row>
    <row r="59" ht="52" customHeight="1">
      <c r="A59" s="68" t="n">
        <v>55</v>
      </c>
      <c r="B59" s="68" t="inlineStr">
        <is>
          <t>BỔ SUNG</t>
        </is>
      </c>
      <c r="C59" s="68" t="inlineStr">
        <is>
          <t>Trục 3</t>
        </is>
      </c>
      <c r="D59" s="68" t="inlineStr">
        <is>
          <t>BS-3.25</t>
        </is>
      </c>
      <c r="E59" s="68" t="inlineStr">
        <is>
          <t>Kết nối doanh nghiệp, chuyên gia hỗ trợ bồi dưỡng dự án xuất sắc tham gia các cuộc thi cấp tỉnh, cấp quốc gia</t>
        </is>
      </c>
      <c r="F59" s="68" t="inlineStr">
        <is>
          <t>PHT Huỳnh Văn Chung</t>
        </is>
      </c>
      <c r="G59" s="68" t="inlineStr">
        <is>
          <t>Phòng QLKHCN&amp;HTPT</t>
        </is>
      </c>
      <c r="H59" s="68" t="inlineStr">
        <is>
          <t>Biên bản ghi nhớ, hợp tác</t>
        </is>
      </c>
      <c r="I59" s="68" t="inlineStr">
        <is>
          <t>—</t>
        </is>
      </c>
      <c r="J59" s="68" t="inlineStr">
        <is>
          <t>Trước tháng 12/2026</t>
        </is>
      </c>
      <c r="K59" s="68" t="inlineStr">
        <is>
          <t>932KH-CĐKT</t>
        </is>
      </c>
      <c r="L59" s="68" t="inlineStr">
        <is>
          <t>Thêm mới sau đối chiếu; không trùng nhiệm vụ đã có</t>
        </is>
      </c>
    </row>
    <row r="60" ht="52" customHeight="1">
      <c r="A60" s="68" t="n">
        <v>56</v>
      </c>
      <c r="B60" s="68" t="inlineStr">
        <is>
          <t>BỔ SUNG</t>
        </is>
      </c>
      <c r="C60" s="68" t="inlineStr">
        <is>
          <t>Trục 3</t>
        </is>
      </c>
      <c r="D60" s="68" t="inlineStr">
        <is>
          <t>BS-3.26</t>
        </is>
      </c>
      <c r="E60" s="68" t="inlineStr">
        <is>
          <t>Rà soát khả năng, điều kiện nghiên cứu, đề xuất và triển khai các nhiệm vụ khoa học và công nghệ liên quan đến công nghiệp bán dẫn và công nghệ hỗ trợ</t>
        </is>
      </c>
      <c r="F60" s="68" t="inlineStr">
        <is>
          <t>Hiệu trưởng</t>
        </is>
      </c>
      <c r="G60" s="68" t="inlineStr">
        <is>
          <t>Phòng QLKHCN&amp;HTPT</t>
        </is>
      </c>
      <c r="H60" s="68" t="inlineStr">
        <is>
          <t>Kế hoạch; Báo cáo</t>
        </is>
      </c>
      <c r="I60" s="68" t="inlineStr">
        <is>
          <t>—</t>
        </is>
      </c>
      <c r="J60" s="68" t="inlineStr">
        <is>
          <t>Năm 2026</t>
        </is>
      </c>
      <c r="K60" s="68" t="inlineStr">
        <is>
          <t>850KH-CĐKT</t>
        </is>
      </c>
      <c r="L60" s="68" t="inlineStr">
        <is>
          <t>Thêm mới sau đối chiếu; không trùng nhiệm vụ đã có</t>
        </is>
      </c>
    </row>
    <row r="61" ht="84" customHeight="1">
      <c r="A61" s="68" t="n">
        <v>57</v>
      </c>
      <c r="B61" s="68" t="inlineStr">
        <is>
          <t>BỔ SUNG</t>
        </is>
      </c>
      <c r="C61" s="68" t="inlineStr">
        <is>
          <t>Trục 4</t>
        </is>
      </c>
      <c r="D61" s="68" t="inlineStr">
        <is>
          <t>BS-4.01</t>
        </is>
      </c>
      <c r="E61" s="68" t="inlineStr">
        <is>
          <t>Tổ chức nghiên cứu, học tập, quán triệt, tuyên truyền các nghị quyết, chỉ thị, quy định, kết luận và chương trình, kế hoạch thực hiện Nghị quyết Hội nghị lần thứ ba Ban Chấp hành Trung ương Đảng khóa XIV; báo cáo kết quả về Đảng ủy Trường</t>
        </is>
      </c>
      <c r="F61" s="68" t="inlineStr">
        <is>
          <t>Bí thư Đảng ủy</t>
        </is>
      </c>
      <c r="G61" s="68" t="inlineStr">
        <is>
          <t>BPVPĐU</t>
        </is>
      </c>
      <c r="H61" s="68" t="inlineStr">
        <is>
          <t>Báo cáo kết quả quán triệt</t>
        </is>
      </c>
      <c r="I61" s="68" t="inlineStr">
        <is>
          <t>—</t>
        </is>
      </c>
      <c r="J61" s="68" t="inlineStr">
        <is>
          <t>07/10/2026</t>
        </is>
      </c>
      <c r="K61" s="68" t="inlineStr">
        <is>
          <t>33-KH/ĐU</t>
        </is>
      </c>
      <c r="L61" s="68" t="inlineStr">
        <is>
          <t>Thêm mới sau đối chiếu; không trùng nhiệm vụ đã có</t>
        </is>
      </c>
    </row>
    <row r="62" ht="52" customHeight="1">
      <c r="A62" s="68" t="n">
        <v>58</v>
      </c>
      <c r="B62" s="68" t="inlineStr">
        <is>
          <t>BỔ SUNG</t>
        </is>
      </c>
      <c r="C62" s="68" t="inlineStr">
        <is>
          <t>Trục 4</t>
        </is>
      </c>
      <c r="D62" s="68" t="inlineStr">
        <is>
          <t>BS-4.02</t>
        </is>
      </c>
      <c r="E62" s="68" t="inlineStr">
        <is>
          <t>Rà soát thực trạng đội ngũ nhà giáo thuộc phạm vi áp dụng Thông tư số 64/2026/TT-BGDĐT theo chuẩn nghề nghiệp</t>
        </is>
      </c>
      <c r="F62" s="68" t="inlineStr">
        <is>
          <t>Hiệu trưởng</t>
        </is>
      </c>
      <c r="G62" s="68" t="inlineStr">
        <is>
          <t>Phòng TCCB&amp;CTHSSV</t>
        </is>
      </c>
      <c r="H62" s="68" t="inlineStr">
        <is>
          <t>Danh sách rà soát</t>
        </is>
      </c>
      <c r="I62" s="68" t="inlineStr">
        <is>
          <t>—</t>
        </is>
      </c>
      <c r="J62" s="68" t="inlineStr">
        <is>
          <t>31/10/2026</t>
        </is>
      </c>
      <c r="K62" s="68" t="inlineStr">
        <is>
          <t>874KH-CĐKT</t>
        </is>
      </c>
      <c r="L62" s="68" t="inlineStr">
        <is>
          <t>Thêm mới sau đối chiếu; không trùng nhiệm vụ đã có</t>
        </is>
      </c>
    </row>
    <row r="63" ht="52" customHeight="1">
      <c r="A63" s="68" t="n">
        <v>59</v>
      </c>
      <c r="B63" s="68" t="inlineStr">
        <is>
          <t>BỔ SUNG</t>
        </is>
      </c>
      <c r="C63" s="68" t="inlineStr">
        <is>
          <t>Trục 4</t>
        </is>
      </c>
      <c r="D63" s="68" t="inlineStr">
        <is>
          <t>BS-4.03</t>
        </is>
      </c>
      <c r="E63" s="68" t="inlineStr">
        <is>
          <t>Xây dựng Phương án bổ nhiệm chức danh nghề nghiệp và xếp lương đối với nhà giáo thuộc phạm vi áp dụng Thông tư số 64/2026/TT-BGDĐT</t>
        </is>
      </c>
      <c r="F63" s="68" t="inlineStr">
        <is>
          <t>Hiệu trưởng</t>
        </is>
      </c>
      <c r="G63" s="68" t="inlineStr">
        <is>
          <t>Phòng TCCB&amp;CTHSSV</t>
        </is>
      </c>
      <c r="H63" s="68" t="inlineStr">
        <is>
          <t>Quyết định; Phương án</t>
        </is>
      </c>
      <c r="I63" s="68" t="inlineStr">
        <is>
          <t>—</t>
        </is>
      </c>
      <c r="J63" s="68" t="inlineStr">
        <is>
          <t>30/11/2026</t>
        </is>
      </c>
      <c r="K63" s="68" t="inlineStr">
        <is>
          <t>874KH-CĐKT</t>
        </is>
      </c>
      <c r="L63" s="68" t="inlineStr">
        <is>
          <t>Thêm mới sau đối chiếu; không trùng nhiệm vụ đã có</t>
        </is>
      </c>
    </row>
    <row r="64" ht="36" customHeight="1">
      <c r="A64" s="68" t="n">
        <v>60</v>
      </c>
      <c r="B64" s="68" t="inlineStr">
        <is>
          <t>BỔ SUNG</t>
        </is>
      </c>
      <c r="C64" s="68" t="inlineStr">
        <is>
          <t>Trục 4</t>
        </is>
      </c>
      <c r="D64" s="68" t="inlineStr">
        <is>
          <t>BS-4.04</t>
        </is>
      </c>
      <c r="E64" s="68" t="inlineStr">
        <is>
          <t>Xây dựng Kế hoạch đào tạo, bồi dưỡng chuẩn hóa đội ngũ nhà giáo trung học nghề</t>
        </is>
      </c>
      <c r="F64" s="68" t="inlineStr">
        <is>
          <t>Hiệu trưởng</t>
        </is>
      </c>
      <c r="G64" s="68" t="inlineStr">
        <is>
          <t>Phòng TCCB&amp;CTHSSV</t>
        </is>
      </c>
      <c r="H64" s="68" t="inlineStr">
        <is>
          <t>Kế hoạch đào tạo</t>
        </is>
      </c>
      <c r="I64" s="68" t="inlineStr">
        <is>
          <t>—</t>
        </is>
      </c>
      <c r="J64" s="68" t="inlineStr">
        <is>
          <t>31/12/2026</t>
        </is>
      </c>
      <c r="K64" s="68" t="inlineStr">
        <is>
          <t>874KH-CĐKT</t>
        </is>
      </c>
      <c r="L64" s="68" t="inlineStr">
        <is>
          <t>Thêm mới sau đối chiếu; không trùng nhiệm vụ đã có</t>
        </is>
      </c>
    </row>
    <row r="65" ht="36" customHeight="1">
      <c r="A65" s="68" t="n">
        <v>61</v>
      </c>
      <c r="B65" s="68" t="inlineStr">
        <is>
          <t>BỔ SUNG</t>
        </is>
      </c>
      <c r="C65" s="68" t="inlineStr">
        <is>
          <t>Trục 5</t>
        </is>
      </c>
      <c r="D65" s="68" t="inlineStr">
        <is>
          <t>BS-5.01</t>
        </is>
      </c>
      <c r="E65" s="68" t="inlineStr">
        <is>
          <t>Tổ chức đối thoại giữa Hiệu trưởng với học sinh, sinh viên (học kỳ I, năm học 2026-2027)</t>
        </is>
      </c>
      <c r="F65" s="68" t="inlineStr">
        <is>
          <t>Hiệu trưởng</t>
        </is>
      </c>
      <c r="G65" s="68" t="inlineStr">
        <is>
          <t>Phòng TCCB&amp;CTHSSV</t>
        </is>
      </c>
      <c r="H65" s="68" t="inlineStr">
        <is>
          <t>Kế hoạch; Thông báo; Kết luận; Báo cáo xử lý</t>
        </is>
      </c>
      <c r="I65" s="68" t="inlineStr">
        <is>
          <t>—</t>
        </is>
      </c>
      <c r="J65" s="68" t="inlineStr">
        <is>
          <t>30/11/2026</t>
        </is>
      </c>
      <c r="K65" s="68" t="inlineStr">
        <is>
          <t>872KH-CĐKT</t>
        </is>
      </c>
      <c r="L65" s="68" t="inlineStr">
        <is>
          <t>Thêm mới sau đối chiếu; không trùng nhiệm vụ đã có</t>
        </is>
      </c>
    </row>
    <row r="66" ht="52" customHeight="1">
      <c r="A66" s="68" t="n">
        <v>62</v>
      </c>
      <c r="B66" s="68" t="inlineStr">
        <is>
          <t>BỔ SUNG</t>
        </is>
      </c>
      <c r="C66" s="68" t="inlineStr">
        <is>
          <t>Trục 5</t>
        </is>
      </c>
      <c r="D66" s="68" t="inlineStr">
        <is>
          <t>BS-5.02</t>
        </is>
      </c>
      <c r="E66" s="68" t="inlineStr">
        <is>
          <t>Xây dựng, ban hành Kế hoạch thực hiện Chương trình Sức khỏe học đường giai đoạn 2026 - 2035 và kế hoạch hằng năm</t>
        </is>
      </c>
      <c r="F66" s="68" t="inlineStr">
        <is>
          <t>Phó Hiệu trưởng phụ trách</t>
        </is>
      </c>
      <c r="G66" s="68" t="inlineStr">
        <is>
          <t>Khoa Y – Dược</t>
        </is>
      </c>
      <c r="H66" s="68" t="inlineStr">
        <is>
          <t>Kế hoạch</t>
        </is>
      </c>
      <c r="I66" s="68" t="inlineStr">
        <is>
          <t>—</t>
        </is>
      </c>
      <c r="J66" s="68" t="inlineStr">
        <is>
          <t>Năm 2026</t>
        </is>
      </c>
      <c r="K66" s="68" t="inlineStr">
        <is>
          <t>888KH-CĐKT</t>
        </is>
      </c>
      <c r="L66" s="68" t="inlineStr">
        <is>
          <t>Thêm mới sau đối chiếu; không trùng nhiệm vụ đã có</t>
        </is>
      </c>
    </row>
    <row r="67" ht="52" customHeight="1">
      <c r="A67" s="68" t="n">
        <v>63</v>
      </c>
      <c r="B67" s="68" t="inlineStr">
        <is>
          <t>BỔ SUNG</t>
        </is>
      </c>
      <c r="C67" s="68" t="inlineStr">
        <is>
          <t>Trục 5</t>
        </is>
      </c>
      <c r="D67" s="68" t="inlineStr">
        <is>
          <t>BS-5.03</t>
        </is>
      </c>
      <c r="E67" s="68" t="inlineStr">
        <is>
          <t>Rà soát hiện trạng công tác y tế trường học: nhân lực, phòng y tế, trang thiết bị, thuốc thiết yếu, nước sạch, nhà vệ sinh, ký túc xá, căng tin</t>
        </is>
      </c>
      <c r="F67" s="68" t="inlineStr">
        <is>
          <t>Phó Hiệu trưởng phụ trách</t>
        </is>
      </c>
      <c r="G67" s="68" t="inlineStr">
        <is>
          <t>Khoa Y – Dược</t>
        </is>
      </c>
      <c r="H67" s="68" t="inlineStr">
        <is>
          <t>Báo cáo rà soát hiện trạng</t>
        </is>
      </c>
      <c r="I67" s="68" t="inlineStr">
        <is>
          <t>—</t>
        </is>
      </c>
      <c r="J67" s="68" t="inlineStr">
        <is>
          <t>Năm 2026</t>
        </is>
      </c>
      <c r="K67" s="68" t="inlineStr">
        <is>
          <t>888KH-CĐKT</t>
        </is>
      </c>
      <c r="L67" s="68" t="inlineStr">
        <is>
          <t>Thêm mới sau đối chiếu; không trùng nhiệm vụ đã có</t>
        </is>
      </c>
    </row>
    <row r="68" ht="68" customHeight="1">
      <c r="A68" s="68" t="n">
        <v>64</v>
      </c>
      <c r="B68" s="68" t="inlineStr">
        <is>
          <t>BỔ SUNG</t>
        </is>
      </c>
      <c r="C68" s="68" t="inlineStr">
        <is>
          <t>Trục 5</t>
        </is>
      </c>
      <c r="D68" s="68" t="inlineStr">
        <is>
          <t>BS-5.04</t>
        </is>
      </c>
      <c r="E68" s="68" t="inlineStr">
        <is>
          <t>Triển khai giai đoạn 1 phong trào "Xanh hóa nhà trường" (08–12/2026): khảo sát, lập sơ đồ quy hoạch cảnh quan; phát động trồng hoa địa lan; phân công khu vực chăm sóc; trang bị công cụ, dụng cụ lao động</t>
        </is>
      </c>
      <c r="F68" s="68" t="inlineStr">
        <is>
          <t>Hiệu trưởng</t>
        </is>
      </c>
      <c r="G68" s="68" t="inlineStr">
        <is>
          <t>Phòng TH-HC&amp;QT</t>
        </is>
      </c>
      <c r="H68" s="68" t="inlineStr">
        <is>
          <t>Sơ đồ quy hoạch cảnh quan; Phân công khu vực; Báo cáo</t>
        </is>
      </c>
      <c r="I68" s="68" t="inlineStr">
        <is>
          <t>—</t>
        </is>
      </c>
      <c r="J68" s="68" t="inlineStr">
        <is>
          <t>31/12/2026</t>
        </is>
      </c>
      <c r="K68" s="68" t="inlineStr">
        <is>
          <t>735KH-CĐKT</t>
        </is>
      </c>
      <c r="L68" s="68" t="inlineStr">
        <is>
          <t>Thêm mới sau đối chiếu; không trùng nhiệm vụ đã có</t>
        </is>
      </c>
    </row>
  </sheetData>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E33"/>
  <sheetViews>
    <sheetView workbookViewId="0">
      <selection activeCell="A1" sqref="A1"/>
    </sheetView>
  </sheetViews>
  <sheetFormatPr baseColWidth="8" defaultRowHeight="15"/>
  <cols>
    <col width="6" customWidth="1" min="1" max="1"/>
    <col width="24" customWidth="1" min="2" max="2"/>
    <col width="40" customWidth="1" min="3" max="3"/>
    <col width="70" customWidth="1" min="4" max="4"/>
    <col width="48" customWidth="1" min="5" max="5"/>
  </cols>
  <sheetData>
    <row r="1">
      <c r="A1" s="62" t="inlineStr">
        <is>
          <t>NGUỒN KẾ HOẠCH CHUYÊN ĐỀ ĐÃ RÀ SOÁT VÀ KẾT QUẢ ĐỐI CHIẾU</t>
        </is>
      </c>
      <c r="B1" s="63" t="n"/>
      <c r="C1" s="63" t="n"/>
      <c r="D1" s="63" t="n"/>
      <c r="E1" s="63" t="n"/>
    </row>
    <row r="2">
      <c r="A2" s="64" t="inlineStr">
        <is>
          <t>Phạm vi: 10-Dau-Vao/04-Chuyen-de — 29 tệp; đối chiếu thêm KTC-Database (02-01) và KH Quý III điều chỉnh.</t>
        </is>
      </c>
    </row>
    <row r="4">
      <c r="A4" s="65" t="inlineStr">
        <is>
          <t>STT</t>
        </is>
      </c>
      <c r="B4" s="65" t="inlineStr">
        <is>
          <t>Số/tên kế hoạch</t>
        </is>
      </c>
      <c r="C4" s="65" t="inlineStr">
        <is>
          <t>Chủ đề</t>
        </is>
      </c>
      <c r="D4" s="65" t="inlineStr">
        <is>
          <t>Kết quả đối chiếu/chống trùng</t>
        </is>
      </c>
      <c r="E4" s="65" t="inlineStr">
        <is>
          <t>Vị trí tệp nguồn</t>
        </is>
      </c>
    </row>
    <row r="5" ht="36" customHeight="1">
      <c r="A5" s="69" t="n">
        <v>1</v>
      </c>
      <c r="B5" s="69" t="inlineStr">
        <is>
          <t>33-KH/ĐU (23/9/2026)</t>
        </is>
      </c>
      <c r="C5" s="69" t="inlineStr">
        <is>
          <t>Quán triệt NQ Hội nghị TW 3 khóa XIV và các nghị quyết, chỉ thị</t>
        </is>
      </c>
      <c r="D5" s="69" t="inlineStr">
        <is>
          <t>Bổ sung 1 nhiệm vụ Trục 4 (quán triệt trước 05/10, báo cáo trước 07/10/2026).</t>
        </is>
      </c>
      <c r="E5" s="69" t="inlineStr">
        <is>
          <t>10-Dau-Vao/04-Chuyen-de/33-KHĐU…</t>
        </is>
      </c>
    </row>
    <row r="6" ht="36" customHeight="1">
      <c r="A6" s="69" t="n">
        <v>2</v>
      </c>
      <c r="B6" s="69" t="inlineStr">
        <is>
          <t>64KH-CĐCS</t>
        </is>
      </c>
      <c r="C6" s="69" t="inlineStr">
        <is>
          <t>Tết Trung thu 2026 cho con VC, NLĐ</t>
        </is>
      </c>
      <c r="D6" s="69" t="inlineStr">
        <is>
          <t>Ghi nguồn vào nhiệm vụ Trung thu; tổ chức 23–25/9, báo cáo 30/9; không thêm dòng.</t>
        </is>
      </c>
      <c r="E6" s="69" t="inlineStr">
        <is>
          <t>10-Dau-Vao/04-Chuyen-de/64KH-CĐCS…</t>
        </is>
      </c>
    </row>
    <row r="7" ht="36" customHeight="1">
      <c r="A7" s="69" t="n">
        <v>3</v>
      </c>
      <c r="B7" s="69" t="inlineStr">
        <is>
          <t>150-KHCB (17/9/2026)</t>
        </is>
      </c>
      <c r="C7" s="69" t="inlineStr">
        <is>
          <t>KH của Chi bộ Khối tham mưu tổng hợp thực hiện NQ chuyên đề Quý III</t>
        </is>
      </c>
      <c r="D7" s="69" t="inlineStr">
        <is>
          <t>Nhiệm vụ 'Năm 2026 và các năm tiếp theo', 'Thường xuyên'; là kế hoạch Chi bộ, không có mốc Quý IV; không thêm dòng.</t>
        </is>
      </c>
      <c r="E7" s="69" t="inlineStr">
        <is>
          <t>10-Dau-Vao/04-Chuyen-de/150-KHCB…</t>
        </is>
      </c>
    </row>
    <row r="8" ht="36" customHeight="1">
      <c r="A8" s="69" t="n">
        <v>4</v>
      </c>
      <c r="B8" s="69" t="inlineStr">
        <is>
          <t>735KH-CĐKT</t>
        </is>
      </c>
      <c r="C8" s="69" t="inlineStr">
        <is>
          <t>Phong trào 'Xanh hóa nhà trường' 2026-2030</t>
        </is>
      </c>
      <c r="D8" s="69" t="inlineStr">
        <is>
          <t>Bổ sung 1 nhiệm vụ Trục 5 (giai đoạn 1: 08–12/2026); độ khó đề xuất.</t>
        </is>
      </c>
      <c r="E8" s="69" t="inlineStr">
        <is>
          <t>10-Dau-Vao/04-Chuyen-de/735KH-CĐKT…</t>
        </is>
      </c>
    </row>
    <row r="9" ht="36" customHeight="1">
      <c r="A9" s="69" t="n">
        <v>5</v>
      </c>
      <c r="B9" s="69" t="inlineStr">
        <is>
          <t>828KH-CĐKT</t>
        </is>
      </c>
      <c r="C9" s="69" t="inlineStr">
        <is>
          <t>Chiến lược phát triển khoa CKHCB</t>
        </is>
      </c>
      <c r="D9" s="69" t="inlineStr">
        <is>
          <t>Trình Hiệu trưởng trước 30/9; KH Quý III không có nhiệm vụ này; đưa vào Mục II, cần xác nhận đã ban hành chưa.</t>
        </is>
      </c>
      <c r="E9" s="69" t="inlineStr">
        <is>
          <t>10-Dau-Vao/04-Chuyen-de/828KH-CĐKT…</t>
        </is>
      </c>
    </row>
    <row r="10" ht="36" customHeight="1">
      <c r="A10" s="69" t="n">
        <v>6</v>
      </c>
      <c r="B10" s="69" t="inlineStr">
        <is>
          <t>830KH-CĐKT</t>
        </is>
      </c>
      <c r="C10" s="69" t="inlineStr">
        <is>
          <t>Công tác sinh viên 2026-2027 (bản trước 872)</t>
        </is>
      </c>
      <c r="D10" s="69" t="inlineStr">
        <is>
          <t>Đã được 872KH-CĐKT thay thế; không dùng.</t>
        </is>
      </c>
      <c r="E10" s="69" t="inlineStr">
        <is>
          <t>10-Dau-Vao/04-Chuyen-de/830KH-CĐKT…</t>
        </is>
      </c>
    </row>
    <row r="11" ht="36" customHeight="1">
      <c r="A11" s="69" t="n">
        <v>7</v>
      </c>
      <c r="B11" s="69" t="inlineStr">
        <is>
          <t>831KH-CĐKT</t>
        </is>
      </c>
      <c r="C11" s="69" t="inlineStr">
        <is>
          <t>Phần mềm VNPT KPI</t>
        </is>
      </c>
      <c r="D11" s="69" t="inlineStr">
        <is>
          <t>Bổ sung mục 3 (Quý IV) và mục 4 (Tháng 12); mục 2.x mốc 15–30/9 thuộc Quý III.</t>
        </is>
      </c>
      <c r="E11" s="69" t="inlineStr">
        <is>
          <t>10-Dau-Vao/04-Chuyen-de/831KH-CĐKT…</t>
        </is>
      </c>
    </row>
    <row r="12" ht="20" customHeight="1">
      <c r="A12" s="69" t="n">
        <v>8</v>
      </c>
      <c r="B12" s="69" t="inlineStr">
        <is>
          <t>832KH-CĐKT</t>
        </is>
      </c>
      <c r="C12" s="69" t="inlineStr">
        <is>
          <t>Chiến lược phát triển khoa KT&amp;CN</t>
        </is>
      </c>
      <c r="D12" s="69" t="inlineStr">
        <is>
          <t>Như 828: đưa vào Mục II, cần xác nhận.</t>
        </is>
      </c>
      <c r="E12" s="69" t="inlineStr">
        <is>
          <t>10-Dau-Vao/04-Chuyen-de/832KH-CĐKT…</t>
        </is>
      </c>
    </row>
    <row r="13" ht="36" customHeight="1">
      <c r="A13" s="69" t="n">
        <v>9</v>
      </c>
      <c r="B13" s="69" t="inlineStr">
        <is>
          <t>834KH-CĐKT</t>
        </is>
      </c>
      <c r="C13" s="69" t="inlineStr">
        <is>
          <t>Kế hoạch công tác tháng 9/2026</t>
        </is>
      </c>
      <c r="D13" s="69" t="inlineStr">
        <is>
          <t>Đối chiếu nhiệm vụ chuyển tiếp (báo cáo sơ kết Đảng ủy chuyển 31/10 đã có).</t>
        </is>
      </c>
      <c r="E13" s="69" t="inlineStr">
        <is>
          <t>10-Dau-Vao/04-Chuyen-de/834KH-CĐKT…</t>
        </is>
      </c>
    </row>
    <row r="14" ht="20" customHeight="1">
      <c r="A14" s="69" t="n">
        <v>10</v>
      </c>
      <c r="B14" s="69" t="inlineStr">
        <is>
          <t>841KH-CĐKT</t>
        </is>
      </c>
      <c r="C14" s="69" t="inlineStr">
        <is>
          <t>Phong trào thi đua '2 con số'</t>
        </is>
      </c>
      <c r="D14" s="69" t="inlineStr">
        <is>
          <t>Không có mốc Quý IV riêng; ghi nguồn vào Đề án vị trí việc làm.</t>
        </is>
      </c>
      <c r="E14" s="69" t="inlineStr">
        <is>
          <t>10-Dau-Vao/04-Chuyen-de/841KH-CĐKT…</t>
        </is>
      </c>
    </row>
    <row r="15" ht="52" customHeight="1">
      <c r="A15" s="69" t="n">
        <v>11</v>
      </c>
      <c r="B15" s="69" t="inlineStr">
        <is>
          <t>848KH-CĐKT</t>
        </is>
      </c>
      <c r="C15" s="69" t="inlineStr">
        <is>
          <t>Phát triển công cụ AI hỗ trợ nhiệm vụ 2026, 2027</t>
        </is>
      </c>
      <c r="D15" s="69" t="inlineStr">
        <is>
          <t>Mục 8–10 đã gộp ở 3.5; mục 3 đã có (II.8); bổ sung 19 công cụ có hạn 10–12/2026; mục 1, 2, 7, 13 hạn 18/9, 30/9 thuộc Quý III; mục 6, 26 sang 2027.</t>
        </is>
      </c>
      <c r="E15" s="69" t="inlineStr">
        <is>
          <t>10-Dau-Vao/04-Chuyen-de/848KH-CĐKT…</t>
        </is>
      </c>
    </row>
    <row r="16" ht="36" customHeight="1">
      <c r="A16" s="69" t="n">
        <v>12</v>
      </c>
      <c r="B16" s="69" t="inlineStr">
        <is>
          <t>850KH-CĐKT</t>
        </is>
      </c>
      <c r="C16" s="69" t="inlineStr">
        <is>
          <t>Triển khai KH 295/KH-UBND (công nghiệp bán dẫn)</t>
        </is>
      </c>
      <c r="D16" s="69" t="inlineStr">
        <is>
          <t>Bổ sung 11 nhiệm vụ 'Năm 2026' và mục 15 (10/11); mục 9, 10, 13, 14 sang 2027 hoặc thường xuyên.</t>
        </is>
      </c>
      <c r="E16" s="69" t="inlineStr">
        <is>
          <t>10-Dau-Vao/04-Chuyen-de/850KH-CĐKT…</t>
        </is>
      </c>
    </row>
    <row r="17" ht="20" customHeight="1">
      <c r="A17" s="69" t="n">
        <v>13</v>
      </c>
      <c r="B17" s="69" t="inlineStr">
        <is>
          <t>861KH-CĐKT</t>
        </is>
      </c>
      <c r="C17" s="69" t="inlineStr">
        <is>
          <t>Bổ nhiệm lại Phó Trưởng phòng TH-HC&amp;QT</t>
        </is>
      </c>
      <c r="D17" s="69" t="inlineStr">
        <is>
          <t>Thực hiện 14/9/2026 (Quý III); không đưa vào.</t>
        </is>
      </c>
      <c r="E17" s="69" t="inlineStr">
        <is>
          <t>10-Dau-Vao/04-Chuyen-de/861KH-CĐKT…</t>
        </is>
      </c>
    </row>
    <row r="18" ht="20" customHeight="1">
      <c r="A18" s="69" t="n">
        <v>14</v>
      </c>
      <c r="B18" s="69" t="inlineStr">
        <is>
          <t>862KH-CĐKT</t>
        </is>
      </c>
      <c r="C18" s="69" t="inlineStr">
        <is>
          <t>Tập huấn công cụ AI</t>
        </is>
      </c>
      <c r="D18" s="69" t="inlineStr">
        <is>
          <t>Thực hiện 18/9/2026 (Quý III); không đưa vào.</t>
        </is>
      </c>
      <c r="E18" s="69" t="inlineStr">
        <is>
          <t>10-Dau-Vao/04-Chuyen-de/862KH-CĐKT…</t>
        </is>
      </c>
    </row>
    <row r="19" ht="36" customHeight="1">
      <c r="A19" s="69" t="n">
        <v>15</v>
      </c>
      <c r="B19" s="69" t="inlineStr">
        <is>
          <t>872KH-CĐKT</t>
        </is>
      </c>
      <c r="C19" s="69" t="inlineStr">
        <is>
          <t>Công tác HSSV năm học 2026-2027</t>
        </is>
      </c>
      <c r="D19" s="69" t="inlineStr">
        <is>
          <t>Bổ sung mục 17 (đối thoại HSSV, tháng 11/2026); các mục còn lại 'thường xuyên' hoặc sang 2027.</t>
        </is>
      </c>
      <c r="E19" s="69" t="inlineStr">
        <is>
          <t>10-Dau-Vao/04-Chuyen-de/872KH-CĐKT…</t>
        </is>
      </c>
    </row>
    <row r="20" ht="36" customHeight="1">
      <c r="A20" s="69" t="n">
        <v>16</v>
      </c>
      <c r="B20" s="69" t="inlineStr">
        <is>
          <t>874KH-CĐKT</t>
        </is>
      </c>
      <c r="C20" s="69" t="inlineStr">
        <is>
          <t>Triển khai Thông tư 64/2026/TT-BGDĐT</t>
        </is>
      </c>
      <c r="D20" s="69" t="inlineStr">
        <is>
          <t>Bổ sung mục 2 (T10), 3 (T11), 4 (31/12); mục 6–9 phụ thuộc chủ trương mở đào tạo THN.</t>
        </is>
      </c>
      <c r="E20" s="69" t="inlineStr">
        <is>
          <t>10-Dau-Vao/04-Chuyen-de/874KH-CĐKT…</t>
        </is>
      </c>
    </row>
    <row r="21" ht="36" customHeight="1">
      <c r="A21" s="69" t="n">
        <v>17</v>
      </c>
      <c r="B21" s="69" t="inlineStr">
        <is>
          <t>879KH-CĐKT</t>
        </is>
      </c>
      <c r="C21" s="69" t="inlineStr">
        <is>
          <t>Dự giờ nhà giáo khoa Sư phạm HK I</t>
        </is>
      </c>
      <c r="D21" s="69" t="inlineStr">
        <is>
          <t>Nhiệm vụ cấp Khoa (hồ sơ nộp khoa trước 04/12/2026); không đưa vào KH Trường.</t>
        </is>
      </c>
      <c r="E21" s="69" t="inlineStr">
        <is>
          <t>10-Dau-Vao/04-Chuyen-de/879KH-CĐKT…</t>
        </is>
      </c>
    </row>
    <row r="22" ht="36" customHeight="1">
      <c r="A22" s="69" t="n">
        <v>18</v>
      </c>
      <c r="B22" s="69" t="inlineStr">
        <is>
          <t>881KH-CĐKT</t>
        </is>
      </c>
      <c r="C22" s="69" t="inlineStr">
        <is>
          <t>Triển khai CV 4201/SGDĐT (đào tạo gắn doanh nghiệp)</t>
        </is>
      </c>
      <c r="D22" s="69" t="inlineStr">
        <is>
          <t>Bổ sung mục 11, 18, 23, 25, 36; mục 24 ghi nguồn vào 1.3; mục 2 (Quý II–IV) chưa đưa vì mốc trải rộng.</t>
        </is>
      </c>
      <c r="E22" s="69" t="inlineStr">
        <is>
          <t>10-Dau-Vao/04-Chuyen-de/881KH-CĐKT…</t>
        </is>
      </c>
    </row>
    <row r="23" ht="36" customHeight="1">
      <c r="A23" s="69" t="n">
        <v>19</v>
      </c>
      <c r="B23" s="69" t="inlineStr">
        <is>
          <t>882KH-CĐKT</t>
        </is>
      </c>
      <c r="C23" s="69" t="inlineStr">
        <is>
          <t>Số hóa văn bằng, chứng chỉ đã cấp</t>
        </is>
      </c>
      <c r="D23" s="69" t="inlineStr">
        <is>
          <t>Bổ sung 1 nhiệm vụ Trục 3 (hoàn thành 20/11/2026); tháng 10: giai đoạn 1986–1999.</t>
        </is>
      </c>
      <c r="E23" s="69" t="inlineStr">
        <is>
          <t>10-Dau-Vao/04-Chuyen-de/882KH-CĐKT…</t>
        </is>
      </c>
    </row>
    <row r="24" ht="36" customHeight="1">
      <c r="A24" s="69" t="n">
        <v>20</v>
      </c>
      <c r="B24" s="69" t="inlineStr">
        <is>
          <t>888KH-CĐKT</t>
        </is>
      </c>
      <c r="C24" s="69" t="inlineStr">
        <is>
          <t>Chương trình sức khỏe học đường 2026-2035</t>
        </is>
      </c>
      <c r="D24" s="69" t="inlineStr">
        <is>
          <t>Bổ sung mục 1, 2 ('Năm 2026'); các mục khác hằng năm hoặc giai đoạn dài.</t>
        </is>
      </c>
      <c r="E24" s="69" t="inlineStr">
        <is>
          <t>10-Dau-Vao/04-Chuyen-de/888KH-CĐKT…</t>
        </is>
      </c>
    </row>
    <row r="25" ht="20" customHeight="1">
      <c r="A25" s="69" t="n">
        <v>21</v>
      </c>
      <c r="B25" s="69" t="inlineStr">
        <is>
          <t>891KH-CĐKT</t>
        </is>
      </c>
      <c r="C25" s="69" t="inlineStr">
        <is>
          <t>Đánh giá, xếp loại lãnh đạo Quý III</t>
        </is>
      </c>
      <c r="D25" s="69" t="inlineStr">
        <is>
          <t>Thực hiện 18/9/2026 (Quý III); không đưa vào.</t>
        </is>
      </c>
      <c r="E25" s="69" t="inlineStr">
        <is>
          <t>10-Dau-Vao/04-Chuyen-de/891KH-CĐKT…</t>
        </is>
      </c>
    </row>
    <row r="26" ht="20" customHeight="1">
      <c r="A26" s="69" t="n">
        <v>22</v>
      </c>
      <c r="B26" s="69" t="inlineStr">
        <is>
          <t>893KH-CĐKT</t>
        </is>
      </c>
      <c r="C26" s="69" t="inlineStr">
        <is>
          <t>Triển khai Thông tư 66/2026/TT-BGDĐT</t>
        </is>
      </c>
      <c r="D26" s="69" t="inlineStr">
        <is>
          <t>Bổ sung mục 3–8 (31/10–31/12); mục 1, 2 hạn 26/9 thuộc Quý III.</t>
        </is>
      </c>
      <c r="E26" s="69" t="inlineStr">
        <is>
          <t>10-Dau-Vao/04-Chuyen-de/893KH-CĐKT…</t>
        </is>
      </c>
    </row>
    <row r="27" ht="36" customHeight="1">
      <c r="A27" s="69" t="n">
        <v>23</v>
      </c>
      <c r="B27" s="69" t="inlineStr">
        <is>
          <t>907KH-CĐKT (chưa có số, ngày)</t>
        </is>
      </c>
      <c r="C27" s="69" t="inlineStr">
        <is>
          <t>Hội giảng nhà giáo lần thứ VII</t>
        </is>
      </c>
      <c r="D27" s="69" t="inlineStr">
        <is>
          <t>Bổ sung: Quy định Hội giảng (15/10), khoa ban hành KH (22/10); Hội giảng cấp khoa hạn 22/01/2027 (Quý I/2027). Văn bản còn dự thảo.</t>
        </is>
      </c>
      <c r="E27" s="69" t="inlineStr">
        <is>
          <t>10-Dau-Vao/04-Chuyen-de/907KH-CĐKT…</t>
        </is>
      </c>
    </row>
    <row r="28" ht="20" customHeight="1">
      <c r="A28" s="69" t="n">
        <v>24</v>
      </c>
      <c r="B28" s="69" t="inlineStr">
        <is>
          <t>909KH-CĐKT</t>
        </is>
      </c>
      <c r="C28" s="69" t="inlineStr">
        <is>
          <t>Hội nghị sơ kết đào tạo kép</t>
        </is>
      </c>
      <c r="D28" s="69" t="inlineStr">
        <is>
          <t>Tổ chức 30/9/2026 (Quý III); ghi nguồn vào 1.12.</t>
        </is>
      </c>
      <c r="E28" s="69" t="inlineStr">
        <is>
          <t>10-Dau-Vao/04-Chuyen-de/909KH-CĐKT…</t>
        </is>
      </c>
    </row>
    <row r="29" ht="36" customHeight="1">
      <c r="A29" s="69" t="n">
        <v>25</v>
      </c>
      <c r="B29" s="69" t="inlineStr">
        <is>
          <t>930KH-CĐKT</t>
        </is>
      </c>
      <c r="C29" s="69" t="inlineStr">
        <is>
          <t>Liên kết đào tạo với doanh nghiệp 2026-2027</t>
        </is>
      </c>
      <c r="D29" s="69" t="inlineStr">
        <is>
          <t>Không có mốc ngày cụ thể; nhiệm vụ cấp khoa; không thêm dòng.</t>
        </is>
      </c>
      <c r="E29" s="69" t="inlineStr">
        <is>
          <t>10-Dau-Vao/04-Chuyen-de/930KH-CĐKT…</t>
        </is>
      </c>
    </row>
    <row r="30" ht="52" customHeight="1">
      <c r="A30" s="69" t="n">
        <v>26</v>
      </c>
      <c r="B30" s="69" t="inlineStr">
        <is>
          <t>932KH-CĐKT</t>
        </is>
      </c>
      <c r="C30" s="69" t="inlineStr">
        <is>
          <t>Hoạt động KH, CN, ĐMST của HSSV 2026-2027</t>
        </is>
      </c>
      <c r="D30" s="69" t="inlineStr">
        <is>
          <t>Bổ sung: sửa Quy định (T10), kết nối doanh nghiệp (trước T12); Cuộc thi tháng 11 khớp 1.4; Quy chế hỗ trợ khởi nghiệp đã có (II.10).</t>
        </is>
      </c>
      <c r="E30" s="69" t="inlineStr">
        <is>
          <t>10-Dau-Vao/04-Chuyen-de/932KH-CĐKT…</t>
        </is>
      </c>
    </row>
    <row r="31" ht="52" customHeight="1">
      <c r="A31" s="69" t="n">
        <v>27</v>
      </c>
      <c r="B31" s="69" t="inlineStr">
        <is>
          <t>937KH-CĐKT (24/9/2026)</t>
        </is>
      </c>
      <c r="C31" s="69" t="inlineStr">
        <is>
          <t>Triển khai NQ 04-NQ/TW về phòng, chống tham nhũng, lãng phí</t>
        </is>
      </c>
      <c r="D31" s="69" t="inlineStr">
        <is>
          <t>Tệp không có Phụ lục 'Phân công nhiệm vụ và tiến độ thực hiện' nên chưa trích được mốc; đề nghị bổ sung Phụ lục để đưa nhiệm vụ vào Quý IV.</t>
        </is>
      </c>
      <c r="E31" s="69" t="inlineStr">
        <is>
          <t>10-Dau-Vao/04-Chuyen-de/937KH-CĐKT…</t>
        </is>
      </c>
    </row>
    <row r="32" ht="36" customHeight="1">
      <c r="A32" s="69" t="n">
        <v>28</v>
      </c>
      <c r="B32" s="69" t="inlineStr">
        <is>
          <t>942KH-CĐKT (24/9/2026)</t>
        </is>
      </c>
      <c r="C32" s="69" t="inlineStr">
        <is>
          <t>Tuần lễ hưởng ứng học tập suốt đời 2026</t>
        </is>
      </c>
      <c r="D32" s="69" t="inlineStr">
        <is>
          <t>Sửa 5.1 (sản phẩm, hạn 12/10); độ khó KH 398/CV 2514 nâng Cao, chờ xác nhận hạn.</t>
        </is>
      </c>
      <c r="E32" s="69" t="inlineStr">
        <is>
          <t>10-Dau-Vao/04-Chuyen-de/942KH-CĐKT….doc</t>
        </is>
      </c>
    </row>
    <row r="33" ht="36" customHeight="1">
      <c r="A33" s="69" t="n">
        <v>29</v>
      </c>
      <c r="B33" s="69" t="inlineStr">
        <is>
          <t>QĐ 2073/QĐ-CĐKT (23/9/2026)</t>
        </is>
      </c>
      <c r="C33" s="69" t="inlineStr">
        <is>
          <t>Quy chế làm việc của Trường (thay QĐ 1299)</t>
        </is>
      </c>
      <c r="D33" s="69" t="inlineStr">
        <is>
          <t>Sửa căn cứ; hủy nhiệm vụ rà soát, sửa đổi Quy chế làm việc.</t>
        </is>
      </c>
      <c r="E33" s="69" t="inlineStr">
        <is>
          <t>KTC-Database/02-KTC-Regulations/02-01…/QD-2073-QD-CDKT…</t>
        </is>
      </c>
    </row>
  </sheetData>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D11"/>
  <sheetViews>
    <sheetView workbookViewId="0">
      <selection activeCell="A1" sqref="A1"/>
    </sheetView>
  </sheetViews>
  <sheetFormatPr baseColWidth="8" defaultRowHeight="15"/>
  <cols>
    <col width="14" customWidth="1" min="1" max="1"/>
    <col width="34" customWidth="1" min="2" max="2"/>
    <col width="70" customWidth="1" min="3" max="3"/>
    <col width="24" customWidth="1" min="4" max="4"/>
  </cols>
  <sheetData>
    <row r="1">
      <c r="A1" s="62" t="inlineStr">
        <is>
          <t>QUY ƯỚC MÀU VÀ NGUYÊN TẮC XỬ LÝ</t>
        </is>
      </c>
      <c r="B1" s="63" t="n"/>
      <c r="C1" s="63" t="n"/>
      <c r="D1" s="63" t="n"/>
    </row>
    <row r="2">
      <c r="A2" s="64" t="inlineStr">
        <is>
          <t>Theo mẫu KH Quý III điều chỉnh, bổ sung; chữ trong ô: gạch đỏ = nội dung cũ, xanh gạch chân = nội dung mới (như Track Changes của Word).</t>
        </is>
      </c>
    </row>
    <row r="4">
      <c r="A4" s="65" t="inlineStr">
        <is>
          <t>Màu</t>
        </is>
      </c>
      <c r="B4" s="65" t="inlineStr">
        <is>
          <t>Trạng thái</t>
        </is>
      </c>
      <c r="C4" s="65" t="inlineStr">
        <is>
          <t>Xử lý</t>
        </is>
      </c>
      <c r="D4" s="65" t="inlineStr">
        <is>
          <t>Kết quả kỳ rà soát</t>
        </is>
      </c>
    </row>
    <row r="5" ht="36" customHeight="1">
      <c r="A5" s="68" t="inlineStr">
        <is>
          <t>Xanh lá</t>
        </is>
      </c>
      <c r="B5" s="68" t="inlineStr">
        <is>
          <t>Nhiệm vụ bổ sung</t>
        </is>
      </c>
      <c r="C5" s="68" t="inlineStr">
        <is>
          <t>Đưa vào Mục III (hoặc Mục II nếu từ Quý III chuyển sang), phân đúng 6 Trục, ghi nguồn</t>
        </is>
      </c>
      <c r="D5" s="68" t="inlineStr">
        <is>
          <t>59 nhiệm vụ</t>
        </is>
      </c>
    </row>
    <row r="6" ht="36" customHeight="1">
      <c r="A6" s="66" t="inlineStr">
        <is>
          <t>Vàng</t>
        </is>
      </c>
      <c r="B6" s="66" t="inlineStr">
        <is>
          <t>Điều chỉnh (thời gian, nội dung, sản phẩm, độ khó, căn cứ)</t>
        </is>
      </c>
      <c r="C6" s="66" t="inlineStr">
        <is>
          <t>Giữ nhiệm vụ; ô sửa hiển thị cũ gạch đỏ, mới xanh gạch chân; ghi căn cứ ở cột K, L</t>
        </is>
      </c>
      <c r="D6" s="66" t="inlineStr">
        <is>
          <t>4 vị trí</t>
        </is>
      </c>
    </row>
    <row r="7" ht="36" customHeight="1">
      <c r="A7" s="67" t="inlineStr">
        <is>
          <t>Đỏ</t>
        </is>
      </c>
      <c r="B7" s="67" t="inlineStr">
        <is>
          <t>Nhiệm vụ bị hủy</t>
        </is>
      </c>
      <c r="C7" s="67" t="inlineStr">
        <is>
          <t>Giữ dòng để truy vết và đánh dấu HỦY</t>
        </is>
      </c>
      <c r="D7" s="67" t="inlineStr">
        <is>
          <t>1 nhiệm vụ</t>
        </is>
      </c>
    </row>
    <row r="8" ht="36" customHeight="1">
      <c r="A8" s="69" t="inlineStr">
        <is>
          <t>Không tô</t>
        </is>
      </c>
      <c r="B8" s="69" t="inlineStr">
        <is>
          <t>Không thay đổi hoặc chỉ ghi nguồn cụ thể hóa</t>
        </is>
      </c>
      <c r="C8" s="69" t="inlineStr">
        <is>
          <t>Giữ nguyên nội dung; không tạo dòng trùng</t>
        </is>
      </c>
      <c r="D8" s="69" t="inlineStr"/>
    </row>
    <row r="10">
      <c r="A10" s="70" t="inlineStr">
        <is>
          <t>Lưu ý</t>
        </is>
      </c>
    </row>
    <row r="11">
      <c r="A11" s="71" t="inlineStr">
        <is>
          <t>Cột L là ghi chú rà soát để anh kiểm soát, xóa trước khi ký. Độ khó/thời hạn 'do rà soát đề xuất' là chỗ kế hoạch nguồn không ghi điểm hoặc chỉ ghi 'Năm 2026' — cần đơn vị xác nhận.</t>
        </is>
      </c>
    </row>
  </sheetData>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ACER</dc:creator>
  <dcterms:created xmlns:dcterms="http://purl.org/dc/terms/" xmlns:xsi="http://www.w3.org/2001/XMLSchema-instance" xsi:type="dcterms:W3CDTF">2026-08-21T08:35:30Z</dcterms:created>
  <dcterms:modified xmlns:dcterms="http://purl.org/dc/terms/" xmlns:xsi="http://www.w3.org/2001/XMLSchema-instance" xsi:type="dcterms:W3CDTF">2026-09-27T04:04:50Z</dcterms:modified>
  <cp:lastModifiedBy>phuc Nguyen</cp:lastModifiedBy>
  <cp:lastPrinted>2026-09-23T02:33:05Z</cp:lastPrinted>
</cp:coreProperties>
</file>