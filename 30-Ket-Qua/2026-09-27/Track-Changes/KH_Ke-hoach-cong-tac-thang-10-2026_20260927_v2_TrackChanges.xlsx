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KH tháng 10" sheetId="1" state="visible" r:id="rId1"/>
    <sheet xmlns:r="http://schemas.openxmlformats.org/officeDocument/2006/relationships" name="Nhật ký thay đổi" sheetId="2" state="visible" r:id="rId2"/>
    <sheet xmlns:r="http://schemas.openxmlformats.org/officeDocument/2006/relationships" name="Nguồn đối chiếu" sheetId="3" state="visible" r:id="rId3"/>
    <sheet xmlns:r="http://schemas.openxmlformats.org/officeDocument/2006/relationships" name="Quy ước màu" sheetId="4" state="visible" r:id="rId4"/>
  </sheets>
  <definedNames>
    <definedName name="_xlnm.Print_Titles" localSheetId="0">'KH tháng 10'!$8:$9</definedName>
    <definedName name="_xlnm.Print_Area" localSheetId="0">'KH tháng 10'!$A$1:$K$81</definedName>
  </definedNames>
  <calcPr calcId="191029" fullCalcOnLoad="1"/>
</workbook>
</file>

<file path=xl/styles.xml><?xml version="1.0" encoding="utf-8"?>
<styleSheet xmlns="http://schemas.openxmlformats.org/spreadsheetml/2006/main">
  <numFmts count="1">
    <numFmt numFmtId="164" formatCode="_(* #,##0.0_);_(* \(#,##0.0\);_(* &quot;-&quot;??_);_(@_)"/>
  </numFmts>
  <fonts count="21">
    <font>
      <name val="Calibri"/>
      <family val="2"/>
      <color theme="1"/>
      <sz val="11"/>
      <scheme val="minor"/>
    </font>
    <font>
      <name val="Times New Roman"/>
      <family val="1"/>
      <sz val="14"/>
    </font>
    <font>
      <name val="Times New Roman"/>
      <family val="1"/>
      <b val="1"/>
      <sz val="14"/>
    </font>
    <font>
      <name val="Times New Roman"/>
      <family val="1"/>
      <i val="1"/>
      <sz val="14"/>
    </font>
    <font>
      <name val="Calibri"/>
      <charset val="1"/>
      <family val="2"/>
      <color theme="1"/>
      <sz val="11"/>
    </font>
    <font>
      <name val="Calibri"/>
      <family val="2"/>
      <color rgb="FF000000"/>
      <sz val="11"/>
      <scheme val="minor"/>
    </font>
    <font>
      <name val="Times New Roman"/>
      <family val="1"/>
      <sz val="12"/>
    </font>
    <font>
      <name val="Times New Roman"/>
      <family val="1"/>
      <sz val="11"/>
    </font>
    <font>
      <name val="Times New Roman"/>
      <family val="1"/>
      <sz val="13"/>
    </font>
    <font>
      <name val="Times New Roman"/>
      <family val="1"/>
      <b val="1"/>
      <sz val="13"/>
    </font>
    <font>
      <name val="Arial"/>
      <family val="2"/>
      <color theme="1"/>
      <sz val="11"/>
    </font>
    <font>
      <name val="Calibri"/>
      <family val="2"/>
      <sz val="11"/>
      <scheme val="minor"/>
    </font>
    <font>
      <name val="Calibri"/>
      <family val="2"/>
      <sz val="8"/>
      <scheme val="minor"/>
    </font>
    <font>
      <name val="Calibri"/>
      <family val="2"/>
      <sz val="13"/>
      <scheme val="minor"/>
    </font>
    <font>
      <name val="Times New Roman"/>
      <family val="1"/>
      <b val="1"/>
      <i val="1"/>
      <sz val="12"/>
    </font>
    <font>
      <name val="Calibri"/>
      <family val="2"/>
      <color theme="1"/>
      <sz val="11"/>
      <scheme val="minor"/>
    </font>
    <font>
      <name val="Times New Roman"/>
      <i val="1"/>
      <color rgb="FF7F3F00"/>
      <sz val="12"/>
    </font>
    <font>
      <name val="Times New Roman"/>
      <b val="1"/>
      <color rgb="FFFFFFFF"/>
      <sz val="13"/>
    </font>
    <font>
      <name val="Times New Roman"/>
      <i val="1"/>
      <sz val="12"/>
    </font>
    <font>
      <name val="Times New Roman"/>
      <b val="1"/>
      <sz val="12"/>
    </font>
    <font>
      <name val="Times New Roman"/>
      <sz val="12"/>
    </font>
  </fonts>
  <fills count="7">
    <fill>
      <patternFill/>
    </fill>
    <fill>
      <patternFill patternType="gray125"/>
    </fill>
    <fill>
      <patternFill patternType="solid">
        <fgColor rgb="FFF4CCCC"/>
      </patternFill>
    </fill>
    <fill>
      <patternFill patternType="solid">
        <fgColor rgb="FFFFF2CC"/>
      </patternFill>
    </fill>
    <fill>
      <patternFill patternType="solid">
        <fgColor rgb="FFE2F0D9"/>
      </patternFill>
    </fill>
    <fill>
      <patternFill patternType="solid">
        <fgColor rgb="FF1F4E78"/>
      </patternFill>
    </fill>
    <fill>
      <patternFill patternType="solid">
        <fgColor rgb="FFD9E1F2"/>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right style="thin"/>
      <top style="thin"/>
      <bottom style="thin"/>
    </border>
  </borders>
  <cellStyleXfs count="5">
    <xf numFmtId="0" fontId="15" fillId="0" borderId="0"/>
    <xf numFmtId="0" fontId="4" fillId="0" borderId="0"/>
    <xf numFmtId="0" fontId="5" fillId="0" borderId="0"/>
    <xf numFmtId="0" fontId="10" fillId="0" borderId="0"/>
    <xf numFmtId="43" fontId="15" fillId="0" borderId="0"/>
  </cellStyleXfs>
  <cellXfs count="75">
    <xf numFmtId="0" fontId="0" fillId="0" borderId="0" pivotButton="0" quotePrefix="0" xfId="0"/>
    <xf numFmtId="0" fontId="8" fillId="0" borderId="1" applyAlignment="1" pivotButton="0" quotePrefix="0" xfId="0">
      <alignment horizontal="justify"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1" fillId="0" borderId="0" pivotButton="0" quotePrefix="0" xfId="0"/>
    <xf numFmtId="0" fontId="9" fillId="0" borderId="1" applyAlignment="1" pivotButton="0" quotePrefix="0" xfId="0">
      <alignment horizontal="center" vertical="center" wrapText="1"/>
    </xf>
    <xf numFmtId="0" fontId="8" fillId="0" borderId="1" applyAlignment="1" pivotButton="0" quotePrefix="0" xfId="3">
      <alignment horizontal="center" vertical="center" wrapText="1"/>
    </xf>
    <xf numFmtId="0" fontId="11" fillId="0" borderId="0" pivotButton="0" quotePrefix="0" xfId="0"/>
    <xf numFmtId="0" fontId="8" fillId="0" borderId="1" applyAlignment="1" pivotButton="0" quotePrefix="0" xfId="2">
      <alignment horizontal="center" vertical="center" wrapText="1"/>
    </xf>
    <xf numFmtId="0" fontId="1" fillId="0" borderId="0" applyAlignment="1" pivotButton="0" quotePrefix="0" xfId="0">
      <alignment vertical="top"/>
    </xf>
    <xf numFmtId="0" fontId="1" fillId="0" borderId="1" applyAlignment="1" pivotButton="0" quotePrefix="1" xfId="0">
      <alignment horizontal="center" vertical="center" wrapText="1"/>
    </xf>
    <xf numFmtId="0" fontId="8" fillId="0" borderId="6" applyAlignment="1" pivotButton="0" quotePrefix="0" xfId="0">
      <alignment horizontal="center" vertical="center" wrapText="1"/>
    </xf>
    <xf numFmtId="0" fontId="8" fillId="0" borderId="0" pivotButton="0" quotePrefix="0" xfId="0"/>
    <xf numFmtId="0" fontId="8" fillId="0" borderId="1" applyAlignment="1" pivotButton="0" quotePrefix="0" xfId="0">
      <alignment vertical="center" wrapText="1"/>
    </xf>
    <xf numFmtId="0" fontId="1" fillId="0" borderId="0" applyAlignment="1" pivotButton="0" quotePrefix="0" xfId="0">
      <alignment horizontal="justify"/>
    </xf>
    <xf numFmtId="0" fontId="1" fillId="0" borderId="0" applyAlignment="1" pivotButton="0" quotePrefix="0" xfId="0">
      <alignment vertical="center"/>
    </xf>
    <xf numFmtId="0" fontId="9" fillId="0" borderId="1" applyAlignment="1" pivotButton="0" quotePrefix="0" xfId="0">
      <alignment horizontal="center" vertical="center"/>
    </xf>
    <xf numFmtId="0" fontId="8" fillId="0" borderId="1" applyAlignment="1" pivotButton="0" quotePrefix="1" xfId="0">
      <alignment horizontal="center" vertical="center" wrapText="1"/>
    </xf>
    <xf numFmtId="0" fontId="8" fillId="0" borderId="1" pivotButton="0" quotePrefix="0" xfId="0"/>
    <xf numFmtId="14" fontId="8" fillId="0" borderId="1" applyAlignment="1" pivotButton="0" quotePrefix="1" xfId="0">
      <alignment horizontal="center" vertical="center" wrapText="1"/>
    </xf>
    <xf numFmtId="0" fontId="2" fillId="0" borderId="0" applyAlignment="1" pivotButton="0" quotePrefix="0" xfId="0">
      <alignment horizontal="center"/>
    </xf>
    <xf numFmtId="0" fontId="11" fillId="0" borderId="0" pivotButton="0" quotePrefix="0" xfId="0"/>
    <xf numFmtId="0" fontId="2" fillId="0" borderId="1" applyAlignment="1" pivotButton="0" quotePrefix="0" xfId="0">
      <alignment horizontal="center" vertical="center" wrapText="1"/>
    </xf>
    <xf numFmtId="0" fontId="11" fillId="0" borderId="5" pivotButton="0" quotePrefix="0" xfId="0"/>
    <xf numFmtId="0" fontId="9" fillId="0" borderId="1" applyAlignment="1" pivotButton="0" quotePrefix="0" xfId="0">
      <alignment horizontal="left" vertical="center"/>
    </xf>
    <xf numFmtId="0" fontId="13" fillId="0" borderId="3" pivotButton="0" quotePrefix="0" xfId="0"/>
    <xf numFmtId="0" fontId="13" fillId="0" borderId="4" pivotButton="0" quotePrefix="0" xfId="0"/>
    <xf numFmtId="0" fontId="9" fillId="0" borderId="1" applyAlignment="1" pivotButton="0" quotePrefix="0" xfId="0">
      <alignment horizontal="left" vertical="center" wrapText="1"/>
    </xf>
    <xf numFmtId="0" fontId="13" fillId="0" borderId="3" applyAlignment="1" pivotButton="0" quotePrefix="0" xfId="0">
      <alignment wrapText="1"/>
    </xf>
    <xf numFmtId="0" fontId="13" fillId="0" borderId="4" applyAlignment="1" pivotButton="0" quotePrefix="0" xfId="0">
      <alignment wrapText="1"/>
    </xf>
    <xf numFmtId="0" fontId="2" fillId="0" borderId="0" applyAlignment="1" pivotButton="0" quotePrefix="0" xfId="0">
      <alignment horizontal="center" vertical="top" wrapText="1"/>
    </xf>
    <xf numFmtId="0" fontId="6" fillId="0" borderId="0" applyAlignment="1" pivotButton="0" quotePrefix="0" xfId="0">
      <alignment horizontal="justify" vertical="top" wrapText="1"/>
    </xf>
    <xf numFmtId="0" fontId="9" fillId="0" borderId="1" applyAlignment="1" pivotButton="0" quotePrefix="0" xfId="0">
      <alignment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3" fillId="0" borderId="0" applyAlignment="1" pivotButton="0" quotePrefix="0" xfId="0">
      <alignment horizontal="center"/>
    </xf>
    <xf numFmtId="0" fontId="1" fillId="0" borderId="2" applyAlignment="1" pivotButton="0" quotePrefix="0" xfId="0">
      <alignment horizontal="justify" vertical="center" wrapText="1"/>
    </xf>
    <xf numFmtId="0" fontId="11" fillId="0" borderId="2" pivotButton="0" quotePrefix="0" xfId="0"/>
    <xf numFmtId="0" fontId="1" fillId="0" borderId="0" applyAlignment="1" pivotButton="0" quotePrefix="0" xfId="0">
      <alignment horizontal="center"/>
    </xf>
    <xf numFmtId="164" fontId="8" fillId="0" borderId="1" applyAlignment="1" pivotButton="0" quotePrefix="0" xfId="4">
      <alignment horizontal="center" vertical="center" wrapText="1"/>
    </xf>
    <xf numFmtId="0" fontId="0" fillId="0" borderId="2" pivotButton="0" quotePrefix="0" xfId="0"/>
    <xf numFmtId="0" fontId="0" fillId="0" borderId="5" pivotButton="0" quotePrefix="0" xfId="0"/>
    <xf numFmtId="0" fontId="0" fillId="0" borderId="3" pivotButton="0" quotePrefix="0" xfId="0"/>
    <xf numFmtId="0" fontId="0" fillId="0" borderId="4" pivotButton="0" quotePrefix="0" xfId="0"/>
    <xf numFmtId="0" fontId="16" fillId="0" borderId="11" applyAlignment="1" pivotButton="0" quotePrefix="0" xfId="0">
      <alignment horizontal="left" vertical="center" wrapText="1"/>
    </xf>
    <xf numFmtId="0" fontId="8" fillId="3" borderId="1" applyAlignment="1" pivotButton="0" quotePrefix="1" xfId="0">
      <alignment horizontal="center" vertical="center" wrapText="1"/>
    </xf>
    <xf numFmtId="0" fontId="8" fillId="3" borderId="1" applyAlignment="1" pivotButton="0" quotePrefix="0" xfId="0">
      <alignment horizontal="justify" vertical="center" wrapText="1"/>
    </xf>
    <xf numFmtId="0" fontId="8" fillId="3" borderId="1" applyAlignment="1" pivotButton="0" quotePrefix="0" xfId="0">
      <alignment horizontal="center" vertical="center" wrapText="1"/>
    </xf>
    <xf numFmtId="14" fontId="8" fillId="3" borderId="1" applyAlignment="1" pivotButton="0" quotePrefix="1" xfId="0">
      <alignment horizontal="center" vertical="center" wrapText="1"/>
    </xf>
    <xf numFmtId="164" fontId="8" fillId="3" borderId="1" applyAlignment="1" pivotButton="0" quotePrefix="0" xfId="4">
      <alignment horizontal="center" vertical="center" wrapText="1"/>
    </xf>
    <xf numFmtId="0" fontId="8" fillId="3" borderId="1" pivotButton="0" quotePrefix="0" xfId="0"/>
    <xf numFmtId="0" fontId="8" fillId="3" borderId="1" applyAlignment="1" pivotButton="0" quotePrefix="0" xfId="0">
      <alignment horizontal="center" vertical="center"/>
    </xf>
    <xf numFmtId="0" fontId="8" fillId="2" borderId="1" applyAlignment="1" pivotButton="0" quotePrefix="0" xfId="0">
      <alignment horizontal="center" vertical="center" wrapText="1"/>
    </xf>
    <xf numFmtId="0" fontId="8" fillId="2" borderId="1" applyAlignment="1" pivotButton="0" quotePrefix="0" xfId="0">
      <alignment horizontal="justify" vertical="center" wrapText="1"/>
    </xf>
    <xf numFmtId="0" fontId="8" fillId="2" borderId="1" applyAlignment="1" pivotButton="0" quotePrefix="0" xfId="3">
      <alignment horizontal="center" vertical="center" wrapText="1"/>
    </xf>
    <xf numFmtId="164" fontId="8" fillId="2" borderId="1" applyAlignment="1" pivotButton="0" quotePrefix="0" xfId="4">
      <alignment horizontal="center" vertical="center" wrapText="1"/>
    </xf>
    <xf numFmtId="0" fontId="8" fillId="2" borderId="1" applyAlignment="1" pivotButton="0" quotePrefix="0" xfId="0">
      <alignment horizontal="center" vertical="center"/>
    </xf>
    <xf numFmtId="0" fontId="8" fillId="4" borderId="1" applyAlignment="1" pivotButton="0" quotePrefix="0" xfId="0">
      <alignment horizontal="center" vertical="center" wrapText="1"/>
    </xf>
    <xf numFmtId="0" fontId="8" fillId="4" borderId="1" applyAlignment="1" pivotButton="0" quotePrefix="0" xfId="0">
      <alignment horizontal="justify" vertical="center" wrapText="1"/>
    </xf>
    <xf numFmtId="164" fontId="8" fillId="4" borderId="1" applyAlignment="1" pivotButton="0" quotePrefix="0" xfId="4">
      <alignment horizontal="center" vertical="center" wrapText="1"/>
    </xf>
    <xf numFmtId="0" fontId="8" fillId="4" borderId="1" applyAlignment="1" pivotButton="0" quotePrefix="0" xfId="0">
      <alignment horizontal="center" vertical="center"/>
    </xf>
    <xf numFmtId="0" fontId="8" fillId="4" borderId="1" applyAlignment="1" pivotButton="0" quotePrefix="1" xfId="0">
      <alignment horizontal="center" vertical="center" wrapText="1"/>
    </xf>
    <xf numFmtId="0" fontId="8"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17" fillId="5" borderId="0" pivotButton="0" quotePrefix="0" xfId="0"/>
    <xf numFmtId="0" fontId="0" fillId="5" borderId="0" pivotButton="0" quotePrefix="0" xfId="0"/>
    <xf numFmtId="0" fontId="18" fillId="0" borderId="0" pivotButton="0" quotePrefix="0" xfId="0"/>
    <xf numFmtId="0" fontId="19" fillId="6" borderId="0" applyAlignment="1" pivotButton="0" quotePrefix="0" xfId="0">
      <alignment horizontal="center" vertical="center" wrapText="1"/>
    </xf>
    <xf numFmtId="0" fontId="20" fillId="2" borderId="11" applyAlignment="1" pivotButton="0" quotePrefix="0" xfId="0">
      <alignment vertical="top" wrapText="1"/>
    </xf>
    <xf numFmtId="0" fontId="20" fillId="3" borderId="11" applyAlignment="1" pivotButton="0" quotePrefix="0" xfId="0">
      <alignment vertical="top" wrapText="1"/>
    </xf>
    <xf numFmtId="0" fontId="20" fillId="4" borderId="11" applyAlignment="1" pivotButton="0" quotePrefix="0" xfId="0">
      <alignment vertical="top" wrapText="1"/>
    </xf>
    <xf numFmtId="0" fontId="20" fillId="0" borderId="11" applyAlignment="1" pivotButton="0" quotePrefix="0" xfId="0">
      <alignment vertical="top" wrapText="1"/>
    </xf>
    <xf numFmtId="0" fontId="19" fillId="0" borderId="0" pivotButton="0" quotePrefix="0" xfId="0"/>
    <xf numFmtId="0" fontId="20" fillId="0" borderId="0" pivotButton="0" quotePrefix="0" xfId="0"/>
  </cellXfs>
  <cellStyles count="5">
    <cellStyle name="Normal" xfId="0" builtinId="0"/>
    <cellStyle name="Normal 2" xfId="1"/>
    <cellStyle name="Normal 3" xfId="2"/>
    <cellStyle name="Normal 4" xfId="3"/>
    <cellStyle name="Comma" xfId="4"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81"/>
  <sheetViews>
    <sheetView tabSelected="1" topLeftCell="A23" zoomScale="80" zoomScaleNormal="80" zoomScaleSheetLayoutView="100" workbookViewId="0">
      <selection activeCell="B27" sqref="B27"/>
    </sheetView>
  </sheetViews>
  <sheetFormatPr baseColWidth="8" defaultColWidth="48" defaultRowHeight="18"/>
  <cols>
    <col width="5.81640625" customWidth="1" style="4" min="1" max="1"/>
    <col width="44.08984375" customWidth="1" style="14" min="2" max="2"/>
    <col width="12.54296875" customWidth="1" style="4" min="3" max="3"/>
    <col width="11.36328125" customWidth="1" style="4" min="4" max="4"/>
    <col width="11.1796875" customWidth="1" style="4" min="5" max="5"/>
    <col width="7.90625" customWidth="1" style="4" min="6" max="6"/>
    <col width="8.81640625" customWidth="1" style="4" min="7" max="7"/>
    <col width="13.90625" customWidth="1" style="4" min="8" max="8"/>
    <col width="7.1796875" customWidth="1" style="4" min="9" max="9"/>
    <col width="5.1796875" customWidth="1" style="4" min="10" max="10"/>
    <col width="7.08984375" customWidth="1" style="4" min="11" max="11"/>
    <col width="46" customWidth="1" style="4" min="12" max="16384"/>
  </cols>
  <sheetData>
    <row r="1">
      <c r="A1" s="34" t="inlineStr">
        <is>
          <t>UBND TỈNH QUẢNG NGÃI</t>
        </is>
      </c>
      <c r="C1" s="9" t="n"/>
      <c r="D1" s="9" t="n"/>
      <c r="E1" s="30" t="inlineStr">
        <is>
          <t>CỘNG HÒA XÃ HỘI CHỦ NGHĨA VIỆT NAM</t>
        </is>
      </c>
    </row>
    <row r="2">
      <c r="A2" s="20" t="inlineStr">
        <is>
          <t>TRƯỜNG CAO ĐẲNG KON TUM</t>
        </is>
      </c>
      <c r="C2" s="21" t="n"/>
      <c r="D2" s="21" t="n"/>
      <c r="E2" s="20" t="inlineStr">
        <is>
          <t>Độc lập - Tự do - Hạnh phúc</t>
        </is>
      </c>
    </row>
    <row r="3" ht="27" customHeight="1">
      <c r="A3" s="39" t="inlineStr">
        <is>
          <t>Số:       /KH-CĐKT</t>
        </is>
      </c>
      <c r="C3" s="21" t="n"/>
      <c r="D3" s="21" t="n"/>
      <c r="E3" s="36" t="inlineStr">
        <is>
          <t>Quảng Ngãi, ngày     tháng 9 năm 2026</t>
        </is>
      </c>
    </row>
    <row r="4">
      <c r="A4" s="21" t="n"/>
      <c r="B4" s="21" t="n"/>
      <c r="C4" s="21" t="n"/>
      <c r="D4" s="21" t="n"/>
      <c r="E4" s="21" t="n"/>
      <c r="F4" s="21" t="n"/>
      <c r="G4" s="21" t="n"/>
      <c r="H4" s="21" t="n"/>
      <c r="I4" s="21" t="n"/>
      <c r="J4" s="21" t="n"/>
      <c r="K4" s="21" t="n"/>
    </row>
    <row r="5" ht="41.5" customHeight="1">
      <c r="A5" s="33" t="inlineStr">
        <is>
          <t>KẾ HOẠCH
công tác tháng 10 năm 2026</t>
        </is>
      </c>
    </row>
    <row r="6">
      <c r="A6" s="35" t="n"/>
    </row>
    <row r="7" ht="109.5" customHeight="1">
      <c r="A7" s="37" t="inlineStr">
        <is>
          <t xml:space="preserve">        Căn cứ Quyết định số 311/QĐ-CĐKT ngày 04/02/2026 của Hiệu trưởng Trường Cao đẳng Kon Tum ban hành Chương trình công tác trọng tâm năm 2026;
        Căn cứ Kế hoạch số .../KH-CĐKT ngày ... của Trường Cao đẳng Kon Tum về kế hoạch công tác Quý IV năm 2026 và đề xuất kế hoạch công tác tháng 10 năm 2026 của các đơn vị thuộc Trường.
        Nhà trường ban hành Kế hoạch công tác tháng 10 năm 2026, cụ thể như sau:</t>
        </is>
      </c>
      <c r="B7" s="41" t="n"/>
      <c r="C7" s="41" t="n"/>
      <c r="D7" s="41" t="n"/>
      <c r="E7" s="41" t="n"/>
      <c r="F7" s="41" t="n"/>
      <c r="G7" s="41" t="n"/>
      <c r="H7" s="41" t="n"/>
      <c r="I7" s="41" t="n"/>
      <c r="J7" s="41" t="n"/>
      <c r="K7" s="41" t="n"/>
    </row>
    <row r="8">
      <c r="A8" s="22" t="inlineStr">
        <is>
          <t>TT</t>
        </is>
      </c>
      <c r="B8" s="22" t="inlineStr">
        <is>
          <t>NỘI DUNG CÔNG VIỆC</t>
        </is>
      </c>
      <c r="C8" s="22" t="inlineStr">
        <is>
          <t>Người trực tiếp chỉ đạo</t>
        </is>
      </c>
      <c r="D8" s="22" t="inlineStr">
        <is>
          <t>Đơn vị chủ trì</t>
        </is>
      </c>
      <c r="E8" s="22" t="inlineStr">
        <is>
          <t>Sản phẩm/ công việc</t>
        </is>
      </c>
      <c r="F8" s="22" t="inlineStr">
        <is>
          <t>Số lượng</t>
        </is>
      </c>
      <c r="G8" s="22" t="inlineStr">
        <is>
          <t>Độ khó, mới, phức tạp; phạm vi tác động</t>
        </is>
      </c>
      <c r="H8" s="22" t="inlineStr">
        <is>
          <t>Thời gian hoàn thành</t>
        </is>
      </c>
      <c r="I8" s="22" t="inlineStr">
        <is>
          <t>Điểm chấm công việc</t>
        </is>
      </c>
      <c r="J8" s="22" t="inlineStr">
        <is>
          <t>Hệ số quy đổi</t>
        </is>
      </c>
      <c r="K8" s="22" t="inlineStr">
        <is>
          <t>Ghi chú</t>
        </is>
      </c>
      <c r="L8" s="22" t="inlineStr">
        <is>
          <t>Ghi chú rà soát (Track Changes) — xóa trước khi ký</t>
        </is>
      </c>
    </row>
    <row r="9" ht="121.75" customHeight="1">
      <c r="A9" s="42" t="n"/>
      <c r="B9" s="42" t="n"/>
      <c r="C9" s="42" t="n"/>
      <c r="D9" s="42" t="n"/>
      <c r="E9" s="42" t="n"/>
      <c r="F9" s="42" t="n"/>
      <c r="G9" s="42" t="n"/>
      <c r="H9" s="42" t="n"/>
      <c r="I9" s="42" t="n"/>
      <c r="J9" s="42" t="n"/>
      <c r="K9" s="42" t="n"/>
    </row>
    <row r="10">
      <c r="A10" s="10" t="inlineStr">
        <is>
          <t>(1)</t>
        </is>
      </c>
      <c r="B10" s="10" t="inlineStr">
        <is>
          <t>(2)</t>
        </is>
      </c>
      <c r="C10" s="10" t="inlineStr">
        <is>
          <t>(3)</t>
        </is>
      </c>
      <c r="D10" s="10" t="inlineStr">
        <is>
          <t>(4)</t>
        </is>
      </c>
      <c r="E10" s="10" t="inlineStr">
        <is>
          <t>(5)</t>
        </is>
      </c>
      <c r="F10" s="10" t="inlineStr">
        <is>
          <t>(6)</t>
        </is>
      </c>
      <c r="G10" s="10" t="inlineStr">
        <is>
          <t>(7)</t>
        </is>
      </c>
      <c r="H10" s="10" t="inlineStr">
        <is>
          <t>(8)</t>
        </is>
      </c>
      <c r="I10" s="10" t="inlineStr">
        <is>
          <t>(9)</t>
        </is>
      </c>
      <c r="J10" s="10" t="inlineStr">
        <is>
          <t>(10)</t>
        </is>
      </c>
      <c r="K10" s="10" t="inlineStr">
        <is>
          <t>(11)</t>
        </is>
      </c>
    </row>
    <row r="11" ht="17" customFormat="1" customHeight="1" s="12">
      <c r="A11" s="5" t="inlineStr">
        <is>
          <t>I</t>
        </is>
      </c>
      <c r="B11" s="32" t="inlineStr">
        <is>
          <t>Các nhiệm vụ theo kế hoạch công tác đã đề ra từ đầu quý</t>
        </is>
      </c>
      <c r="C11" s="43" t="n"/>
      <c r="D11" s="43" t="n"/>
      <c r="E11" s="43" t="n"/>
      <c r="F11" s="43" t="n"/>
      <c r="G11" s="43" t="n"/>
      <c r="H11" s="43" t="n"/>
      <c r="I11" s="43" t="n"/>
      <c r="J11" s="43" t="n"/>
      <c r="K11" s="44" t="n"/>
    </row>
    <row r="12" ht="17" customFormat="1" customHeight="1" s="12">
      <c r="A12" s="16" t="inlineStr">
        <is>
          <t>1</t>
        </is>
      </c>
      <c r="B12" s="24" t="inlineStr">
        <is>
          <t xml:space="preserve">Trục (1) - Thực hiện mục tiêu phát triển Kinh tế - xã hội và nhiệm vụ chính trị được giao </t>
        </is>
      </c>
      <c r="C12" s="43" t="n"/>
      <c r="D12" s="43" t="n"/>
      <c r="E12" s="43" t="n"/>
      <c r="F12" s="43" t="n"/>
      <c r="G12" s="43" t="n"/>
      <c r="H12" s="43" t="n"/>
      <c r="I12" s="43" t="n"/>
      <c r="J12" s="43" t="n"/>
      <c r="K12" s="44" t="n"/>
    </row>
    <row r="13" ht="49.5" customFormat="1" customHeight="1" s="12">
      <c r="A13" s="17" t="inlineStr">
        <is>
          <t>1.1</t>
        </is>
      </c>
      <c r="B13" s="1" t="inlineStr">
        <is>
          <t>Thẩm định, ban hành quy trình bảo đảm chất lượng đợt 2 năm 2026</t>
        </is>
      </c>
      <c r="C13" s="11" t="inlineStr">
        <is>
          <t>Hiệu trưởng</t>
        </is>
      </c>
      <c r="D13" s="2" t="inlineStr">
        <is>
          <t>Phòng QLĐT&amp;BĐCL</t>
        </is>
      </c>
      <c r="E13" s="11" t="inlineStr">
        <is>
          <t>Quyết định</t>
        </is>
      </c>
      <c r="F13" s="2" t="n">
        <v>3</v>
      </c>
      <c r="G13" s="2" t="inlineStr">
        <is>
          <t>Cao</t>
        </is>
      </c>
      <c r="H13" s="2" t="inlineStr">
        <is>
          <t>31/10/2026</t>
        </is>
      </c>
      <c r="I13" s="2">
        <f>IF(G13="Khó và phức tạp",200,IF(G13="Cao",150,IF(G13="Trung bình",120,IF(G13="Thấp",100))))</f>
        <v/>
      </c>
      <c r="J13" s="40">
        <f>I13*0.01</f>
        <v/>
      </c>
      <c r="K13" s="5" t="n"/>
    </row>
    <row r="14" ht="72" customFormat="1" customHeight="1" s="12">
      <c r="A14" s="17" t="inlineStr">
        <is>
          <t>1.2</t>
        </is>
      </c>
      <c r="B14" s="1" t="inlineStr">
        <is>
          <t>Đánh giá ngoài chất lượng chương trình đào tạo</t>
        </is>
      </c>
      <c r="C14" s="2" t="inlineStr">
        <is>
          <t>PHT Dương Văn Anh Dũng</t>
        </is>
      </c>
      <c r="D14" s="2" t="inlineStr">
        <is>
          <t>Phòng QLĐT&amp;BĐCL</t>
        </is>
      </c>
      <c r="E14" s="2" t="inlineStr">
        <is>
          <t>Kế hoạch</t>
        </is>
      </c>
      <c r="F14" s="2" t="n">
        <v>1</v>
      </c>
      <c r="G14" s="2" t="inlineStr">
        <is>
          <t>Cao</t>
        </is>
      </c>
      <c r="H14" s="2" t="inlineStr">
        <is>
          <t>31/10/2026</t>
        </is>
      </c>
      <c r="I14" s="2">
        <f>IF(G14="Khó và phức tạp",200,IF(G14="Cao",150,IF(G14="Trung bình",120,IF(G14="Thấp",100))))</f>
        <v/>
      </c>
      <c r="J14" s="40">
        <f>I14*0.01</f>
        <v/>
      </c>
      <c r="K14" s="18" t="n"/>
    </row>
    <row r="15" ht="293" customFormat="1" customHeight="1" s="12">
      <c r="A15" s="17" t="inlineStr">
        <is>
          <t>1.3</t>
        </is>
      </c>
      <c r="B15" s="1" t="inlineStr">
        <is>
          <t>Báo cáo kết quả khảo sát các bên liên quan về hoạt động của nhà trường và chất lượng các CTĐT năm 2026</t>
        </is>
      </c>
      <c r="C15" s="2" t="inlineStr">
        <is>
          <t>PHT Huỳnh Văn Chung</t>
        </is>
      </c>
      <c r="D15" s="2" t="inlineStr">
        <is>
          <t>Phòng QLKHCN&amp;HTPT</t>
        </is>
      </c>
      <c r="E15" s="2" t="inlineStr">
        <is>
          <t>Báo cáo</t>
        </is>
      </c>
      <c r="F15" s="2" t="n">
        <v>4</v>
      </c>
      <c r="G15" s="2" t="inlineStr">
        <is>
          <t>Cao</t>
        </is>
      </c>
      <c r="H15" s="2" t="inlineStr">
        <is>
          <t>31/10/2026</t>
        </is>
      </c>
      <c r="I15" s="2">
        <f>IF(G15="Khó và phức tạp",200,IF(G15="Cao",150,IF(G15="Trung bình",120,IF(G15="Thấp",100))))</f>
        <v/>
      </c>
      <c r="J15" s="40">
        <f>I15*0.01</f>
        <v/>
      </c>
      <c r="K15" s="5" t="inlineStr">
        <is>
          <t>881KH-CĐKT</t>
        </is>
      </c>
      <c r="L15" s="45" t="inlineStr">
        <is>
          <t>Ghi nguồn: KH 881 mục 24 (lấy ý kiến doanh nghiệp, Quý III/IV) đã nằm trong nhiệm vụ này; không thêm dòng.</t>
        </is>
      </c>
    </row>
    <row r="16" ht="17" customFormat="1" customHeight="1" s="12">
      <c r="A16" s="16" t="inlineStr">
        <is>
          <t>2</t>
        </is>
      </c>
      <c r="B16" s="24" t="inlineStr">
        <is>
          <t>Trục (2) - Hoàn thiện thể chế, đẩy mạnh phân cấp, phân quyền gắn với kiểm tra, giám sát</t>
        </is>
      </c>
      <c r="C16" s="43" t="n"/>
      <c r="D16" s="43" t="n"/>
      <c r="E16" s="43" t="n"/>
      <c r="F16" s="43" t="n"/>
      <c r="G16" s="43" t="n"/>
      <c r="H16" s="43" t="n"/>
      <c r="I16" s="43" t="n"/>
      <c r="J16" s="43" t="n"/>
      <c r="K16" s="44" t="n"/>
    </row>
    <row r="17" ht="67.25" customFormat="1" customHeight="1" s="12">
      <c r="A17" s="2" t="inlineStr">
        <is>
          <t>2.1</t>
        </is>
      </c>
      <c r="B17" s="1" t="inlineStr">
        <is>
          <t>Ban hành định mức kinh tế kỹ thuật ngành nghề Y sỹ đa khoa và định giá đào tạo</t>
        </is>
      </c>
      <c r="C17" s="2" t="inlineStr">
        <is>
          <t>Hiệu trưởng</t>
        </is>
      </c>
      <c r="D17" s="2" t="inlineStr">
        <is>
          <t>Phòng TC-KT</t>
        </is>
      </c>
      <c r="E17" s="2" t="inlineStr">
        <is>
          <t>Quyết định + phụ lục đinh mức</t>
        </is>
      </c>
      <c r="F17" s="3" t="n">
        <v>2</v>
      </c>
      <c r="G17" s="2" t="inlineStr">
        <is>
          <t>Cao</t>
        </is>
      </c>
      <c r="H17" s="2" t="inlineStr">
        <is>
          <t>31/10/2026</t>
        </is>
      </c>
      <c r="I17" s="2">
        <f>IF(G17="Khó và phức tạp",200,IF(G17="Cao",150,IF(G17="Trung bình",120,IF(G17="Thấp",100))))</f>
        <v/>
      </c>
      <c r="J17" s="40">
        <f>I17*0.01</f>
        <v/>
      </c>
      <c r="K17" s="2" t="n"/>
    </row>
    <row r="18" ht="63" customFormat="1" customHeight="1" s="12">
      <c r="A18" s="2" t="inlineStr">
        <is>
          <t>2.2</t>
        </is>
      </c>
      <c r="B18" s="1" t="inlineStr">
        <is>
          <t>Ban hành định mức kinh tế - kỹ thuật và định giá đào tạo lái xe</t>
        </is>
      </c>
      <c r="C18" s="2" t="inlineStr">
        <is>
          <t>Hiệu trưởng</t>
        </is>
      </c>
      <c r="D18" s="2" t="inlineStr">
        <is>
          <t>Phòng TC-KT</t>
        </is>
      </c>
      <c r="E18" s="2" t="inlineStr">
        <is>
          <t>Quyết định + phụ lục đinh mức</t>
        </is>
      </c>
      <c r="F18" s="2" t="n">
        <v>4</v>
      </c>
      <c r="G18" s="2" t="inlineStr">
        <is>
          <t>Cao</t>
        </is>
      </c>
      <c r="H18" s="2" t="inlineStr">
        <is>
          <t>31/10/2026</t>
        </is>
      </c>
      <c r="I18" s="2">
        <f>IF(G18="Khó và phức tạp",200,IF(G18="Cao",150,IF(G18="Trung bình",120,IF(G18="Thấp",100))))</f>
        <v/>
      </c>
      <c r="J18" s="40">
        <f>I18*0.01</f>
        <v/>
      </c>
      <c r="K18" s="2" t="n"/>
    </row>
    <row r="19" ht="17" customFormat="1" customHeight="1" s="12">
      <c r="A19" s="16" t="inlineStr">
        <is>
          <t>3</t>
        </is>
      </c>
      <c r="B19" s="24" t="inlineStr">
        <is>
          <t>Trục (3) - Thúc đẩy phát triển khoa học, công nghệ, đổi mới sáng tạo và chuyển đổi số</t>
        </is>
      </c>
      <c r="C19" s="43" t="n"/>
      <c r="D19" s="43" t="n"/>
      <c r="E19" s="43" t="n"/>
      <c r="F19" s="43" t="n"/>
      <c r="G19" s="43" t="n"/>
      <c r="H19" s="43" t="n"/>
      <c r="I19" s="43" t="n"/>
      <c r="J19" s="43" t="n"/>
      <c r="K19" s="44" t="n"/>
    </row>
    <row r="20" ht="49.5" customFormat="1" customHeight="1" s="12">
      <c r="A20" s="2" t="inlineStr">
        <is>
          <t>3.1</t>
        </is>
      </c>
      <c r="B20" s="1" t="inlineStr">
        <is>
          <t>Tổ chức Hội thảo khoa học “Chuyển đổi số toàn diện trong quản trị nhà trường gắn với nâng cao chất lượng đào tạo</t>
        </is>
      </c>
      <c r="C20" s="2" t="inlineStr">
        <is>
          <t>Hiệu trưởng</t>
        </is>
      </c>
      <c r="D20" s="2" t="inlineStr">
        <is>
          <t>Phòng QLKHCN&amp;HTPT</t>
        </is>
      </c>
      <c r="E20" s="2" t="inlineStr">
        <is>
          <t>Hồ sơ chuyên môn</t>
        </is>
      </c>
      <c r="F20" s="2" t="n">
        <v>1</v>
      </c>
      <c r="G20" s="2" t="inlineStr">
        <is>
          <t>Cao</t>
        </is>
      </c>
      <c r="H20" s="2" t="inlineStr">
        <is>
          <t>31/10/2026</t>
        </is>
      </c>
      <c r="I20" s="2">
        <f>IF(G20="Khó và phức tạp",200,IF(G20="Cao",150,IF(G20="Trung bình",120,IF(G20="Thấp",100))))</f>
        <v/>
      </c>
      <c r="J20" s="40">
        <f>I20*0.01</f>
        <v/>
      </c>
      <c r="K20" s="5" t="n"/>
    </row>
    <row r="21" ht="49.5" customFormat="1" customHeight="1" s="12">
      <c r="A21" s="2" t="n">
        <v>3.2</v>
      </c>
      <c r="B21" s="1" t="inlineStr">
        <is>
          <t>Ban hành Quyết định tạm thời khung kiến trúc dữ liệu, khung quản trị dữ liệu và từ điển dữ liệu của nhà trường</t>
        </is>
      </c>
      <c r="C21" s="2" t="inlineStr">
        <is>
          <t>Hiệu trưởng</t>
        </is>
      </c>
      <c r="D21" s="2" t="inlineStr">
        <is>
          <t>Phòng QLKHCN&amp;HTPT</t>
        </is>
      </c>
      <c r="E21" s="2" t="inlineStr">
        <is>
          <t>Quyết định</t>
        </is>
      </c>
      <c r="F21" s="2" t="n">
        <v>1</v>
      </c>
      <c r="G21" s="2" t="inlineStr">
        <is>
          <t>Khó và phức tạp</t>
        </is>
      </c>
      <c r="H21" s="2" t="inlineStr">
        <is>
          <t>31/10/2026</t>
        </is>
      </c>
      <c r="I21" s="2">
        <f>IF(G21="Khó và phức tạp",200,IF(G21="Cao",150,IF(G21="Trung bình",120,IF(G21="Thấp",100))))</f>
        <v/>
      </c>
      <c r="J21" s="40">
        <f>I21*0.01</f>
        <v/>
      </c>
      <c r="K21" s="2" t="n"/>
    </row>
    <row r="22" ht="99" customFormat="1" customHeight="1" s="12">
      <c r="A22" s="2" t="inlineStr">
        <is>
          <t>3.3</t>
        </is>
      </c>
      <c r="B22" s="1" t="inlineStr">
        <is>
          <t>Ban hành Quyết định tạm thời danh mục cơ sở dữ liệu dùng chung của nhà trường, trong đó quy định rõ khái niệm, nội hàm, trường dữ liệu, trách nhiệm tạo lập, cập nhật, chia sẻ, khai thác và giá trị pháp lý của dữ liệu</t>
        </is>
      </c>
      <c r="C22" s="2" t="inlineStr">
        <is>
          <t>Hiệu trưởng</t>
        </is>
      </c>
      <c r="D22" s="2" t="inlineStr">
        <is>
          <t>Phòng QLKHCN&amp;HTPT</t>
        </is>
      </c>
      <c r="E22" s="2" t="inlineStr">
        <is>
          <t>Quyết định</t>
        </is>
      </c>
      <c r="F22" s="2" t="n">
        <v>1</v>
      </c>
      <c r="G22" s="2" t="inlineStr">
        <is>
          <t>Khó và phức tạp</t>
        </is>
      </c>
      <c r="H22" s="2" t="inlineStr">
        <is>
          <t>31/10/2026</t>
        </is>
      </c>
      <c r="I22" s="2">
        <f>IF(G22="Khó và phức tạp",200,IF(G22="Cao",150,IF(G22="Trung bình",120,IF(G22="Thấp",100))))</f>
        <v/>
      </c>
      <c r="J22" s="40">
        <f>I22*0.01</f>
        <v/>
      </c>
      <c r="K22" s="2" t="n"/>
    </row>
    <row r="23" ht="49.5" customFormat="1" customHeight="1" s="12">
      <c r="A23" s="2" t="inlineStr">
        <is>
          <t>3.4</t>
        </is>
      </c>
      <c r="B23" s="1" t="inlineStr">
        <is>
          <t>Xây dựng Kế hoạch xây dựng, quản lý, khai thác, kết nối, chia sẻ và phát triển cơ sở dữ liệu giai đoạn 2026 - 2030</t>
        </is>
      </c>
      <c r="C23" s="2" t="inlineStr">
        <is>
          <t>Hiệu trưởng</t>
        </is>
      </c>
      <c r="D23" s="2" t="inlineStr">
        <is>
          <t>Phòng QLKHCN&amp;HTPT</t>
        </is>
      </c>
      <c r="E23" s="2" t="inlineStr">
        <is>
          <t>Kế hoạch</t>
        </is>
      </c>
      <c r="F23" s="2" t="n">
        <v>1</v>
      </c>
      <c r="G23" s="2" t="inlineStr">
        <is>
          <t>Trung bình</t>
        </is>
      </c>
      <c r="H23" s="2" t="inlineStr">
        <is>
          <t>31/10/2026</t>
        </is>
      </c>
      <c r="I23" s="2">
        <f>IF(G23="Khó và phức tạp",200,IF(G23="Cao",150,IF(G23="Trung bình",120,IF(G23="Thấp",100))))</f>
        <v/>
      </c>
      <c r="J23" s="40">
        <f>I23*0.01</f>
        <v/>
      </c>
      <c r="K23" s="2" t="n"/>
    </row>
    <row r="24" ht="38.5" customFormat="1" customHeight="1" s="12">
      <c r="A24" s="16" t="inlineStr">
        <is>
          <t>4</t>
        </is>
      </c>
      <c r="B24" s="27" t="inlineStr">
        <is>
          <t>Trục (4) - Xây dựng đảng và hệ thống chính trị trong sạch, vững mạnh; giữ gìn đoàn kết, thống nhất nội bộ; phòng, chống tham nhũng, lãng phí, tiêu cực</t>
        </is>
      </c>
      <c r="C24" s="43" t="n"/>
      <c r="D24" s="43" t="n"/>
      <c r="E24" s="43" t="n"/>
      <c r="F24" s="43" t="n"/>
      <c r="G24" s="43" t="n"/>
      <c r="H24" s="43" t="n"/>
      <c r="I24" s="43" t="n"/>
      <c r="J24" s="43" t="n"/>
      <c r="K24" s="44" t="n"/>
    </row>
    <row r="25" ht="67.25" customFormat="1" customHeight="1" s="12">
      <c r="A25" s="2" t="inlineStr">
        <is>
          <t>4.1</t>
        </is>
      </c>
      <c r="B25" s="13" t="inlineStr">
        <is>
          <t>Tổ chức Đại hội các Chi đoàn học sinh, sinh viên nhiệm kỳ 2026- 2027</t>
        </is>
      </c>
      <c r="C25" s="2" t="inlineStr">
        <is>
          <t>PHT Huỳnh Văn Chung</t>
        </is>
      </c>
      <c r="D25" s="2" t="inlineStr">
        <is>
          <t>Đoàn TN - Hội SV</t>
        </is>
      </c>
      <c r="E25" s="2" t="inlineStr">
        <is>
          <t>Kế hoạch</t>
        </is>
      </c>
      <c r="F25" s="2" t="n">
        <v>1</v>
      </c>
      <c r="G25" s="2" t="inlineStr">
        <is>
          <t>Cao</t>
        </is>
      </c>
      <c r="H25" s="2" t="inlineStr">
        <is>
          <t>30/10/2026</t>
        </is>
      </c>
      <c r="I25" s="2">
        <f>IF(G25="Khó và phức tạp",200,IF(G25="Cao",150,IF(G25="Trung bình",120,IF(G25="Thấp",100))))</f>
        <v/>
      </c>
      <c r="J25" s="2">
        <f>I25*0.01</f>
        <v/>
      </c>
      <c r="K25" s="5" t="n"/>
    </row>
    <row r="26" ht="27.5" customFormat="1" customHeight="1" s="12">
      <c r="A26" s="16" t="inlineStr">
        <is>
          <t>5</t>
        </is>
      </c>
      <c r="B26" s="24" t="inlineStr">
        <is>
          <t>Trục (5) - Phát triển văn hóa, con người, bảo đảm an sinh xã hội, nâng cao đời sống nhân dân</t>
        </is>
      </c>
      <c r="C26" s="43" t="n"/>
      <c r="D26" s="43" t="n"/>
      <c r="E26" s="43" t="n"/>
      <c r="F26" s="43" t="n"/>
      <c r="G26" s="43" t="n"/>
      <c r="H26" s="43" t="n"/>
      <c r="I26" s="43" t="n"/>
      <c r="J26" s="43" t="n"/>
      <c r="K26" s="44" t="n"/>
    </row>
    <row r="27" ht="293" customFormat="1" customHeight="1" s="12">
      <c r="A27" s="17" t="inlineStr">
        <is>
          <t>5.1</t>
        </is>
      </c>
      <c r="B27" s="1" t="inlineStr">
        <is>
          <t>Tổ chức Chương trình Tết Trung thu năm 2026 cho con viên chức, người lao động.</t>
        </is>
      </c>
      <c r="C27" s="2" t="inlineStr">
        <is>
          <t>Chủ tịch Công đoàn</t>
        </is>
      </c>
      <c r="D27" s="2" t="inlineStr">
        <is>
          <t>Ban Nữ công / CĐCS</t>
        </is>
      </c>
      <c r="E27" s="2" t="inlineStr">
        <is>
          <t>Hồ sơ quyết toán; Báo cáo kết quả Trung thu</t>
        </is>
      </c>
      <c r="F27" s="2" t="n">
        <v>1</v>
      </c>
      <c r="G27" s="2" t="inlineStr">
        <is>
          <t>Trung bình</t>
        </is>
      </c>
      <c r="H27" s="2" t="inlineStr">
        <is>
          <t>31/10/2026</t>
        </is>
      </c>
      <c r="I27" s="2">
        <f>IF(G27="Khó và phức tạp",200,IF(G27="Cao",150,IF(G27="Trung bình",120,IF(G27="Thấp",100))))</f>
        <v/>
      </c>
      <c r="J27" s="40">
        <f>I27*0.01</f>
        <v/>
      </c>
      <c r="K27" s="5" t="inlineStr">
        <is>
          <t>64KH-CĐCS</t>
        </is>
      </c>
      <c r="L27" s="45" t="inlineStr">
        <is>
          <t>Ghi nguồn: KH 64/KH-CĐCS tổ chức 23–25/9, báo cáo Ban Nữ công trước 30/9; Quý IV còn hồ sơ quyết toán.</t>
        </is>
      </c>
    </row>
    <row r="28" ht="293" customFormat="1" customHeight="1" s="12">
      <c r="A28" s="46" t="inlineStr">
        <is>
          <t>5.2</t>
        </is>
      </c>
      <c r="B28" s="47" t="inlineStr">
        <is>
          <r>
            <rPr>
              <rFont val="Times New Roman"/>
              <sz val="13"/>
            </rPr>
            <t>Tổ chức Tuần lễ hưởng ứng học tập suốt đời năm 2026 (từ ngày 01/10 đến ngày 07/10/2026)</t>
          </r>
          <r>
            <rPr>
              <rFont val="Times New Roman"/>
              <color rgb="FF0033CC"/>
              <sz val="13"/>
              <u val="single"/>
            </rPr>
            <t>; báo cáo kết quả gửi Sở Giáo dục và Đào tạo</t>
          </r>
        </is>
      </c>
      <c r="C28" s="48" t="inlineStr">
        <is>
          <t>Hiệu trưởng</t>
        </is>
      </c>
      <c r="D28" s="48" t="inlineStr">
        <is>
          <t>Phòng TCCB&amp;CTHSSV</t>
        </is>
      </c>
      <c r="E28" s="48" t="inlineStr">
        <is>
          <r>
            <rPr>
              <rFont val="Times New Roman"/>
              <strike val="1"/>
              <color rgb="FFC00000"/>
              <sz val="13"/>
            </rPr>
            <t>Kế hoạch</t>
          </r>
          <r>
            <rPr>
              <rFont val="Times New Roman"/>
              <color rgb="FF0033CC"/>
              <sz val="13"/>
              <u val="single"/>
            </rPr>
            <t xml:space="preserve"> Báo cáo kết quả gửi Sở GD&amp;ĐT</t>
          </r>
        </is>
      </c>
      <c r="F28" s="48" t="n">
        <v>1</v>
      </c>
      <c r="G28" s="48" t="inlineStr">
        <is>
          <t>Trung bình</t>
        </is>
      </c>
      <c r="H28" s="49" t="inlineStr">
        <is>
          <r>
            <rPr>
              <rFont val="Times New Roman"/>
              <strike val="1"/>
              <color rgb="FFC00000"/>
              <sz val="13"/>
            </rPr>
            <t>07/10/2026</t>
          </r>
          <r>
            <rPr>
              <rFont val="Times New Roman"/>
              <color rgb="FF0033CC"/>
              <sz val="13"/>
              <u val="single"/>
            </rPr>
            <t xml:space="preserve"> 12/10/2026</t>
          </r>
        </is>
      </c>
      <c r="I28" s="48">
        <f>IF(G28="Khó và phức tạp",200,IF(G28="Cao",150,IF(G28="Trung bình",120,IF(G28="Thấp",100))))</f>
        <v/>
      </c>
      <c r="J28" s="50" t="n">
        <v>1.2</v>
      </c>
      <c r="K28" s="51" t="inlineStr">
        <is>
          <t>942KH-CĐKT</t>
        </is>
      </c>
      <c r="L28" s="45" t="inlineStr">
        <is>
          <t>Kế hoạch 942/KH-CĐKT đã ban hành 24/9/2026 nên sản phẩm Quý IV là báo cáo; mục 13 Phụ lục 942: gửi Sở GD&amp;ĐT trước 12/10/2026.</t>
        </is>
      </c>
    </row>
    <row r="29" ht="46.5" customFormat="1" customHeight="1" s="12">
      <c r="A29" s="16" t="inlineStr">
        <is>
          <t>6</t>
        </is>
      </c>
      <c r="B29" s="27" t="inlineStr">
        <is>
          <t>Trục (6) - Củng cố quốc phòng, an ninh, giữ vững ổn định chính trị - xã hội, nâng cao hiệu quả đối ngoại và hội nhập quốc tế</t>
        </is>
      </c>
      <c r="C29" s="43" t="n"/>
      <c r="D29" s="43" t="n"/>
      <c r="E29" s="43" t="n"/>
      <c r="F29" s="43" t="n"/>
      <c r="G29" s="43" t="n"/>
      <c r="H29" s="43" t="n"/>
      <c r="I29" s="43" t="n"/>
      <c r="J29" s="43" t="n"/>
      <c r="K29" s="44" t="n"/>
    </row>
    <row r="30" ht="49.5" customFormat="1" customHeight="1" s="12">
      <c r="A30" s="2" t="inlineStr">
        <is>
          <t>6.1</t>
        </is>
      </c>
      <c r="B30" s="1" t="inlineStr">
        <is>
          <t>Duy trì ổn định chính trị nội bộ, bảo đảm an ninh trật tự trường học và thực hiện Đề án xây dựng xã hội trật tự, kỷ cương</t>
        </is>
      </c>
      <c r="C30" s="2" t="inlineStr">
        <is>
          <t>Hiệu trưởng</t>
        </is>
      </c>
      <c r="D30" s="2" t="inlineStr">
        <is>
          <t>Phòng TCCB&amp;CTHSSV</t>
        </is>
      </c>
      <c r="E30" s="2" t="inlineStr">
        <is>
          <t>Theo dõi, Giám sát, Báo cáo</t>
        </is>
      </c>
      <c r="F30" s="2" t="n">
        <v>1</v>
      </c>
      <c r="G30" s="2" t="inlineStr">
        <is>
          <t>Thấp</t>
        </is>
      </c>
      <c r="H30" s="2" t="inlineStr">
        <is>
          <t>31/10/2026</t>
        </is>
      </c>
      <c r="I30" s="2">
        <f>IF(G30="Khó và phức tạp",200,IF(G30="Cao",150,IF(G30="Trung bình",120,IF(G30="Thấp",100))))</f>
        <v/>
      </c>
      <c r="J30" s="40">
        <f>I30*0.01</f>
        <v/>
      </c>
      <c r="K30" s="2" t="n"/>
    </row>
    <row r="31" ht="66" customFormat="1" customHeight="1" s="12">
      <c r="A31" s="2" t="inlineStr">
        <is>
          <t>6.2</t>
        </is>
      </c>
      <c r="B31" s="1" t="inlineStr">
        <is>
          <t>Tổ chức Đoàn ra tới thăm và làm việc với Sở Giáo dục và Thể thao các tỉnh Nam Lào</t>
        </is>
      </c>
      <c r="C31" s="2" t="inlineStr">
        <is>
          <t>Hiệu trưởng</t>
        </is>
      </c>
      <c r="D31" s="2" t="inlineStr">
        <is>
          <t>Phòng QLKHCN&amp;HTPT</t>
        </is>
      </c>
      <c r="E31" s="2" t="inlineStr">
        <is>
          <t>Quyết định, Kế hoạch, Báo cáo</t>
        </is>
      </c>
      <c r="F31" s="2" t="n">
        <v>4</v>
      </c>
      <c r="G31" s="2" t="inlineStr">
        <is>
          <t>Khó và phức tạp</t>
        </is>
      </c>
      <c r="H31" s="2" t="inlineStr">
        <is>
          <t>31/10/2026</t>
        </is>
      </c>
      <c r="I31" s="2">
        <f>IF(G31="Khó và phức tạp",200,IF(G31="Cao",150,IF(G31="Trung bình",120,IF(G31="Thấp",100))))</f>
        <v/>
      </c>
      <c r="J31" s="40">
        <f>I31*0.01</f>
        <v/>
      </c>
      <c r="K31" s="2" t="n"/>
    </row>
    <row r="32" ht="30" customFormat="1" customHeight="1" s="12">
      <c r="A32" s="5" t="inlineStr">
        <is>
          <t>II</t>
        </is>
      </c>
      <c r="B32" s="32" t="inlineStr">
        <is>
          <t>Các nhiệm vụ đột xuất, phát sinh khác ngoài kế hoạch, từ tháng trước chuyển sang</t>
        </is>
      </c>
      <c r="C32" s="43" t="n"/>
      <c r="D32" s="43" t="n"/>
      <c r="E32" s="43" t="n"/>
      <c r="F32" s="43" t="n"/>
      <c r="G32" s="43" t="n"/>
      <c r="H32" s="43" t="n"/>
      <c r="I32" s="43" t="n"/>
      <c r="J32" s="43" t="n"/>
      <c r="K32" s="44" t="n"/>
    </row>
    <row r="33" ht="49.5" customFormat="1" customHeight="1" s="12">
      <c r="A33" s="2" t="n">
        <v>1</v>
      </c>
      <c r="B33" s="1" t="inlineStr">
        <is>
          <t>Rà soát, đăng ký loại bỏ các ngành, nghề đào tạo không còn phù hợp, nguồn tuyển sinh hạn chế</t>
        </is>
      </c>
      <c r="C33" s="2" t="inlineStr">
        <is>
          <t>Hiệu trưởng</t>
        </is>
      </c>
      <c r="D33" s="2" t="inlineStr">
        <is>
          <t>Phòng QLĐT&amp;BĐCL</t>
        </is>
      </c>
      <c r="E33" s="2" t="inlineStr">
        <is>
          <t>Kế hoạch; Công văn</t>
        </is>
      </c>
      <c r="F33" s="2" t="n">
        <v>1</v>
      </c>
      <c r="G33" s="2" t="inlineStr">
        <is>
          <t>Trung bình</t>
        </is>
      </c>
      <c r="H33" s="2" t="inlineStr">
        <is>
          <t>31/10/2026</t>
        </is>
      </c>
      <c r="I33" s="2">
        <f>IF(G33="Khó và phức tạp",200,IF(G33="Cao",150,IF(G33="Trung bình",120,IF(G33="Thấp",100))))</f>
        <v/>
      </c>
      <c r="J33" s="40">
        <f>I33*0.01</f>
        <v/>
      </c>
      <c r="K33" s="3" t="inlineStr">
        <is>
          <t>Trục 1</t>
        </is>
      </c>
    </row>
    <row r="34" ht="82.5" customFormat="1" customHeight="1" s="12">
      <c r="A34" s="2" t="n">
        <v>2</v>
      </c>
      <c r="B34" s="1" t="inlineStr">
        <is>
          <t>Chuẩn bị điều kiện đánh giá ngoài chương trình đào tạo nghề Lâm sinh năm 2026</t>
        </is>
      </c>
      <c r="C34" s="2" t="inlineStr">
        <is>
          <t>Hiệu trưởng</t>
        </is>
      </c>
      <c r="D34" s="2" t="inlineStr">
        <is>
          <t>Phòng QLĐT&amp;BĐCL</t>
        </is>
      </c>
      <c r="E34" s="2" t="inlineStr">
        <is>
          <t>Hồ sơ minh chứng; báo cáo rà soát</t>
        </is>
      </c>
      <c r="F34" s="2" t="n">
        <v>1</v>
      </c>
      <c r="G34" s="2" t="inlineStr">
        <is>
          <t>Khó và phức tạp</t>
        </is>
      </c>
      <c r="H34" s="2" t="inlineStr">
        <is>
          <t>31/10/2026</t>
        </is>
      </c>
      <c r="I34" s="2">
        <f>IF(G34="Khó và phức tạp",200,IF(G34="Cao",150,IF(G34="Trung bình",120,IF(G34="Thấp",100))))</f>
        <v/>
      </c>
      <c r="J34" s="40">
        <f>I34*0.01</f>
        <v/>
      </c>
      <c r="K34" s="3" t="inlineStr">
        <is>
          <t>Trục 1</t>
        </is>
      </c>
    </row>
    <row r="35" ht="181.5" customFormat="1" customHeight="1" s="12">
      <c r="A35" s="2" t="n">
        <v>3</v>
      </c>
      <c r="B35" s="1" t="inlineStr">
        <is>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 quy định chi tiết một số điều của Luật Giáo dục nghề nghiệp về chính sách hỗ trợ của Nhà nước đối với doanh nghiệp và Quỹ đào tạo nhân lực của doanh nghiệp, và các quy định, hướng dẫn có liên quan</t>
        </is>
      </c>
      <c r="C35" s="2" t="inlineStr">
        <is>
          <t>Hiệu trưởng</t>
        </is>
      </c>
      <c r="D35" s="2" t="inlineStr">
        <is>
          <t>Phòng QLKHCN&amp;HTPT</t>
        </is>
      </c>
      <c r="E35" s="2" t="inlineStr">
        <is>
          <t>Quyết định</t>
        </is>
      </c>
      <c r="F35" s="2" t="n">
        <v>1</v>
      </c>
      <c r="G35" s="2" t="inlineStr">
        <is>
          <t>Trung bình</t>
        </is>
      </c>
      <c r="H35" s="2" t="inlineStr">
        <is>
          <t>31/10/2026</t>
        </is>
      </c>
      <c r="I35" s="2">
        <f>IF(G35="Khó và phức tạp",200,IF(G35="Cao",150,IF(G35="Trung bình",120,IF(G35="Thấp",100))))</f>
        <v/>
      </c>
      <c r="J35" s="40">
        <f>I35*0.01</f>
        <v/>
      </c>
      <c r="K35" s="3" t="inlineStr">
        <is>
          <t>Trục 1</t>
        </is>
      </c>
    </row>
    <row r="36" ht="293" customFormat="1" customHeight="1" s="12">
      <c r="A36" s="2" t="n">
        <v>4</v>
      </c>
      <c r="B36" s="1" t="inlineStr">
        <is>
          <t>Thông báo hướng dẫn sử dụng Skill rà soát Hồ sơ đề tài KH&amp;CN, sáng kiến</t>
        </is>
      </c>
      <c r="C36" s="8" t="inlineStr">
        <is>
          <t>Hiệu trưởng</t>
        </is>
      </c>
      <c r="D36" s="8" t="inlineStr">
        <is>
          <t>Phòng QLKHCN&amp;HTPT</t>
        </is>
      </c>
      <c r="E36" s="8" t="inlineStr">
        <is>
          <t>Văn bản</t>
        </is>
      </c>
      <c r="F36" s="8" t="n">
        <v>1</v>
      </c>
      <c r="G36" s="8" t="inlineStr">
        <is>
          <t>Cao</t>
        </is>
      </c>
      <c r="H36" s="2" t="inlineStr">
        <is>
          <t>31/10/2026</t>
        </is>
      </c>
      <c r="I36" s="2">
        <f>IF(G36="Khó và phức tạp",200,IF(G36="Cao",150,IF(G36="Trung bình",120,IF(G36="Thấp",100))))</f>
        <v/>
      </c>
      <c r="J36" s="40" t="n">
        <v>1.5</v>
      </c>
      <c r="K36" s="3" t="inlineStr">
        <is>
          <t>Trục 3; 848KH-CĐKT</t>
        </is>
      </c>
      <c r="L36" s="45" t="inlineStr">
        <is>
          <t>Ghi nguồn: KH 848 mục 3 (bộ công cụ rà soát hồ sơ đề tài KH&amp;CN, sáng kiến, 30/10/2026).</t>
        </is>
      </c>
    </row>
    <row r="37" ht="49.5" customFormat="1" customHeight="1" s="12">
      <c r="A37" s="2" t="n">
        <v>5</v>
      </c>
      <c r="B37" s="1" t="inlineStr">
        <is>
          <t>Xây dựng Chiến lược ứng dụng công nghệ giai đoạn 2026-2030</t>
        </is>
      </c>
      <c r="C37" s="2" t="inlineStr">
        <is>
          <t>Hiệu trưởng</t>
        </is>
      </c>
      <c r="D37" s="2" t="inlineStr">
        <is>
          <t>Phòng QLKHCN&amp;HTPT</t>
        </is>
      </c>
      <c r="E37" s="2" t="inlineStr">
        <is>
          <t>Chiến lược; kế hoạch</t>
        </is>
      </c>
      <c r="F37" s="2" t="n">
        <v>1</v>
      </c>
      <c r="G37" s="2" t="inlineStr">
        <is>
          <t>Khó và phức tạp</t>
        </is>
      </c>
      <c r="H37" s="2" t="inlineStr">
        <is>
          <t>31/10/2026</t>
        </is>
      </c>
      <c r="I37" s="2">
        <f>IF(G37="Khó và phức tạp",200,IF(G37="Cao",150,IF(G37="Trung bình",120,IF(G37="Thấp",100))))</f>
        <v/>
      </c>
      <c r="J37" s="40">
        <f>I37*0.01</f>
        <v/>
      </c>
      <c r="K37" s="3" t="inlineStr">
        <is>
          <t>Trục 3</t>
        </is>
      </c>
    </row>
    <row r="38" ht="49.5" customFormat="1" customHeight="1" s="12">
      <c r="A38" s="2" t="n">
        <v>6</v>
      </c>
      <c r="B38" s="1" t="inlineStr">
        <is>
          <t>Quyết định ban hành Quy chế hỗ trợ học sinh, sinh viên khởi nghiệp sáng tạo</t>
        </is>
      </c>
      <c r="C38" s="2" t="inlineStr">
        <is>
          <t>Hiệu trưởng</t>
        </is>
      </c>
      <c r="D38" s="2" t="inlineStr">
        <is>
          <t>Phòng QLKHCN&amp;HTPT</t>
        </is>
      </c>
      <c r="E38" s="2" t="inlineStr">
        <is>
          <t>Quyết định</t>
        </is>
      </c>
      <c r="F38" s="2" t="n">
        <v>1</v>
      </c>
      <c r="G38" s="2" t="inlineStr">
        <is>
          <t>Cao</t>
        </is>
      </c>
      <c r="H38" s="2" t="inlineStr">
        <is>
          <t>31/10/2026</t>
        </is>
      </c>
      <c r="I38" s="2">
        <f>IF(G38="Khó và phức tạp",200,IF(G38="Cao",150,IF(G38="Trung bình",120,IF(G38="Thấp",100))))</f>
        <v/>
      </c>
      <c r="J38" s="40" t="n">
        <v>1.5</v>
      </c>
      <c r="K38" s="3" t="inlineStr">
        <is>
          <t>Trục 3</t>
        </is>
      </c>
    </row>
    <row r="39" ht="293" customFormat="1" customHeight="1" s="12">
      <c r="A39" s="48" t="n">
        <v>7</v>
      </c>
      <c r="B39" s="47" t="inlineStr">
        <is>
          <t>Kế hoạch triển khai thực hiện Nghị quyết số 398/NQ-UBTVQH16 và Phong trào “Bình dân học vụ số”</t>
        </is>
      </c>
      <c r="C39" s="48" t="inlineStr">
        <is>
          <t>Hiệu trưởng</t>
        </is>
      </c>
      <c r="D39" s="48" t="inlineStr">
        <is>
          <t>Phòng QLKHCN&amp;HTPT</t>
        </is>
      </c>
      <c r="E39" s="48" t="inlineStr">
        <is>
          <t>Kế hoạch</t>
        </is>
      </c>
      <c r="F39" s="48" t="n">
        <v>1</v>
      </c>
      <c r="G39" s="48" t="inlineStr">
        <is>
          <t>Cao</t>
        </is>
      </c>
      <c r="H39" s="48" t="inlineStr">
        <is>
          <t>31/10/2026</t>
        </is>
      </c>
      <c r="I39" s="48">
        <f>IF(G39="Khó và phức tạp",200,IF(G39="Cao",150,IF(G39="Trung bình",120,IF(G39="Thấp",100))))</f>
        <v/>
      </c>
      <c r="J39" s="50">
        <f>I39*0.01</f>
        <v/>
      </c>
      <c r="K39" s="52" t="inlineStr">
        <is>
          <t>Trục 5; 942KH-CĐKT</t>
        </is>
      </c>
      <c r="L39" s="45" t="inlineStr">
        <is>
          <t>Sửa độ khó: Trung bình → Cao (150/1,5) theo mục 2 Phụ lục 942. CẦN XÁC NHẬN: 942 đặt hạn ban hành trước 30/9/2026 (theo Công văn 2514-CV/ĐU ngày 19/8/2026); nếu đã ban hành thì bỏ khỏi Quý IV/tháng 10, nếu chưa thì giữ 31/10 và ghi lý do.</t>
        </is>
      </c>
    </row>
    <row r="40" ht="293" customFormat="1" customHeight="1" s="12">
      <c r="A40" s="2" t="n">
        <v>8</v>
      </c>
      <c r="B40" s="1" t="inlineStr">
        <is>
          <t>Xây dựng Đề án vị trí việc làm sau khi sắp xếp lại các đơn vị thuộc Trường.</t>
        </is>
      </c>
      <c r="C40" s="2" t="inlineStr">
        <is>
          <t>Hiệu trưởng</t>
        </is>
      </c>
      <c r="D40" s="6" t="inlineStr">
        <is>
          <t>Phòng TCCB&amp;CTHSSV</t>
        </is>
      </c>
      <c r="E40" s="2" t="inlineStr">
        <is>
          <t>Kế hoạch</t>
        </is>
      </c>
      <c r="F40" s="2" t="n">
        <v>1</v>
      </c>
      <c r="G40" s="2" t="inlineStr">
        <is>
          <t>Khó và phức tạp</t>
        </is>
      </c>
      <c r="H40" s="2" t="inlineStr">
        <is>
          <t>09/10/2026</t>
        </is>
      </c>
      <c r="I40" s="2">
        <f>IF(G40="Khó và phức tạp",200,IF(G40="Cao",150,IF(G40="Trung bình",120,IF(G40="Thấp",100))))</f>
        <v/>
      </c>
      <c r="J40" s="40">
        <f>I40*0.01</f>
        <v/>
      </c>
      <c r="K40" s="3" t="inlineStr">
        <is>
          <t>Trục 1; 841KH-CĐKT</t>
        </is>
      </c>
      <c r="L40" s="45" t="inlineStr">
        <is>
          <t>Ghi nguồn: KH 841 mục I.2.1 (phê duyệt lại vị trí việc làm 100% đơn vị trong năm 2026).</t>
        </is>
      </c>
    </row>
    <row r="41" ht="293" customFormat="1" customHeight="1" s="12">
      <c r="A41" s="53" t="n">
        <v>9</v>
      </c>
      <c r="B41" s="54" t="inlineStr">
        <is>
          <r>
            <rPr>
              <rFont val="Times New Roman"/>
              <strike val="1"/>
              <color rgb="FFC00000"/>
              <sz val="13"/>
            </rPr>
            <t>Rà soát, sửa đổi Quy chế làm việc của Trường phù hợp quy định mới về viên chức, kỷ luật và hợp đồng</t>
          </r>
          <r>
            <rPr>
              <rFont val="Times New Roman"/>
              <color rgb="FF0033CC"/>
              <sz val="13"/>
              <u val="single"/>
            </rPr>
            <t xml:space="preserve"> HỦY — đã hoàn thành trước kỳ</t>
          </r>
        </is>
      </c>
      <c r="C41" s="53" t="inlineStr">
        <is>
          <t>Hiệu trưởng</t>
        </is>
      </c>
      <c r="D41" s="55" t="inlineStr">
        <is>
          <t>Phòng TCCB&amp;CTHSSV</t>
        </is>
      </c>
      <c r="E41" s="53" t="inlineStr">
        <is>
          <t>Dự thảo; Quyết định</t>
        </is>
      </c>
      <c r="F41" s="53" t="n">
        <v>1</v>
      </c>
      <c r="G41" s="53" t="inlineStr">
        <is>
          <t>Cao</t>
        </is>
      </c>
      <c r="H41" s="53" t="inlineStr">
        <is>
          <t>31/10/2026</t>
        </is>
      </c>
      <c r="I41" s="53">
        <f>IF(G41="Khó và phức tạp",200,IF(G41="Cao",150,IF(G41="Trung bình",120,IF(G41="Thấp",100))))</f>
        <v/>
      </c>
      <c r="J41" s="56">
        <f>I41*0.01</f>
        <v/>
      </c>
      <c r="K41" s="57" t="inlineStr">
        <is>
          <t>Trục 2; QĐ 2073/QĐ-CĐKT ngày 23/9/2026</t>
        </is>
      </c>
      <c r="L41" s="45" t="inlineStr">
        <is>
          <t>HỦY: Quy chế làm việc mới đã ban hành ngày 23/9/2026 (QĐ 2073/QĐ-CĐKT thay thế QĐ 1299). Giữ dòng để truy vết.</t>
        </is>
      </c>
    </row>
    <row r="42" ht="82.5" customFormat="1" customHeight="1" s="12">
      <c r="A42" s="2" t="n">
        <v>10</v>
      </c>
      <c r="B42" s="1" t="inlineStr">
        <is>
          <t>Ban hành Kế hoạch triển khai Thông tư số 59/2026/TT-BGDĐT của Bộ trưởng Bộ Giáo dục và Đào tạo quy định về nhà giáo hợp đồng toàn thời gian sau khi nghỉ hưu và nhà giáo thỉnh giảng</t>
        </is>
      </c>
      <c r="C42" s="2" t="inlineStr">
        <is>
          <t>Hiệu trưởng</t>
        </is>
      </c>
      <c r="D42" s="2" t="inlineStr">
        <is>
          <t>Phòng TCCB&amp;CTHSSV</t>
        </is>
      </c>
      <c r="E42" s="2" t="inlineStr">
        <is>
          <t>Kế hoạch</t>
        </is>
      </c>
      <c r="F42" s="2" t="n">
        <v>1</v>
      </c>
      <c r="G42" s="2" t="inlineStr">
        <is>
          <t>Trung bình</t>
        </is>
      </c>
      <c r="H42" s="2" t="inlineStr">
        <is>
          <t>31/10/2026</t>
        </is>
      </c>
      <c r="I42" s="2">
        <f>IF(G42="Khó và phức tạp",200,IF(G42="Cao",150,IF(G42="Trung bình",120,IF(G42="Thấp",100))))</f>
        <v/>
      </c>
      <c r="J42" s="40">
        <f>I42*0.01</f>
        <v/>
      </c>
      <c r="K42" s="3" t="inlineStr">
        <is>
          <t>Trục 4</t>
        </is>
      </c>
    </row>
    <row r="43" ht="99" customFormat="1" customHeight="1" s="12">
      <c r="A43" s="2" t="n">
        <v>11</v>
      </c>
      <c r="B43" s="1" t="inlineStr">
        <is>
          <t>Huấn luyện an toàn, vệ sinh lao động khóa V năm 2026</t>
        </is>
      </c>
      <c r="C43" s="2" t="inlineStr">
        <is>
          <t>Hiệu trưởng</t>
        </is>
      </c>
      <c r="D43" s="6" t="inlineStr">
        <is>
          <t>Phòng TCCB&amp;CTHSSV</t>
        </is>
      </c>
      <c r="E43" s="2" t="inlineStr">
        <is>
          <t>Kế hoạch; danh sách; chứng nhận</t>
        </is>
      </c>
      <c r="F43" s="2" t="n">
        <v>1</v>
      </c>
      <c r="G43" s="2" t="inlineStr">
        <is>
          <t>Cao</t>
        </is>
      </c>
      <c r="H43" s="2" t="inlineStr">
        <is>
          <t>31/10/2026</t>
        </is>
      </c>
      <c r="I43" s="2">
        <f>IF(G43="Khó và phức tạp",200,IF(G43="Cao",150,IF(G43="Trung bình",120,IF(G43="Thấp",100))))</f>
        <v/>
      </c>
      <c r="J43" s="40">
        <f>I43*0.01</f>
        <v/>
      </c>
      <c r="K43" s="3" t="inlineStr">
        <is>
          <t>Trục 6</t>
        </is>
      </c>
    </row>
    <row r="44" ht="49.5" customFormat="1" customHeight="1" s="12">
      <c r="A44" s="2" t="n">
        <v>12</v>
      </c>
      <c r="B44" s="1" t="inlineStr">
        <is>
          <t>Rà soát, đánh giá, thanh lý tài sản năm 2026</t>
        </is>
      </c>
      <c r="C44" s="2" t="inlineStr">
        <is>
          <t>Hiệu trưởng</t>
        </is>
      </c>
      <c r="D44" s="2" t="inlineStr">
        <is>
          <t>Phòng TH-HC&amp;QT</t>
        </is>
      </c>
      <c r="E44" s="2" t="inlineStr">
        <is>
          <t>Biên bản; hồ sơ thanh lý</t>
        </is>
      </c>
      <c r="F44" s="2" t="n">
        <v>1</v>
      </c>
      <c r="G44" s="2" t="inlineStr">
        <is>
          <t>Cao</t>
        </is>
      </c>
      <c r="H44" s="2" t="inlineStr">
        <is>
          <t>31/10/2026</t>
        </is>
      </c>
      <c r="I44" s="2">
        <f>IF(G44="Khó và phức tạp",200,IF(G44="Cao",150,IF(G44="Trung bình",120,IF(G44="Thấp",100))))</f>
        <v/>
      </c>
      <c r="J44" s="40">
        <f>I44*0.01</f>
        <v/>
      </c>
      <c r="K44" s="3" t="inlineStr">
        <is>
          <t>Trục 1</t>
        </is>
      </c>
    </row>
    <row r="45" ht="99" customFormat="1" customHeight="1" s="12">
      <c r="A45" s="2" t="n">
        <v>13</v>
      </c>
      <c r="B45" s="1" t="inlineStr">
        <is>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is>
      </c>
      <c r="C45" s="2" t="inlineStr">
        <is>
          <t>Hiệu trưởng</t>
        </is>
      </c>
      <c r="D45" s="2" t="inlineStr">
        <is>
          <t>Phòng TH-HC&amp;QT</t>
        </is>
      </c>
      <c r="E45" s="2" t="inlineStr">
        <is>
          <t>Kế hoạch</t>
        </is>
      </c>
      <c r="F45" s="2" t="n">
        <v>1</v>
      </c>
      <c r="G45" s="2" t="inlineStr">
        <is>
          <t>Cao</t>
        </is>
      </c>
      <c r="H45" s="2" t="inlineStr">
        <is>
          <t>31/10/2026</t>
        </is>
      </c>
      <c r="I45" s="2">
        <f>IF(G45="Khó và phức tạp",200,IF(G45="Cao",150,IF(G45="Trung bình",120,IF(G45="Thấp",100))))</f>
        <v/>
      </c>
      <c r="J45" s="40">
        <f>I45*0.01</f>
        <v/>
      </c>
      <c r="K45" s="3" t="inlineStr">
        <is>
          <t>Trục 5</t>
        </is>
      </c>
    </row>
    <row r="46" ht="82.5" customFormat="1" customHeight="1" s="12">
      <c r="A46" s="2" t="n">
        <v>14</v>
      </c>
      <c r="B46" s="1" t="inlineStr">
        <is>
          <t xml:space="preserve">Phương án sắp xếp, bố trí máy móc, thiết bị phục vụ công tác các chức danh và phục vụ hoạt động chung theo Quyết định số 1763/QĐ-CĐKT ngày 13/8/2026 của Hiệu trưởng nhà trường; </t>
        </is>
      </c>
      <c r="C46" s="2" t="inlineStr">
        <is>
          <t>Hiệu trưởng</t>
        </is>
      </c>
      <c r="D46" s="2" t="inlineStr">
        <is>
          <t>Phòng TH-HC&amp;QT</t>
        </is>
      </c>
      <c r="E46" s="2" t="inlineStr">
        <is>
          <t>Phương án</t>
        </is>
      </c>
      <c r="F46" s="2" t="n">
        <v>1</v>
      </c>
      <c r="G46" s="2" t="inlineStr">
        <is>
          <t>Trung bình</t>
        </is>
      </c>
      <c r="H46" s="2" t="inlineStr">
        <is>
          <t>31/10/2026</t>
        </is>
      </c>
      <c r="I46" s="2">
        <f>IF(G46="Khó và phức tạp",200,IF(G46="Cao",150,IF(G46="Trung bình",120,IF(G46="Thấp",100))))</f>
        <v/>
      </c>
      <c r="J46" s="40">
        <f>I46*0.01</f>
        <v/>
      </c>
      <c r="K46" s="3" t="inlineStr">
        <is>
          <t>Trục 5</t>
        </is>
      </c>
    </row>
    <row r="47" ht="49.5" customFormat="1" customHeight="1" s="12">
      <c r="A47" s="2" t="n">
        <v>15</v>
      </c>
      <c r="B47" s="1" t="inlineStr">
        <is>
          <t>Triển khai sửa chữa sân nền tiếp giáp giữa trục đường chính và lối vào Nhà để xe ô tô phía sau Khu hiệu bộ, Trụ sở chính</t>
        </is>
      </c>
      <c r="C47" s="2" t="inlineStr">
        <is>
          <t>Hiệu trưởng</t>
        </is>
      </c>
      <c r="D47" s="2" t="inlineStr">
        <is>
          <t>Phòng TH-HC&amp;QT</t>
        </is>
      </c>
      <c r="E47" s="2" t="inlineStr">
        <is>
          <t>Hồ sơ triển khai sửa chữa</t>
        </is>
      </c>
      <c r="F47" s="2" t="n">
        <v>1</v>
      </c>
      <c r="G47" s="2" t="inlineStr">
        <is>
          <t>Trung bình</t>
        </is>
      </c>
      <c r="H47" s="2" t="inlineStr">
        <is>
          <t>31/10/2026</t>
        </is>
      </c>
      <c r="I47" s="2">
        <f>IF(G47="Khó và phức tạp",200,IF(G47="Cao",150,IF(G47="Trung bình",120,IF(G47="Thấp",100))))</f>
        <v/>
      </c>
      <c r="J47" s="40">
        <f>I47*0.01</f>
        <v/>
      </c>
      <c r="K47" s="3" t="inlineStr">
        <is>
          <t>Trục 5</t>
        </is>
      </c>
    </row>
    <row r="48" ht="49.5" customFormat="1" customHeight="1" s="12">
      <c r="A48" s="2" t="n">
        <v>16</v>
      </c>
      <c r="B48" s="1" t="inlineStr">
        <is>
          <t>Báo cáo sơ kết công tác quý III và phương hướng, nhiệm vụ công tác quý IV năm 2026 của Đảng ủy Trường.</t>
        </is>
      </c>
      <c r="C48" s="2" t="inlineStr">
        <is>
          <t>Phó Bí thư Đảng ủy</t>
        </is>
      </c>
      <c r="D48" s="2" t="inlineStr">
        <is>
          <t>BPVPĐU</t>
        </is>
      </c>
      <c r="E48" s="2" t="inlineStr">
        <is>
          <t>Báo cáo</t>
        </is>
      </c>
      <c r="F48" s="2" t="n">
        <v>1</v>
      </c>
      <c r="G48" s="2" t="inlineStr">
        <is>
          <t>Trung bình</t>
        </is>
      </c>
      <c r="H48" s="2" t="inlineStr">
        <is>
          <t>31/10/2026</t>
        </is>
      </c>
      <c r="I48" s="2">
        <f>IF(G48="Khó và phức tạp",200,IF(G48="Cao",150,IF(G48="Trung bình",120,IF(G48="Thấp",100))))</f>
        <v/>
      </c>
      <c r="J48" s="40">
        <f>I48*0.01</f>
        <v/>
      </c>
      <c r="K48" s="3" t="inlineStr">
        <is>
          <t>Trục 4</t>
        </is>
      </c>
    </row>
    <row r="49" ht="33" customFormat="1" customHeight="1" s="12">
      <c r="A49" s="2" t="n">
        <v>17</v>
      </c>
      <c r="B49" s="1" t="inlineStr">
        <is>
          <t>Xây dựng Chương trình Công tác Đoàn và phong trào thanh niên năm học 2026-2027</t>
        </is>
      </c>
      <c r="C49" s="2" t="inlineStr">
        <is>
          <t>Bí thư Đảng ủy</t>
        </is>
      </c>
      <c r="D49" s="2" t="inlineStr">
        <is>
          <t>Đoàn TN - Hội SV</t>
        </is>
      </c>
      <c r="E49" s="2" t="inlineStr">
        <is>
          <t>Chương trình</t>
        </is>
      </c>
      <c r="F49" s="2" t="n">
        <v>1</v>
      </c>
      <c r="G49" s="2" t="inlineStr">
        <is>
          <t>Trung bình</t>
        </is>
      </c>
      <c r="H49" s="2" t="inlineStr">
        <is>
          <t>31/10/2026</t>
        </is>
      </c>
      <c r="I49" s="2">
        <f>IF(G49="Khó và phức tạp",200,IF(G49="Cao",150,IF(G49="Trung bình",120,IF(G49="Thấp",100))))</f>
        <v/>
      </c>
      <c r="J49" s="40">
        <f>I49*0.01</f>
        <v/>
      </c>
      <c r="K49" s="3" t="inlineStr">
        <is>
          <t>Trục 4</t>
        </is>
      </c>
    </row>
    <row r="50" ht="33" customFormat="1" customHeight="1" s="12">
      <c r="A50" s="2" t="n">
        <v>18</v>
      </c>
      <c r="B50" s="1" t="inlineStr">
        <is>
          <t>Xây dựng Chương trình Công tác Hội và phong trào Sinh viên năm học 2026-2027</t>
        </is>
      </c>
      <c r="C50" s="2" t="inlineStr">
        <is>
          <t>Bí thư Đảng ủy</t>
        </is>
      </c>
      <c r="D50" s="2" t="inlineStr">
        <is>
          <t>Đoàn TN - Hội SV</t>
        </is>
      </c>
      <c r="E50" s="2" t="inlineStr">
        <is>
          <t>Chương trình</t>
        </is>
      </c>
      <c r="F50" s="2" t="n">
        <v>1</v>
      </c>
      <c r="G50" s="2" t="inlineStr">
        <is>
          <t>Trung bình</t>
        </is>
      </c>
      <c r="H50" s="2" t="inlineStr">
        <is>
          <t>31/10/2026</t>
        </is>
      </c>
      <c r="I50" s="2">
        <f>IF(G50="Khó và phức tạp",200,IF(G50="Cao",150,IF(G50="Trung bình",120,IF(G50="Thấp",100))))</f>
        <v/>
      </c>
      <c r="J50" s="40">
        <f>I50*0.01</f>
        <v/>
      </c>
      <c r="K50" s="3" t="inlineStr">
        <is>
          <t>Trục 4</t>
        </is>
      </c>
    </row>
    <row r="51" ht="66" customFormat="1" customHeight="1" s="12">
      <c r="A51" s="2" t="n">
        <v>19</v>
      </c>
      <c r="B51" s="1" t="inlineStr">
        <is>
          <t>Tổ chức các hoạt động chào mừng Ngày Phụ nữ Việt Nam 20/10</t>
        </is>
      </c>
      <c r="C51" s="2" t="inlineStr">
        <is>
          <t>Chủ tịch Công đoàn</t>
        </is>
      </c>
      <c r="D51" s="2" t="inlineStr">
        <is>
          <t>Ban Nữ công; BCH CĐCS</t>
        </is>
      </c>
      <c r="E51" s="2" t="inlineStr">
        <is>
          <t>Kế hoạch</t>
        </is>
      </c>
      <c r="F51" s="2" t="n">
        <v>1</v>
      </c>
      <c r="G51" s="2" t="inlineStr">
        <is>
          <t>Cao</t>
        </is>
      </c>
      <c r="H51" s="2" t="inlineStr">
        <is>
          <t>31/10/2026</t>
        </is>
      </c>
      <c r="I51" s="2">
        <f>IF(G51="Khó và phức tạp",200,IF(G51="Cao",150,IF(G51="Trung bình",120,IF(G51="Thấp",100))))</f>
        <v/>
      </c>
      <c r="J51" s="40">
        <f>I51*0.01</f>
        <v/>
      </c>
      <c r="K51" s="3" t="inlineStr">
        <is>
          <t>Trục 4</t>
        </is>
      </c>
    </row>
    <row r="52" ht="115.5" customFormat="1" customHeight="1" s="12">
      <c r="A52" s="2" t="n">
        <v>20</v>
      </c>
      <c r="B52" s="1" t="inlineStr">
        <is>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is>
      </c>
      <c r="C52" s="2" t="inlineStr">
        <is>
          <t>Bí thư Đảng ủy</t>
        </is>
      </c>
      <c r="D52" s="2" t="inlineStr">
        <is>
          <t>BPVPĐU</t>
        </is>
      </c>
      <c r="E52" s="2" t="inlineStr">
        <is>
          <t>Kế hoạch</t>
        </is>
      </c>
      <c r="F52" s="2" t="n">
        <v>1</v>
      </c>
      <c r="G52" s="2" t="inlineStr">
        <is>
          <t>Trung bình</t>
        </is>
      </c>
      <c r="H52" s="2" t="inlineStr">
        <is>
          <t>31/10/2026</t>
        </is>
      </c>
      <c r="I52" s="2">
        <f>IF(G52="Khó và phức tạp",200,IF(G52="Cao",150,IF(G52="Trung bình",120,IF(G52="Thấp",100))))</f>
        <v/>
      </c>
      <c r="J52" s="40">
        <f>I52*0.01</f>
        <v/>
      </c>
      <c r="K52" s="3" t="inlineStr">
        <is>
          <t>Trục 4</t>
        </is>
      </c>
    </row>
    <row r="53" ht="82.5" customFormat="1" customHeight="1" s="12">
      <c r="A53" s="2" t="n">
        <v>21</v>
      </c>
      <c r="B53" s="1" t="inlineStr">
        <is>
          <t>Ban hành kế hoạch triển khai chương trình giáo dục trung học nghề, chương trình giáo dục thường xuyên cấp THPT; giảng dạy, liên kết đào tạo và cấp chứng chỉ giáo dục quốc phòng và an ninh</t>
        </is>
      </c>
      <c r="C53" s="2" t="inlineStr">
        <is>
          <t>Hiệu trưởng</t>
        </is>
      </c>
      <c r="D53" s="2" t="inlineStr">
        <is>
          <t>Khoa CKHCB</t>
        </is>
      </c>
      <c r="E53" s="2" t="inlineStr">
        <is>
          <t>Kế hoạch</t>
        </is>
      </c>
      <c r="F53" s="5" t="n">
        <v>1</v>
      </c>
      <c r="G53" s="2" t="inlineStr">
        <is>
          <t>Cao</t>
        </is>
      </c>
      <c r="H53" s="2" t="inlineStr">
        <is>
          <t>31/10/2026</t>
        </is>
      </c>
      <c r="I53" s="2">
        <f>IF(G53="Khó và phức tạp",200,IF(G53="Cao",150,IF(G53="Trung bình",120,IF(G53="Thấp",100))))</f>
        <v/>
      </c>
      <c r="J53" s="40">
        <f>I53*0.01</f>
        <v/>
      </c>
      <c r="K53" s="3" t="inlineStr">
        <is>
          <t>Trục 1</t>
        </is>
      </c>
    </row>
    <row r="54" ht="293" customHeight="1">
      <c r="A54" s="58" t="n">
        <v>22</v>
      </c>
      <c r="B54" s="59" t="inlineStr">
        <is>
          <t>Ban hành Chiến lược phát triển khoa các Khoa học cơ bản đến năm 2030 và tầm nhìn đến năm 2045</t>
        </is>
      </c>
      <c r="C54" s="58" t="inlineStr">
        <is>
          <t>PHT Huỳnh Văn Chung</t>
        </is>
      </c>
      <c r="D54" s="58" t="inlineStr">
        <is>
          <t>Khoa CKHCB</t>
        </is>
      </c>
      <c r="E54" s="58" t="inlineStr">
        <is>
          <t>Quyết định</t>
        </is>
      </c>
      <c r="F54" s="58" t="n">
        <v>1</v>
      </c>
      <c r="G54" s="58" t="inlineStr">
        <is>
          <t>Khó và phức tạp</t>
        </is>
      </c>
      <c r="H54" s="58" t="inlineStr">
        <is>
          <t>31/10/2026</t>
        </is>
      </c>
      <c r="I54" s="58">
        <f>IF(G54="Khó và phức tạp",200,IF(G54="Cao",150,IF(G54="Trung bình",120,IF(G54="Thấp",100))))</f>
        <v/>
      </c>
      <c r="J54" s="60">
        <f>I54*0.01</f>
        <v/>
      </c>
      <c r="K54" s="61" t="inlineStr">
        <is>
          <t>Trục 1; 828KH-CĐKT</t>
        </is>
      </c>
      <c r="L54" s="45" t="inlineStr">
        <is>
          <t>Độ khó do rà soát đề xuất (kế hoạch nguồn không ghi điểm). KH 828: trình Hiệu trưởng trước 30/9/2026; KH Quý III chưa có nhiệm vụ này. Cần xác nhận đã ban hành hay chưa.</t>
        </is>
      </c>
    </row>
    <row r="55" ht="293" customHeight="1">
      <c r="A55" s="58" t="n">
        <v>23</v>
      </c>
      <c r="B55" s="59" t="inlineStr">
        <is>
          <t>Ban hành Chiến lược phát triển khoa Kỹ thuật và Công nghệ đến năm 2030 và tầm nhìn đến năm 2045</t>
        </is>
      </c>
      <c r="C55" s="58" t="inlineStr">
        <is>
          <t>PHT Nguyễn Trung Hiếu</t>
        </is>
      </c>
      <c r="D55" s="58" t="inlineStr">
        <is>
          <t>Khoa KT&amp;CN</t>
        </is>
      </c>
      <c r="E55" s="58" t="inlineStr">
        <is>
          <t>Quyết định</t>
        </is>
      </c>
      <c r="F55" s="58" t="n">
        <v>1</v>
      </c>
      <c r="G55" s="58" t="inlineStr">
        <is>
          <t>Khó và phức tạp</t>
        </is>
      </c>
      <c r="H55" s="58" t="inlineStr">
        <is>
          <t>31/10/2026</t>
        </is>
      </c>
      <c r="I55" s="58">
        <f>IF(G55="Khó và phức tạp",200,IF(G55="Cao",150,IF(G55="Trung bình",120,IF(G55="Thấp",100))))</f>
        <v/>
      </c>
      <c r="J55" s="60">
        <f>I55*0.01</f>
        <v/>
      </c>
      <c r="K55" s="61" t="inlineStr">
        <is>
          <t>Trục 1; 832KH-CĐKT</t>
        </is>
      </c>
      <c r="L55" s="45" t="inlineStr">
        <is>
          <t>Độ khó do rà soát đề xuất (kế hoạch nguồn không ghi điểm). KH 832: trình Hiệu trưởng trước 30/9/2026; KH Quý III chưa có nhiệm vụ này. Cần xác nhận đã ban hành hay chưa.</t>
        </is>
      </c>
    </row>
    <row r="56" ht="34" customHeight="1">
      <c r="A56" s="5" t="inlineStr">
        <is>
          <t>III</t>
        </is>
      </c>
      <c r="B56" s="32" t="inlineStr">
        <is>
          <t>Nhiệm vụ bổ sung sau khi rà soát các kế hoạch chuyên đề ban hành trong Quý III/2026 (có thời hạn hoàn thành trong tháng 10/2026)</t>
        </is>
      </c>
      <c r="C56" s="43" t="n"/>
      <c r="D56" s="43" t="n"/>
      <c r="E56" s="43" t="n"/>
      <c r="F56" s="43" t="n"/>
      <c r="G56" s="43" t="n"/>
      <c r="H56" s="43" t="n"/>
      <c r="I56" s="43" t="n"/>
      <c r="J56" s="43" t="n"/>
      <c r="K56" s="44" t="n"/>
    </row>
    <row r="57" ht="34" customHeight="1">
      <c r="A57" s="16" t="n">
        <v>1</v>
      </c>
      <c r="B57" s="24" t="inlineStr">
        <is>
          <t>Trục (1) - Thực hiện mục tiêu phát triển Kinh tế - xã hội và nhiệm vụ chính trị được giao</t>
        </is>
      </c>
      <c r="C57" s="43" t="n"/>
      <c r="D57" s="43" t="n"/>
      <c r="E57" s="43" t="n"/>
      <c r="F57" s="43" t="n"/>
      <c r="G57" s="43" t="n"/>
      <c r="H57" s="43" t="n"/>
      <c r="I57" s="43" t="n"/>
      <c r="J57" s="43" t="n"/>
      <c r="K57" s="44" t="n"/>
    </row>
    <row r="58" ht="293" customHeight="1">
      <c r="A58" s="62" t="inlineStr">
        <is>
          <t>BS-1.01</t>
        </is>
      </c>
      <c r="B58" s="59" t="inlineStr">
        <is>
          <t>Xây dựng, ban hành Quy định Hội giảng nhà giáo lần thứ VII, năm học 2026 – 2027 (tiêu chí, biểu mẫu, quy trình)</t>
        </is>
      </c>
      <c r="C58" s="63" t="inlineStr">
        <is>
          <t>PHT Dương Văn Anh Dũng</t>
        </is>
      </c>
      <c r="D58" s="58" t="inlineStr">
        <is>
          <t>Phòng QLĐT&amp;BĐCL</t>
        </is>
      </c>
      <c r="E58" s="63" t="inlineStr">
        <is>
          <t>Quy định; Biểu mẫu</t>
        </is>
      </c>
      <c r="F58" s="58" t="n">
        <v>1</v>
      </c>
      <c r="G58" s="58" t="inlineStr">
        <is>
          <t>Trung bình</t>
        </is>
      </c>
      <c r="H58" s="58" t="inlineStr">
        <is>
          <t>15/10/2026</t>
        </is>
      </c>
      <c r="I58" s="58">
        <f>IF(G58="Khó và phức tạp",200,IF(G58="Cao",150,IF(G58="Trung bình",120,IF(G58="Thấp",100))))</f>
        <v/>
      </c>
      <c r="J58" s="60">
        <f>I58*0.01</f>
        <v/>
      </c>
      <c r="K58" s="64" t="inlineStr">
        <is>
          <t>907KH-CĐKT</t>
        </is>
      </c>
      <c r="L58" s="45" t="inlineStr">
        <is>
          <t>Độ khó do rà soát đề xuất (kế hoạch nguồn không ghi điểm). KH 907 (số, ngày còn để trống, đang dự thảo): trước ngày 15/10/2026.</t>
        </is>
      </c>
    </row>
    <row r="59" ht="293" customHeight="1">
      <c r="A59" s="62" t="inlineStr">
        <is>
          <t>BS-1.02</t>
        </is>
      </c>
      <c r="B59" s="59" t="inlineStr">
        <is>
          <t>Các khoa xây dựng, ban hành Kế hoạch Hội giảng cấp khoa và Lịch trình trình giảng, gửi phòng QLĐT&amp;BĐCL</t>
        </is>
      </c>
      <c r="C59" s="63" t="inlineStr">
        <is>
          <t>PHT Dương Văn Anh Dũng</t>
        </is>
      </c>
      <c r="D59" s="58" t="inlineStr">
        <is>
          <t>Các khoa thuộc Trường</t>
        </is>
      </c>
      <c r="E59" s="63" t="inlineStr">
        <is>
          <t>Kế hoạch</t>
        </is>
      </c>
      <c r="F59" s="58" t="inlineStr">
        <is>
          <t>Theo số khoa</t>
        </is>
      </c>
      <c r="G59" s="58" t="inlineStr">
        <is>
          <t>Thấp</t>
        </is>
      </c>
      <c r="H59" s="58" t="inlineStr">
        <is>
          <t>22/10/2026</t>
        </is>
      </c>
      <c r="I59" s="58">
        <f>IF(G59="Khó và phức tạp",200,IF(G59="Cao",150,IF(G59="Trung bình",120,IF(G59="Thấp",100))))</f>
        <v/>
      </c>
      <c r="J59" s="60">
        <f>I59*0.01</f>
        <v/>
      </c>
      <c r="K59" s="64" t="inlineStr">
        <is>
          <t>907KH-CĐKT</t>
        </is>
      </c>
      <c r="L59" s="45" t="inlineStr">
        <is>
          <t>Độ khó do rà soát đề xuất (kế hoạch nguồn không ghi điểm). Hội giảng cấp khoa tổ chức trong HK I, hoàn thành trước 22/01/2027 (chuyển Quý I/2027).</t>
        </is>
      </c>
    </row>
    <row r="60" ht="34" customHeight="1">
      <c r="A60" s="16" t="n">
        <v>2</v>
      </c>
      <c r="B60" s="24" t="inlineStr">
        <is>
          <t>Trục (2) - Hoàn thiện thể chế, đẩy mạnh phân cấp, phân quyền gắn với kiểm tra, giám sát</t>
        </is>
      </c>
      <c r="C60" s="43" t="n"/>
      <c r="D60" s="43" t="n"/>
      <c r="E60" s="43" t="n"/>
      <c r="F60" s="43" t="n"/>
      <c r="G60" s="43" t="n"/>
      <c r="H60" s="43" t="n"/>
      <c r="I60" s="43" t="n"/>
      <c r="J60" s="43" t="n"/>
      <c r="K60" s="44" t="n"/>
    </row>
    <row r="61" ht="293" customHeight="1">
      <c r="A61" s="62" t="inlineStr">
        <is>
          <t>BS-2.01</t>
        </is>
      </c>
      <c r="B61" s="59" t="inlineStr">
        <is>
          <t>Kiểm kê, rà soát hiện trạng máy móc, thiết bị chuyên dùng hiện có tại Khoa; rà soát tiêu chuẩn, định mức đã ban hành (Quyết định số 1763/QĐ-CĐKT, Phụ lục 11 Quyết định số 1039/QĐ-CĐKT) theo Điều 7 Thông tư số 66/2026/TT-BGDĐT</t>
        </is>
      </c>
      <c r="C61" s="63" t="inlineStr">
        <is>
          <t>Hiệu trưởng</t>
        </is>
      </c>
      <c r="D61" s="58" t="inlineStr">
        <is>
          <t>Phòng TH-HC&amp;QT</t>
        </is>
      </c>
      <c r="E61" s="63" t="inlineStr">
        <is>
          <t>Danh mục; Báo cáo kết quả rà soát, đối chiếu</t>
        </is>
      </c>
      <c r="F61" s="58" t="n">
        <v>2</v>
      </c>
      <c r="G61" s="58" t="inlineStr">
        <is>
          <t>Trung bình</t>
        </is>
      </c>
      <c r="H61" s="58" t="inlineStr">
        <is>
          <t>31/10/2026</t>
        </is>
      </c>
      <c r="I61" s="58">
        <f>IF(G61="Khó và phức tạp",200,IF(G61="Cao",150,IF(G61="Trung bình",120,IF(G61="Thấp",100))))</f>
        <v/>
      </c>
      <c r="J61" s="60">
        <f>I61*0.01</f>
        <v/>
      </c>
      <c r="K61" s="64" t="inlineStr">
        <is>
          <t>893KH-CĐKT</t>
        </is>
      </c>
      <c r="L61" s="45" t="inlineStr">
        <is>
          <t>KH 893 mục 3.</t>
        </is>
      </c>
    </row>
    <row r="62" ht="293" customHeight="1">
      <c r="A62" s="62" t="inlineStr">
        <is>
          <t>BS-2.02</t>
        </is>
      </c>
      <c r="B62" s="59" t="inlineStr">
        <is>
          <t>Khảo sát, tổng hợp nhu cầu trang bị bổ sung máy móc, thiết bị chuyên dùng ngành Giáo dục Mầm non, trình độ cao đẳng</t>
        </is>
      </c>
      <c r="C62" s="63" t="inlineStr">
        <is>
          <t>PHT Dương Văn Anh Dũng</t>
        </is>
      </c>
      <c r="D62" s="58" t="inlineStr">
        <is>
          <t>Khoa Sư phạm</t>
        </is>
      </c>
      <c r="E62" s="63" t="inlineStr">
        <is>
          <t>Bảng tổng hợp danh mục thiết bị</t>
        </is>
      </c>
      <c r="F62" s="58" t="n">
        <v>1</v>
      </c>
      <c r="G62" s="58" t="inlineStr">
        <is>
          <t>Trung bình</t>
        </is>
      </c>
      <c r="H62" s="58" t="inlineStr">
        <is>
          <t>31/10/2026</t>
        </is>
      </c>
      <c r="I62" s="58">
        <f>IF(G62="Khó và phức tạp",200,IF(G62="Cao",150,IF(G62="Trung bình",120,IF(G62="Thấp",100))))</f>
        <v/>
      </c>
      <c r="J62" s="60">
        <f>I62*0.01</f>
        <v/>
      </c>
      <c r="K62" s="64" t="inlineStr">
        <is>
          <t>893KH-CĐKT</t>
        </is>
      </c>
      <c r="L62" s="45" t="inlineStr">
        <is>
          <t>KH 893 mục 4.</t>
        </is>
      </c>
    </row>
    <row r="63" ht="34" customHeight="1">
      <c r="A63" s="16" t="n">
        <v>3</v>
      </c>
      <c r="B63" s="24" t="inlineStr">
        <is>
          <t>Trục (3) - Thúc đẩy phát triển khoa học, công nghệ, đổi mới sáng tạo và chuyển đổi số</t>
        </is>
      </c>
      <c r="C63" s="43" t="n"/>
      <c r="D63" s="43" t="n"/>
      <c r="E63" s="43" t="n"/>
      <c r="F63" s="43" t="n"/>
      <c r="G63" s="43" t="n"/>
      <c r="H63" s="43" t="n"/>
      <c r="I63" s="43" t="n"/>
      <c r="J63" s="43" t="n"/>
      <c r="K63" s="44" t="n"/>
    </row>
    <row r="64" ht="293" customFormat="1" customHeight="1" s="15">
      <c r="A64" s="62" t="inlineStr">
        <is>
          <t>BS-3.01</t>
        </is>
      </c>
      <c r="B64" s="59" t="inlineStr">
        <is>
          <t>Xây dựng bộ công cụ kiểm tra, rà soát, dự thảo thông báo thu học phí</t>
        </is>
      </c>
      <c r="C64" s="63" t="inlineStr">
        <is>
          <t>Hiệu trưởng</t>
        </is>
      </c>
      <c r="D64" s="58" t="inlineStr">
        <is>
          <t>Phòng TC-KT</t>
        </is>
      </c>
      <c r="E64" s="63" t="inlineStr">
        <is>
          <t>Bộ công cụ đóng gói: Skills, Prompt, quy trình, thông báo</t>
        </is>
      </c>
      <c r="F64" s="58" t="n">
        <v>1</v>
      </c>
      <c r="G64" s="58" t="inlineStr">
        <is>
          <t>Khó và phức tạp</t>
        </is>
      </c>
      <c r="H64" s="58" t="inlineStr">
        <is>
          <t>30/10/2026</t>
        </is>
      </c>
      <c r="I64" s="58">
        <f>IF(G64="Khó và phức tạp",200,IF(G64="Cao",150,IF(G64="Trung bình",120,IF(G64="Thấp",100))))</f>
        <v/>
      </c>
      <c r="J64" s="60">
        <f>I64*0.01</f>
        <v/>
      </c>
      <c r="K64" s="64" t="inlineStr">
        <is>
          <t>848KH-CĐKT</t>
        </is>
      </c>
      <c r="L64" s="45" t="inlineStr">
        <is>
          <t>KH 848 mục 16.</t>
        </is>
      </c>
    </row>
    <row r="65" ht="293" customFormat="1" customHeight="1" s="15">
      <c r="A65" s="62" t="inlineStr">
        <is>
          <t>BS-3.02</t>
        </is>
      </c>
      <c r="B65" s="59" t="inlineStr">
        <is>
          <t>Xây dựng bộ công cụ kiểm tra, rà soát, chi trả chế độ, chính sách cho học sinh, sinh viên</t>
        </is>
      </c>
      <c r="C65" s="63" t="inlineStr">
        <is>
          <t>Hiệu trưởng</t>
        </is>
      </c>
      <c r="D65" s="58" t="inlineStr">
        <is>
          <t>Phòng TC-KT</t>
        </is>
      </c>
      <c r="E65" s="63" t="inlineStr">
        <is>
          <t>Bộ công cụ đóng gói: Skills, Prompt, quy trình, thông báo</t>
        </is>
      </c>
      <c r="F65" s="58" t="n">
        <v>1</v>
      </c>
      <c r="G65" s="58" t="inlineStr">
        <is>
          <t>Khó và phức tạp</t>
        </is>
      </c>
      <c r="H65" s="58" t="inlineStr">
        <is>
          <t>30/10/2026</t>
        </is>
      </c>
      <c r="I65" s="58">
        <f>IF(G65="Khó và phức tạp",200,IF(G65="Cao",150,IF(G65="Trung bình",120,IF(G65="Thấp",100))))</f>
        <v/>
      </c>
      <c r="J65" s="60">
        <f>I65*0.01</f>
        <v/>
      </c>
      <c r="K65" s="64" t="inlineStr">
        <is>
          <t>848KH-CĐKT</t>
        </is>
      </c>
      <c r="L65" s="45" t="inlineStr">
        <is>
          <t>KH 848 mục 17.</t>
        </is>
      </c>
    </row>
    <row r="66" ht="293" customHeight="1">
      <c r="A66" s="62" t="inlineStr">
        <is>
          <t>BS-3.03</t>
        </is>
      </c>
      <c r="B66" s="59" t="inlineStr">
        <is>
          <t>Xây dựng bộ công cụ kiểm tra, rà soát, chi trả học bổng khuyến khích học tập cho học sinh, sinh viên</t>
        </is>
      </c>
      <c r="C66" s="63" t="inlineStr">
        <is>
          <t>Hiệu trưởng</t>
        </is>
      </c>
      <c r="D66" s="58" t="inlineStr">
        <is>
          <t>Phòng TC-KT</t>
        </is>
      </c>
      <c r="E66" s="63" t="inlineStr">
        <is>
          <t>Bộ công cụ đóng gói: Skills, Prompt, quy trình, thông báo</t>
        </is>
      </c>
      <c r="F66" s="58" t="n">
        <v>1</v>
      </c>
      <c r="G66" s="58" t="inlineStr">
        <is>
          <t>Khó và phức tạp</t>
        </is>
      </c>
      <c r="H66" s="58" t="inlineStr">
        <is>
          <t>30/10/2026</t>
        </is>
      </c>
      <c r="I66" s="58">
        <f>IF(G66="Khó và phức tạp",200,IF(G66="Cao",150,IF(G66="Trung bình",120,IF(G66="Thấp",100))))</f>
        <v/>
      </c>
      <c r="J66" s="60">
        <f>I66*0.01</f>
        <v/>
      </c>
      <c r="K66" s="64" t="inlineStr">
        <is>
          <t>848KH-CĐKT</t>
        </is>
      </c>
      <c r="L66" s="45" t="inlineStr">
        <is>
          <t>KH 848 mục 18.</t>
        </is>
      </c>
    </row>
    <row r="67" ht="293" customHeight="1">
      <c r="A67" s="62" t="inlineStr">
        <is>
          <t>BS-3.04</t>
        </is>
      </c>
      <c r="B67" s="59" t="inlineStr">
        <is>
          <t>Xây dựng công cụ rà soát, đề xuất xét chế độ chính sách đối với công tác học sinh, sinh viên</t>
        </is>
      </c>
      <c r="C67" s="63" t="inlineStr">
        <is>
          <t>Hiệu trưởng</t>
        </is>
      </c>
      <c r="D67" s="58" t="inlineStr">
        <is>
          <t>Phòng TCCB&amp;CTHSSV</t>
        </is>
      </c>
      <c r="E67" s="63" t="inlineStr">
        <is>
          <t>Bộ công cụ đóng gói: Skills, Prompt, quy trình, thông báo</t>
        </is>
      </c>
      <c r="F67" s="58" t="n">
        <v>1</v>
      </c>
      <c r="G67" s="58" t="inlineStr">
        <is>
          <t>Khó và phức tạp</t>
        </is>
      </c>
      <c r="H67" s="58" t="inlineStr">
        <is>
          <t>30/10/2026</t>
        </is>
      </c>
      <c r="I67" s="58">
        <f>IF(G67="Khó và phức tạp",200,IF(G67="Cao",150,IF(G67="Trung bình",120,IF(G67="Thấp",100))))</f>
        <v/>
      </c>
      <c r="J67" s="60">
        <f>I67*0.01</f>
        <v/>
      </c>
      <c r="K67" s="64" t="inlineStr">
        <is>
          <t>848KH-CĐKT</t>
        </is>
      </c>
      <c r="L67" s="45" t="inlineStr">
        <is>
          <t>KH 848 mục 19.</t>
        </is>
      </c>
    </row>
    <row r="68" ht="293" customHeight="1">
      <c r="A68" s="62" t="inlineStr">
        <is>
          <t>BS-3.05</t>
        </is>
      </c>
      <c r="B68" s="59" t="inlineStr">
        <is>
          <t>Xây dựng công cụ rà soát, đề xuất xét chế độ nâng lương, khen thưởng đối với công tác tổ chức cán bộ</t>
        </is>
      </c>
      <c r="C68" s="63" t="inlineStr">
        <is>
          <t>Hiệu trưởng</t>
        </is>
      </c>
      <c r="D68" s="58" t="inlineStr">
        <is>
          <t>Phòng TCCB&amp;CTHSSV</t>
        </is>
      </c>
      <c r="E68" s="63" t="inlineStr">
        <is>
          <t>Bộ công cụ đóng gói: Skills, Prompt, quy trình, thông báo</t>
        </is>
      </c>
      <c r="F68" s="58" t="n">
        <v>1</v>
      </c>
      <c r="G68" s="58" t="inlineStr">
        <is>
          <t>Khó và phức tạp</t>
        </is>
      </c>
      <c r="H68" s="58" t="inlineStr">
        <is>
          <t>30/10/2026</t>
        </is>
      </c>
      <c r="I68" s="58">
        <f>IF(G68="Khó và phức tạp",200,IF(G68="Cao",150,IF(G68="Trung bình",120,IF(G68="Thấp",100))))</f>
        <v/>
      </c>
      <c r="J68" s="60">
        <f>I68*0.01</f>
        <v/>
      </c>
      <c r="K68" s="64" t="inlineStr">
        <is>
          <t>848KH-CĐKT</t>
        </is>
      </c>
      <c r="L68" s="45" t="inlineStr">
        <is>
          <t>KH 848 mục 20.</t>
        </is>
      </c>
    </row>
    <row r="69" ht="293" customHeight="1">
      <c r="A69" s="62" t="inlineStr">
        <is>
          <t>BS-3.06</t>
        </is>
      </c>
      <c r="B69" s="59" t="inlineStr">
        <is>
          <t>Xây dựng công cụ rà soát, tham mưu quy trình bổ nhiệm, bổ nhiệm lại viên chức quản lý thuộc Trường, bộ môn thuộc khoa và tương đương</t>
        </is>
      </c>
      <c r="C69" s="63" t="inlineStr">
        <is>
          <t>Hiệu trưởng</t>
        </is>
      </c>
      <c r="D69" s="58" t="inlineStr">
        <is>
          <t>Phòng TCCB&amp;CTHSSV</t>
        </is>
      </c>
      <c r="E69" s="63" t="inlineStr">
        <is>
          <t>Bộ công cụ đóng gói: Skills, Prompt, quy trình, thông báo</t>
        </is>
      </c>
      <c r="F69" s="58" t="n">
        <v>1</v>
      </c>
      <c r="G69" s="58" t="inlineStr">
        <is>
          <t>Khó và phức tạp</t>
        </is>
      </c>
      <c r="H69" s="58" t="inlineStr">
        <is>
          <t>30/10/2026</t>
        </is>
      </c>
      <c r="I69" s="58">
        <f>IF(G69="Khó và phức tạp",200,IF(G69="Cao",150,IF(G69="Trung bình",120,IF(G69="Thấp",100))))</f>
        <v/>
      </c>
      <c r="J69" s="60">
        <f>I69*0.01</f>
        <v/>
      </c>
      <c r="K69" s="64" t="inlineStr">
        <is>
          <t>848KH-CĐKT</t>
        </is>
      </c>
      <c r="L69" s="45" t="inlineStr">
        <is>
          <t>KH 848 mục 21.</t>
        </is>
      </c>
    </row>
    <row r="70" ht="293" customHeight="1">
      <c r="A70" s="62" t="inlineStr">
        <is>
          <t>BS-3.07</t>
        </is>
      </c>
      <c r="B70" s="59" t="inlineStr">
        <is>
          <t>Xây dựng công cụ rà soát, thống nhất danh mục sản phẩm/công việc của các đơn vị; xác định sản phẩm/công việc chuẩn, định mức, đơn vị tính</t>
        </is>
      </c>
      <c r="C70" s="63" t="inlineStr">
        <is>
          <t>Hiệu trưởng</t>
        </is>
      </c>
      <c r="D70" s="58" t="inlineStr">
        <is>
          <t>Phòng TCCB&amp;CTHSSV</t>
        </is>
      </c>
      <c r="E70" s="63" t="inlineStr">
        <is>
          <t>Bộ công cụ đóng gói: Skills, Prompt, quy trình, thông báo</t>
        </is>
      </c>
      <c r="F70" s="58" t="n">
        <v>1</v>
      </c>
      <c r="G70" s="58" t="inlineStr">
        <is>
          <t>Khó và phức tạp</t>
        </is>
      </c>
      <c r="H70" s="58" t="inlineStr">
        <is>
          <t>30/10/2026</t>
        </is>
      </c>
      <c r="I70" s="58">
        <f>IF(G70="Khó và phức tạp",200,IF(G70="Cao",150,IF(G70="Trung bình",120,IF(G70="Thấp",100))))</f>
        <v/>
      </c>
      <c r="J70" s="60">
        <f>I70*0.01</f>
        <v/>
      </c>
      <c r="K70" s="64" t="inlineStr">
        <is>
          <t>848KH-CĐKT</t>
        </is>
      </c>
      <c r="L70" s="45" t="inlineStr">
        <is>
          <t>KH 848 mục 22.</t>
        </is>
      </c>
    </row>
    <row r="71" ht="293" customHeight="1">
      <c r="A71" s="62" t="inlineStr">
        <is>
          <t>BS-3.08</t>
        </is>
      </c>
      <c r="B71" s="59" t="inlineStr">
        <is>
          <t>Xây dựng công cụ rà soát, tư vấn chuyên môn về công tác tổng hợp, báo cáo, văn bản hành chính thông thường của Văn phòng Đảng ủy</t>
        </is>
      </c>
      <c r="C71" s="63" t="inlineStr">
        <is>
          <t>Hiệu trưởng</t>
        </is>
      </c>
      <c r="D71" s="58" t="inlineStr">
        <is>
          <t>Phòng TCCB&amp;CTHSSV</t>
        </is>
      </c>
      <c r="E71" s="63" t="inlineStr">
        <is>
          <t>Bộ công cụ đóng gói: Skills, Prompt, quy trình, thông báo</t>
        </is>
      </c>
      <c r="F71" s="58" t="n">
        <v>1</v>
      </c>
      <c r="G71" s="58" t="inlineStr">
        <is>
          <t>Khó và phức tạp</t>
        </is>
      </c>
      <c r="H71" s="58" t="inlineStr">
        <is>
          <t>30/10/2026</t>
        </is>
      </c>
      <c r="I71" s="58">
        <f>IF(G71="Khó và phức tạp",200,IF(G71="Cao",150,IF(G71="Trung bình",120,IF(G71="Thấp",100))))</f>
        <v/>
      </c>
      <c r="J71" s="60">
        <f>I71*0.01</f>
        <v/>
      </c>
      <c r="K71" s="64" t="inlineStr">
        <is>
          <t>848KH-CĐKT</t>
        </is>
      </c>
      <c r="L71" s="45" t="inlineStr">
        <is>
          <t>KH 848 mục 23.</t>
        </is>
      </c>
    </row>
    <row r="72" ht="293" customHeight="1">
      <c r="A72" s="62" t="inlineStr">
        <is>
          <t>BS-3.09</t>
        </is>
      </c>
      <c r="B72" s="59" t="inlineStr">
        <is>
          <t>Xây dựng công cụ thiết kế bộ học liệu hỗ trợ dạy học tích hợp (bảng quy trình, phiếu đánh giá thực hiện, phiếu học tập, phiếu hướng dẫn luyện tập)</t>
        </is>
      </c>
      <c r="C72" s="63" t="inlineStr">
        <is>
          <t>Hiệu trưởng</t>
        </is>
      </c>
      <c r="D72" s="58" t="inlineStr">
        <is>
          <t>Khoa CKHCB</t>
        </is>
      </c>
      <c r="E72" s="63" t="inlineStr">
        <is>
          <t>Bộ công cụ đóng gói: Skills, Prompt, quy trình, thông báo</t>
        </is>
      </c>
      <c r="F72" s="58" t="n">
        <v>1</v>
      </c>
      <c r="G72" s="58" t="inlineStr">
        <is>
          <t>Khó và phức tạp</t>
        </is>
      </c>
      <c r="H72" s="58" t="inlineStr">
        <is>
          <t>30/10/2026</t>
        </is>
      </c>
      <c r="I72" s="58">
        <f>IF(G72="Khó và phức tạp",200,IF(G72="Cao",150,IF(G72="Trung bình",120,IF(G72="Thấp",100))))</f>
        <v/>
      </c>
      <c r="J72" s="60">
        <f>I72*0.01</f>
        <v/>
      </c>
      <c r="K72" s="64" t="inlineStr">
        <is>
          <t>848KH-CĐKT</t>
        </is>
      </c>
      <c r="L72" s="45" t="inlineStr">
        <is>
          <t>KH 848 mục 24.</t>
        </is>
      </c>
    </row>
    <row r="73" ht="293" customHeight="1">
      <c r="A73" s="62" t="inlineStr">
        <is>
          <t>BS-3.10</t>
        </is>
      </c>
      <c r="B73" s="59" t="inlineStr">
        <is>
          <t>Xây dựng công cụ hỗ trợ kiểm soát chất lượng đào tạo và sát hạch lái xe</t>
        </is>
      </c>
      <c r="C73" s="63" t="inlineStr">
        <is>
          <t>Hiệu trưởng</t>
        </is>
      </c>
      <c r="D73" s="58" t="inlineStr">
        <is>
          <t>Khoa ĐT&amp;SHLX</t>
        </is>
      </c>
      <c r="E73" s="63" t="inlineStr">
        <is>
          <t>Bộ công cụ đóng gói: Skills, Prompt, quy trình, thông báo</t>
        </is>
      </c>
      <c r="F73" s="58" t="n">
        <v>1</v>
      </c>
      <c r="G73" s="58" t="inlineStr">
        <is>
          <t>Khó và phức tạp</t>
        </is>
      </c>
      <c r="H73" s="58" t="inlineStr">
        <is>
          <t>30/10/2026</t>
        </is>
      </c>
      <c r="I73" s="58">
        <f>IF(G73="Khó và phức tạp",200,IF(G73="Cao",150,IF(G73="Trung bình",120,IF(G73="Thấp",100))))</f>
        <v/>
      </c>
      <c r="J73" s="60">
        <f>I73*0.01</f>
        <v/>
      </c>
      <c r="K73" s="64" t="inlineStr">
        <is>
          <t>848KH-CĐKT</t>
        </is>
      </c>
      <c r="L73" s="45" t="inlineStr">
        <is>
          <t>KH 848 mục 27.</t>
        </is>
      </c>
    </row>
    <row r="74" ht="293" customHeight="1">
      <c r="A74" s="62" t="inlineStr">
        <is>
          <t>BS-3.11</t>
        </is>
      </c>
      <c r="B74" s="59" t="inlineStr">
        <is>
          <t>Xây dựng công cụ AI hỗ trợ biên soạn, cập nhật giáo trình đào tạo</t>
        </is>
      </c>
      <c r="C74" s="63" t="inlineStr">
        <is>
          <t>Hiệu trưởng</t>
        </is>
      </c>
      <c r="D74" s="58" t="inlineStr">
        <is>
          <t>Phòng QLĐT&amp;BĐCL</t>
        </is>
      </c>
      <c r="E74" s="63" t="inlineStr">
        <is>
          <t>Bộ công cụ đóng gói: Skills, Prompt, quy trình, thông báo</t>
        </is>
      </c>
      <c r="F74" s="58" t="n">
        <v>1</v>
      </c>
      <c r="G74" s="58" t="inlineStr">
        <is>
          <t>Khó và phức tạp</t>
        </is>
      </c>
      <c r="H74" s="58" t="inlineStr">
        <is>
          <t>31/10/2026</t>
        </is>
      </c>
      <c r="I74" s="58">
        <f>IF(G74="Khó và phức tạp",200,IF(G74="Cao",150,IF(G74="Trung bình",120,IF(G74="Thấp",100))))</f>
        <v/>
      </c>
      <c r="J74" s="60">
        <f>I74*0.01</f>
        <v/>
      </c>
      <c r="K74" s="64" t="inlineStr">
        <is>
          <t>848KH-CĐKT</t>
        </is>
      </c>
      <c r="L74" s="45" t="inlineStr">
        <is>
          <t>KH 848 mục 11 (ghi '10/2026').</t>
        </is>
      </c>
    </row>
    <row r="75" ht="293" customHeight="1">
      <c r="A75" s="62" t="inlineStr">
        <is>
          <t>BS-3.12</t>
        </is>
      </c>
      <c r="B75" s="59" t="inlineStr">
        <is>
          <t>Cập nhật, sửa đổi Quy định quản lý và tổ chức hoạt động khoa học, công nghệ, đổi mới sáng tạo của học sinh, sinh viên</t>
        </is>
      </c>
      <c r="C75" s="63" t="inlineStr">
        <is>
          <t>Hiệu trưởng</t>
        </is>
      </c>
      <c r="D75" s="58" t="inlineStr">
        <is>
          <t>Phòng QLKHCN&amp;HTPT</t>
        </is>
      </c>
      <c r="E75" s="63" t="inlineStr">
        <is>
          <t>Quyết định</t>
        </is>
      </c>
      <c r="F75" s="58" t="n">
        <v>1</v>
      </c>
      <c r="G75" s="58" t="inlineStr">
        <is>
          <t>Khó và phức tạp</t>
        </is>
      </c>
      <c r="H75" s="58" t="inlineStr">
        <is>
          <t>31/10/2026</t>
        </is>
      </c>
      <c r="I75" s="58">
        <f>IF(G75="Khó và phức tạp",200,IF(G75="Cao",150,IF(G75="Trung bình",120,IF(G75="Thấp",100))))</f>
        <v/>
      </c>
      <c r="J75" s="60">
        <f>I75*0.01</f>
        <v/>
      </c>
      <c r="K75" s="64" t="inlineStr">
        <is>
          <t>932KH-CĐKT</t>
        </is>
      </c>
      <c r="L75" s="45" t="inlineStr">
        <is>
          <t>KH 932: Tháng 10/2026 (nhãn 'Cao', điểm 200/hệ số 2,0).</t>
        </is>
      </c>
    </row>
    <row r="76" ht="293" customHeight="1">
      <c r="A76" s="62" t="inlineStr">
        <is>
          <t>BS-3.13</t>
        </is>
      </c>
      <c r="B76" s="59" t="inlineStr">
        <is>
          <t>Số hóa dữ liệu văn bằng, chứng chỉ đã cấp (kể cả do các trường tiền thân cấp); đối soát, nghiệm thu, ký số trên Hệ thống CSDL VBCC của Bộ GD&amp;ĐT — giai đoạn 1986–1999</t>
        </is>
      </c>
      <c r="C76" s="63" t="inlineStr">
        <is>
          <t>Hiệu trưởng</t>
        </is>
      </c>
      <c r="D76" s="58" t="inlineStr">
        <is>
          <t>Phòng QLĐT&amp;BĐCL</t>
        </is>
      </c>
      <c r="E76" s="63" t="inlineStr">
        <is>
          <t>Dữ liệu VBCC trên hệ thống; Biên bản số hóa</t>
        </is>
      </c>
      <c r="F76" s="58" t="n">
        <v>1</v>
      </c>
      <c r="G76" s="58" t="inlineStr">
        <is>
          <t>Cao</t>
        </is>
      </c>
      <c r="H76" s="58" t="inlineStr">
        <is>
          <t>31/10/2026</t>
        </is>
      </c>
      <c r="I76" s="58">
        <f>IF(G76="Khó và phức tạp",200,IF(G76="Cao",150,IF(G76="Trung bình",120,IF(G76="Thấp",100))))</f>
        <v/>
      </c>
      <c r="J76" s="60">
        <f>I76*0.01</f>
        <v/>
      </c>
      <c r="K76" s="64" t="inlineStr">
        <is>
          <t>882KH-CĐKT</t>
        </is>
      </c>
      <c r="L76" s="45" t="inlineStr">
        <is>
          <t>Độ khó do rà soát đề xuất (kế hoạch nguồn không ghi điểm). KH 882: 01–31/10 số hóa VBCC giai đoạn 1986–1999; 11–20/11 đối soát, nghiệm thu.</t>
        </is>
      </c>
    </row>
    <row r="77" ht="34" customHeight="1">
      <c r="A77" s="16" t="n">
        <v>4</v>
      </c>
      <c r="B77" s="24" t="inlineStr">
        <is>
          <t>Trục (4) - Xây dựng đảng và hệ thống chính trị trong sạch, vững mạnh; giữ gìn đoàn kết, thống nhất nội bộ; phòng, chống tham nhũng, lãng phí, tiêu cực</t>
        </is>
      </c>
      <c r="C77" s="43" t="n"/>
      <c r="D77" s="43" t="n"/>
      <c r="E77" s="43" t="n"/>
      <c r="F77" s="43" t="n"/>
      <c r="G77" s="43" t="n"/>
      <c r="H77" s="43" t="n"/>
      <c r="I77" s="43" t="n"/>
      <c r="J77" s="43" t="n"/>
      <c r="K77" s="44" t="n"/>
    </row>
    <row r="78" ht="293" customHeight="1">
      <c r="A78" s="62" t="inlineStr">
        <is>
          <t>BS-4.01</t>
        </is>
      </c>
      <c r="B78" s="59" t="inlineStr">
        <is>
          <t>Tổ chức nghiên cứu, học tập, quán triệt, tuyên truyền các nghị quyết, chỉ thị, quy định, kết luận và chương trình, kế hoạch thực hiện Nghị quyết Hội nghị lần thứ ba Ban Chấp hành Trung ương Đảng khóa XIV; báo cáo kết quả về Đảng ủy Trường</t>
        </is>
      </c>
      <c r="C78" s="63" t="inlineStr">
        <is>
          <t>Bí thư Đảng ủy</t>
        </is>
      </c>
      <c r="D78" s="58" t="inlineStr">
        <is>
          <t>BPVPĐU</t>
        </is>
      </c>
      <c r="E78" s="63" t="inlineStr">
        <is>
          <t>Báo cáo kết quả quán triệt</t>
        </is>
      </c>
      <c r="F78" s="58" t="n">
        <v>1</v>
      </c>
      <c r="G78" s="58" t="inlineStr">
        <is>
          <t>Trung bình</t>
        </is>
      </c>
      <c r="H78" s="58" t="inlineStr">
        <is>
          <t>07/10/2026</t>
        </is>
      </c>
      <c r="I78" s="58">
        <f>IF(G78="Khó và phức tạp",200,IF(G78="Cao",150,IF(G78="Trung bình",120,IF(G78="Thấp",100))))</f>
        <v/>
      </c>
      <c r="J78" s="60">
        <f>I78*0.01</f>
        <v/>
      </c>
      <c r="K78" s="64" t="inlineStr">
        <is>
          <t>33-KH/ĐU</t>
        </is>
      </c>
      <c r="L78" s="45" t="inlineStr">
        <is>
          <t>Độ khó do rà soát đề xuất (kế hoạch nguồn không ghi điểm). Kế hoạch số 33-KH/ĐU ngày 23/9/2026: quán triệt xong trước 05/10, báo cáo trước 07/10/2026.</t>
        </is>
      </c>
    </row>
    <row r="79" ht="293" customHeight="1">
      <c r="A79" s="62" t="inlineStr">
        <is>
          <t>BS-4.02</t>
        </is>
      </c>
      <c r="B79" s="59" t="inlineStr">
        <is>
          <t>Rà soát thực trạng đội ngũ nhà giáo thuộc phạm vi áp dụng Thông tư số 64/2026/TT-BGDĐT theo chuẩn nghề nghiệp</t>
        </is>
      </c>
      <c r="C79" s="63" t="inlineStr">
        <is>
          <t>Hiệu trưởng</t>
        </is>
      </c>
      <c r="D79" s="58" t="inlineStr">
        <is>
          <t>Phòng TCCB&amp;CTHSSV</t>
        </is>
      </c>
      <c r="E79" s="63" t="inlineStr">
        <is>
          <t>Danh sách rà soát</t>
        </is>
      </c>
      <c r="F79" s="58" t="n">
        <v>1</v>
      </c>
      <c r="G79" s="58" t="inlineStr">
        <is>
          <t>Cao</t>
        </is>
      </c>
      <c r="H79" s="58" t="inlineStr">
        <is>
          <t>31/10/2026</t>
        </is>
      </c>
      <c r="I79" s="58">
        <f>IF(G79="Khó và phức tạp",200,IF(G79="Cao",150,IF(G79="Trung bình",120,IF(G79="Thấp",100))))</f>
        <v/>
      </c>
      <c r="J79" s="60">
        <f>I79*0.01</f>
        <v/>
      </c>
      <c r="K79" s="64" t="inlineStr">
        <is>
          <t>874KH-CĐKT</t>
        </is>
      </c>
      <c r="L79" s="45" t="inlineStr">
        <is>
          <t>KH 874 mục 2: Tháng 10/2026.</t>
        </is>
      </c>
    </row>
    <row r="81" ht="152.4" customHeight="1">
      <c r="A81" s="31" t="inlineStr">
        <is>
          <r>
            <rPr>
              <rFont val="Times New Roman"/>
              <family val="1"/>
              <b val="1"/>
              <i val="1"/>
              <sz val="12"/>
            </rPr>
            <t xml:space="preserve">Nơi nhận: </t>
          </r>
          <r>
            <rPr>
              <rFont val="Times New Roman"/>
              <family val="1"/>
              <sz val="12"/>
            </rPr>
            <t>
</t>
          </r>
          <r>
            <rPr>
              <rFont val="Times New Roman"/>
              <family val="1"/>
              <sz val="11"/>
            </rPr>
            <t>- Đảng ủy Trường;
- Lãnh đạo Trường;
- Công đoàn Trường;
- Đoàn Trường;
- Các đơn vị thuộc Trường;
- Lưu: VT, THHCQT.</t>
          </r>
        </is>
      </c>
      <c r="C81" s="21" t="n"/>
      <c r="D81" s="21" t="n"/>
      <c r="E81" s="30" t="inlineStr">
        <is>
          <t>HIỆU TRƯỞNG
Lê Trí Khải</t>
        </is>
      </c>
    </row>
  </sheetData>
  <mergeCells count="35">
    <mergeCell ref="E8:E9"/>
    <mergeCell ref="G8:G9"/>
    <mergeCell ref="B8:B9"/>
    <mergeCell ref="B24:K24"/>
    <mergeCell ref="A1:B1"/>
    <mergeCell ref="E81:K81"/>
    <mergeCell ref="A6:K6"/>
    <mergeCell ref="B63:K63"/>
    <mergeCell ref="B32:K32"/>
    <mergeCell ref="F8:F9"/>
    <mergeCell ref="B26:K26"/>
    <mergeCell ref="E3:K3"/>
    <mergeCell ref="A7:K7"/>
    <mergeCell ref="B16:K16"/>
    <mergeCell ref="A3:B3"/>
    <mergeCell ref="A2:B2"/>
    <mergeCell ref="A8:A9"/>
    <mergeCell ref="C8:C9"/>
    <mergeCell ref="I8:I9"/>
    <mergeCell ref="K8:K9"/>
    <mergeCell ref="B56:K56"/>
    <mergeCell ref="D8:D9"/>
    <mergeCell ref="B12:K12"/>
    <mergeCell ref="B77:K77"/>
    <mergeCell ref="E1:K1"/>
    <mergeCell ref="B11:K11"/>
    <mergeCell ref="A5:K5"/>
    <mergeCell ref="B60:K60"/>
    <mergeCell ref="B57:K57"/>
    <mergeCell ref="H8:H9"/>
    <mergeCell ref="A81:B81"/>
    <mergeCell ref="J8:J9"/>
    <mergeCell ref="B29:K29"/>
    <mergeCell ref="E2:K2"/>
    <mergeCell ref="B19:K19"/>
  </mergeCells>
  <conditionalFormatting sqref="B13">
    <cfRule type="dataBar" priority="1">
      <dataBar>
        <cfvo type="min"/>
        <cfvo type="max"/>
        <color rgb="FF638EC6"/>
      </dataBar>
    </cfRule>
    <cfRule type="dataBar" priority="5">
      <dataBar>
        <cfvo type="min"/>
        <cfvo type="max"/>
        <color rgb="FF638EC6"/>
      </dataBar>
    </cfRule>
  </conditionalFormatting>
  <conditionalFormatting sqref="B15">
    <cfRule type="dataBar" priority="111">
      <dataBar>
        <cfvo type="min"/>
        <cfvo type="max"/>
        <color rgb="FF638EC6"/>
      </dataBar>
    </cfRule>
  </conditionalFormatting>
  <conditionalFormatting sqref="B20">
    <cfRule type="dataBar" priority="97">
      <dataBar>
        <cfvo type="min"/>
        <cfvo type="max"/>
        <color rgb="FF638EC6"/>
      </dataBar>
    </cfRule>
    <cfRule type="dataBar" priority="98">
      <dataBar>
        <cfvo type="min"/>
        <cfvo type="max"/>
        <color rgb="FF638EC6"/>
      </dataBar>
    </cfRule>
  </conditionalFormatting>
  <conditionalFormatting sqref="B21">
    <cfRule type="dataBar" priority="100">
      <dataBar>
        <cfvo type="min"/>
        <cfvo type="max"/>
        <color rgb="FF638EC6"/>
      </dataBar>
    </cfRule>
    <cfRule type="dataBar" priority="99">
      <dataBar>
        <cfvo type="min"/>
        <cfvo type="max"/>
        <color rgb="FF638EC6"/>
      </dataBar>
    </cfRule>
  </conditionalFormatting>
  <conditionalFormatting sqref="B22">
    <cfRule type="dataBar" priority="89">
      <dataBar>
        <cfvo type="min"/>
        <cfvo type="max"/>
        <color rgb="FF638EC6"/>
      </dataBar>
    </cfRule>
    <cfRule type="dataBar" priority="90">
      <dataBar>
        <cfvo type="min"/>
        <cfvo type="max"/>
        <color rgb="FF638EC6"/>
      </dataBar>
    </cfRule>
  </conditionalFormatting>
  <conditionalFormatting sqref="B23">
    <cfRule type="dataBar" priority="85">
      <dataBar>
        <cfvo type="min"/>
        <cfvo type="max"/>
        <color rgb="FF638EC6"/>
      </dataBar>
    </cfRule>
    <cfRule type="dataBar" priority="86">
      <dataBar>
        <cfvo type="min"/>
        <cfvo type="max"/>
        <color rgb="FF638EC6"/>
      </dataBar>
    </cfRule>
  </conditionalFormatting>
  <conditionalFormatting sqref="B27">
    <cfRule type="dataBar" priority="54">
      <dataBar>
        <cfvo type="min"/>
        <cfvo type="max"/>
        <color rgb="FF638EC6"/>
      </dataBar>
    </cfRule>
  </conditionalFormatting>
  <conditionalFormatting sqref="B33">
    <cfRule type="dataBar" priority="37">
      <dataBar>
        <cfvo type="min"/>
        <cfvo type="max"/>
        <color rgb="FF638EC6"/>
      </dataBar>
    </cfRule>
  </conditionalFormatting>
  <conditionalFormatting sqref="B34">
    <cfRule type="dataBar" priority="34">
      <dataBar>
        <cfvo type="min"/>
        <cfvo type="max"/>
        <color rgb="FF638EC6"/>
      </dataBar>
    </cfRule>
  </conditionalFormatting>
  <conditionalFormatting sqref="B35">
    <cfRule type="dataBar" priority="41">
      <dataBar>
        <cfvo type="min"/>
        <cfvo type="max"/>
        <color rgb="FF638EC6"/>
      </dataBar>
    </cfRule>
  </conditionalFormatting>
  <conditionalFormatting sqref="B36">
    <cfRule type="dataBar" priority="106">
      <dataBar>
        <cfvo type="min"/>
        <cfvo type="max"/>
        <color rgb="FF638EC6"/>
      </dataBar>
    </cfRule>
  </conditionalFormatting>
  <conditionalFormatting sqref="B37">
    <cfRule type="dataBar" priority="27">
      <dataBar>
        <cfvo type="min"/>
        <cfvo type="max"/>
        <color rgb="FF638EC6"/>
      </dataBar>
    </cfRule>
  </conditionalFormatting>
  <conditionalFormatting sqref="B38">
    <cfRule type="dataBar" priority="38">
      <dataBar>
        <cfvo type="min"/>
        <cfvo type="max"/>
        <color rgb="FF638EC6"/>
      </dataBar>
    </cfRule>
  </conditionalFormatting>
  <conditionalFormatting sqref="B39">
    <cfRule type="dataBar" priority="43">
      <dataBar>
        <cfvo type="min"/>
        <cfvo type="max"/>
        <color rgb="FF638EC6"/>
      </dataBar>
    </cfRule>
  </conditionalFormatting>
  <conditionalFormatting sqref="B40">
    <cfRule type="dataBar" priority="82">
      <dataBar>
        <cfvo type="min"/>
        <cfvo type="max"/>
        <color rgb="FF638EC6"/>
      </dataBar>
    </cfRule>
  </conditionalFormatting>
  <conditionalFormatting sqref="B41">
    <cfRule type="dataBar" priority="28">
      <dataBar>
        <cfvo type="min"/>
        <cfvo type="max"/>
        <color rgb="FF638EC6"/>
      </dataBar>
    </cfRule>
  </conditionalFormatting>
  <conditionalFormatting sqref="B42">
    <cfRule type="dataBar" priority="15">
      <dataBar>
        <cfvo type="min"/>
        <cfvo type="max"/>
        <color rgb="FF638EC6"/>
      </dataBar>
    </cfRule>
  </conditionalFormatting>
  <conditionalFormatting sqref="B43">
    <cfRule type="dataBar" priority="6">
      <dataBar>
        <cfvo type="min"/>
        <cfvo type="max"/>
        <color rgb="FF638EC6"/>
      </dataBar>
    </cfRule>
  </conditionalFormatting>
  <conditionalFormatting sqref="B44">
    <cfRule type="dataBar" priority="30">
      <dataBar>
        <cfvo type="min"/>
        <cfvo type="max"/>
        <color rgb="FF638EC6"/>
      </dataBar>
    </cfRule>
  </conditionalFormatting>
  <conditionalFormatting sqref="B45:B47">
    <cfRule type="dataBar" priority="10">
      <dataBar>
        <cfvo type="min"/>
        <cfvo type="max"/>
        <color rgb="FF638EC6"/>
      </dataBar>
    </cfRule>
  </conditionalFormatting>
  <conditionalFormatting sqref="B48">
    <cfRule type="dataBar" priority="26">
      <dataBar>
        <cfvo type="min"/>
        <cfvo type="max"/>
        <color rgb="FF638EC6"/>
      </dataBar>
    </cfRule>
  </conditionalFormatting>
  <conditionalFormatting sqref="B49:B50">
    <cfRule type="dataBar" priority="21">
      <dataBar>
        <cfvo type="min"/>
        <cfvo type="max"/>
        <color rgb="FF638EC6"/>
      </dataBar>
    </cfRule>
  </conditionalFormatting>
  <conditionalFormatting sqref="B51">
    <cfRule type="dataBar" priority="18">
      <dataBar>
        <cfvo type="min"/>
        <cfvo type="max"/>
        <color rgb="FF638EC6"/>
      </dataBar>
    </cfRule>
  </conditionalFormatting>
  <conditionalFormatting sqref="B52">
    <cfRule type="dataBar" priority="13">
      <dataBar>
        <cfvo type="min"/>
        <cfvo type="max"/>
        <color rgb="FF638EC6"/>
      </dataBar>
    </cfRule>
  </conditionalFormatting>
  <conditionalFormatting sqref="B53">
    <cfRule type="dataBar" priority="33">
      <dataBar>
        <cfvo type="min"/>
        <cfvo type="max"/>
        <color rgb="FF638EC6"/>
      </dataBar>
    </cfRule>
  </conditionalFormatting>
  <conditionalFormatting sqref="B15:D15">
    <cfRule type="dataBar" priority="107">
      <dataBar>
        <cfvo type="min"/>
        <cfvo type="max"/>
        <color rgb="FF638EC6"/>
      </dataBar>
    </cfRule>
    <cfRule type="dataBar" priority="109">
      <dataBar>
        <cfvo type="min"/>
        <cfvo type="max"/>
        <color rgb="FF638EC6"/>
      </dataBar>
    </cfRule>
  </conditionalFormatting>
  <conditionalFormatting sqref="B17:E17 G17 K17:K18">
    <cfRule type="dataBar" priority="69">
      <dataBar>
        <cfvo type="min"/>
        <cfvo type="max"/>
        <color rgb="FF638EC6"/>
      </dataBar>
    </cfRule>
    <cfRule type="dataBar" priority="68">
      <dataBar>
        <cfvo type="min"/>
        <cfvo type="max"/>
        <color rgb="FF638EC6"/>
      </dataBar>
    </cfRule>
  </conditionalFormatting>
  <conditionalFormatting sqref="C13">
    <cfRule type="dataBar" priority="2">
      <dataBar>
        <cfvo type="min"/>
        <cfvo type="max"/>
        <color rgb="FF638EC6"/>
      </dataBar>
    </cfRule>
  </conditionalFormatting>
  <conditionalFormatting sqref="C14">
    <cfRule type="dataBar" priority="164">
      <dataBar>
        <cfvo type="min"/>
        <cfvo type="max"/>
        <color rgb="FF638EC6"/>
      </dataBar>
    </cfRule>
  </conditionalFormatting>
  <conditionalFormatting sqref="C18">
    <cfRule type="dataBar" priority="71">
      <dataBar>
        <cfvo type="min"/>
        <cfvo type="max"/>
        <color rgb="FF638EC6"/>
      </dataBar>
    </cfRule>
    <cfRule type="dataBar" priority="70">
      <dataBar>
        <cfvo type="min"/>
        <cfvo type="max"/>
        <color rgb="FF638EC6"/>
      </dataBar>
    </cfRule>
  </conditionalFormatting>
  <conditionalFormatting sqref="C20">
    <cfRule type="dataBar" priority="95">
      <dataBar>
        <cfvo type="min"/>
        <cfvo type="max"/>
        <color rgb="FF638EC6"/>
      </dataBar>
    </cfRule>
    <cfRule type="dataBar" priority="96">
      <dataBar>
        <cfvo type="min"/>
        <cfvo type="max"/>
        <color rgb="FF638EC6"/>
      </dataBar>
    </cfRule>
  </conditionalFormatting>
  <conditionalFormatting sqref="C21">
    <cfRule type="dataBar" priority="103">
      <dataBar>
        <cfvo type="min"/>
        <cfvo type="max"/>
        <color rgb="FF638EC6"/>
      </dataBar>
    </cfRule>
    <cfRule type="dataBar" priority="104">
      <dataBar>
        <cfvo type="min"/>
        <cfvo type="max"/>
        <color rgb="FF638EC6"/>
      </dataBar>
    </cfRule>
  </conditionalFormatting>
  <conditionalFormatting sqref="C22">
    <cfRule type="dataBar" priority="94">
      <dataBar>
        <cfvo type="min"/>
        <cfvo type="max"/>
        <color rgb="FF638EC6"/>
      </dataBar>
    </cfRule>
    <cfRule type="dataBar" priority="93">
      <dataBar>
        <cfvo type="min"/>
        <cfvo type="max"/>
        <color rgb="FF638EC6"/>
      </dataBar>
    </cfRule>
  </conditionalFormatting>
  <conditionalFormatting sqref="C23">
    <cfRule type="dataBar" priority="84">
      <dataBar>
        <cfvo type="min"/>
        <cfvo type="max"/>
        <color rgb="FF638EC6"/>
      </dataBar>
    </cfRule>
    <cfRule type="dataBar" priority="83">
      <dataBar>
        <cfvo type="min"/>
        <cfvo type="max"/>
        <color rgb="FF638EC6"/>
      </dataBar>
    </cfRule>
  </conditionalFormatting>
  <conditionalFormatting sqref="C24">
    <cfRule type="dataBar" priority="161">
      <dataBar>
        <cfvo type="min"/>
        <cfvo type="max"/>
        <color rgb="FF638EC6"/>
      </dataBar>
    </cfRule>
  </conditionalFormatting>
  <conditionalFormatting sqref="C25">
    <cfRule type="dataBar" priority="55">
      <dataBar>
        <cfvo type="min"/>
        <cfvo type="max"/>
        <color rgb="FF638EC6"/>
      </dataBar>
    </cfRule>
  </conditionalFormatting>
  <conditionalFormatting sqref="C27">
    <cfRule type="dataBar" priority="52">
      <dataBar>
        <cfvo type="min"/>
        <cfvo type="max"/>
        <color rgb="FF638EC6"/>
      </dataBar>
    </cfRule>
    <cfRule type="dataBar" priority="53">
      <dataBar>
        <cfvo type="min"/>
        <cfvo type="max"/>
        <color rgb="FF638EC6"/>
      </dataBar>
    </cfRule>
  </conditionalFormatting>
  <conditionalFormatting sqref="C26 C28">
    <cfRule type="dataBar" priority="155">
      <dataBar>
        <cfvo type="min"/>
        <cfvo type="max"/>
        <color rgb="FF638EC6"/>
      </dataBar>
    </cfRule>
  </conditionalFormatting>
  <conditionalFormatting sqref="C29">
    <cfRule type="dataBar" priority="135">
      <dataBar>
        <cfvo type="min"/>
        <cfvo type="max"/>
        <color rgb="FF638EC6"/>
      </dataBar>
    </cfRule>
  </conditionalFormatting>
  <conditionalFormatting sqref="C30">
    <cfRule type="dataBar" priority="49">
      <dataBar>
        <cfvo type="min"/>
        <cfvo type="max"/>
        <color rgb="FF638EC6"/>
      </dataBar>
    </cfRule>
    <cfRule type="dataBar" priority="48">
      <dataBar>
        <cfvo type="min"/>
        <cfvo type="max"/>
        <color rgb="FF638EC6"/>
      </dataBar>
    </cfRule>
  </conditionalFormatting>
  <conditionalFormatting sqref="C31">
    <cfRule type="dataBar" priority="44">
      <dataBar>
        <cfvo type="min"/>
        <cfvo type="max"/>
        <color rgb="FF638EC6"/>
      </dataBar>
    </cfRule>
    <cfRule type="dataBar" priority="45">
      <dataBar>
        <cfvo type="min"/>
        <cfvo type="max"/>
        <color rgb="FF638EC6"/>
      </dataBar>
    </cfRule>
  </conditionalFormatting>
  <conditionalFormatting sqref="C32">
    <cfRule type="dataBar" priority="134">
      <dataBar>
        <cfvo type="min"/>
        <cfvo type="max"/>
        <color rgb="FF638EC6"/>
      </dataBar>
    </cfRule>
  </conditionalFormatting>
  <conditionalFormatting sqref="C33">
    <cfRule type="dataBar" priority="36">
      <dataBar>
        <cfvo type="min"/>
        <cfvo type="max"/>
        <color rgb="FF638EC6"/>
      </dataBar>
    </cfRule>
    <cfRule type="dataBar" priority="35">
      <dataBar>
        <cfvo type="min"/>
        <cfvo type="max"/>
        <color rgb="FF638EC6"/>
      </dataBar>
    </cfRule>
  </conditionalFormatting>
  <conditionalFormatting sqref="C35">
    <cfRule type="dataBar" priority="40">
      <dataBar>
        <cfvo type="min"/>
        <cfvo type="max"/>
        <color rgb="FF638EC6"/>
      </dataBar>
    </cfRule>
    <cfRule type="dataBar" priority="39">
      <dataBar>
        <cfvo type="min"/>
        <cfvo type="max"/>
        <color rgb="FF638EC6"/>
      </dataBar>
    </cfRule>
  </conditionalFormatting>
  <conditionalFormatting sqref="C36">
    <cfRule type="dataBar" priority="105">
      <dataBar>
        <cfvo type="min"/>
        <cfvo type="max"/>
        <color rgb="FF638EC6"/>
      </dataBar>
    </cfRule>
  </conditionalFormatting>
  <conditionalFormatting sqref="C39">
    <cfRule type="dataBar" priority="42">
      <dataBar>
        <cfvo type="min"/>
        <cfvo type="max"/>
        <color rgb="FF638EC6"/>
      </dataBar>
    </cfRule>
  </conditionalFormatting>
  <conditionalFormatting sqref="C42">
    <cfRule type="dataBar" priority="14">
      <dataBar>
        <cfvo type="min"/>
        <cfvo type="max"/>
        <color rgb="FF638EC6"/>
      </dataBar>
    </cfRule>
  </conditionalFormatting>
  <conditionalFormatting sqref="C44">
    <cfRule type="dataBar" priority="29">
      <dataBar>
        <cfvo type="min"/>
        <cfvo type="max"/>
        <color rgb="FF638EC6"/>
      </dataBar>
    </cfRule>
  </conditionalFormatting>
  <conditionalFormatting sqref="C45">
    <cfRule type="dataBar" priority="9">
      <dataBar>
        <cfvo type="min"/>
        <cfvo type="max"/>
        <color rgb="FF638EC6"/>
      </dataBar>
    </cfRule>
  </conditionalFormatting>
  <conditionalFormatting sqref="C46">
    <cfRule type="dataBar" priority="8">
      <dataBar>
        <cfvo type="min"/>
        <cfvo type="max"/>
        <color rgb="FF638EC6"/>
      </dataBar>
    </cfRule>
  </conditionalFormatting>
  <conditionalFormatting sqref="C47">
    <cfRule type="dataBar" priority="7">
      <dataBar>
        <cfvo type="min"/>
        <cfvo type="max"/>
        <color rgb="FF638EC6"/>
      </dataBar>
    </cfRule>
  </conditionalFormatting>
  <conditionalFormatting sqref="C48">
    <cfRule type="dataBar" priority="23">
      <dataBar>
        <cfvo type="min"/>
        <cfvo type="max"/>
        <color rgb="FF638EC6"/>
      </dataBar>
    </cfRule>
    <cfRule type="dataBar" priority="24">
      <dataBar>
        <cfvo type="min"/>
        <cfvo type="max"/>
        <color rgb="FF638EC6"/>
      </dataBar>
    </cfRule>
  </conditionalFormatting>
  <conditionalFormatting sqref="C49:C50">
    <cfRule type="dataBar" priority="19">
      <dataBar>
        <cfvo type="min"/>
        <cfvo type="max"/>
        <color rgb="FF638EC6"/>
      </dataBar>
    </cfRule>
    <cfRule type="dataBar" priority="20">
      <dataBar>
        <cfvo type="min"/>
        <cfvo type="max"/>
        <color rgb="FF638EC6"/>
      </dataBar>
    </cfRule>
  </conditionalFormatting>
  <conditionalFormatting sqref="C51">
    <cfRule type="dataBar" priority="17">
      <dataBar>
        <cfvo type="min"/>
        <cfvo type="max"/>
        <color rgb="FF638EC6"/>
      </dataBar>
    </cfRule>
    <cfRule type="dataBar" priority="16">
      <dataBar>
        <cfvo type="min"/>
        <cfvo type="max"/>
        <color rgb="FF638EC6"/>
      </dataBar>
    </cfRule>
  </conditionalFormatting>
  <conditionalFormatting sqref="C53">
    <cfRule type="dataBar" priority="31">
      <dataBar>
        <cfvo type="min"/>
        <cfvo type="max"/>
        <color rgb="FF638EC6"/>
      </dataBar>
    </cfRule>
    <cfRule type="dataBar" priority="32">
      <dataBar>
        <cfvo type="min"/>
        <cfvo type="max"/>
        <color rgb="FF638EC6"/>
      </dataBar>
    </cfRule>
  </conditionalFormatting>
  <conditionalFormatting sqref="C55">
    <cfRule type="dataBar" priority="156">
      <dataBar>
        <cfvo type="min"/>
        <cfvo type="max"/>
        <color rgb="FF638EC6"/>
      </dataBar>
    </cfRule>
  </conditionalFormatting>
  <conditionalFormatting sqref="C19 C56:C58">
    <cfRule type="dataBar" priority="774">
      <dataBar>
        <cfvo type="min"/>
        <cfvo type="max"/>
        <color rgb="FF638EC6"/>
      </dataBar>
    </cfRule>
  </conditionalFormatting>
  <conditionalFormatting sqref="C59:C63">
    <cfRule type="dataBar" priority="133">
      <dataBar>
        <cfvo type="min"/>
        <cfvo type="max"/>
        <color rgb="FF638EC6"/>
      </dataBar>
    </cfRule>
  </conditionalFormatting>
  <conditionalFormatting sqref="C64">
    <cfRule type="dataBar" priority="122">
      <dataBar>
        <cfvo type="min"/>
        <cfvo type="max"/>
        <color rgb="FF638EC6"/>
      </dataBar>
    </cfRule>
    <cfRule type="dataBar" priority="123">
      <dataBar>
        <cfvo type="min"/>
        <cfvo type="max"/>
        <color rgb="FF638EC6"/>
      </dataBar>
    </cfRule>
  </conditionalFormatting>
  <conditionalFormatting sqref="C65">
    <cfRule type="dataBar" priority="117">
      <dataBar>
        <cfvo type="min"/>
        <cfvo type="max"/>
        <color rgb="FF638EC6"/>
      </dataBar>
    </cfRule>
  </conditionalFormatting>
  <conditionalFormatting sqref="C67">
    <cfRule type="dataBar" priority="234">
      <dataBar>
        <cfvo type="min"/>
        <cfvo type="max"/>
        <color rgb="FF638EC6"/>
      </dataBar>
    </cfRule>
  </conditionalFormatting>
  <conditionalFormatting sqref="C68">
    <cfRule type="dataBar" priority="145">
      <dataBar>
        <cfvo type="min"/>
        <cfvo type="max"/>
        <color rgb="FF638EC6"/>
      </dataBar>
    </cfRule>
  </conditionalFormatting>
  <conditionalFormatting sqref="C70">
    <cfRule type="dataBar" priority="198">
      <dataBar>
        <cfvo type="min"/>
        <cfvo type="max"/>
        <color rgb="FF638EC6"/>
      </dataBar>
    </cfRule>
  </conditionalFormatting>
  <conditionalFormatting sqref="C71">
    <cfRule type="dataBar" priority="169">
      <dataBar>
        <cfvo type="min"/>
        <cfvo type="max"/>
        <color rgb="FF638EC6"/>
      </dataBar>
    </cfRule>
  </conditionalFormatting>
  <conditionalFormatting sqref="C72">
    <cfRule type="dataBar" priority="150">
      <dataBar>
        <cfvo type="min"/>
        <cfvo type="max"/>
        <color rgb="FF638EC6"/>
      </dataBar>
    </cfRule>
  </conditionalFormatting>
  <conditionalFormatting sqref="C73">
    <cfRule type="dataBar" priority="211">
      <dataBar>
        <cfvo type="min"/>
        <cfvo type="max"/>
        <color rgb="FF638EC6"/>
      </dataBar>
    </cfRule>
  </conditionalFormatting>
  <conditionalFormatting sqref="C73:C74">
    <cfRule type="dataBar" priority="767">
      <dataBar>
        <cfvo type="min"/>
        <cfvo type="max"/>
        <color rgb="FF638EC6"/>
      </dataBar>
    </cfRule>
  </conditionalFormatting>
  <conditionalFormatting sqref="C75">
    <cfRule type="dataBar" priority="208">
      <dataBar>
        <cfvo type="min"/>
        <cfvo type="max"/>
        <color rgb="FF638EC6"/>
      </dataBar>
    </cfRule>
  </conditionalFormatting>
  <conditionalFormatting sqref="C52:D52">
    <cfRule type="dataBar" priority="12">
      <dataBar>
        <cfvo type="min"/>
        <cfvo type="max"/>
        <color rgb="FF638EC6"/>
      </dataBar>
    </cfRule>
    <cfRule type="dataBar" priority="11">
      <dataBar>
        <cfvo type="min"/>
        <cfvo type="max"/>
        <color rgb="FF638EC6"/>
      </dataBar>
    </cfRule>
  </conditionalFormatting>
  <conditionalFormatting sqref="C40:E40">
    <cfRule type="dataBar" priority="78">
      <dataBar>
        <cfvo type="min"/>
        <cfvo type="max"/>
        <color rgb="FF638EC6"/>
      </dataBar>
    </cfRule>
    <cfRule type="dataBar" priority="80">
      <dataBar>
        <cfvo type="min"/>
        <cfvo type="max"/>
        <color rgb="FF638EC6"/>
      </dataBar>
    </cfRule>
  </conditionalFormatting>
  <conditionalFormatting sqref="D18">
    <cfRule type="dataBar" priority="73">
      <dataBar>
        <cfvo type="min"/>
        <cfvo type="max"/>
        <color rgb="FF638EC6"/>
      </dataBar>
    </cfRule>
    <cfRule type="dataBar" priority="72">
      <dataBar>
        <cfvo type="min"/>
        <cfvo type="max"/>
        <color rgb="FF638EC6"/>
      </dataBar>
    </cfRule>
  </conditionalFormatting>
  <conditionalFormatting sqref="D24">
    <cfRule type="dataBar" priority="160">
      <dataBar>
        <cfvo type="min"/>
        <cfvo type="max"/>
        <color rgb="FF638EC6"/>
      </dataBar>
    </cfRule>
  </conditionalFormatting>
  <conditionalFormatting sqref="D30">
    <cfRule type="dataBar" priority="47">
      <dataBar>
        <cfvo type="min"/>
        <cfvo type="max"/>
        <color rgb="FF638EC6"/>
      </dataBar>
    </cfRule>
    <cfRule type="dataBar" priority="50">
      <dataBar>
        <cfvo type="min"/>
        <cfvo type="max"/>
        <color rgb="FF638EC6"/>
      </dataBar>
    </cfRule>
  </conditionalFormatting>
  <conditionalFormatting sqref="D48">
    <cfRule type="dataBar" priority="25">
      <dataBar>
        <cfvo type="min"/>
        <cfvo type="max"/>
        <color rgb="FF638EC6"/>
      </dataBar>
    </cfRule>
    <cfRule type="dataBar" priority="22">
      <dataBar>
        <cfvo type="min"/>
        <cfvo type="max"/>
        <color rgb="FF638EC6"/>
      </dataBar>
    </cfRule>
  </conditionalFormatting>
  <conditionalFormatting sqref="D67">
    <cfRule type="dataBar" priority="233">
      <dataBar>
        <cfvo type="min"/>
        <cfvo type="max"/>
        <color rgb="FF638EC6"/>
      </dataBar>
    </cfRule>
  </conditionalFormatting>
  <conditionalFormatting sqref="E18">
    <cfRule type="dataBar" priority="74">
      <dataBar>
        <cfvo type="min"/>
        <cfvo type="max"/>
        <color rgb="FF638EC6"/>
      </dataBar>
    </cfRule>
    <cfRule type="dataBar" priority="75">
      <dataBar>
        <cfvo type="min"/>
        <cfvo type="max"/>
        <color rgb="FF638EC6"/>
      </dataBar>
    </cfRule>
  </conditionalFormatting>
  <conditionalFormatting sqref="G13">
    <cfRule type="dataBar" priority="4">
      <dataBar>
        <cfvo type="min"/>
        <cfvo type="max"/>
        <color rgb="FF638EC6"/>
      </dataBar>
    </cfRule>
    <cfRule type="dataBar" priority="3">
      <dataBar>
        <cfvo type="min"/>
        <cfvo type="max"/>
        <color rgb="FF638EC6"/>
      </dataBar>
    </cfRule>
  </conditionalFormatting>
  <conditionalFormatting sqref="G15">
    <cfRule type="dataBar" priority="110">
      <dataBar>
        <cfvo type="min"/>
        <cfvo type="max"/>
        <color rgb="FF638EC6"/>
      </dataBar>
    </cfRule>
    <cfRule type="dataBar" priority="108">
      <dataBar>
        <cfvo type="min"/>
        <cfvo type="max"/>
        <color rgb="FF638EC6"/>
      </dataBar>
    </cfRule>
  </conditionalFormatting>
  <conditionalFormatting sqref="G40">
    <cfRule type="dataBar" priority="79">
      <dataBar>
        <cfvo type="min"/>
        <cfvo type="max"/>
        <color rgb="FF638EC6"/>
      </dataBar>
    </cfRule>
    <cfRule type="dataBar" priority="81">
      <dataBar>
        <cfvo type="min"/>
        <cfvo type="max"/>
        <color rgb="FF638EC6"/>
      </dataBar>
    </cfRule>
  </conditionalFormatting>
  <conditionalFormatting sqref="K21">
    <cfRule type="dataBar" priority="101">
      <dataBar>
        <cfvo type="min"/>
        <cfvo type="max"/>
        <color rgb="FF638EC6"/>
      </dataBar>
    </cfRule>
    <cfRule type="dataBar" priority="102">
      <dataBar>
        <cfvo type="min"/>
        <cfvo type="max"/>
        <color rgb="FF638EC6"/>
      </dataBar>
    </cfRule>
  </conditionalFormatting>
  <conditionalFormatting sqref="K22">
    <cfRule type="dataBar" priority="91">
      <dataBar>
        <cfvo type="min"/>
        <cfvo type="max"/>
        <color rgb="FF638EC6"/>
      </dataBar>
    </cfRule>
    <cfRule type="dataBar" priority="92">
      <dataBar>
        <cfvo type="min"/>
        <cfvo type="max"/>
        <color rgb="FF638EC6"/>
      </dataBar>
    </cfRule>
  </conditionalFormatting>
  <conditionalFormatting sqref="K23">
    <cfRule type="dataBar" priority="87">
      <dataBar>
        <cfvo type="min"/>
        <cfvo type="max"/>
        <color rgb="FF638EC6"/>
      </dataBar>
    </cfRule>
    <cfRule type="dataBar" priority="88">
      <dataBar>
        <cfvo type="min"/>
        <cfvo type="max"/>
        <color rgb="FF638EC6"/>
      </dataBar>
    </cfRule>
  </conditionalFormatting>
  <conditionalFormatting sqref="K30:K31">
    <cfRule type="dataBar" priority="51">
      <dataBar>
        <cfvo type="min"/>
        <cfvo type="max"/>
        <color rgb="FF638EC6"/>
      </dataBar>
    </cfRule>
    <cfRule type="dataBar" priority="46">
      <dataBar>
        <cfvo type="min"/>
        <cfvo type="max"/>
        <color rgb="FF638EC6"/>
      </dataBar>
    </cfRule>
  </conditionalFormatting>
  <conditionalFormatting sqref="K67">
    <cfRule type="dataBar" priority="232">
      <dataBar>
        <cfvo type="min"/>
        <cfvo type="max"/>
        <color rgb="FF638EC6"/>
      </dataBar>
    </cfRule>
  </conditionalFormatting>
  <dataValidations count="8">
    <dataValidation sqref="G13:G15 G17:G53 G55:G65 G67:G68 G70:G75" showDropDown="0" showInputMessage="1" showErrorMessage="0" allowBlank="1" type="list">
      <formula1>"Thấp,Trung bình,Cao,Khó và phức tạp"</formula1>
    </dataValidation>
    <dataValidation sqref="E14 E17:E19 E21:E29 E31:E33 E35:E36 E38 E40:E53 E55:E56 E68 E70:E72"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C14:C15 C17:C33 C35:C36 C39:C53 C55:C65 C67:C68 C70:C75"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E19 E29 E32 E42:E43 E45:E46 E59:E63 H13:K15 H17:K23 H24:J53 H55:J64 H67:K68 H70:K75 K24:K32 K55:K65" showDropDown="0" showInputMessage="1" showErrorMessage="0" allowBlank="1"/>
    <dataValidation sqref="E13 E15 E19:E20 E35:E36 E38:E47 E53 E56:E65 E71:E75"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D19 D35:D36 D39:D47 D53 D56:D65 D67 D70:D75"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D13:D15 D17:D24 D27 D29:D33 D40:D48 D52 D55 D56:E56 D59:D63 E29 E51"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 sqref="C13" showDropDown="0" showInputMessage="0" showErrorMessage="1" allowBlank="1" type="list">
      <formula1>"Hiệu trưởng,PHT Nguyễn Trung Hiếu,PHT Huỳnh Văn Chung,PHT Dương Văn Anh Dũng"</formula1>
    </dataValidation>
  </dataValidations>
  <printOptions horizontalCentered="1"/>
  <pageMargins left="0.5" right="0.5" top="0.5" bottom="0.5" header="0.05" footer="0.31496063"/>
  <pageSetup orientation="landscape" paperSize="9"/>
  <headerFooter differentFirst="1">
    <oddHeader>&amp;C&amp;"Times New Roman,Regular"&amp;14 &amp;P</oddHeader>
    <oddFooter/>
    <evenHeader/>
    <evenFooter/>
    <firstHeader/>
    <firstFooter/>
  </headerFooter>
  <rowBreaks count="7" manualBreakCount="7">
    <brk id="31" min="0" max="10" man="1"/>
    <brk id="37" min="0" max="16383" man="1"/>
    <brk id="56" min="0" max="10" man="1"/>
    <brk id="58" min="0" max="10" man="1"/>
    <brk id="60" min="0" max="16383" man="1"/>
    <brk id="63" min="0" max="10" man="1"/>
    <brk id="68" min="0" max="16383" man="1"/>
  </rowBreaks>
</worksheet>
</file>

<file path=xl/worksheets/sheet2.xml><?xml version="1.0" encoding="utf-8"?>
<worksheet xmlns="http://schemas.openxmlformats.org/spreadsheetml/2006/main">
  <sheetPr>
    <outlinePr summaryBelow="1" summaryRight="1"/>
    <pageSetUpPr fitToPage="1"/>
  </sheetPr>
  <dimension ref="A1:L28"/>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9" customWidth="1" min="3" max="3"/>
    <col width="10" customWidth="1" min="4" max="4"/>
    <col width="55" customWidth="1" min="5" max="5"/>
    <col width="20" customWidth="1" min="6" max="6"/>
    <col width="20" customWidth="1" min="7" max="7"/>
    <col width="26" customWidth="1" min="8" max="8"/>
    <col width="20" customWidth="1" min="9" max="9"/>
    <col width="20" customWidth="1" min="10" max="10"/>
    <col width="26" customWidth="1" min="11" max="11"/>
    <col width="34" customWidth="1" min="12" max="12"/>
  </cols>
  <sheetData>
    <row r="1">
      <c r="A1" s="65" t="inlineStr">
        <is>
          <t>NHẬT KÝ ĐIỀU CHỈNH, BỔ SUNG KẾ HOẠCH CÔNG TÁC THÁNG 10/2026</t>
        </is>
      </c>
      <c r="B1" s="66" t="n"/>
      <c r="C1" s="66" t="n"/>
      <c r="D1" s="66" t="n"/>
      <c r="E1" s="66" t="n"/>
      <c r="F1" s="66" t="n"/>
      <c r="G1" s="66" t="n"/>
      <c r="H1" s="66" t="n"/>
      <c r="I1" s="66" t="n"/>
      <c r="J1" s="66" t="n"/>
      <c r="K1" s="66" t="n"/>
      <c r="L1" s="66" t="n"/>
    </row>
    <row r="2">
      <c r="A2" s="67" t="inlineStr">
        <is>
          <t>Bổ sung 21; điều chỉnh 2; hủy 1. Nguồn rà soát: 29 tệp kế hoạch chuyên đề (10-Dau-Vao/04-Chuyen-de) và KTC-Database.</t>
        </is>
      </c>
    </row>
    <row r="4">
      <c r="A4" s="68" t="inlineStr">
        <is>
          <t>STT</t>
        </is>
      </c>
      <c r="B4" s="68" t="inlineStr">
        <is>
          <t>Loại thay đổi</t>
        </is>
      </c>
      <c r="C4" s="68" t="inlineStr">
        <is>
          <t>Trục</t>
        </is>
      </c>
      <c r="D4" s="68" t="inlineStr">
        <is>
          <t>Mã nhiệm vụ</t>
        </is>
      </c>
      <c r="E4" s="68" t="inlineStr">
        <is>
          <t>Nội dung công việc</t>
        </is>
      </c>
      <c r="F4" s="68" t="inlineStr">
        <is>
          <t>Người chỉ đạo</t>
        </is>
      </c>
      <c r="G4" s="68" t="inlineStr">
        <is>
          <t>Đơn vị chủ trì</t>
        </is>
      </c>
      <c r="H4" s="68" t="inlineStr">
        <is>
          <t>Sản phẩm/công việc</t>
        </is>
      </c>
      <c r="I4" s="68" t="inlineStr">
        <is>
          <t>Trước</t>
        </is>
      </c>
      <c r="J4" s="68" t="inlineStr">
        <is>
          <t>Sau</t>
        </is>
      </c>
      <c r="K4" s="68" t="inlineStr">
        <is>
          <t>Nguồn</t>
        </is>
      </c>
      <c r="L4" s="68" t="inlineStr">
        <is>
          <t>Cách xử lý</t>
        </is>
      </c>
    </row>
    <row r="5" ht="36" customHeight="1">
      <c r="A5" s="69" t="n">
        <v>1</v>
      </c>
      <c r="B5" s="69" t="inlineStr">
        <is>
          <t>HỦY</t>
        </is>
      </c>
      <c r="C5" s="69" t="inlineStr">
        <is>
          <t>Trục 2</t>
        </is>
      </c>
      <c r="D5" s="69" t="inlineStr">
        <is>
          <t>II.9</t>
        </is>
      </c>
      <c r="E5" s="69" t="inlineStr">
        <is>
          <t>Rà soát, sửa đổi Quy chế làm việc của Trường phù hợp quy định mới về viên chức, kỷ luật và hợp đồng</t>
        </is>
      </c>
      <c r="F5" s="69" t="inlineStr">
        <is>
          <t>Hiệu trưởng</t>
        </is>
      </c>
      <c r="G5" s="69" t="inlineStr">
        <is>
          <t>Phòng TCCB&amp;CTHSSV</t>
        </is>
      </c>
      <c r="H5" s="69" t="inlineStr">
        <is>
          <t>Dự thảo; Quyết định</t>
        </is>
      </c>
      <c r="I5" s="69" t="inlineStr">
        <is>
          <t>31/10/2026</t>
        </is>
      </c>
      <c r="J5" s="69" t="inlineStr">
        <is>
          <t>—</t>
        </is>
      </c>
      <c r="K5" s="69" t="inlineStr">
        <is>
          <t>KTC-Database 02-01: QĐ 2073</t>
        </is>
      </c>
      <c r="L5" s="69" t="inlineStr">
        <is>
          <t>Nhiệm vụ đã hoàn thành ngày 23/9/2026</t>
        </is>
      </c>
    </row>
    <row r="6" ht="36" customHeight="1">
      <c r="A6" s="70" t="n">
        <v>2</v>
      </c>
      <c r="B6" s="70" t="inlineStr">
        <is>
          <t>ĐIỀU CHỈNH</t>
        </is>
      </c>
      <c r="C6" s="70" t="inlineStr">
        <is>
          <t>Trục 5</t>
        </is>
      </c>
      <c r="D6" s="70" t="inlineStr">
        <is>
          <t>5.2</t>
        </is>
      </c>
      <c r="E6" s="70" t="inlineStr">
        <is>
          <t>Tổ chức Tuần lễ hưởng ứng học tập suốt đời năm 2026 (từ ngày 01/10 đến ngày 07/10/2026)</t>
        </is>
      </c>
      <c r="F6" s="70" t="inlineStr">
        <is>
          <t>Hiệu trưởng</t>
        </is>
      </c>
      <c r="G6" s="70" t="inlineStr">
        <is>
          <t>Phòng TCCB&amp;CTHSSV</t>
        </is>
      </c>
      <c r="H6" s="70" t="inlineStr">
        <is>
          <t>Kế hoạch → Báo cáo kết quả gửi Sở GD&amp;ĐT</t>
        </is>
      </c>
      <c r="I6" s="70" t="inlineStr">
        <is>
          <t>07/10/2026</t>
        </is>
      </c>
      <c r="J6" s="70" t="inlineStr">
        <is>
          <t>12/10/2026</t>
        </is>
      </c>
      <c r="K6" s="70" t="inlineStr">
        <is>
          <t>942KH-CĐKT</t>
        </is>
      </c>
      <c r="L6" s="70" t="inlineStr">
        <is>
          <t>Cập nhật sản phẩm, mốc hoàn thành</t>
        </is>
      </c>
    </row>
    <row r="7" ht="36" customHeight="1">
      <c r="A7" s="70" t="n">
        <v>3</v>
      </c>
      <c r="B7" s="70" t="inlineStr">
        <is>
          <t>ĐIỀU CHỈNH</t>
        </is>
      </c>
      <c r="C7" s="70" t="inlineStr">
        <is>
          <t>Trục 5</t>
        </is>
      </c>
      <c r="D7" s="70" t="inlineStr">
        <is>
          <t>II.7</t>
        </is>
      </c>
      <c r="E7" s="70" t="inlineStr">
        <is>
          <t>Kế hoạch triển khai thực hiện Nghị quyết số 398/NQ-UBTVQH16 và Phong trào “Bình dân học vụ số”</t>
        </is>
      </c>
      <c r="F7" s="70" t="inlineStr">
        <is>
          <t>Hiệu trưởng</t>
        </is>
      </c>
      <c r="G7" s="70" t="inlineStr">
        <is>
          <t>Phòng QLKHCN&amp;HTPT</t>
        </is>
      </c>
      <c r="H7" s="70" t="inlineStr">
        <is>
          <t>Kế hoạch</t>
        </is>
      </c>
      <c r="I7" s="70" t="inlineStr">
        <is>
          <t>Độ khó: Trung bình</t>
        </is>
      </c>
      <c r="J7" s="70" t="inlineStr">
        <is>
          <t>Độ khó: Cao</t>
        </is>
      </c>
      <c r="K7" s="70" t="inlineStr">
        <is>
          <t>942KH-CĐKT</t>
        </is>
      </c>
      <c r="L7" s="70" t="inlineStr">
        <is>
          <t>Chờ xác nhận hạn 30/9 hay 31/10</t>
        </is>
      </c>
    </row>
    <row r="8" ht="36" customHeight="1">
      <c r="A8" s="71" t="n">
        <v>4</v>
      </c>
      <c r="B8" s="71" t="inlineStr">
        <is>
          <t>BỔ SUNG</t>
        </is>
      </c>
      <c r="C8" s="71" t="inlineStr">
        <is>
          <t>Trục 1</t>
        </is>
      </c>
      <c r="D8" s="71" t="inlineStr">
        <is>
          <t>II.22</t>
        </is>
      </c>
      <c r="E8" s="71" t="inlineStr">
        <is>
          <t>Ban hành Chiến lược phát triển khoa các Khoa học cơ bản đến năm 2030 và tầm nhìn đến năm 2045</t>
        </is>
      </c>
      <c r="F8" s="71" t="inlineStr">
        <is>
          <t>PHT Huỳnh Văn Chung</t>
        </is>
      </c>
      <c r="G8" s="71" t="inlineStr">
        <is>
          <t>Khoa CKHCB</t>
        </is>
      </c>
      <c r="H8" s="71" t="inlineStr">
        <is>
          <t>Quyết định</t>
        </is>
      </c>
      <c r="I8" s="71" t="inlineStr">
        <is>
          <t>—</t>
        </is>
      </c>
      <c r="J8" s="71" t="inlineStr">
        <is>
          <t>31/10/2026</t>
        </is>
      </c>
      <c r="K8" s="71" t="inlineStr">
        <is>
          <t>828KH-CĐKT</t>
        </is>
      </c>
      <c r="L8" s="71" t="inlineStr">
        <is>
          <t>Thêm mới vào Mục II (Q.III chuyển sang)</t>
        </is>
      </c>
    </row>
    <row r="9" ht="36" customHeight="1">
      <c r="A9" s="71" t="n">
        <v>5</v>
      </c>
      <c r="B9" s="71" t="inlineStr">
        <is>
          <t>BỔ SUNG</t>
        </is>
      </c>
      <c r="C9" s="71" t="inlineStr">
        <is>
          <t>Trục 1</t>
        </is>
      </c>
      <c r="D9" s="71" t="inlineStr">
        <is>
          <t>II.23</t>
        </is>
      </c>
      <c r="E9" s="71" t="inlineStr">
        <is>
          <t>Ban hành Chiến lược phát triển khoa Kỹ thuật và Công nghệ đến năm 2030 và tầm nhìn đến năm 2045</t>
        </is>
      </c>
      <c r="F9" s="71" t="inlineStr">
        <is>
          <t>PHT Nguyễn Trung Hiếu</t>
        </is>
      </c>
      <c r="G9" s="71" t="inlineStr">
        <is>
          <t>Khoa KT&amp;CN</t>
        </is>
      </c>
      <c r="H9" s="71" t="inlineStr">
        <is>
          <t>Quyết định</t>
        </is>
      </c>
      <c r="I9" s="71" t="inlineStr">
        <is>
          <t>—</t>
        </is>
      </c>
      <c r="J9" s="71" t="inlineStr">
        <is>
          <t>31/10/2026</t>
        </is>
      </c>
      <c r="K9" s="71" t="inlineStr">
        <is>
          <t>832KH-CĐKT</t>
        </is>
      </c>
      <c r="L9" s="71" t="inlineStr">
        <is>
          <t>Thêm mới vào Mục II (Q.III chuyển sang)</t>
        </is>
      </c>
    </row>
    <row r="10" ht="52" customHeight="1">
      <c r="A10" s="71" t="n">
        <v>6</v>
      </c>
      <c r="B10" s="71" t="inlineStr">
        <is>
          <t>BỔ SUNG</t>
        </is>
      </c>
      <c r="C10" s="71" t="inlineStr">
        <is>
          <t>Trục 1</t>
        </is>
      </c>
      <c r="D10" s="71" t="inlineStr">
        <is>
          <t>BS-1.01</t>
        </is>
      </c>
      <c r="E10" s="71" t="inlineStr">
        <is>
          <t>Xây dựng, ban hành Quy định Hội giảng nhà giáo lần thứ VII, năm học 2026 – 2027 (tiêu chí, biểu mẫu, quy trình)</t>
        </is>
      </c>
      <c r="F10" s="71" t="inlineStr">
        <is>
          <t>PHT Dương Văn Anh Dũng</t>
        </is>
      </c>
      <c r="G10" s="71" t="inlineStr">
        <is>
          <t>Phòng QLĐT&amp;BĐCL</t>
        </is>
      </c>
      <c r="H10" s="71" t="inlineStr">
        <is>
          <t>Quy định; Biểu mẫu</t>
        </is>
      </c>
      <c r="I10" s="71" t="inlineStr">
        <is>
          <t>—</t>
        </is>
      </c>
      <c r="J10" s="71" t="inlineStr">
        <is>
          <t>15/10/2026</t>
        </is>
      </c>
      <c r="K10" s="71" t="inlineStr">
        <is>
          <t>907KH-CĐKT</t>
        </is>
      </c>
      <c r="L10" s="71" t="inlineStr">
        <is>
          <t>Thêm mới sau đối chiếu; không trùng nhiệm vụ đã có</t>
        </is>
      </c>
    </row>
    <row r="11" ht="36" customHeight="1">
      <c r="A11" s="71" t="n">
        <v>7</v>
      </c>
      <c r="B11" s="71" t="inlineStr">
        <is>
          <t>BỔ SUNG</t>
        </is>
      </c>
      <c r="C11" s="71" t="inlineStr">
        <is>
          <t>Trục 1</t>
        </is>
      </c>
      <c r="D11" s="71" t="inlineStr">
        <is>
          <t>BS-1.02</t>
        </is>
      </c>
      <c r="E11" s="71" t="inlineStr">
        <is>
          <t>Các khoa xây dựng, ban hành Kế hoạch Hội giảng cấp khoa và Lịch trình trình giảng, gửi phòng QLĐT&amp;BĐCL</t>
        </is>
      </c>
      <c r="F11" s="71" t="inlineStr">
        <is>
          <t>PHT Dương Văn Anh Dũng</t>
        </is>
      </c>
      <c r="G11" s="71" t="inlineStr">
        <is>
          <t>Các khoa thuộc Trường</t>
        </is>
      </c>
      <c r="H11" s="71" t="inlineStr">
        <is>
          <t>Kế hoạch</t>
        </is>
      </c>
      <c r="I11" s="71" t="inlineStr">
        <is>
          <t>—</t>
        </is>
      </c>
      <c r="J11" s="71" t="inlineStr">
        <is>
          <t>22/10/2026</t>
        </is>
      </c>
      <c r="K11" s="71" t="inlineStr">
        <is>
          <t>907KH-CĐKT</t>
        </is>
      </c>
      <c r="L11" s="71" t="inlineStr">
        <is>
          <t>Thêm mới sau đối chiếu; không trùng nhiệm vụ đã có</t>
        </is>
      </c>
    </row>
    <row r="12" ht="84" customHeight="1">
      <c r="A12" s="71" t="n">
        <v>8</v>
      </c>
      <c r="B12" s="71" t="inlineStr">
        <is>
          <t>BỔ SUNG</t>
        </is>
      </c>
      <c r="C12" s="71" t="inlineStr">
        <is>
          <t>Trục 2</t>
        </is>
      </c>
      <c r="D12" s="71" t="inlineStr">
        <is>
          <t>BS-2.01</t>
        </is>
      </c>
      <c r="E12" s="71" t="inlineStr">
        <is>
          <t>Kiểm kê, rà soát hiện trạng máy móc, thiết bị chuyên dùng hiện có tại Khoa; rà soát tiêu chuẩn, định mức đã ban hành (Quyết định số 1763/QĐ-CĐKT, Phụ lục 11 Quyết định số 1039/QĐ-CĐKT) theo Điều 7 Thông tư số 66/2026/TT-BGDĐT</t>
        </is>
      </c>
      <c r="F12" s="71" t="inlineStr">
        <is>
          <t>Hiệu trưởng</t>
        </is>
      </c>
      <c r="G12" s="71" t="inlineStr">
        <is>
          <t>Phòng TH-HC&amp;QT</t>
        </is>
      </c>
      <c r="H12" s="71" t="inlineStr">
        <is>
          <t>Danh mục; Báo cáo kết quả rà soát, đối chiếu</t>
        </is>
      </c>
      <c r="I12" s="71" t="inlineStr">
        <is>
          <t>—</t>
        </is>
      </c>
      <c r="J12" s="71" t="inlineStr">
        <is>
          <t>31/10/2026</t>
        </is>
      </c>
      <c r="K12" s="71" t="inlineStr">
        <is>
          <t>893KH-CĐKT</t>
        </is>
      </c>
      <c r="L12" s="71" t="inlineStr">
        <is>
          <t>Thêm mới sau đối chiếu; không trùng nhiệm vụ đã có</t>
        </is>
      </c>
    </row>
    <row r="13" ht="52" customHeight="1">
      <c r="A13" s="71" t="n">
        <v>9</v>
      </c>
      <c r="B13" s="71" t="inlineStr">
        <is>
          <t>BỔ SUNG</t>
        </is>
      </c>
      <c r="C13" s="71" t="inlineStr">
        <is>
          <t>Trục 2</t>
        </is>
      </c>
      <c r="D13" s="71" t="inlineStr">
        <is>
          <t>BS-2.02</t>
        </is>
      </c>
      <c r="E13" s="71" t="inlineStr">
        <is>
          <t>Khảo sát, tổng hợp nhu cầu trang bị bổ sung máy móc, thiết bị chuyên dùng ngành Giáo dục Mầm non, trình độ cao đẳng</t>
        </is>
      </c>
      <c r="F13" s="71" t="inlineStr">
        <is>
          <t>PHT Dương Văn Anh Dũng</t>
        </is>
      </c>
      <c r="G13" s="71" t="inlineStr">
        <is>
          <t>Khoa Sư phạm</t>
        </is>
      </c>
      <c r="H13" s="71" t="inlineStr">
        <is>
          <t>Bảng tổng hợp danh mục thiết bị</t>
        </is>
      </c>
      <c r="I13" s="71" t="inlineStr">
        <is>
          <t>—</t>
        </is>
      </c>
      <c r="J13" s="71" t="inlineStr">
        <is>
          <t>31/10/2026</t>
        </is>
      </c>
      <c r="K13" s="71" t="inlineStr">
        <is>
          <t>893KH-CĐKT</t>
        </is>
      </c>
      <c r="L13" s="71" t="inlineStr">
        <is>
          <t>Thêm mới sau đối chiếu; không trùng nhiệm vụ đã có</t>
        </is>
      </c>
    </row>
    <row r="14" ht="36" customHeight="1">
      <c r="A14" s="71" t="n">
        <v>10</v>
      </c>
      <c r="B14" s="71" t="inlineStr">
        <is>
          <t>BỔ SUNG</t>
        </is>
      </c>
      <c r="C14" s="71" t="inlineStr">
        <is>
          <t>Trục 3</t>
        </is>
      </c>
      <c r="D14" s="71" t="inlineStr">
        <is>
          <t>BS-3.01</t>
        </is>
      </c>
      <c r="E14" s="71" t="inlineStr">
        <is>
          <t>Xây dựng bộ công cụ kiểm tra, rà soát, dự thảo thông báo thu học phí</t>
        </is>
      </c>
      <c r="F14" s="71" t="inlineStr">
        <is>
          <t>Hiệu trưởng</t>
        </is>
      </c>
      <c r="G14" s="71" t="inlineStr">
        <is>
          <t>Phòng TC-KT</t>
        </is>
      </c>
      <c r="H14" s="71" t="inlineStr">
        <is>
          <t>Bộ công cụ đóng gói: Skills, Prompt, quy trình, thông báo</t>
        </is>
      </c>
      <c r="I14" s="71" t="inlineStr">
        <is>
          <t>—</t>
        </is>
      </c>
      <c r="J14" s="71" t="inlineStr">
        <is>
          <t>30/10/2026</t>
        </is>
      </c>
      <c r="K14" s="71" t="inlineStr">
        <is>
          <t>848KH-CĐKT</t>
        </is>
      </c>
      <c r="L14" s="71" t="inlineStr">
        <is>
          <t>Thêm mới sau đối chiếu; không trùng nhiệm vụ đã có</t>
        </is>
      </c>
    </row>
    <row r="15" ht="36" customHeight="1">
      <c r="A15" s="71" t="n">
        <v>11</v>
      </c>
      <c r="B15" s="71" t="inlineStr">
        <is>
          <t>BỔ SUNG</t>
        </is>
      </c>
      <c r="C15" s="71" t="inlineStr">
        <is>
          <t>Trục 3</t>
        </is>
      </c>
      <c r="D15" s="71" t="inlineStr">
        <is>
          <t>BS-3.02</t>
        </is>
      </c>
      <c r="E15" s="71" t="inlineStr">
        <is>
          <t>Xây dựng bộ công cụ kiểm tra, rà soát, chi trả chế độ, chính sách cho học sinh, sinh viên</t>
        </is>
      </c>
      <c r="F15" s="71" t="inlineStr">
        <is>
          <t>Hiệu trưởng</t>
        </is>
      </c>
      <c r="G15" s="71" t="inlineStr">
        <is>
          <t>Phòng TC-KT</t>
        </is>
      </c>
      <c r="H15" s="71" t="inlineStr">
        <is>
          <t>Bộ công cụ đóng gói: Skills, Prompt, quy trình, thông báo</t>
        </is>
      </c>
      <c r="I15" s="71" t="inlineStr">
        <is>
          <t>—</t>
        </is>
      </c>
      <c r="J15" s="71" t="inlineStr">
        <is>
          <t>30/10/2026</t>
        </is>
      </c>
      <c r="K15" s="71" t="inlineStr">
        <is>
          <t>848KH-CĐKT</t>
        </is>
      </c>
      <c r="L15" s="71" t="inlineStr">
        <is>
          <t>Thêm mới sau đối chiếu; không trùng nhiệm vụ đã có</t>
        </is>
      </c>
    </row>
    <row r="16" ht="36" customHeight="1">
      <c r="A16" s="71" t="n">
        <v>12</v>
      </c>
      <c r="B16" s="71" t="inlineStr">
        <is>
          <t>BỔ SUNG</t>
        </is>
      </c>
      <c r="C16" s="71" t="inlineStr">
        <is>
          <t>Trục 3</t>
        </is>
      </c>
      <c r="D16" s="71" t="inlineStr">
        <is>
          <t>BS-3.03</t>
        </is>
      </c>
      <c r="E16" s="71" t="inlineStr">
        <is>
          <t>Xây dựng bộ công cụ kiểm tra, rà soát, chi trả học bổng khuyến khích học tập cho học sinh, sinh viên</t>
        </is>
      </c>
      <c r="F16" s="71" t="inlineStr">
        <is>
          <t>Hiệu trưởng</t>
        </is>
      </c>
      <c r="G16" s="71" t="inlineStr">
        <is>
          <t>Phòng TC-KT</t>
        </is>
      </c>
      <c r="H16" s="71" t="inlineStr">
        <is>
          <t>Bộ công cụ đóng gói: Skills, Prompt, quy trình, thông báo</t>
        </is>
      </c>
      <c r="I16" s="71" t="inlineStr">
        <is>
          <t>—</t>
        </is>
      </c>
      <c r="J16" s="71" t="inlineStr">
        <is>
          <t>30/10/2026</t>
        </is>
      </c>
      <c r="K16" s="71" t="inlineStr">
        <is>
          <t>848KH-CĐKT</t>
        </is>
      </c>
      <c r="L16" s="71" t="inlineStr">
        <is>
          <t>Thêm mới sau đối chiếu; không trùng nhiệm vụ đã có</t>
        </is>
      </c>
    </row>
    <row r="17" ht="36" customHeight="1">
      <c r="A17" s="71" t="n">
        <v>13</v>
      </c>
      <c r="B17" s="71" t="inlineStr">
        <is>
          <t>BỔ SUNG</t>
        </is>
      </c>
      <c r="C17" s="71" t="inlineStr">
        <is>
          <t>Trục 3</t>
        </is>
      </c>
      <c r="D17" s="71" t="inlineStr">
        <is>
          <t>BS-3.04</t>
        </is>
      </c>
      <c r="E17" s="71" t="inlineStr">
        <is>
          <t>Xây dựng công cụ rà soát, đề xuất xét chế độ chính sách đối với công tác học sinh, sinh viên</t>
        </is>
      </c>
      <c r="F17" s="71" t="inlineStr">
        <is>
          <t>Hiệu trưởng</t>
        </is>
      </c>
      <c r="G17" s="71" t="inlineStr">
        <is>
          <t>Phòng TCCB&amp;CTHSSV</t>
        </is>
      </c>
      <c r="H17" s="71" t="inlineStr">
        <is>
          <t>Bộ công cụ đóng gói: Skills, Prompt, quy trình, thông báo</t>
        </is>
      </c>
      <c r="I17" s="71" t="inlineStr">
        <is>
          <t>—</t>
        </is>
      </c>
      <c r="J17" s="71" t="inlineStr">
        <is>
          <t>30/10/2026</t>
        </is>
      </c>
      <c r="K17" s="71" t="inlineStr">
        <is>
          <t>848KH-CĐKT</t>
        </is>
      </c>
      <c r="L17" s="71" t="inlineStr">
        <is>
          <t>Thêm mới sau đối chiếu; không trùng nhiệm vụ đã có</t>
        </is>
      </c>
    </row>
    <row r="18" ht="36" customHeight="1">
      <c r="A18" s="71" t="n">
        <v>14</v>
      </c>
      <c r="B18" s="71" t="inlineStr">
        <is>
          <t>BỔ SUNG</t>
        </is>
      </c>
      <c r="C18" s="71" t="inlineStr">
        <is>
          <t>Trục 3</t>
        </is>
      </c>
      <c r="D18" s="71" t="inlineStr">
        <is>
          <t>BS-3.05</t>
        </is>
      </c>
      <c r="E18" s="71" t="inlineStr">
        <is>
          <t>Xây dựng công cụ rà soát, đề xuất xét chế độ nâng lương, khen thưởng đối với công tác tổ chức cán bộ</t>
        </is>
      </c>
      <c r="F18" s="71" t="inlineStr">
        <is>
          <t>Hiệu trưởng</t>
        </is>
      </c>
      <c r="G18" s="71" t="inlineStr">
        <is>
          <t>Phòng TCCB&amp;CTHSSV</t>
        </is>
      </c>
      <c r="H18" s="71" t="inlineStr">
        <is>
          <t>Bộ công cụ đóng gói: Skills, Prompt, quy trình, thông báo</t>
        </is>
      </c>
      <c r="I18" s="71" t="inlineStr">
        <is>
          <t>—</t>
        </is>
      </c>
      <c r="J18" s="71" t="inlineStr">
        <is>
          <t>30/10/2026</t>
        </is>
      </c>
      <c r="K18" s="71" t="inlineStr">
        <is>
          <t>848KH-CĐKT</t>
        </is>
      </c>
      <c r="L18" s="71" t="inlineStr">
        <is>
          <t>Thêm mới sau đối chiếu; không trùng nhiệm vụ đã có</t>
        </is>
      </c>
    </row>
    <row r="19" ht="52" customHeight="1">
      <c r="A19" s="71" t="n">
        <v>15</v>
      </c>
      <c r="B19" s="71" t="inlineStr">
        <is>
          <t>BỔ SUNG</t>
        </is>
      </c>
      <c r="C19" s="71" t="inlineStr">
        <is>
          <t>Trục 3</t>
        </is>
      </c>
      <c r="D19" s="71" t="inlineStr">
        <is>
          <t>BS-3.06</t>
        </is>
      </c>
      <c r="E19" s="71" t="inlineStr">
        <is>
          <t>Xây dựng công cụ rà soát, tham mưu quy trình bổ nhiệm, bổ nhiệm lại viên chức quản lý thuộc Trường, bộ môn thuộc khoa và tương đương</t>
        </is>
      </c>
      <c r="F19" s="71" t="inlineStr">
        <is>
          <t>Hiệu trưởng</t>
        </is>
      </c>
      <c r="G19" s="71" t="inlineStr">
        <is>
          <t>Phòng TCCB&amp;CTHSSV</t>
        </is>
      </c>
      <c r="H19" s="71" t="inlineStr">
        <is>
          <t>Bộ công cụ đóng gói: Skills, Prompt, quy trình, thông báo</t>
        </is>
      </c>
      <c r="I19" s="71" t="inlineStr">
        <is>
          <t>—</t>
        </is>
      </c>
      <c r="J19" s="71" t="inlineStr">
        <is>
          <t>30/10/2026</t>
        </is>
      </c>
      <c r="K19" s="71" t="inlineStr">
        <is>
          <t>848KH-CĐKT</t>
        </is>
      </c>
      <c r="L19" s="71" t="inlineStr">
        <is>
          <t>Thêm mới sau đối chiếu; không trùng nhiệm vụ đã có</t>
        </is>
      </c>
    </row>
    <row r="20" ht="52" customHeight="1">
      <c r="A20" s="71" t="n">
        <v>16</v>
      </c>
      <c r="B20" s="71" t="inlineStr">
        <is>
          <t>BỔ SUNG</t>
        </is>
      </c>
      <c r="C20" s="71" t="inlineStr">
        <is>
          <t>Trục 3</t>
        </is>
      </c>
      <c r="D20" s="71" t="inlineStr">
        <is>
          <t>BS-3.07</t>
        </is>
      </c>
      <c r="E20" s="71" t="inlineStr">
        <is>
          <t>Xây dựng công cụ rà soát, thống nhất danh mục sản phẩm/công việc của các đơn vị; xác định sản phẩm/công việc chuẩn, định mức, đơn vị tính</t>
        </is>
      </c>
      <c r="F20" s="71" t="inlineStr">
        <is>
          <t>Hiệu trưởng</t>
        </is>
      </c>
      <c r="G20" s="71" t="inlineStr">
        <is>
          <t>Phòng TCCB&amp;CTHSSV</t>
        </is>
      </c>
      <c r="H20" s="71" t="inlineStr">
        <is>
          <t>Bộ công cụ đóng gói: Skills, Prompt, quy trình, thông báo</t>
        </is>
      </c>
      <c r="I20" s="71" t="inlineStr">
        <is>
          <t>—</t>
        </is>
      </c>
      <c r="J20" s="71" t="inlineStr">
        <is>
          <t>30/10/2026</t>
        </is>
      </c>
      <c r="K20" s="71" t="inlineStr">
        <is>
          <t>848KH-CĐKT</t>
        </is>
      </c>
      <c r="L20" s="71" t="inlineStr">
        <is>
          <t>Thêm mới sau đối chiếu; không trùng nhiệm vụ đã có</t>
        </is>
      </c>
    </row>
    <row r="21" ht="52" customHeight="1">
      <c r="A21" s="71" t="n">
        <v>17</v>
      </c>
      <c r="B21" s="71" t="inlineStr">
        <is>
          <t>BỔ SUNG</t>
        </is>
      </c>
      <c r="C21" s="71" t="inlineStr">
        <is>
          <t>Trục 3</t>
        </is>
      </c>
      <c r="D21" s="71" t="inlineStr">
        <is>
          <t>BS-3.08</t>
        </is>
      </c>
      <c r="E21" s="71" t="inlineStr">
        <is>
          <t>Xây dựng công cụ rà soát, tư vấn chuyên môn về công tác tổng hợp, báo cáo, văn bản hành chính thông thường của Văn phòng Đảng ủy</t>
        </is>
      </c>
      <c r="F21" s="71" t="inlineStr">
        <is>
          <t>Hiệu trưởng</t>
        </is>
      </c>
      <c r="G21" s="71" t="inlineStr">
        <is>
          <t>Phòng TCCB&amp;CTHSSV</t>
        </is>
      </c>
      <c r="H21" s="71" t="inlineStr">
        <is>
          <t>Bộ công cụ đóng gói: Skills, Prompt, quy trình, thông báo</t>
        </is>
      </c>
      <c r="I21" s="71" t="inlineStr">
        <is>
          <t>—</t>
        </is>
      </c>
      <c r="J21" s="71" t="inlineStr">
        <is>
          <t>30/10/2026</t>
        </is>
      </c>
      <c r="K21" s="71" t="inlineStr">
        <is>
          <t>848KH-CĐKT</t>
        </is>
      </c>
      <c r="L21" s="71" t="inlineStr">
        <is>
          <t>Thêm mới sau đối chiếu; không trùng nhiệm vụ đã có</t>
        </is>
      </c>
    </row>
    <row r="22" ht="52" customHeight="1">
      <c r="A22" s="71" t="n">
        <v>18</v>
      </c>
      <c r="B22" s="71" t="inlineStr">
        <is>
          <t>BỔ SUNG</t>
        </is>
      </c>
      <c r="C22" s="71" t="inlineStr">
        <is>
          <t>Trục 3</t>
        </is>
      </c>
      <c r="D22" s="71" t="inlineStr">
        <is>
          <t>BS-3.09</t>
        </is>
      </c>
      <c r="E22" s="71" t="inlineStr">
        <is>
          <t>Xây dựng công cụ thiết kế bộ học liệu hỗ trợ dạy học tích hợp (bảng quy trình, phiếu đánh giá thực hiện, phiếu học tập, phiếu hướng dẫn luyện tập)</t>
        </is>
      </c>
      <c r="F22" s="71" t="inlineStr">
        <is>
          <t>Hiệu trưởng</t>
        </is>
      </c>
      <c r="G22" s="71" t="inlineStr">
        <is>
          <t>Khoa CKHCB</t>
        </is>
      </c>
      <c r="H22" s="71" t="inlineStr">
        <is>
          <t>Bộ công cụ đóng gói: Skills, Prompt, quy trình, thông báo</t>
        </is>
      </c>
      <c r="I22" s="71" t="inlineStr">
        <is>
          <t>—</t>
        </is>
      </c>
      <c r="J22" s="71" t="inlineStr">
        <is>
          <t>30/10/2026</t>
        </is>
      </c>
      <c r="K22" s="71" t="inlineStr">
        <is>
          <t>848KH-CĐKT</t>
        </is>
      </c>
      <c r="L22" s="71" t="inlineStr">
        <is>
          <t>Thêm mới sau đối chiếu; không trùng nhiệm vụ đã có</t>
        </is>
      </c>
    </row>
    <row r="23" ht="36" customHeight="1">
      <c r="A23" s="71" t="n">
        <v>19</v>
      </c>
      <c r="B23" s="71" t="inlineStr">
        <is>
          <t>BỔ SUNG</t>
        </is>
      </c>
      <c r="C23" s="71" t="inlineStr">
        <is>
          <t>Trục 3</t>
        </is>
      </c>
      <c r="D23" s="71" t="inlineStr">
        <is>
          <t>BS-3.10</t>
        </is>
      </c>
      <c r="E23" s="71" t="inlineStr">
        <is>
          <t>Xây dựng công cụ hỗ trợ kiểm soát chất lượng đào tạo và sát hạch lái xe</t>
        </is>
      </c>
      <c r="F23" s="71" t="inlineStr">
        <is>
          <t>Hiệu trưởng</t>
        </is>
      </c>
      <c r="G23" s="71" t="inlineStr">
        <is>
          <t>Khoa ĐT&amp;SHLX</t>
        </is>
      </c>
      <c r="H23" s="71" t="inlineStr">
        <is>
          <t>Bộ công cụ đóng gói: Skills, Prompt, quy trình, thông báo</t>
        </is>
      </c>
      <c r="I23" s="71" t="inlineStr">
        <is>
          <t>—</t>
        </is>
      </c>
      <c r="J23" s="71" t="inlineStr">
        <is>
          <t>30/10/2026</t>
        </is>
      </c>
      <c r="K23" s="71" t="inlineStr">
        <is>
          <t>848KH-CĐKT</t>
        </is>
      </c>
      <c r="L23" s="71" t="inlineStr">
        <is>
          <t>Thêm mới sau đối chiếu; không trùng nhiệm vụ đã có</t>
        </is>
      </c>
    </row>
    <row r="24" ht="36" customHeight="1">
      <c r="A24" s="71" t="n">
        <v>20</v>
      </c>
      <c r="B24" s="71" t="inlineStr">
        <is>
          <t>BỔ SUNG</t>
        </is>
      </c>
      <c r="C24" s="71" t="inlineStr">
        <is>
          <t>Trục 3</t>
        </is>
      </c>
      <c r="D24" s="71" t="inlineStr">
        <is>
          <t>BS-3.11</t>
        </is>
      </c>
      <c r="E24" s="71" t="inlineStr">
        <is>
          <t>Xây dựng công cụ AI hỗ trợ biên soạn, cập nhật giáo trình đào tạo</t>
        </is>
      </c>
      <c r="F24" s="71" t="inlineStr">
        <is>
          <t>Hiệu trưởng</t>
        </is>
      </c>
      <c r="G24" s="71" t="inlineStr">
        <is>
          <t>Phòng QLĐT&amp;BĐCL</t>
        </is>
      </c>
      <c r="H24" s="71" t="inlineStr">
        <is>
          <t>Bộ công cụ đóng gói: Skills, Prompt, quy trình, thông báo</t>
        </is>
      </c>
      <c r="I24" s="71" t="inlineStr">
        <is>
          <t>—</t>
        </is>
      </c>
      <c r="J24" s="71" t="inlineStr">
        <is>
          <t>31/10/2026</t>
        </is>
      </c>
      <c r="K24" s="71" t="inlineStr">
        <is>
          <t>848KH-CĐKT</t>
        </is>
      </c>
      <c r="L24" s="71" t="inlineStr">
        <is>
          <t>Thêm mới sau đối chiếu; không trùng nhiệm vụ đã có</t>
        </is>
      </c>
    </row>
    <row r="25" ht="52" customHeight="1">
      <c r="A25" s="71" t="n">
        <v>21</v>
      </c>
      <c r="B25" s="71" t="inlineStr">
        <is>
          <t>BỔ SUNG</t>
        </is>
      </c>
      <c r="C25" s="71" t="inlineStr">
        <is>
          <t>Trục 3</t>
        </is>
      </c>
      <c r="D25" s="71" t="inlineStr">
        <is>
          <t>BS-3.12</t>
        </is>
      </c>
      <c r="E25" s="71" t="inlineStr">
        <is>
          <t>Cập nhật, sửa đổi Quy định quản lý và tổ chức hoạt động khoa học, công nghệ, đổi mới sáng tạo của học sinh, sinh viên</t>
        </is>
      </c>
      <c r="F25" s="71" t="inlineStr">
        <is>
          <t>Hiệu trưởng</t>
        </is>
      </c>
      <c r="G25" s="71" t="inlineStr">
        <is>
          <t>Phòng QLKHCN&amp;HTPT</t>
        </is>
      </c>
      <c r="H25" s="71" t="inlineStr">
        <is>
          <t>Quyết định</t>
        </is>
      </c>
      <c r="I25" s="71" t="inlineStr">
        <is>
          <t>—</t>
        </is>
      </c>
      <c r="J25" s="71" t="inlineStr">
        <is>
          <t>31/10/2026</t>
        </is>
      </c>
      <c r="K25" s="71" t="inlineStr">
        <is>
          <t>932KH-CĐKT</t>
        </is>
      </c>
      <c r="L25" s="71" t="inlineStr">
        <is>
          <t>Thêm mới sau đối chiếu; không trùng nhiệm vụ đã có</t>
        </is>
      </c>
    </row>
    <row r="26" ht="68" customHeight="1">
      <c r="A26" s="71" t="n">
        <v>22</v>
      </c>
      <c r="B26" s="71" t="inlineStr">
        <is>
          <t>BỔ SUNG</t>
        </is>
      </c>
      <c r="C26" s="71" t="inlineStr">
        <is>
          <t>Trục 3</t>
        </is>
      </c>
      <c r="D26" s="71" t="inlineStr">
        <is>
          <t>BS-3.13</t>
        </is>
      </c>
      <c r="E26" s="71" t="inlineStr">
        <is>
          <t>Số hóa dữ liệu văn bằng, chứng chỉ đã cấp (kể cả do các trường tiền thân cấp); đối soát, nghiệm thu, ký số trên Hệ thống CSDL VBCC của Bộ GD&amp;ĐT — giai đoạn 1986–1999</t>
        </is>
      </c>
      <c r="F26" s="71" t="inlineStr">
        <is>
          <t>Hiệu trưởng</t>
        </is>
      </c>
      <c r="G26" s="71" t="inlineStr">
        <is>
          <t>Phòng QLĐT&amp;BĐCL</t>
        </is>
      </c>
      <c r="H26" s="71" t="inlineStr">
        <is>
          <t>Dữ liệu VBCC trên hệ thống; Biên bản số hóa</t>
        </is>
      </c>
      <c r="I26" s="71" t="inlineStr">
        <is>
          <t>—</t>
        </is>
      </c>
      <c r="J26" s="71" t="inlineStr">
        <is>
          <t>31/10/2026</t>
        </is>
      </c>
      <c r="K26" s="71" t="inlineStr">
        <is>
          <t>882KH-CĐKT</t>
        </is>
      </c>
      <c r="L26" s="71" t="inlineStr">
        <is>
          <t>Thêm mới sau đối chiếu; không trùng nhiệm vụ đã có</t>
        </is>
      </c>
    </row>
    <row r="27" ht="84" customHeight="1">
      <c r="A27" s="71" t="n">
        <v>23</v>
      </c>
      <c r="B27" s="71" t="inlineStr">
        <is>
          <t>BỔ SUNG</t>
        </is>
      </c>
      <c r="C27" s="71" t="inlineStr">
        <is>
          <t>Trục 4</t>
        </is>
      </c>
      <c r="D27" s="71" t="inlineStr">
        <is>
          <t>BS-4.01</t>
        </is>
      </c>
      <c r="E27" s="71" t="inlineStr">
        <is>
          <t>Tổ chức nghiên cứu, học tập, quán triệt, tuyên truyền các nghị quyết, chỉ thị, quy định, kết luận và chương trình, kế hoạch thực hiện Nghị quyết Hội nghị lần thứ ba Ban Chấp hành Trung ương Đảng khóa XIV; báo cáo kết quả về Đảng ủy Trường</t>
        </is>
      </c>
      <c r="F27" s="71" t="inlineStr">
        <is>
          <t>Bí thư Đảng ủy</t>
        </is>
      </c>
      <c r="G27" s="71" t="inlineStr">
        <is>
          <t>BPVPĐU</t>
        </is>
      </c>
      <c r="H27" s="71" t="inlineStr">
        <is>
          <t>Báo cáo kết quả quán triệt</t>
        </is>
      </c>
      <c r="I27" s="71" t="inlineStr">
        <is>
          <t>—</t>
        </is>
      </c>
      <c r="J27" s="71" t="inlineStr">
        <is>
          <t>07/10/2026</t>
        </is>
      </c>
      <c r="K27" s="71" t="inlineStr">
        <is>
          <t>33-KH/ĐU</t>
        </is>
      </c>
      <c r="L27" s="71" t="inlineStr">
        <is>
          <t>Thêm mới sau đối chiếu; không trùng nhiệm vụ đã có</t>
        </is>
      </c>
    </row>
    <row r="28" ht="52" customHeight="1">
      <c r="A28" s="71" t="n">
        <v>24</v>
      </c>
      <c r="B28" s="71" t="inlineStr">
        <is>
          <t>BỔ SUNG</t>
        </is>
      </c>
      <c r="C28" s="71" t="inlineStr">
        <is>
          <t>Trục 4</t>
        </is>
      </c>
      <c r="D28" s="71" t="inlineStr">
        <is>
          <t>BS-4.02</t>
        </is>
      </c>
      <c r="E28" s="71" t="inlineStr">
        <is>
          <t>Rà soát thực trạng đội ngũ nhà giáo thuộc phạm vi áp dụng Thông tư số 64/2026/TT-BGDĐT theo chuẩn nghề nghiệp</t>
        </is>
      </c>
      <c r="F28" s="71" t="inlineStr">
        <is>
          <t>Hiệu trưởng</t>
        </is>
      </c>
      <c r="G28" s="71" t="inlineStr">
        <is>
          <t>Phòng TCCB&amp;CTHSSV</t>
        </is>
      </c>
      <c r="H28" s="71" t="inlineStr">
        <is>
          <t>Danh sách rà soát</t>
        </is>
      </c>
      <c r="I28" s="71" t="inlineStr">
        <is>
          <t>—</t>
        </is>
      </c>
      <c r="J28" s="71" t="inlineStr">
        <is>
          <t>31/10/2026</t>
        </is>
      </c>
      <c r="K28" s="71" t="inlineStr">
        <is>
          <t>874KH-CĐKT</t>
        </is>
      </c>
      <c r="L28" s="71" t="inlineStr">
        <is>
          <t>Thêm mới sau đối chiếu; không trùng nhiệm vụ đã có</t>
        </is>
      </c>
    </row>
  </sheetData>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6" customWidth="1" min="1" max="1"/>
    <col width="24" customWidth="1" min="2" max="2"/>
    <col width="40" customWidth="1" min="3" max="3"/>
    <col width="70" customWidth="1" min="4" max="4"/>
    <col width="48" customWidth="1" min="5" max="5"/>
  </cols>
  <sheetData>
    <row r="1">
      <c r="A1" s="65" t="inlineStr">
        <is>
          <t>NGUỒN KẾ HOẠCH CHUYÊN ĐỀ ĐÃ RÀ SOÁT VÀ KẾT QUẢ ĐỐI CHIẾU</t>
        </is>
      </c>
      <c r="B1" s="66" t="n"/>
      <c r="C1" s="66" t="n"/>
      <c r="D1" s="66" t="n"/>
      <c r="E1" s="66" t="n"/>
    </row>
    <row r="2">
      <c r="A2" s="67" t="inlineStr">
        <is>
          <t>Phạm vi: 10-Dau-Vao/04-Chuyen-de — 29 tệp; đối chiếu thêm KTC-Database (02-01) và KH Quý III điều chỉnh.</t>
        </is>
      </c>
    </row>
    <row r="4">
      <c r="A4" s="68" t="inlineStr">
        <is>
          <t>STT</t>
        </is>
      </c>
      <c r="B4" s="68" t="inlineStr">
        <is>
          <t>Số/tên kế hoạch</t>
        </is>
      </c>
      <c r="C4" s="68" t="inlineStr">
        <is>
          <t>Chủ đề</t>
        </is>
      </c>
      <c r="D4" s="68" t="inlineStr">
        <is>
          <t>Kết quả đối chiếu/chống trùng</t>
        </is>
      </c>
      <c r="E4" s="68" t="inlineStr">
        <is>
          <t>Vị trí tệp nguồn</t>
        </is>
      </c>
    </row>
    <row r="5" ht="36" customHeight="1">
      <c r="A5" s="72" t="n">
        <v>1</v>
      </c>
      <c r="B5" s="72" t="inlineStr">
        <is>
          <t>33-KH/ĐU (23/9/2026)</t>
        </is>
      </c>
      <c r="C5" s="72" t="inlineStr">
        <is>
          <t>Quán triệt NQ Hội nghị TW 3 khóa XIV và các nghị quyết, chỉ thị</t>
        </is>
      </c>
      <c r="D5" s="72" t="inlineStr">
        <is>
          <t>Bổ sung 1 nhiệm vụ Trục 4 (quán triệt trước 05/10, báo cáo trước 07/10/2026).</t>
        </is>
      </c>
      <c r="E5" s="72" t="inlineStr">
        <is>
          <t>10-Dau-Vao/04-Chuyen-de/33-KHĐU…</t>
        </is>
      </c>
    </row>
    <row r="6" ht="36" customHeight="1">
      <c r="A6" s="72" t="n">
        <v>2</v>
      </c>
      <c r="B6" s="72" t="inlineStr">
        <is>
          <t>64KH-CĐCS</t>
        </is>
      </c>
      <c r="C6" s="72" t="inlineStr">
        <is>
          <t>Tết Trung thu 2026 cho con VC, NLĐ</t>
        </is>
      </c>
      <c r="D6" s="72" t="inlineStr">
        <is>
          <t>Ghi nguồn vào nhiệm vụ Trung thu; tổ chức 23–25/9, báo cáo 30/9; không thêm dòng.</t>
        </is>
      </c>
      <c r="E6" s="72" t="inlineStr">
        <is>
          <t>10-Dau-Vao/04-Chuyen-de/64KH-CĐCS…</t>
        </is>
      </c>
    </row>
    <row r="7" ht="36" customHeight="1">
      <c r="A7" s="72" t="n">
        <v>3</v>
      </c>
      <c r="B7" s="72" t="inlineStr">
        <is>
          <t>150-KHCB (17/9/2026)</t>
        </is>
      </c>
      <c r="C7" s="72" t="inlineStr">
        <is>
          <t>KH của Chi bộ Khối tham mưu tổng hợp thực hiện NQ chuyên đề Quý III</t>
        </is>
      </c>
      <c r="D7" s="72" t="inlineStr">
        <is>
          <t>Nhiệm vụ 'Năm 2026 và các năm tiếp theo', 'Thường xuyên'; là kế hoạch Chi bộ, không có mốc Quý IV; không thêm dòng.</t>
        </is>
      </c>
      <c r="E7" s="72" t="inlineStr">
        <is>
          <t>10-Dau-Vao/04-Chuyen-de/150-KHCB…</t>
        </is>
      </c>
    </row>
    <row r="8" ht="36" customHeight="1">
      <c r="A8" s="72" t="n">
        <v>4</v>
      </c>
      <c r="B8" s="72" t="inlineStr">
        <is>
          <t>735KH-CĐKT</t>
        </is>
      </c>
      <c r="C8" s="72" t="inlineStr">
        <is>
          <t>Phong trào 'Xanh hóa nhà trường' 2026-2030</t>
        </is>
      </c>
      <c r="D8" s="72" t="inlineStr">
        <is>
          <t>Bổ sung 1 nhiệm vụ Trục 5 (giai đoạn 1: 08–12/2026); độ khó đề xuất.</t>
        </is>
      </c>
      <c r="E8" s="72" t="inlineStr">
        <is>
          <t>10-Dau-Vao/04-Chuyen-de/735KH-CĐKT…</t>
        </is>
      </c>
    </row>
    <row r="9" ht="36" customHeight="1">
      <c r="A9" s="72" t="n">
        <v>5</v>
      </c>
      <c r="B9" s="72" t="inlineStr">
        <is>
          <t>828KH-CĐKT</t>
        </is>
      </c>
      <c r="C9" s="72" t="inlineStr">
        <is>
          <t>Chiến lược phát triển khoa CKHCB</t>
        </is>
      </c>
      <c r="D9" s="72" t="inlineStr">
        <is>
          <t>Trình Hiệu trưởng trước 30/9; KH Quý III không có nhiệm vụ này; đưa vào Mục II, cần xác nhận đã ban hành chưa.</t>
        </is>
      </c>
      <c r="E9" s="72" t="inlineStr">
        <is>
          <t>10-Dau-Vao/04-Chuyen-de/828KH-CĐKT…</t>
        </is>
      </c>
    </row>
    <row r="10" ht="36" customHeight="1">
      <c r="A10" s="72" t="n">
        <v>6</v>
      </c>
      <c r="B10" s="72" t="inlineStr">
        <is>
          <t>830KH-CĐKT</t>
        </is>
      </c>
      <c r="C10" s="72" t="inlineStr">
        <is>
          <t>Công tác sinh viên 2026-2027 (bản trước 872)</t>
        </is>
      </c>
      <c r="D10" s="72" t="inlineStr">
        <is>
          <t>Đã được 872KH-CĐKT thay thế; không dùng.</t>
        </is>
      </c>
      <c r="E10" s="72" t="inlineStr">
        <is>
          <t>10-Dau-Vao/04-Chuyen-de/830KH-CĐKT…</t>
        </is>
      </c>
    </row>
    <row r="11" ht="36" customHeight="1">
      <c r="A11" s="72" t="n">
        <v>7</v>
      </c>
      <c r="B11" s="72" t="inlineStr">
        <is>
          <t>831KH-CĐKT</t>
        </is>
      </c>
      <c r="C11" s="72" t="inlineStr">
        <is>
          <t>Phần mềm VNPT KPI</t>
        </is>
      </c>
      <c r="D11" s="72" t="inlineStr">
        <is>
          <t>Bổ sung mục 3 (Quý IV) và mục 4 (Tháng 12); mục 2.x mốc 15–30/9 thuộc Quý III.</t>
        </is>
      </c>
      <c r="E11" s="72" t="inlineStr">
        <is>
          <t>10-Dau-Vao/04-Chuyen-de/831KH-CĐKT…</t>
        </is>
      </c>
    </row>
    <row r="12" ht="20" customHeight="1">
      <c r="A12" s="72" t="n">
        <v>8</v>
      </c>
      <c r="B12" s="72" t="inlineStr">
        <is>
          <t>832KH-CĐKT</t>
        </is>
      </c>
      <c r="C12" s="72" t="inlineStr">
        <is>
          <t>Chiến lược phát triển khoa KT&amp;CN</t>
        </is>
      </c>
      <c r="D12" s="72" t="inlineStr">
        <is>
          <t>Như 828: đưa vào Mục II, cần xác nhận.</t>
        </is>
      </c>
      <c r="E12" s="72" t="inlineStr">
        <is>
          <t>10-Dau-Vao/04-Chuyen-de/832KH-CĐKT…</t>
        </is>
      </c>
    </row>
    <row r="13" ht="36" customHeight="1">
      <c r="A13" s="72" t="n">
        <v>9</v>
      </c>
      <c r="B13" s="72" t="inlineStr">
        <is>
          <t>834KH-CĐKT</t>
        </is>
      </c>
      <c r="C13" s="72" t="inlineStr">
        <is>
          <t>Kế hoạch công tác tháng 9/2026</t>
        </is>
      </c>
      <c r="D13" s="72" t="inlineStr">
        <is>
          <t>Đối chiếu nhiệm vụ chuyển tiếp (báo cáo sơ kết Đảng ủy chuyển 31/10 đã có).</t>
        </is>
      </c>
      <c r="E13" s="72" t="inlineStr">
        <is>
          <t>10-Dau-Vao/04-Chuyen-de/834KH-CĐKT…</t>
        </is>
      </c>
    </row>
    <row r="14" ht="20" customHeight="1">
      <c r="A14" s="72" t="n">
        <v>10</v>
      </c>
      <c r="B14" s="72" t="inlineStr">
        <is>
          <t>841KH-CĐKT</t>
        </is>
      </c>
      <c r="C14" s="72" t="inlineStr">
        <is>
          <t>Phong trào thi đua '2 con số'</t>
        </is>
      </c>
      <c r="D14" s="72" t="inlineStr">
        <is>
          <t>Không có mốc Quý IV riêng; ghi nguồn vào Đề án vị trí việc làm.</t>
        </is>
      </c>
      <c r="E14" s="72" t="inlineStr">
        <is>
          <t>10-Dau-Vao/04-Chuyen-de/841KH-CĐKT…</t>
        </is>
      </c>
    </row>
    <row r="15" ht="52" customHeight="1">
      <c r="A15" s="72" t="n">
        <v>11</v>
      </c>
      <c r="B15" s="72" t="inlineStr">
        <is>
          <t>848KH-CĐKT</t>
        </is>
      </c>
      <c r="C15" s="72" t="inlineStr">
        <is>
          <t>Phát triển công cụ AI hỗ trợ nhiệm vụ 2026, 2027</t>
        </is>
      </c>
      <c r="D15" s="72" t="inlineStr">
        <is>
          <t>Mục 8–10 đã gộp ở 3.5; mục 3 đã có (II.8); bổ sung 19 công cụ có hạn 10–12/2026; mục 1, 2, 7, 13 hạn 18/9, 30/9 thuộc Quý III; mục 6, 26 sang 2027.</t>
        </is>
      </c>
      <c r="E15" s="72" t="inlineStr">
        <is>
          <t>10-Dau-Vao/04-Chuyen-de/848KH-CĐKT…</t>
        </is>
      </c>
    </row>
    <row r="16" ht="36" customHeight="1">
      <c r="A16" s="72" t="n">
        <v>12</v>
      </c>
      <c r="B16" s="72" t="inlineStr">
        <is>
          <t>850KH-CĐKT</t>
        </is>
      </c>
      <c r="C16" s="72" t="inlineStr">
        <is>
          <t>Triển khai KH 295/KH-UBND (công nghiệp bán dẫn)</t>
        </is>
      </c>
      <c r="D16" s="72" t="inlineStr">
        <is>
          <t>Bổ sung 11 nhiệm vụ 'Năm 2026' và mục 15 (10/11); mục 9, 10, 13, 14 sang 2027 hoặc thường xuyên.</t>
        </is>
      </c>
      <c r="E16" s="72" t="inlineStr">
        <is>
          <t>10-Dau-Vao/04-Chuyen-de/850KH-CĐKT…</t>
        </is>
      </c>
    </row>
    <row r="17" ht="20" customHeight="1">
      <c r="A17" s="72" t="n">
        <v>13</v>
      </c>
      <c r="B17" s="72" t="inlineStr">
        <is>
          <t>861KH-CĐKT</t>
        </is>
      </c>
      <c r="C17" s="72" t="inlineStr">
        <is>
          <t>Bổ nhiệm lại Phó Trưởng phòng TH-HC&amp;QT</t>
        </is>
      </c>
      <c r="D17" s="72" t="inlineStr">
        <is>
          <t>Thực hiện 14/9/2026 (Quý III); không đưa vào.</t>
        </is>
      </c>
      <c r="E17" s="72" t="inlineStr">
        <is>
          <t>10-Dau-Vao/04-Chuyen-de/861KH-CĐKT…</t>
        </is>
      </c>
    </row>
    <row r="18" ht="20" customHeight="1">
      <c r="A18" s="72" t="n">
        <v>14</v>
      </c>
      <c r="B18" s="72" t="inlineStr">
        <is>
          <t>862KH-CĐKT</t>
        </is>
      </c>
      <c r="C18" s="72" t="inlineStr">
        <is>
          <t>Tập huấn công cụ AI</t>
        </is>
      </c>
      <c r="D18" s="72" t="inlineStr">
        <is>
          <t>Thực hiện 18/9/2026 (Quý III); không đưa vào.</t>
        </is>
      </c>
      <c r="E18" s="72" t="inlineStr">
        <is>
          <t>10-Dau-Vao/04-Chuyen-de/862KH-CĐKT…</t>
        </is>
      </c>
    </row>
    <row r="19" ht="36" customHeight="1">
      <c r="A19" s="72" t="n">
        <v>15</v>
      </c>
      <c r="B19" s="72" t="inlineStr">
        <is>
          <t>872KH-CĐKT</t>
        </is>
      </c>
      <c r="C19" s="72" t="inlineStr">
        <is>
          <t>Công tác HSSV năm học 2026-2027</t>
        </is>
      </c>
      <c r="D19" s="72" t="inlineStr">
        <is>
          <t>Bổ sung mục 17 (đối thoại HSSV, tháng 11/2026); các mục còn lại 'thường xuyên' hoặc sang 2027.</t>
        </is>
      </c>
      <c r="E19" s="72" t="inlineStr">
        <is>
          <t>10-Dau-Vao/04-Chuyen-de/872KH-CĐKT…</t>
        </is>
      </c>
    </row>
    <row r="20" ht="36" customHeight="1">
      <c r="A20" s="72" t="n">
        <v>16</v>
      </c>
      <c r="B20" s="72" t="inlineStr">
        <is>
          <t>874KH-CĐKT</t>
        </is>
      </c>
      <c r="C20" s="72" t="inlineStr">
        <is>
          <t>Triển khai Thông tư 64/2026/TT-BGDĐT</t>
        </is>
      </c>
      <c r="D20" s="72" t="inlineStr">
        <is>
          <t>Bổ sung mục 2 (T10), 3 (T11), 4 (31/12); mục 6–9 phụ thuộc chủ trương mở đào tạo THN.</t>
        </is>
      </c>
      <c r="E20" s="72" t="inlineStr">
        <is>
          <t>10-Dau-Vao/04-Chuyen-de/874KH-CĐKT…</t>
        </is>
      </c>
    </row>
    <row r="21" ht="36" customHeight="1">
      <c r="A21" s="72" t="n">
        <v>17</v>
      </c>
      <c r="B21" s="72" t="inlineStr">
        <is>
          <t>879KH-CĐKT</t>
        </is>
      </c>
      <c r="C21" s="72" t="inlineStr">
        <is>
          <t>Dự giờ nhà giáo khoa Sư phạm HK I</t>
        </is>
      </c>
      <c r="D21" s="72" t="inlineStr">
        <is>
          <t>Nhiệm vụ cấp Khoa (hồ sơ nộp khoa trước 04/12/2026); không đưa vào KH Trường.</t>
        </is>
      </c>
      <c r="E21" s="72" t="inlineStr">
        <is>
          <t>10-Dau-Vao/04-Chuyen-de/879KH-CĐKT…</t>
        </is>
      </c>
    </row>
    <row r="22" ht="36" customHeight="1">
      <c r="A22" s="72" t="n">
        <v>18</v>
      </c>
      <c r="B22" s="72" t="inlineStr">
        <is>
          <t>881KH-CĐKT</t>
        </is>
      </c>
      <c r="C22" s="72" t="inlineStr">
        <is>
          <t>Triển khai CV 4201/SGDĐT (đào tạo gắn doanh nghiệp)</t>
        </is>
      </c>
      <c r="D22" s="72" t="inlineStr">
        <is>
          <t>Bổ sung mục 11, 18, 23, 25, 36; mục 24 ghi nguồn vào 1.3; mục 2 (Quý II–IV) chưa đưa vì mốc trải rộng.</t>
        </is>
      </c>
      <c r="E22" s="72" t="inlineStr">
        <is>
          <t>10-Dau-Vao/04-Chuyen-de/881KH-CĐKT…</t>
        </is>
      </c>
    </row>
    <row r="23" ht="36" customHeight="1">
      <c r="A23" s="72" t="n">
        <v>19</v>
      </c>
      <c r="B23" s="72" t="inlineStr">
        <is>
          <t>882KH-CĐKT</t>
        </is>
      </c>
      <c r="C23" s="72" t="inlineStr">
        <is>
          <t>Số hóa văn bằng, chứng chỉ đã cấp</t>
        </is>
      </c>
      <c r="D23" s="72" t="inlineStr">
        <is>
          <t>Bổ sung 1 nhiệm vụ Trục 3 (hoàn thành 20/11/2026); tháng 10: giai đoạn 1986–1999.</t>
        </is>
      </c>
      <c r="E23" s="72" t="inlineStr">
        <is>
          <t>10-Dau-Vao/04-Chuyen-de/882KH-CĐKT…</t>
        </is>
      </c>
    </row>
    <row r="24" ht="36" customHeight="1">
      <c r="A24" s="72" t="n">
        <v>20</v>
      </c>
      <c r="B24" s="72" t="inlineStr">
        <is>
          <t>888KH-CĐKT</t>
        </is>
      </c>
      <c r="C24" s="72" t="inlineStr">
        <is>
          <t>Chương trình sức khỏe học đường 2026-2035</t>
        </is>
      </c>
      <c r="D24" s="72" t="inlineStr">
        <is>
          <t>Bổ sung mục 1, 2 ('Năm 2026'); các mục khác hằng năm hoặc giai đoạn dài.</t>
        </is>
      </c>
      <c r="E24" s="72" t="inlineStr">
        <is>
          <t>10-Dau-Vao/04-Chuyen-de/888KH-CĐKT…</t>
        </is>
      </c>
    </row>
    <row r="25" ht="20" customHeight="1">
      <c r="A25" s="72" t="n">
        <v>21</v>
      </c>
      <c r="B25" s="72" t="inlineStr">
        <is>
          <t>891KH-CĐKT</t>
        </is>
      </c>
      <c r="C25" s="72" t="inlineStr">
        <is>
          <t>Đánh giá, xếp loại lãnh đạo Quý III</t>
        </is>
      </c>
      <c r="D25" s="72" t="inlineStr">
        <is>
          <t>Thực hiện 18/9/2026 (Quý III); không đưa vào.</t>
        </is>
      </c>
      <c r="E25" s="72" t="inlineStr">
        <is>
          <t>10-Dau-Vao/04-Chuyen-de/891KH-CĐKT…</t>
        </is>
      </c>
    </row>
    <row r="26" ht="20" customHeight="1">
      <c r="A26" s="72" t="n">
        <v>22</v>
      </c>
      <c r="B26" s="72" t="inlineStr">
        <is>
          <t>893KH-CĐKT</t>
        </is>
      </c>
      <c r="C26" s="72" t="inlineStr">
        <is>
          <t>Triển khai Thông tư 66/2026/TT-BGDĐT</t>
        </is>
      </c>
      <c r="D26" s="72" t="inlineStr">
        <is>
          <t>Bổ sung mục 3–8 (31/10–31/12); mục 1, 2 hạn 26/9 thuộc Quý III.</t>
        </is>
      </c>
      <c r="E26" s="72" t="inlineStr">
        <is>
          <t>10-Dau-Vao/04-Chuyen-de/893KH-CĐKT…</t>
        </is>
      </c>
    </row>
    <row r="27" ht="36" customHeight="1">
      <c r="A27" s="72" t="n">
        <v>23</v>
      </c>
      <c r="B27" s="72" t="inlineStr">
        <is>
          <t>907KH-CĐKT (chưa có số, ngày)</t>
        </is>
      </c>
      <c r="C27" s="72" t="inlineStr">
        <is>
          <t>Hội giảng nhà giáo lần thứ VII</t>
        </is>
      </c>
      <c r="D27" s="72" t="inlineStr">
        <is>
          <t>Bổ sung: Quy định Hội giảng (15/10), khoa ban hành KH (22/10); Hội giảng cấp khoa hạn 22/01/2027 (Quý I/2027). Văn bản còn dự thảo.</t>
        </is>
      </c>
      <c r="E27" s="72" t="inlineStr">
        <is>
          <t>10-Dau-Vao/04-Chuyen-de/907KH-CĐKT…</t>
        </is>
      </c>
    </row>
    <row r="28" ht="20" customHeight="1">
      <c r="A28" s="72" t="n">
        <v>24</v>
      </c>
      <c r="B28" s="72" t="inlineStr">
        <is>
          <t>909KH-CĐKT</t>
        </is>
      </c>
      <c r="C28" s="72" t="inlineStr">
        <is>
          <t>Hội nghị sơ kết đào tạo kép</t>
        </is>
      </c>
      <c r="D28" s="72" t="inlineStr">
        <is>
          <t>Tổ chức 30/9/2026 (Quý III); ghi nguồn vào 1.12.</t>
        </is>
      </c>
      <c r="E28" s="72" t="inlineStr">
        <is>
          <t>10-Dau-Vao/04-Chuyen-de/909KH-CĐKT…</t>
        </is>
      </c>
    </row>
    <row r="29" ht="36" customHeight="1">
      <c r="A29" s="72" t="n">
        <v>25</v>
      </c>
      <c r="B29" s="72" t="inlineStr">
        <is>
          <t>930KH-CĐKT</t>
        </is>
      </c>
      <c r="C29" s="72" t="inlineStr">
        <is>
          <t>Liên kết đào tạo với doanh nghiệp 2026-2027</t>
        </is>
      </c>
      <c r="D29" s="72" t="inlineStr">
        <is>
          <t>Không có mốc ngày cụ thể; nhiệm vụ cấp khoa; không thêm dòng.</t>
        </is>
      </c>
      <c r="E29" s="72" t="inlineStr">
        <is>
          <t>10-Dau-Vao/04-Chuyen-de/930KH-CĐKT…</t>
        </is>
      </c>
    </row>
    <row r="30" ht="52" customHeight="1">
      <c r="A30" s="72" t="n">
        <v>26</v>
      </c>
      <c r="B30" s="72" t="inlineStr">
        <is>
          <t>932KH-CĐKT</t>
        </is>
      </c>
      <c r="C30" s="72" t="inlineStr">
        <is>
          <t>Hoạt động KH, CN, ĐMST của HSSV 2026-2027</t>
        </is>
      </c>
      <c r="D30" s="72" t="inlineStr">
        <is>
          <t>Bổ sung: sửa Quy định (T10), kết nối doanh nghiệp (trước T12); Cuộc thi tháng 11 khớp 1.4; Quy chế hỗ trợ khởi nghiệp đã có (II.10).</t>
        </is>
      </c>
      <c r="E30" s="72" t="inlineStr">
        <is>
          <t>10-Dau-Vao/04-Chuyen-de/932KH-CĐKT…</t>
        </is>
      </c>
    </row>
    <row r="31" ht="52" customHeight="1">
      <c r="A31" s="72" t="n">
        <v>27</v>
      </c>
      <c r="B31" s="72" t="inlineStr">
        <is>
          <t>937KH-CĐKT (24/9/2026)</t>
        </is>
      </c>
      <c r="C31" s="72" t="inlineStr">
        <is>
          <t>Triển khai NQ 04-NQ/TW về phòng, chống tham nhũng, lãng phí</t>
        </is>
      </c>
      <c r="D31" s="72" t="inlineStr">
        <is>
          <t>Tệp không có Phụ lục 'Phân công nhiệm vụ và tiến độ thực hiện' nên chưa trích được mốc; đề nghị bổ sung Phụ lục để đưa nhiệm vụ vào Quý IV.</t>
        </is>
      </c>
      <c r="E31" s="72" t="inlineStr">
        <is>
          <t>10-Dau-Vao/04-Chuyen-de/937KH-CĐKT…</t>
        </is>
      </c>
    </row>
    <row r="32" ht="36" customHeight="1">
      <c r="A32" s="72" t="n">
        <v>28</v>
      </c>
      <c r="B32" s="72" t="inlineStr">
        <is>
          <t>942KH-CĐKT (24/9/2026)</t>
        </is>
      </c>
      <c r="C32" s="72" t="inlineStr">
        <is>
          <t>Tuần lễ hưởng ứng học tập suốt đời 2026</t>
        </is>
      </c>
      <c r="D32" s="72" t="inlineStr">
        <is>
          <t>Sửa 5.1 (sản phẩm, hạn 12/10); độ khó KH 398/CV 2514 nâng Cao, chờ xác nhận hạn.</t>
        </is>
      </c>
      <c r="E32" s="72" t="inlineStr">
        <is>
          <t>10-Dau-Vao/04-Chuyen-de/942KH-CĐKT….doc</t>
        </is>
      </c>
    </row>
    <row r="33" ht="36" customHeight="1">
      <c r="A33" s="72" t="n">
        <v>29</v>
      </c>
      <c r="B33" s="72" t="inlineStr">
        <is>
          <t>QĐ 2073/QĐ-CĐKT (23/9/2026)</t>
        </is>
      </c>
      <c r="C33" s="72" t="inlineStr">
        <is>
          <t>Quy chế làm việc của Trường (thay QĐ 1299)</t>
        </is>
      </c>
      <c r="D33" s="72" t="inlineStr">
        <is>
          <t>Sửa căn cứ; hủy nhiệm vụ rà soát, sửa đổi Quy chế làm việc.</t>
        </is>
      </c>
      <c r="E33" s="72" t="inlineStr">
        <is>
          <t>KTC-Database/02-KTC-Regulations/02-01…/QD-2073-QD-CDKT…</t>
        </is>
      </c>
    </row>
  </sheetData>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D11"/>
  <sheetViews>
    <sheetView workbookViewId="0">
      <selection activeCell="A1" sqref="A1"/>
    </sheetView>
  </sheetViews>
  <sheetFormatPr baseColWidth="8" defaultRowHeight="15"/>
  <cols>
    <col width="14" customWidth="1" min="1" max="1"/>
    <col width="34" customWidth="1" min="2" max="2"/>
    <col width="70" customWidth="1" min="3" max="3"/>
    <col width="24" customWidth="1" min="4" max="4"/>
  </cols>
  <sheetData>
    <row r="1">
      <c r="A1" s="65" t="inlineStr">
        <is>
          <t>QUY ƯỚC MÀU VÀ NGUYÊN TẮC XỬ LÝ</t>
        </is>
      </c>
      <c r="B1" s="66" t="n"/>
      <c r="C1" s="66" t="n"/>
      <c r="D1" s="66" t="n"/>
    </row>
    <row r="2">
      <c r="A2" s="67" t="inlineStr">
        <is>
          <t>Theo mẫu KH Quý III điều chỉnh, bổ sung; chữ trong ô: gạch đỏ = nội dung cũ, xanh gạch chân = nội dung mới (như Track Changes của Word).</t>
        </is>
      </c>
    </row>
    <row r="4">
      <c r="A4" s="68" t="inlineStr">
        <is>
          <t>Màu</t>
        </is>
      </c>
      <c r="B4" s="68" t="inlineStr">
        <is>
          <t>Trạng thái</t>
        </is>
      </c>
      <c r="C4" s="68" t="inlineStr">
        <is>
          <t>Xử lý</t>
        </is>
      </c>
      <c r="D4" s="68" t="inlineStr">
        <is>
          <t>Kết quả kỳ rà soát</t>
        </is>
      </c>
    </row>
    <row r="5" ht="36" customHeight="1">
      <c r="A5" s="71" t="inlineStr">
        <is>
          <t>Xanh lá</t>
        </is>
      </c>
      <c r="B5" s="71" t="inlineStr">
        <is>
          <t>Nhiệm vụ bổ sung</t>
        </is>
      </c>
      <c r="C5" s="71" t="inlineStr">
        <is>
          <t>Đưa vào Mục III (hoặc Mục II nếu từ Quý III chuyển sang), phân đúng 6 Trục, ghi nguồn</t>
        </is>
      </c>
      <c r="D5" s="71" t="inlineStr">
        <is>
          <t>21 nhiệm vụ</t>
        </is>
      </c>
    </row>
    <row r="6" ht="36" customHeight="1">
      <c r="A6" s="70" t="inlineStr">
        <is>
          <t>Vàng</t>
        </is>
      </c>
      <c r="B6" s="70" t="inlineStr">
        <is>
          <t>Điều chỉnh (thời gian, nội dung, sản phẩm, độ khó, căn cứ)</t>
        </is>
      </c>
      <c r="C6" s="70" t="inlineStr">
        <is>
          <t>Giữ nhiệm vụ; ô sửa hiển thị cũ gạch đỏ, mới xanh gạch chân; ghi căn cứ ở cột K, L</t>
        </is>
      </c>
      <c r="D6" s="70" t="inlineStr">
        <is>
          <t>2 vị trí</t>
        </is>
      </c>
    </row>
    <row r="7" ht="36" customHeight="1">
      <c r="A7" s="69" t="inlineStr">
        <is>
          <t>Đỏ</t>
        </is>
      </c>
      <c r="B7" s="69" t="inlineStr">
        <is>
          <t>Nhiệm vụ bị hủy</t>
        </is>
      </c>
      <c r="C7" s="69" t="inlineStr">
        <is>
          <t>Giữ dòng để truy vết và đánh dấu HỦY</t>
        </is>
      </c>
      <c r="D7" s="69" t="inlineStr">
        <is>
          <t>1 nhiệm vụ</t>
        </is>
      </c>
    </row>
    <row r="8" ht="36" customHeight="1">
      <c r="A8" s="72" t="inlineStr">
        <is>
          <t>Không tô</t>
        </is>
      </c>
      <c r="B8" s="72" t="inlineStr">
        <is>
          <t>Không thay đổi hoặc chỉ ghi nguồn cụ thể hóa</t>
        </is>
      </c>
      <c r="C8" s="72" t="inlineStr">
        <is>
          <t>Giữ nguyên nội dung; không tạo dòng trùng</t>
        </is>
      </c>
      <c r="D8" s="72" t="inlineStr"/>
    </row>
    <row r="10">
      <c r="A10" s="73" t="inlineStr">
        <is>
          <t>Lưu ý</t>
        </is>
      </c>
    </row>
    <row r="11">
      <c r="A11" s="74" t="inlineStr">
        <is>
          <t>Cột L là ghi chú rà soát để anh kiểm soát, xóa trước khi ký. Độ khó/thời hạn 'do rà soát đề xuất' là chỗ kế hoạch nguồn không ghi điểm hoặc chỉ ghi 'Năm 2026' — cần đơn vị xác nhận.</t>
        </is>
      </c>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2026-09-27T04:04:50Z</dcterms:modified>
  <cp:lastModifiedBy>phuc Nguyen</cp:lastModifiedBy>
  <cp:lastPrinted>2026-08-27T23:53:41Z</cp:lastPrinted>
</cp:coreProperties>
</file>