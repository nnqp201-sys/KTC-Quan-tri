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CLAUDE code\KTC-Quan-tri\30-Ket-Qua\2026-10-21\Tham-dinh\"/>
    </mc:Choice>
  </mc:AlternateContent>
  <xr:revisionPtr revIDLastSave="0" documentId="13_ncr:1_{69E3D5FE-9DEA-46FE-915A-8306895B2D7A}" xr6:coauthVersionLast="47" xr6:coauthVersionMax="47" xr10:uidLastSave="{00000000-0000-0000-0000-000000000000}"/>
  <bookViews>
    <workbookView xWindow="2928" yWindow="2172" windowWidth="10428" windowHeight="10068" firstSheet="3" activeTab="3" xr2:uid="{00000000-000D-0000-FFFF-FFFF00000000}"/>
  </bookViews>
  <sheets>
    <sheet name="Quy ước màu" sheetId="1" r:id="rId1"/>
    <sheet name="lộ trình hp" sheetId="2" r:id="rId2"/>
    <sheet name="Nội dung khoán THU CHI thuê sân" sheetId="3" r:id="rId3"/>
    <sheet name="Nội dung khoán tHU CHI học phí" sheetId="4" r:id="rId4"/>
    <sheet name="Dự toán thu - chi" sheetId="5" r:id="rId5"/>
    <sheet name="Khấu hao" sheetId="6" r:id="rId6"/>
    <sheet name="Dự kiến thu" sheetId="7" r:id="rId7"/>
    <sheet name="Độ nhạy" sheetId="8" r:id="rId8"/>
    <sheet name="Ghi chú rà soá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7" l="1"/>
  <c r="C14" i="7"/>
  <c r="C16" i="7" s="1"/>
  <c r="B10" i="7"/>
  <c r="F9" i="7"/>
  <c r="F14" i="7" s="1"/>
  <c r="F16" i="7" s="1"/>
  <c r="E9" i="7"/>
  <c r="H7" i="3" s="1"/>
  <c r="D9" i="7"/>
  <c r="G7" i="3" s="1"/>
  <c r="C9" i="7"/>
  <c r="F7" i="3" s="1"/>
  <c r="B9" i="7"/>
  <c r="E7" i="3" s="1"/>
  <c r="E6" i="3" s="1"/>
  <c r="C5" i="7"/>
  <c r="C6" i="7" s="1"/>
  <c r="B5" i="7"/>
  <c r="B6" i="7" s="1"/>
  <c r="E16" i="6"/>
  <c r="G16" i="6" s="1"/>
  <c r="I16" i="6" s="1"/>
  <c r="E15" i="6"/>
  <c r="G15" i="6" s="1"/>
  <c r="I15" i="6" s="1"/>
  <c r="G14" i="6"/>
  <c r="I14" i="6" s="1"/>
  <c r="E13" i="6"/>
  <c r="G13" i="6" s="1"/>
  <c r="I13" i="6" s="1"/>
  <c r="K12" i="6"/>
  <c r="G12" i="6"/>
  <c r="I12" i="6" s="1"/>
  <c r="E11" i="6"/>
  <c r="G11" i="6" s="1"/>
  <c r="I11" i="6" s="1"/>
  <c r="E10" i="6"/>
  <c r="G10" i="6" s="1"/>
  <c r="I10" i="6" s="1"/>
  <c r="G9" i="6"/>
  <c r="I9" i="6" s="1"/>
  <c r="E8" i="6"/>
  <c r="G8" i="6" s="1"/>
  <c r="I8" i="6" s="1"/>
  <c r="E7" i="6"/>
  <c r="G7" i="6" s="1"/>
  <c r="I7" i="6" s="1"/>
  <c r="E6" i="6"/>
  <c r="I11" i="3"/>
  <c r="H11" i="3"/>
  <c r="G11" i="3"/>
  <c r="F11" i="3"/>
  <c r="E11" i="3"/>
  <c r="I10" i="3"/>
  <c r="F10" i="3"/>
  <c r="E10" i="3"/>
  <c r="F8" i="3"/>
  <c r="E8" i="3"/>
  <c r="C8" i="2"/>
  <c r="C7" i="2"/>
  <c r="D7" i="2" s="1"/>
  <c r="E7" i="2" s="1"/>
  <c r="F7" i="2" s="1"/>
  <c r="C6" i="2"/>
  <c r="D6" i="2" s="1"/>
  <c r="E6" i="2" l="1"/>
  <c r="E5" i="7" s="1"/>
  <c r="D5" i="7"/>
  <c r="F6" i="3"/>
  <c r="E5" i="4"/>
  <c r="E9" i="3"/>
  <c r="E21" i="3" s="1"/>
  <c r="B11" i="7"/>
  <c r="F5" i="4"/>
  <c r="F13" i="4" s="1"/>
  <c r="E14" i="3"/>
  <c r="E5" i="3"/>
  <c r="C7" i="5"/>
  <c r="F14" i="3"/>
  <c r="D7" i="5"/>
  <c r="E6" i="7"/>
  <c r="H5" i="4"/>
  <c r="F6" i="2"/>
  <c r="F5" i="7" s="1"/>
  <c r="I7" i="3"/>
  <c r="E7" i="4"/>
  <c r="E9" i="4"/>
  <c r="E11" i="4"/>
  <c r="C13" i="5" s="1"/>
  <c r="F9" i="3"/>
  <c r="E13" i="4"/>
  <c r="C6" i="5"/>
  <c r="E10" i="4"/>
  <c r="D8" i="2"/>
  <c r="C10" i="7"/>
  <c r="C11" i="7" s="1"/>
  <c r="I9" i="3"/>
  <c r="F10" i="4"/>
  <c r="E17" i="6"/>
  <c r="G6" i="6"/>
  <c r="D14" i="7"/>
  <c r="E14" i="7"/>
  <c r="F11" i="4" l="1"/>
  <c r="D13" i="5" s="1"/>
  <c r="F9" i="4"/>
  <c r="F16" i="4"/>
  <c r="E15" i="3"/>
  <c r="E13" i="3" s="1"/>
  <c r="E12" i="3" s="1"/>
  <c r="E26" i="3" s="1"/>
  <c r="D26" i="3" s="1"/>
  <c r="E18" i="4"/>
  <c r="E12" i="4"/>
  <c r="C15" i="5" s="1"/>
  <c r="E8" i="4"/>
  <c r="F7" i="4"/>
  <c r="F6" i="4" s="1"/>
  <c r="F19" i="4" s="1"/>
  <c r="E16" i="4"/>
  <c r="E17" i="3"/>
  <c r="D6" i="7"/>
  <c r="G5" i="4"/>
  <c r="F18" i="4"/>
  <c r="F12" i="4"/>
  <c r="D15" i="5" s="1"/>
  <c r="F8" i="4"/>
  <c r="F14" i="4"/>
  <c r="E20" i="3"/>
  <c r="D6" i="5"/>
  <c r="D16" i="5" s="1"/>
  <c r="E16" i="3"/>
  <c r="E14" i="4"/>
  <c r="C8" i="5"/>
  <c r="H8" i="5" s="1"/>
  <c r="D8" i="5"/>
  <c r="D23" i="5" s="1"/>
  <c r="F17" i="3"/>
  <c r="F21" i="3"/>
  <c r="F16" i="3"/>
  <c r="F20" i="3"/>
  <c r="F15" i="3"/>
  <c r="F15" i="4"/>
  <c r="D12" i="5"/>
  <c r="I16" i="3"/>
  <c r="I21" i="3"/>
  <c r="I20" i="3"/>
  <c r="I15" i="3"/>
  <c r="G8" i="5"/>
  <c r="I17" i="3"/>
  <c r="C24" i="5"/>
  <c r="E8" i="2"/>
  <c r="D10" i="7"/>
  <c r="D11" i="7" s="1"/>
  <c r="G8" i="3"/>
  <c r="G6" i="3" s="1"/>
  <c r="H6" i="5"/>
  <c r="C16" i="5"/>
  <c r="C10" i="5"/>
  <c r="E6" i="4"/>
  <c r="E19" i="4" s="1"/>
  <c r="I7" i="5"/>
  <c r="E16" i="7"/>
  <c r="H10" i="3"/>
  <c r="H9" i="3" s="1"/>
  <c r="F13" i="3"/>
  <c r="C12" i="5"/>
  <c r="E15" i="4"/>
  <c r="F6" i="7"/>
  <c r="I5" i="4"/>
  <c r="F5" i="3"/>
  <c r="D16" i="7"/>
  <c r="G10" i="3"/>
  <c r="G9" i="3" s="1"/>
  <c r="H16" i="4"/>
  <c r="H11" i="4"/>
  <c r="F13" i="5" s="1"/>
  <c r="H13" i="4"/>
  <c r="H8" i="4"/>
  <c r="H10" i="4"/>
  <c r="F6" i="5"/>
  <c r="H14" i="4"/>
  <c r="H18" i="4"/>
  <c r="H9" i="4"/>
  <c r="H12" i="4"/>
  <c r="F15" i="5" s="1"/>
  <c r="H7" i="4"/>
  <c r="C23" i="5"/>
  <c r="H7" i="5"/>
  <c r="I6" i="6"/>
  <c r="I17" i="6" s="1"/>
  <c r="G17" i="6"/>
  <c r="C27" i="5" s="1"/>
  <c r="E22" i="3"/>
  <c r="E24" i="3"/>
  <c r="E19" i="3"/>
  <c r="E25" i="3"/>
  <c r="E18" i="3"/>
  <c r="G18" i="4" l="1"/>
  <c r="G8" i="4"/>
  <c r="G12" i="4"/>
  <c r="E15" i="5" s="1"/>
  <c r="G11" i="4"/>
  <c r="E13" i="5" s="1"/>
  <c r="G9" i="4"/>
  <c r="G16" i="4"/>
  <c r="G7" i="4"/>
  <c r="E6" i="5"/>
  <c r="G14" i="4"/>
  <c r="G13" i="4"/>
  <c r="G10" i="4"/>
  <c r="C5" i="5"/>
  <c r="C19" i="5" s="1"/>
  <c r="D5" i="5"/>
  <c r="C17" i="5"/>
  <c r="I6" i="5"/>
  <c r="D10" i="5"/>
  <c r="D17" i="5"/>
  <c r="G11" i="5"/>
  <c r="F11" i="5"/>
  <c r="E11" i="5"/>
  <c r="D11" i="5"/>
  <c r="C11" i="5"/>
  <c r="G17" i="5"/>
  <c r="H21" i="3"/>
  <c r="H16" i="3"/>
  <c r="H20" i="3"/>
  <c r="F17" i="5" s="1"/>
  <c r="H15" i="3"/>
  <c r="F8" i="5"/>
  <c r="H17" i="3"/>
  <c r="G21" i="3"/>
  <c r="G16" i="3"/>
  <c r="G17" i="3"/>
  <c r="G20" i="3"/>
  <c r="E17" i="5" s="1"/>
  <c r="G15" i="3"/>
  <c r="E8" i="5"/>
  <c r="G14" i="3"/>
  <c r="G5" i="3"/>
  <c r="E7" i="5"/>
  <c r="F24" i="3"/>
  <c r="F19" i="3"/>
  <c r="F25" i="3"/>
  <c r="F18" i="3"/>
  <c r="F22" i="3"/>
  <c r="I11" i="4"/>
  <c r="G13" i="5" s="1"/>
  <c r="I13" i="4"/>
  <c r="I8" i="4"/>
  <c r="I10" i="4"/>
  <c r="G6" i="5"/>
  <c r="I14" i="4"/>
  <c r="I18" i="4"/>
  <c r="I9" i="4"/>
  <c r="I12" i="4"/>
  <c r="G15" i="5" s="1"/>
  <c r="I16" i="4"/>
  <c r="I7" i="4"/>
  <c r="F8" i="2"/>
  <c r="E10" i="7"/>
  <c r="E11" i="7" s="1"/>
  <c r="H8" i="3"/>
  <c r="H6" i="3" s="1"/>
  <c r="C14" i="5"/>
  <c r="C18" i="5" s="1"/>
  <c r="E23" i="3"/>
  <c r="D19" i="5"/>
  <c r="D21" i="5"/>
  <c r="I5" i="5"/>
  <c r="N5" i="5" s="1"/>
  <c r="F16" i="5"/>
  <c r="K6" i="5"/>
  <c r="F12" i="5"/>
  <c r="H15" i="4"/>
  <c r="H6" i="4" s="1"/>
  <c r="H19" i="4" s="1"/>
  <c r="L8" i="5"/>
  <c r="D24" i="5"/>
  <c r="I8" i="5"/>
  <c r="C21" i="5" l="1"/>
  <c r="C9" i="5" s="1"/>
  <c r="C22" i="5" s="1"/>
  <c r="C25" i="5" s="1"/>
  <c r="C28" i="5" s="1"/>
  <c r="C30" i="5" s="1"/>
  <c r="G15" i="4"/>
  <c r="G6" i="4" s="1"/>
  <c r="G19" i="4" s="1"/>
  <c r="E12" i="5"/>
  <c r="F12" i="3"/>
  <c r="F26" i="3" s="1"/>
  <c r="H5" i="5"/>
  <c r="M5" i="5" s="1"/>
  <c r="E16" i="5"/>
  <c r="J6" i="5"/>
  <c r="D9" i="5"/>
  <c r="D22" i="5" s="1"/>
  <c r="D25" i="5" s="1"/>
  <c r="D28" i="5" s="1"/>
  <c r="H14" i="3"/>
  <c r="H5" i="3"/>
  <c r="F7" i="5"/>
  <c r="F24" i="5" s="1"/>
  <c r="E24" i="5"/>
  <c r="J8" i="5"/>
  <c r="F10" i="7"/>
  <c r="F11" i="7" s="1"/>
  <c r="I8" i="3"/>
  <c r="I6" i="3" s="1"/>
  <c r="I6" i="4"/>
  <c r="I19" i="4" s="1"/>
  <c r="D14" i="5"/>
  <c r="D18" i="5" s="1"/>
  <c r="F23" i="3"/>
  <c r="G16" i="5"/>
  <c r="L6" i="5"/>
  <c r="J7" i="5"/>
  <c r="E23" i="5"/>
  <c r="E5" i="5"/>
  <c r="I15" i="4"/>
  <c r="G12" i="5"/>
  <c r="G24" i="3"/>
  <c r="G19" i="3"/>
  <c r="G18" i="3"/>
  <c r="G22" i="3"/>
  <c r="G25" i="3"/>
  <c r="K8" i="5"/>
  <c r="G13" i="3"/>
  <c r="E10" i="5"/>
  <c r="D30" i="5" l="1"/>
  <c r="I14" i="3"/>
  <c r="I5" i="3"/>
  <c r="G7" i="5"/>
  <c r="J5" i="5"/>
  <c r="O5" i="5" s="1"/>
  <c r="E19" i="5"/>
  <c r="E21" i="5"/>
  <c r="G12" i="3"/>
  <c r="G26" i="3" s="1"/>
  <c r="K7" i="5"/>
  <c r="F23" i="5"/>
  <c r="F5" i="5"/>
  <c r="H19" i="3"/>
  <c r="H24" i="3"/>
  <c r="H18" i="3"/>
  <c r="H22" i="3"/>
  <c r="H25" i="3"/>
  <c r="E14" i="5"/>
  <c r="E18" i="5" s="1"/>
  <c r="G23" i="3"/>
  <c r="H13" i="3"/>
  <c r="F10" i="5"/>
  <c r="H12" i="3" l="1"/>
  <c r="H26" i="3" s="1"/>
  <c r="H23" i="3"/>
  <c r="F14" i="5"/>
  <c r="F18" i="5" s="1"/>
  <c r="E9" i="5"/>
  <c r="E22" i="5" s="1"/>
  <c r="E25" i="5" s="1"/>
  <c r="E28" i="5" s="1"/>
  <c r="E30" i="5" s="1"/>
  <c r="L7" i="5"/>
  <c r="G23" i="5"/>
  <c r="G24" i="5"/>
  <c r="G5" i="5"/>
  <c r="I18" i="3"/>
  <c r="I24" i="3"/>
  <c r="I19" i="3"/>
  <c r="I22" i="3"/>
  <c r="I25" i="3"/>
  <c r="I13" i="3"/>
  <c r="G10" i="5"/>
  <c r="K5" i="5"/>
  <c r="P5" i="5" s="1"/>
  <c r="F21" i="5"/>
  <c r="F19" i="5"/>
  <c r="I23" i="3" l="1"/>
  <c r="G14" i="5"/>
  <c r="G18" i="5" s="1"/>
  <c r="L5" i="5"/>
  <c r="Q5" i="5" s="1"/>
  <c r="G21" i="5"/>
  <c r="G19" i="5"/>
  <c r="G9" i="5" s="1"/>
  <c r="G22" i="5" s="1"/>
  <c r="G25" i="5" s="1"/>
  <c r="G28" i="5" s="1"/>
  <c r="I12" i="3"/>
  <c r="I26" i="3" s="1"/>
  <c r="F9" i="5"/>
  <c r="F22" i="5" s="1"/>
  <c r="F25" i="5" s="1"/>
  <c r="F28" i="5" s="1"/>
  <c r="F30" i="5" s="1"/>
  <c r="G30" i="5" l="1"/>
  <c r="C2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A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Chờ TC-KT: mức thu cho thuê xe tập luyện chưa được đưa vào doanh thu.</t>
        </r>
      </text>
    </comment>
    <comment ref="D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Chờ TC-KT: tăng 10%/năm từ 2029, lời văn Đề án ghi 5%/năm.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A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Đã sửa tên bảng (cũ: "PHÂN KHAI LỆ PHÍ SÁT HẠCH LÁI XE MÔ TÔ HẠNG A"): phí sát hạch theo TT 154/2025/TT-BTC là khoản thu của cơ quan tổ chức sát hạch, không phải lệ phí.</t>
        </r>
      </text>
    </comment>
    <comment ref="E1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Chờ TC-KT: mức 53% × 130.000 đ cần căn cứ (thỏa thuận với Phòng CSGT hoặc thực tế thu Hạng A1 năm 2025).</t>
        </r>
      </text>
    </comment>
    <comment ref="F2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theo doanh thu thuê ôn luyện; thống nhất theo năm 1 = dòng 22 × 10%.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D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Chờ Lãnh đạo: tổng tỷ lệ khoán trực tiếp 67% học phí (khảo sát Gia Lai 55–60%).</t>
        </r>
      </text>
    </comment>
    <comment ref="F15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10% doanh thu; thống nhất theo năm 1 = (lương LT + lương TH) × 10%.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C2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Chờ TC-KT: thống nhất phương pháp tính thuế (TNDN % doanh thu hay 20% thu nhập; đối chiếu NĐ 320/2025/NĐ-CP); GTGT học phí (QĐ 572 ghi đã gồm 5%).</t>
        </r>
      </text>
    </comment>
    <comment ref="C29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Đã sửa: công thức cũ =(C27-SUM(C28:G28))/(SUM(C28:G28)/4)+4 cho 3,83 năm; nay tính theo dòng tiền lũy kế (dòng 30) = 4,86 năm.</t>
        </r>
      </text>
    </comment>
    <comment ref="A30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Bổ sung: dòng tiền lũy kế để tính thời gian hoàn vốn.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E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Chờ TC-KT: 590 triệu đã là phần phân bổ theo diện tích (900/2.000 m²) nhưng còn nhân 50% ở cột F.</t>
        </r>
      </text>
    </comment>
    <comment ref="E1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Chờ TC-KT: 150 triệu khác báo giá EcoTek 198,7 triệu và Bảng 10 (200 triệu).</t>
        </r>
      </text>
    </comment>
    <comment ref="F15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Chờ TC-KT: tỷ lệ 30% nên theo số lượt sát hạch Hạng A/(A1 + A), khoảng 10–12%.</t>
        </r>
      </text>
    </comment>
    <comment ref="G17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Chờ TC-KT: tổng nguyên giá sử dụng gồm cả tài sản đã có; đề xuất hoàn vốn tính trên vốn đầu tư mới (Bảng 10 Đề án: 1.730,2 triệu).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B1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Chờ TC-KT: lượt thuê sân sát hạch 2027 (500) và 2028 (525) lớn hơn số học viên (220; 600). Đề xuất 2027 = 0; từ 2028 = học viên × 1,2.</t>
        </r>
      </text>
    </comment>
  </commentList>
</comments>
</file>

<file path=xl/sharedStrings.xml><?xml version="1.0" encoding="utf-8"?>
<sst xmlns="http://schemas.openxmlformats.org/spreadsheetml/2006/main" count="316" uniqueCount="196">
  <si>
    <t>Mẫu</t>
  </si>
  <si>
    <t>Ý nghĩa</t>
  </si>
  <si>
    <t>Số chỗ</t>
  </si>
  <si>
    <t>Chữ đỏ đậm, nền vàng nhạt</t>
  </si>
  <si>
    <t>Ô đã SỬA (công thức sai hoặc tên bảng sai) — có ghi chú (comment) nêu giá trị cũ và lý do</t>
  </si>
  <si>
    <t>7</t>
  </si>
  <si>
    <t>Chữ xanh dương; thẻ sheet xanh dương</t>
  </si>
  <si>
    <t>Nội dung BỔ SUNG MỚI (dòng 30 sheet Dự toán thu - chi; sheet Độ nhạy; sheet Ghi chú rà soát)</t>
  </si>
  <si>
    <t>3</t>
  </si>
  <si>
    <t>Nền cam nhạt (chữ giữ nguyên)</t>
  </si>
  <si>
    <t>Giả định CHỜ phòng TC-KT/Lãnh đạo quyết — chưa sửa số; xem comment tại ô và sheet Ghi chú rà soát</t>
  </si>
  <si>
    <t>10</t>
  </si>
  <si>
    <t>Không tô màu</t>
  </si>
  <si>
    <t>Giữ nguyên như bản của Tổ xây dựng Đề án (tệp Phu Lục V ngày 21/10/2026)</t>
  </si>
  <si>
    <t>—</t>
  </si>
  <si>
    <t>Quy ước áp dụng cho bản rà soát ngày 21/10/2026. Khi phòng TC-KT chấp nhận sửa đổi, bỏ tô màu và xóa comment trước khi trình.</t>
  </si>
  <si>
    <t>STT</t>
  </si>
  <si>
    <t>Năm 2027</t>
  </si>
  <si>
    <t>Năm 2028</t>
  </si>
  <si>
    <t>Năm 2029</t>
  </si>
  <si>
    <t>Năm 2030</t>
  </si>
  <si>
    <t>Năm 2031</t>
  </si>
  <si>
    <t>Mức học phí đào tạo/học viên</t>
  </si>
  <si>
    <t>Mức thu cho thuê xe tập luyện/giờ</t>
  </si>
  <si>
    <t>Mức thu cho thuê xe thiết bị/lượt</t>
  </si>
  <si>
    <t>Phụ lục V</t>
  </si>
  <si>
    <t>PHÂN KHAI KHOẢN THU CHO THUÊ SÂN, THIẾT BỊ ÔN LUYỆN VÀ PHỤC VỤ SÁT HẠCH LÁI XE MÔ TÔ HẠNG A</t>
  </si>
  <si>
    <t>TT</t>
  </si>
  <si>
    <t>CHỈ TIÊU</t>
  </si>
  <si>
    <t>ĐVT</t>
  </si>
  <si>
    <t>Số 
lượng</t>
  </si>
  <si>
    <t>A</t>
  </si>
  <si>
    <t>Doanh thu</t>
  </si>
  <si>
    <t>Cho thuê sân ôn luyện sát hạch</t>
  </si>
  <si>
    <t>Số lượt</t>
  </si>
  <si>
    <t>Lượt</t>
  </si>
  <si>
    <t>Đơn giá</t>
  </si>
  <si>
    <t>Đồng</t>
  </si>
  <si>
    <t>Thuê sân phục vụ sát hạch (53% lp)</t>
  </si>
  <si>
    <t>B</t>
  </si>
  <si>
    <t xml:space="preserve">Chi phí </t>
  </si>
  <si>
    <t>Nhiên liệu</t>
  </si>
  <si>
    <t>Chi phí nhiên liệu phục vụ cho thuê ôn luyện</t>
  </si>
  <si>
    <t>Chi phí nhiên liệu phục vụ sát hạch A</t>
  </si>
  <si>
    <t>Khấu hao phần lý thuyết sát hạch lái xe</t>
  </si>
  <si>
    <t>Học viên</t>
  </si>
  <si>
    <t>Khấu hao phần sát hạch thực hành</t>
  </si>
  <si>
    <t>Bảo dưỡng, sửa chữa nhỏ thiết bị</t>
  </si>
  <si>
    <t>Bảo dưỡng, sửa chữa nhỏ sân bãi</t>
  </si>
  <si>
    <t>Văn phòng phẩm phục vụ sát hạch A</t>
  </si>
  <si>
    <t>Khoán kinh phí vệ sinh phục vụ sát hạch A</t>
  </si>
  <si>
    <t>Chi phí lương bộ phận trực tiếp cho thuê sân</t>
  </si>
  <si>
    <t>Chi phí lương bộ phận quản lý chung</t>
  </si>
  <si>
    <t>Chi phí quản lý chung đào tạo, sát hạch mô tô</t>
  </si>
  <si>
    <t>Thuế TNDN, GTGT thuê sân sát hạch</t>
  </si>
  <si>
    <t>C</t>
  </si>
  <si>
    <t>Chênh lệch thu - Chi</t>
  </si>
  <si>
    <t>Quảng Ngãi, ngày    tháng   năm 2026</t>
  </si>
  <si>
    <t>KHOA ĐT&amp;SHLX</t>
  </si>
  <si>
    <t>PHÒNG TC-KT</t>
  </si>
  <si>
    <t>HIỆU TRƯỞNG</t>
  </si>
  <si>
    <t>Nguyễn Văn Thành</t>
  </si>
  <si>
    <t>Huỳnh Thị Tuyết</t>
  </si>
  <si>
    <t>Lê Trí Khải</t>
  </si>
  <si>
    <t>PHÂN KHAI HỌC PHÍ ĐÀO TẠO LÁI XE MÔ TÔ HẠNG A</t>
  </si>
  <si>
    <t>Mức khoán</t>
  </si>
  <si>
    <t>Năm thứ 1</t>
  </si>
  <si>
    <t>Năm thứ 2</t>
  </si>
  <si>
    <t>Năm thứ 3</t>
  </si>
  <si>
    <t>Năm thứ 4</t>
  </si>
  <si>
    <t>Năm thứ 5</t>
  </si>
  <si>
    <t>Doanh thu (=1 x2)</t>
  </si>
  <si>
    <t>Chi phí =(1+2+3+…+11+12)</t>
  </si>
  <si>
    <t>Khoán nhiên liệu</t>
  </si>
  <si>
    <t>Khấu hao cơ sở vật chất phần lý thuyết đào tạo lái xe</t>
  </si>
  <si>
    <t>Khấu hao phần đào tạo thực hành</t>
  </si>
  <si>
    <t>Tiền lương giảng dạy lý thuyết</t>
  </si>
  <si>
    <t>Khoán lương dạy thực hành</t>
  </si>
  <si>
    <t>Khoán thuê phương tiện</t>
  </si>
  <si>
    <t>Khoán tuyển sinh</t>
  </si>
  <si>
    <t>Khoán văn phòng phẩm phục vụ đào tạo A</t>
  </si>
  <si>
    <t>Chi phí lương cho bộ phận quản lý (10% lương trực tiếp)</t>
  </si>
  <si>
    <t>Đào tạo bồi dưỡng (2027:09GV)</t>
  </si>
  <si>
    <t>61.2</t>
  </si>
  <si>
    <t xml:space="preserve">Thuế TNDN học phí </t>
  </si>
  <si>
    <t>PHÂN KHAI HỌC PHÍ ĐÀO TẠO, SÁT HẠCH LÁI XE MÔ TÔ HẠNG A</t>
  </si>
  <si>
    <t>ĐVT: Triệu đồng</t>
  </si>
  <si>
    <t xml:space="preserve">Doanh thu </t>
  </si>
  <si>
    <t>Đào tạo lái xe mô tô hạng A</t>
  </si>
  <si>
    <t>Cho thuê sân, thiết bị ôn luyện hạng A</t>
  </si>
  <si>
    <t>Cho thuê sân, thiết bị sát hạch hạng A</t>
  </si>
  <si>
    <t>Khấu hao cơ sở vật chất</t>
  </si>
  <si>
    <t>Khoán lương bộ phận trực tiếp cho thuê xe và sân</t>
  </si>
  <si>
    <t>Khoán văn phòng phẩm phục vụ đào tạo, sát hạch A</t>
  </si>
  <si>
    <t>Chi phí lương cho bộ phận quản lý (15% lương TT)</t>
  </si>
  <si>
    <t>Chi phí quản lý chung đào tạo, sát hạch mô tô (10%)</t>
  </si>
  <si>
    <t>Chi phí hoạt động (điện, nước…)</t>
  </si>
  <si>
    <t>Nộp thuế GTGT (ước tính)</t>
  </si>
  <si>
    <t>Nộp thuế TNDN</t>
  </si>
  <si>
    <t>IV</t>
  </si>
  <si>
    <t>Lợi nhuận sau thuế</t>
  </si>
  <si>
    <t>V</t>
  </si>
  <si>
    <t>Xác định thời gian hoàn vốn đầu tư</t>
  </si>
  <si>
    <t>Tổng vốn đầu tư</t>
  </si>
  <si>
    <t>Dòng tiền</t>
  </si>
  <si>
    <t>Thời gian hoàn vốn</t>
  </si>
  <si>
    <t>4</t>
  </si>
  <si>
    <t>Dòng tiền lũy kế</t>
  </si>
  <si>
    <t>PHỤ LỤC</t>
  </si>
  <si>
    <t>TÍNH KHẤU HAO CƠ SỞ VẬT CHẤT  VÀ TRANG THIẾT BỊ HỤC VỤ CHO 
ĐÀO TẠO VÀ SÁT HẠCH HẠNG A</t>
  </si>
  <si>
    <t>Nội dung</t>
  </si>
  <si>
    <t>Đơn vị tính</t>
  </si>
  <si>
    <t>Số lượng</t>
  </si>
  <si>
    <t>Nguyên giá</t>
  </si>
  <si>
    <t>Tần suất sử dụng</t>
  </si>
  <si>
    <t>Nguyên giá sử dụng</t>
  </si>
  <si>
    <t>Tỷ lệ khấu hao</t>
  </si>
  <si>
    <t>Mức khấu hao hàng năm</t>
  </si>
  <si>
    <t>Ghi chú</t>
  </si>
  <si>
    <t>7=5*6</t>
  </si>
  <si>
    <t>9=7x8</t>
  </si>
  <si>
    <t>Phòng học lý thuyết</t>
  </si>
  <si>
    <t>m2</t>
  </si>
  <si>
    <t>Thời gian sử dụng 20 năm</t>
  </si>
  <si>
    <t>Phòng máy vi tính</t>
  </si>
  <si>
    <t>Máy vi tính (30 máy trạm, 2 máy chủ)</t>
  </si>
  <si>
    <t>Bộ</t>
  </si>
  <si>
    <t>Thời gian sử dụng 7 năm</t>
  </si>
  <si>
    <t>Nhà điều hành số 2</t>
  </si>
  <si>
    <t>Nhà</t>
  </si>
  <si>
    <t>Thời gian sử dụng 15 năm</t>
  </si>
  <si>
    <t>Xe mô tô sát hạch Hạng A (Honda CB350 H'ness)</t>
  </si>
  <si>
    <t>Chiếc</t>
  </si>
  <si>
    <t>Thời gian sử dụng 10 năm</t>
  </si>
  <si>
    <t xml:space="preserve">Sân tập </t>
  </si>
  <si>
    <t>sân</t>
  </si>
  <si>
    <t>Sân sát hạch bài tổng hợp số 1</t>
  </si>
  <si>
    <t>Sân</t>
  </si>
  <si>
    <t>Sân sát hạch bài tổng hợp số 2</t>
  </si>
  <si>
    <t>Thiết bị chấm điểm tự động trên xe sát hạch Hạng A, trên sân và tại phòng điều hành sát hạch thực hành Hạng A (module điều khiển chính, module hiển thị và camera, module tần số radio, phần mềm)</t>
  </si>
  <si>
    <t>Hệ thống</t>
  </si>
  <si>
    <t>Thời gian sử dụng 5 năm</t>
  </si>
  <si>
    <t>Thiết bị, phần mềm sát hạch xử lý tình huống giả định trên đường Hạng A1, A</t>
  </si>
  <si>
    <t>Thiết bị hỗ trợ sát hạch: Bộ đàm; hệ thống âm thanh; màn hình hiển thị; camera giám sát; máy phát điện dự phòng; thiết bị lưu điện</t>
  </si>
  <si>
    <t>Thời gian sử dụng 8 năm</t>
  </si>
  <si>
    <t xml:space="preserve">Tổng </t>
  </si>
  <si>
    <t>Chỉ tiêu</t>
  </si>
  <si>
    <t>Số học viên đào tạo (dự kiến bình quân 45 HV/khoá)</t>
  </si>
  <si>
    <t>Học phí/học viên (dự kiến)</t>
  </si>
  <si>
    <t>Tổng doanh thu dự kiến/năm</t>
  </si>
  <si>
    <t xml:space="preserve">Số lượt cho thuê thiết bị ôn luyện </t>
  </si>
  <si>
    <t xml:space="preserve">Đơn giá cho thuê </t>
  </si>
  <si>
    <t>Tổng doanh thu</t>
  </si>
  <si>
    <t>Số lượt cho thuê thiết bị sát hạch</t>
  </si>
  <si>
    <t>PHÂN TÍCH ĐỘ NHẠY THEO SỐ HỌC VIÊN HẠNG A</t>
  </si>
  <si>
    <t>Đơn vị tính: triệu đồng. Tính bằng cùng công thức sheet "Dự toán thu - chi" (giữ nguyên khấu hao, chi bồi dưỡng; các khoản khác theo tỷ lệ doanh thu). Bảng giá trị, do AI tính ngày 21/10/2026 — phòng TC-KT kiểm tra lại.</t>
  </si>
  <si>
    <t>Kịch bản</t>
  </si>
  <si>
    <t>Thời gian hoàn vốn (năm)</t>
  </si>
  <si>
    <t>100% kế hoạch (Bảng 7)</t>
  </si>
  <si>
    <t>Chi phí</t>
  </si>
  <si>
    <t>70% kế hoạch</t>
  </si>
  <si>
    <t>Chưa hoàn vốn trong 5 năm</t>
  </si>
  <si>
    <t>50% kế hoạch</t>
  </si>
  <si>
    <t>Vốn đầu tư dùng làm mẫu số: 1,505.18 triệu đồng ('Khấu hao'!G17). Nếu dùng vốn đầu tư mới tại Bảng 10 (1.730,2 triệu đồng), kịch bản 100% chưa hoàn vốn trong 5 năm.</t>
  </si>
  <si>
    <t>Vị trí</t>
  </si>
  <si>
    <t>Nội dung rà soát (21/10/2026)</t>
  </si>
  <si>
    <t>Trạng thái</t>
  </si>
  <si>
    <t>Dự toán thu - chi!C29</t>
  </si>
  <si>
    <t>Công thức hoàn vốn cũ chia dòng tiền 5 năm cho 4, cho kết quả 3,83 năm. Đã thay bằng cách tính theo dòng tiền lũy kế (dòng 30): kết quả ≈ 4,86 năm.</t>
  </si>
  <si>
    <t>Đã sửa</t>
  </si>
  <si>
    <t>Nội dung khoán tHU CHI học phí!F15:I15</t>
  </si>
  <si>
    <t>Năm 1 tính (lương LT + TH) × 10%, năm 2–5 tính 10% doanh thu: không thống nhất. Đã thống nhất theo năm 1. Dòng này không chuyển sang sheet tổng hợp.</t>
  </si>
  <si>
    <t>Nội dung khoán THU CHI thuê sân!F23:I23</t>
  </si>
  <si>
    <t>Năm 1 tính theo lương trực tiếp, năm 2–5 tính theo doanh thu cho thuê ôn luyện: không thống nhất. Đã thống nhất theo năm 1. Dòng 23 chưa được cộng vào tổng chi phí (dòng 12): đề nghị TC-KT xác định có tính hay không.</t>
  </si>
  <si>
    <t>Đã sửa công thức; chờ TC-KT</t>
  </si>
  <si>
    <t>Dự kiến thu!B14:C14</t>
  </si>
  <si>
    <t>Lượt thuê sân sát hạch năm 2027 là 500, năm 2028 là 525: lớn hơn số học viên (220; 600), trong khi Trường chỉ sát hạch Hạng A sau khi được cấp lại giấy phép. Đề xuất 2027 = 0; từ 2028 = học viên × 1,2 như các năm sau.</t>
  </si>
  <si>
    <t>Chờ TC-KT</t>
  </si>
  <si>
    <t>lộ trình hp!D8:F8</t>
  </si>
  <si>
    <t>Đơn giá thuê thiết bị ôn luyện tăng 10%/năm từ 2029; thân Đề án ghi tăng 5%/năm.</t>
  </si>
  <si>
    <t>lộ trình hp!A7</t>
  </si>
  <si>
    <t>"Mức thu cho thuê xe tập luyện 300.000 đ/giờ" không được dùng trong doanh thu. Bỏ dòng hoặc bổ sung doanh thu tương ứng.</t>
  </si>
  <si>
    <t>Nội dung khoán THU CHI thuê sân!A2, E11</t>
  </si>
  <si>
    <t>Tiêu đề "LỆ PHÍ sát hạch" nên là phí sát hạch (TT 154/2025/TT-BTC) hoặc giá dịch vụ sử dụng sân, thiết bị. Mức 53% × 130.000 đ cần ghi căn cứ (thỏa thuận với Phòng CSGT hoặc thực tế thu Hạng A1 năm 2025).</t>
  </si>
  <si>
    <t>Khấu hao!G17; Dự toán thu - chi!C27</t>
  </si>
  <si>
    <t>Tổng vốn đầu tư 1.505,18 triệu gồm cả tài sản đã có (phòng học, phòng máy, 03 sân tập A1). Đề xuất: hoàn vốn tính trên vốn đầu tư mới; khấu hao tài sản cũ chỉ đưa vào chi phí.</t>
  </si>
  <si>
    <t>Khấu hao!E13, E14, F15</t>
  </si>
  <si>
    <t>Sân bài số 2: 590 triệu đã là phần phân bổ theo diện tích (900/2.000 m² của 1.310,2 triệu) nhưng còn nhân 50%. Thiết bị chấm điểm 150 triệu khác báo giá EcoTek 198,7 triệu và Bảng 10 (200 triệu). Tỷ lệ 30% bài số 2 nên theo số lượt sát hạch A/A1 (khoảng 10–12%).</t>
  </si>
  <si>
    <t>Dự toán thu - chi!C23:G24</t>
  </si>
  <si>
    <t>Thuế TNDN đang tính theo tỷ lệ % trên doanh thu (2%, 5%), trong khi bảng đã hạch toán chi phí; đối chiếu NĐ 320/2025/NĐ-CP. Học phí A1 theo QĐ 572/QĐ-CĐKT ghi đã gồm GTGT 5% — thống nhất cách tính cho Hạng A.</t>
  </si>
  <si>
    <t>Nội dung khoán tHU CHI học phí!D7:D14</t>
  </si>
  <si>
    <t>Tổng tỷ lệ khoán trực tiếp trên học phí 67% (cao hơn mức 55–60% đã khảo sát tại Gia Lai).</t>
  </si>
  <si>
    <t>Chờ Lãnh đạo</t>
  </si>
  <si>
    <t>Các sheet</t>
  </si>
  <si>
    <t>Tiêu đề các sheet ghi "Phụ lục I" và có phần ký: bảng tính kèm Đề án là Phụ lục V, đề nghị bỏ phần ký hoặc thống nhất số phụ lục.</t>
  </si>
  <si>
    <t>Chờ 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</si>
</sst>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  <numFmt numFmtId="167" formatCode="_(* #,##0.0000_);_(* \(#,##0.0000\);_(* &quot;-&quot;??_);_(@_)"/>
  </numFmts>
  <fonts count="3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name val="Times New Roman"/>
    </font>
    <font>
      <sz val="12"/>
      <name val="Times New Roman"/>
    </font>
    <font>
      <sz val="11"/>
      <color theme="1"/>
      <name val="Times New Roman"/>
    </font>
    <font>
      <b/>
      <sz val="14"/>
      <color rgb="FFC00000"/>
      <name val="Times New Roman"/>
    </font>
    <font>
      <sz val="13"/>
      <color rgb="FFC00000"/>
      <name val="Times New Roman"/>
    </font>
    <font>
      <sz val="14"/>
      <color rgb="FF0070C0"/>
      <name val="Times New Roman"/>
    </font>
    <font>
      <b/>
      <sz val="13"/>
      <color rgb="FF0070C0"/>
      <name val="Times New Roman"/>
    </font>
    <font>
      <sz val="11"/>
      <color rgb="FF0070C0"/>
      <name val="Times New Roman"/>
    </font>
    <font>
      <b/>
      <sz val="12"/>
      <color rgb="FF0070C0"/>
      <name val="Times New Roman"/>
    </font>
    <font>
      <sz val="12"/>
      <color rgb="FF0070C0"/>
      <name val="Times New Roman"/>
    </font>
    <font>
      <b/>
      <sz val="12"/>
      <color rgb="FFC00000"/>
      <name val="Times New Roman"/>
    </font>
    <font>
      <i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/>
    <xf numFmtId="9" fontId="4" fillId="0" borderId="0"/>
  </cellStyleXfs>
  <cellXfs count="16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2" fillId="0" borderId="1" xfId="2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" fontId="1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0" fontId="11" fillId="0" borderId="0" xfId="0" applyFont="1"/>
    <xf numFmtId="9" fontId="3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9" fontId="1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4" fontId="2" fillId="0" borderId="0" xfId="1" applyNumberFormat="1" applyFont="1" applyAlignment="1" applyProtection="1">
      <alignment horizontal="right" wrapText="1"/>
      <protection locked="0"/>
    </xf>
    <xf numFmtId="0" fontId="0" fillId="0" borderId="0" xfId="0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/>
    <xf numFmtId="0" fontId="12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shrinkToFi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 shrinkToFit="1"/>
    </xf>
    <xf numFmtId="164" fontId="11" fillId="0" borderId="0" xfId="1" applyNumberFormat="1" applyFont="1"/>
    <xf numFmtId="164" fontId="11" fillId="0" borderId="0" xfId="0" applyNumberFormat="1" applyFont="1"/>
    <xf numFmtId="165" fontId="11" fillId="0" borderId="0" xfId="2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7" fillId="0" borderId="0" xfId="0" applyFont="1"/>
    <xf numFmtId="164" fontId="17" fillId="0" borderId="0" xfId="0" applyNumberFormat="1" applyFont="1"/>
    <xf numFmtId="10" fontId="16" fillId="0" borderId="0" xfId="2" applyNumberFormat="1" applyFont="1"/>
    <xf numFmtId="3" fontId="7" fillId="0" borderId="0" xfId="0" applyNumberFormat="1" applyFont="1" applyAlignment="1">
      <alignment horizontal="right" vertical="center" wrapText="1"/>
    </xf>
    <xf numFmtId="9" fontId="16" fillId="0" borderId="0" xfId="0" applyNumberFormat="1" applyFont="1"/>
    <xf numFmtId="164" fontId="16" fillId="0" borderId="0" xfId="0" applyNumberFormat="1" applyFont="1"/>
    <xf numFmtId="4" fontId="7" fillId="0" borderId="0" xfId="0" applyNumberFormat="1" applyFont="1" applyAlignment="1">
      <alignment horizontal="right" vertical="center" wrapText="1"/>
    </xf>
    <xf numFmtId="4" fontId="1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18" fillId="0" borderId="5" xfId="0" applyFont="1" applyBorder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8" fillId="0" borderId="5" xfId="0" applyFont="1" applyBorder="1"/>
    <xf numFmtId="9" fontId="16" fillId="0" borderId="0" xfId="2" applyFont="1"/>
    <xf numFmtId="9" fontId="7" fillId="0" borderId="1" xfId="0" applyNumberFormat="1" applyFont="1" applyBorder="1" applyAlignment="1">
      <alignment horizontal="center" vertical="center" wrapText="1"/>
    </xf>
    <xf numFmtId="43" fontId="8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3" fontId="7" fillId="0" borderId="1" xfId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vertical="center"/>
    </xf>
    <xf numFmtId="166" fontId="8" fillId="0" borderId="1" xfId="1" applyNumberFormat="1" applyFont="1" applyBorder="1" applyAlignment="1">
      <alignment vertical="center"/>
    </xf>
    <xf numFmtId="166" fontId="7" fillId="0" borderId="1" xfId="1" applyNumberFormat="1" applyFont="1" applyBorder="1"/>
    <xf numFmtId="166" fontId="2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0" fillId="0" borderId="1" xfId="1" applyNumberFormat="1" applyFont="1" applyBorder="1" applyAlignment="1">
      <alignment vertical="center"/>
    </xf>
    <xf numFmtId="166" fontId="9" fillId="0" borderId="1" xfId="1" applyNumberFormat="1" applyFont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43" fontId="2" fillId="0" borderId="1" xfId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43" fontId="8" fillId="0" borderId="1" xfId="0" applyNumberFormat="1" applyFont="1" applyBorder="1" applyAlignment="1">
      <alignment vertical="center"/>
    </xf>
    <xf numFmtId="43" fontId="7" fillId="0" borderId="1" xfId="0" applyNumberFormat="1" applyFont="1" applyBorder="1"/>
    <xf numFmtId="43" fontId="12" fillId="0" borderId="1" xfId="0" applyNumberFormat="1" applyFont="1" applyBorder="1" applyAlignment="1">
      <alignment horizontal="right" vertical="center" wrapText="1"/>
    </xf>
    <xf numFmtId="166" fontId="12" fillId="0" borderId="1" xfId="1" applyNumberFormat="1" applyFont="1" applyBorder="1" applyAlignment="1">
      <alignment horizontal="justify" vertical="center" wrapText="1"/>
    </xf>
    <xf numFmtId="166" fontId="12" fillId="0" borderId="1" xfId="0" applyNumberFormat="1" applyFont="1" applyBorder="1" applyAlignment="1">
      <alignment horizontal="justify" vertical="center" wrapText="1"/>
    </xf>
    <xf numFmtId="43" fontId="12" fillId="0" borderId="1" xfId="1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right" vertical="center" wrapText="1"/>
    </xf>
    <xf numFmtId="0" fontId="22" fillId="0" borderId="0" xfId="0" applyFont="1"/>
    <xf numFmtId="164" fontId="22" fillId="0" borderId="0" xfId="0" applyNumberFormat="1" applyFont="1"/>
    <xf numFmtId="0" fontId="20" fillId="0" borderId="11" xfId="0" applyFont="1" applyBorder="1" applyAlignment="1">
      <alignment vertical="center" wrapText="1"/>
    </xf>
    <xf numFmtId="0" fontId="30" fillId="2" borderId="11" xfId="0" applyFont="1" applyFill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21" fillId="3" borderId="11" xfId="0" applyFont="1" applyFill="1" applyBorder="1" applyAlignment="1">
      <alignment vertical="center" wrapText="1"/>
    </xf>
    <xf numFmtId="0" fontId="31" fillId="0" borderId="0" xfId="0" applyFont="1"/>
    <xf numFmtId="0" fontId="7" fillId="3" borderId="1" xfId="0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center" vertical="center"/>
    </xf>
    <xf numFmtId="166" fontId="24" fillId="2" borderId="1" xfId="1" applyNumberFormat="1" applyFont="1" applyFill="1" applyBorder="1" applyAlignment="1">
      <alignment vertical="center"/>
    </xf>
    <xf numFmtId="9" fontId="1" fillId="3" borderId="1" xfId="2" applyFont="1" applyFill="1" applyBorder="1" applyAlignment="1">
      <alignment horizontal="center" vertical="center"/>
    </xf>
    <xf numFmtId="43" fontId="24" fillId="2" borderId="1" xfId="0" applyNumberFormat="1" applyFont="1" applyFill="1" applyBorder="1" applyAlignment="1">
      <alignment vertical="center"/>
    </xf>
    <xf numFmtId="43" fontId="7" fillId="3" borderId="1" xfId="0" applyNumberFormat="1" applyFont="1" applyFill="1" applyBorder="1" applyAlignment="1">
      <alignment vertical="center"/>
    </xf>
    <xf numFmtId="43" fontId="23" fillId="2" borderId="1" xfId="0" applyNumberFormat="1" applyFont="1" applyFill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43" fontId="25" fillId="0" borderId="1" xfId="0" applyNumberFormat="1" applyFont="1" applyBorder="1"/>
    <xf numFmtId="164" fontId="7" fillId="3" borderId="1" xfId="1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right" vertical="center" wrapText="1"/>
    </xf>
    <xf numFmtId="0" fontId="26" fillId="0" borderId="0" xfId="0" applyFont="1"/>
    <xf numFmtId="0" fontId="28" fillId="0" borderId="8" xfId="0" applyFont="1" applyBorder="1" applyAlignment="1">
      <alignment horizontal="center" vertical="center" wrapText="1"/>
    </xf>
    <xf numFmtId="0" fontId="29" fillId="0" borderId="8" xfId="0" applyFont="1" applyBorder="1"/>
    <xf numFmtId="4" fontId="29" fillId="0" borderId="8" xfId="0" applyNumberFormat="1" applyFont="1" applyBorder="1"/>
    <xf numFmtId="0" fontId="27" fillId="0" borderId="0" xfId="0" applyFont="1"/>
    <xf numFmtId="0" fontId="28" fillId="0" borderId="8" xfId="0" applyFont="1" applyBorder="1" applyAlignment="1">
      <alignment vertical="top" wrapText="1"/>
    </xf>
    <xf numFmtId="0" fontId="29" fillId="0" borderId="8" xfId="0" applyFont="1" applyBorder="1" applyAlignment="1">
      <alignment vertical="top" wrapText="1"/>
    </xf>
    <xf numFmtId="0" fontId="23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3" fillId="0" borderId="0" xfId="1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3" xfId="0" applyBorder="1"/>
    <xf numFmtId="0" fontId="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0" fillId="0" borderId="5" xfId="0" applyBorder="1"/>
    <xf numFmtId="0" fontId="16" fillId="0" borderId="0" xfId="0" applyFont="1" applyAlignment="1">
      <alignment horizontal="left"/>
    </xf>
    <xf numFmtId="0" fontId="16" fillId="0" borderId="0" xfId="0" applyFont="1"/>
    <xf numFmtId="0" fontId="8" fillId="0" borderId="4" xfId="0" applyFont="1" applyBorder="1" applyAlignment="1">
      <alignment horizontal="center" vertical="center"/>
    </xf>
    <xf numFmtId="0" fontId="0" fillId="0" borderId="7" xfId="0" applyBorder="1"/>
    <xf numFmtId="0" fontId="8" fillId="0" borderId="0" xfId="0" applyFont="1" applyAlignment="1">
      <alignment horizontal="center" wrapText="1"/>
    </xf>
    <xf numFmtId="0" fontId="29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9" fillId="0" borderId="8" xfId="0" applyFont="1" applyBorder="1" applyAlignment="1">
      <alignment vertical="center" wrapText="1"/>
    </xf>
    <xf numFmtId="0" fontId="27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  <pageSetUpPr fitToPage="1"/>
  </sheetPr>
  <dimension ref="A1:C7"/>
  <sheetViews>
    <sheetView workbookViewId="0"/>
  </sheetViews>
  <sheetFormatPr defaultRowHeight="14.4" x14ac:dyDescent="0.3"/>
  <cols>
    <col min="1" max="1" width="34" customWidth="1"/>
    <col min="2" max="2" width="90" customWidth="1"/>
    <col min="3" max="3" width="8" customWidth="1"/>
  </cols>
  <sheetData>
    <row r="1" spans="1:3" ht="15.6" x14ac:dyDescent="0.3">
      <c r="A1" s="109" t="s">
        <v>0</v>
      </c>
      <c r="B1" s="109" t="s">
        <v>1</v>
      </c>
      <c r="C1" s="109" t="s">
        <v>2</v>
      </c>
    </row>
    <row r="2" spans="1:3" ht="15.6" x14ac:dyDescent="0.3">
      <c r="A2" s="110" t="s">
        <v>3</v>
      </c>
      <c r="B2" s="111" t="s">
        <v>4</v>
      </c>
      <c r="C2" s="111" t="s">
        <v>5</v>
      </c>
    </row>
    <row r="3" spans="1:3" ht="31.2" x14ac:dyDescent="0.3">
      <c r="A3" s="112" t="s">
        <v>6</v>
      </c>
      <c r="B3" s="111" t="s">
        <v>7</v>
      </c>
      <c r="C3" s="111" t="s">
        <v>8</v>
      </c>
    </row>
    <row r="4" spans="1:3" ht="31.2" x14ac:dyDescent="0.3">
      <c r="A4" s="113" t="s">
        <v>9</v>
      </c>
      <c r="B4" s="111" t="s">
        <v>10</v>
      </c>
      <c r="C4" s="111" t="s">
        <v>11</v>
      </c>
    </row>
    <row r="5" spans="1:3" ht="15.6" x14ac:dyDescent="0.3">
      <c r="A5" s="111" t="s">
        <v>12</v>
      </c>
      <c r="B5" s="111" t="s">
        <v>13</v>
      </c>
      <c r="C5" s="111" t="s">
        <v>14</v>
      </c>
    </row>
    <row r="7" spans="1:3" x14ac:dyDescent="0.3">
      <c r="A7" s="114" t="s">
        <v>15</v>
      </c>
    </row>
  </sheetData>
  <pageMargins left="0.75" right="0.75" top="1" bottom="1" header="0.5" footer="0.5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F8"/>
  <sheetViews>
    <sheetView workbookViewId="0">
      <selection activeCell="E13" sqref="E13"/>
    </sheetView>
  </sheetViews>
  <sheetFormatPr defaultRowHeight="14.4" x14ac:dyDescent="0.3"/>
  <cols>
    <col min="1" max="1" width="28.33203125" customWidth="1"/>
    <col min="2" max="6" width="16.109375" customWidth="1"/>
  </cols>
  <sheetData>
    <row r="5" spans="1:6" ht="18.75" customHeight="1" x14ac:dyDescent="0.3">
      <c r="A5" s="31" t="s">
        <v>16</v>
      </c>
      <c r="B5" s="31" t="s">
        <v>17</v>
      </c>
      <c r="C5" s="31" t="s">
        <v>18</v>
      </c>
      <c r="D5" s="31" t="s">
        <v>19</v>
      </c>
      <c r="E5" s="31" t="s">
        <v>20</v>
      </c>
      <c r="F5" s="31" t="s">
        <v>21</v>
      </c>
    </row>
    <row r="6" spans="1:6" ht="49.5" customHeight="1" x14ac:dyDescent="0.3">
      <c r="A6" s="32" t="s">
        <v>22</v>
      </c>
      <c r="B6" s="81">
        <v>2.35</v>
      </c>
      <c r="C6" s="81">
        <f t="shared" ref="C6:F7" si="0">B6*(1+5%)</f>
        <v>2.4675000000000002</v>
      </c>
      <c r="D6" s="81">
        <f t="shared" si="0"/>
        <v>2.5908750000000005</v>
      </c>
      <c r="E6" s="81">
        <f t="shared" si="0"/>
        <v>2.7204187500000008</v>
      </c>
      <c r="F6" s="81">
        <f t="shared" si="0"/>
        <v>2.8564396875000009</v>
      </c>
    </row>
    <row r="7" spans="1:6" ht="49.5" customHeight="1" x14ac:dyDescent="0.3">
      <c r="A7" s="115" t="s">
        <v>23</v>
      </c>
      <c r="B7" s="116">
        <v>0.3</v>
      </c>
      <c r="C7" s="116">
        <f t="shared" si="0"/>
        <v>0.315</v>
      </c>
      <c r="D7" s="116">
        <f t="shared" si="0"/>
        <v>0.33075000000000004</v>
      </c>
      <c r="E7" s="116">
        <f t="shared" si="0"/>
        <v>0.34728750000000008</v>
      </c>
      <c r="F7" s="116">
        <f t="shared" si="0"/>
        <v>0.36465187500000013</v>
      </c>
    </row>
    <row r="8" spans="1:6" ht="49.5" customHeight="1" x14ac:dyDescent="0.3">
      <c r="A8" s="32" t="s">
        <v>24</v>
      </c>
      <c r="B8" s="82">
        <v>0.05</v>
      </c>
      <c r="C8" s="82">
        <f>B8*(1+5%)</f>
        <v>5.2500000000000005E-2</v>
      </c>
      <c r="D8" s="116">
        <f>C8*(1+10%)</f>
        <v>5.775000000000001E-2</v>
      </c>
      <c r="E8" s="116">
        <f>D8*(1+10%)</f>
        <v>6.3525000000000012E-2</v>
      </c>
      <c r="F8" s="116">
        <f>E8*(1+10%)</f>
        <v>6.9877500000000023E-2</v>
      </c>
    </row>
  </sheetData>
  <pageMargins left="0.7" right="0.7" top="0.75" bottom="0.75" header="0.3" footer="0.3"/>
  <pageSetup paperSize="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3"/>
  <sheetViews>
    <sheetView topLeftCell="A13" workbookViewId="0">
      <selection activeCell="E32" sqref="E32"/>
    </sheetView>
  </sheetViews>
  <sheetFormatPr defaultColWidth="9.33203125" defaultRowHeight="14.4" x14ac:dyDescent="0.3"/>
  <cols>
    <col min="1" max="1" width="4.109375" bestFit="1" customWidth="1"/>
    <col min="2" max="2" width="38.109375" customWidth="1"/>
    <col min="3" max="3" width="13.109375" bestFit="1" customWidth="1"/>
    <col min="4" max="4" width="9.44140625" style="25" customWidth="1"/>
    <col min="5" max="5" width="16.6640625" customWidth="1"/>
    <col min="6" max="6" width="18.6640625" customWidth="1"/>
    <col min="7" max="7" width="24.33203125" bestFit="1" customWidth="1"/>
    <col min="8" max="8" width="17" customWidth="1"/>
    <col min="9" max="9" width="17.109375" customWidth="1"/>
  </cols>
  <sheetData>
    <row r="1" spans="1:9" ht="18.75" customHeight="1" x14ac:dyDescent="0.3">
      <c r="A1" s="137" t="s">
        <v>25</v>
      </c>
      <c r="B1" s="138"/>
      <c r="C1" s="138"/>
      <c r="D1" s="139"/>
      <c r="E1" s="138"/>
      <c r="F1" s="138"/>
    </row>
    <row r="2" spans="1:9" ht="18.75" customHeight="1" x14ac:dyDescent="0.3">
      <c r="A2" s="137" t="s">
        <v>26</v>
      </c>
      <c r="B2" s="138"/>
      <c r="C2" s="138"/>
      <c r="D2" s="139"/>
      <c r="E2" s="138"/>
      <c r="F2" s="138"/>
    </row>
    <row r="4" spans="1:9" ht="33" customHeight="1" x14ac:dyDescent="0.3">
      <c r="A4" s="3" t="s">
        <v>27</v>
      </c>
      <c r="B4" s="3" t="s">
        <v>28</v>
      </c>
      <c r="C4" s="3" t="s">
        <v>29</v>
      </c>
      <c r="D4" s="4" t="s">
        <v>30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</row>
    <row r="5" spans="1:9" ht="18.75" customHeight="1" x14ac:dyDescent="0.3">
      <c r="A5" s="3" t="s">
        <v>31</v>
      </c>
      <c r="B5" s="5" t="s">
        <v>32</v>
      </c>
      <c r="C5" s="3"/>
      <c r="D5" s="3"/>
      <c r="E5" s="86">
        <f>E6+E9</f>
        <v>45.45</v>
      </c>
      <c r="F5" s="86">
        <f>F6+F9</f>
        <v>67.672499999999999</v>
      </c>
      <c r="G5" s="86">
        <f>G6+G9</f>
        <v>96.89670000000001</v>
      </c>
      <c r="H5" s="86">
        <f>H6+H9</f>
        <v>116.96400000000001</v>
      </c>
      <c r="I5" s="86">
        <f>I6+I9</f>
        <v>140.35290000000003</v>
      </c>
    </row>
    <row r="6" spans="1:9" ht="18.75" customHeight="1" x14ac:dyDescent="0.3">
      <c r="A6" s="1">
        <v>1</v>
      </c>
      <c r="B6" s="28" t="s">
        <v>33</v>
      </c>
      <c r="D6" s="29"/>
      <c r="E6" s="83">
        <f>E7*E8</f>
        <v>11</v>
      </c>
      <c r="F6" s="83">
        <f>F7*F8</f>
        <v>31.500000000000004</v>
      </c>
      <c r="G6" s="83">
        <f>G7*G8</f>
        <v>39.847500000000004</v>
      </c>
      <c r="H6" s="83">
        <f>H7*H8</f>
        <v>50.820000000000007</v>
      </c>
      <c r="I6" s="83">
        <f>I7*I8</f>
        <v>64.287300000000016</v>
      </c>
    </row>
    <row r="7" spans="1:9" ht="18.75" customHeight="1" x14ac:dyDescent="0.3">
      <c r="A7" s="6"/>
      <c r="B7" s="7" t="s">
        <v>34</v>
      </c>
      <c r="C7" s="1" t="s">
        <v>35</v>
      </c>
      <c r="D7" s="29"/>
      <c r="E7" s="83">
        <f>'Dự kiến thu'!B9</f>
        <v>220</v>
      </c>
      <c r="F7" s="83">
        <f>'Dự kiến thu'!C9</f>
        <v>600</v>
      </c>
      <c r="G7" s="83">
        <f>'Dự kiến thu'!D9</f>
        <v>690</v>
      </c>
      <c r="H7" s="83">
        <f>'Dự kiến thu'!E9</f>
        <v>800</v>
      </c>
      <c r="I7" s="83">
        <f>'Dự kiến thu'!F9</f>
        <v>920</v>
      </c>
    </row>
    <row r="8" spans="1:9" ht="18.75" customHeight="1" x14ac:dyDescent="0.3">
      <c r="A8" s="6"/>
      <c r="B8" s="7" t="s">
        <v>36</v>
      </c>
      <c r="C8" s="6" t="s">
        <v>37</v>
      </c>
      <c r="E8" s="83">
        <f>'lộ trình hp'!B8</f>
        <v>0.05</v>
      </c>
      <c r="F8" s="83">
        <f>'lộ trình hp'!C8</f>
        <v>5.2500000000000005E-2</v>
      </c>
      <c r="G8" s="83">
        <f>'lộ trình hp'!D8</f>
        <v>5.775000000000001E-2</v>
      </c>
      <c r="H8" s="83">
        <f>'lộ trình hp'!E8</f>
        <v>6.3525000000000012E-2</v>
      </c>
      <c r="I8" s="83">
        <f>'lộ trình hp'!F8</f>
        <v>6.9877500000000023E-2</v>
      </c>
    </row>
    <row r="9" spans="1:9" ht="18.75" customHeight="1" x14ac:dyDescent="0.35">
      <c r="A9" s="1">
        <v>2</v>
      </c>
      <c r="B9" s="28" t="s">
        <v>38</v>
      </c>
      <c r="C9" s="1"/>
      <c r="D9" s="29"/>
      <c r="E9" s="87">
        <f>E11*E10</f>
        <v>34.450000000000003</v>
      </c>
      <c r="F9" s="87">
        <f>F11*F10</f>
        <v>36.172499999999999</v>
      </c>
      <c r="G9" s="87">
        <f>G11*G10</f>
        <v>57.049199999999999</v>
      </c>
      <c r="H9" s="87">
        <f>H11*H10</f>
        <v>66.144000000000005</v>
      </c>
      <c r="I9" s="87">
        <f>I11*I10</f>
        <v>76.065600000000003</v>
      </c>
    </row>
    <row r="10" spans="1:9" ht="18.75" customHeight="1" x14ac:dyDescent="0.3">
      <c r="A10" s="6"/>
      <c r="B10" s="7" t="s">
        <v>34</v>
      </c>
      <c r="C10" s="1" t="s">
        <v>35</v>
      </c>
      <c r="D10" s="29"/>
      <c r="E10" s="83">
        <f>'Dự kiến thu'!B14</f>
        <v>500</v>
      </c>
      <c r="F10" s="83">
        <f>'Dự kiến thu'!C14</f>
        <v>525</v>
      </c>
      <c r="G10" s="83">
        <f>'Dự kiến thu'!D14</f>
        <v>828</v>
      </c>
      <c r="H10" s="83">
        <f>'Dự kiến thu'!E14</f>
        <v>960</v>
      </c>
      <c r="I10" s="83">
        <f>'Dự kiến thu'!F14</f>
        <v>1104</v>
      </c>
    </row>
    <row r="11" spans="1:9" ht="18.75" customHeight="1" x14ac:dyDescent="0.3">
      <c r="A11" s="6"/>
      <c r="B11" s="7" t="s">
        <v>36</v>
      </c>
      <c r="C11" s="6" t="s">
        <v>37</v>
      </c>
      <c r="D11" s="29"/>
      <c r="E11" s="117">
        <f>0.13*53%</f>
        <v>6.8900000000000003E-2</v>
      </c>
      <c r="F11" s="117">
        <f>0.13*53%</f>
        <v>6.8900000000000003E-2</v>
      </c>
      <c r="G11" s="117">
        <f>0.13*53%</f>
        <v>6.8900000000000003E-2</v>
      </c>
      <c r="H11" s="117">
        <f>0.13*53%</f>
        <v>6.8900000000000003E-2</v>
      </c>
      <c r="I11" s="117">
        <f>0.13*53%</f>
        <v>6.8900000000000003E-2</v>
      </c>
    </row>
    <row r="12" spans="1:9" ht="16.5" customHeight="1" x14ac:dyDescent="0.3">
      <c r="A12" s="3" t="s">
        <v>39</v>
      </c>
      <c r="B12" s="5" t="s">
        <v>40</v>
      </c>
      <c r="C12" s="3"/>
      <c r="D12" s="8"/>
      <c r="E12" s="88">
        <f>E13+E16+E17+E18+E19+E20+E21+E22+E24+E25</f>
        <v>39.753000000000007</v>
      </c>
      <c r="F12" s="88">
        <f>F13+F16+F17+F18+F19+F20+F21+F22+F24+F25</f>
        <v>55.107150000000019</v>
      </c>
      <c r="G12" s="88">
        <f>G13+G16+G17+G18+G19+G20+G21+G22+G24+G25</f>
        <v>80.324073000000013</v>
      </c>
      <c r="H12" s="88">
        <f>H13+H16+H17+H18+H19+H20+H21+H22+H24+H25</f>
        <v>96.224760000000003</v>
      </c>
      <c r="I12" s="88">
        <f>I13+I16+I17+I18+I19+I20+I21+I22+I24+I25</f>
        <v>114.57415500000003</v>
      </c>
    </row>
    <row r="13" spans="1:9" ht="16.5" customHeight="1" x14ac:dyDescent="0.3">
      <c r="A13" s="9">
        <v>1</v>
      </c>
      <c r="B13" s="10" t="s">
        <v>41</v>
      </c>
      <c r="C13" s="1"/>
      <c r="D13" s="11"/>
      <c r="E13" s="89">
        <f>E14+E15</f>
        <v>4.7650000000000006</v>
      </c>
      <c r="F13" s="89">
        <f>F14+F15</f>
        <v>7.3972500000000005</v>
      </c>
      <c r="G13" s="89">
        <f>G14+G15</f>
        <v>10.48662</v>
      </c>
      <c r="H13" s="89">
        <f>H14+H15</f>
        <v>12.712800000000001</v>
      </c>
      <c r="I13" s="89">
        <f>I14+I15</f>
        <v>15.321036000000003</v>
      </c>
    </row>
    <row r="14" spans="1:9" s="15" customFormat="1" ht="33" customHeight="1" x14ac:dyDescent="0.3">
      <c r="A14" s="145"/>
      <c r="B14" s="12" t="s">
        <v>42</v>
      </c>
      <c r="C14" s="6" t="s">
        <v>35</v>
      </c>
      <c r="D14" s="14">
        <v>0.12</v>
      </c>
      <c r="E14" s="90">
        <f>E6*D14</f>
        <v>1.3199999999999998</v>
      </c>
      <c r="F14" s="90">
        <f>F6*D$14</f>
        <v>3.7800000000000002</v>
      </c>
      <c r="G14" s="90">
        <f>G6*D14</f>
        <v>4.7816999999999998</v>
      </c>
      <c r="H14" s="90">
        <f>H6*D14</f>
        <v>6.0984000000000007</v>
      </c>
      <c r="I14" s="90">
        <f>I6*D14</f>
        <v>7.7144760000000012</v>
      </c>
    </row>
    <row r="15" spans="1:9" s="15" customFormat="1" ht="23.25" customHeight="1" x14ac:dyDescent="0.3">
      <c r="A15" s="146"/>
      <c r="B15" s="12" t="s">
        <v>43</v>
      </c>
      <c r="C15" s="6" t="s">
        <v>35</v>
      </c>
      <c r="D15" s="16">
        <v>0.1</v>
      </c>
      <c r="E15" s="90">
        <f>E9*D15</f>
        <v>3.4450000000000003</v>
      </c>
      <c r="F15" s="90">
        <f>F9*D15</f>
        <v>3.6172500000000003</v>
      </c>
      <c r="G15" s="90">
        <f>G9*D15</f>
        <v>5.7049200000000004</v>
      </c>
      <c r="H15" s="90">
        <f>H9*D15</f>
        <v>6.6144000000000007</v>
      </c>
      <c r="I15" s="90">
        <f>I9*D15</f>
        <v>7.6065600000000009</v>
      </c>
    </row>
    <row r="16" spans="1:9" s="15" customFormat="1" ht="16.5" customHeight="1" x14ac:dyDescent="0.3">
      <c r="A16" s="13">
        <v>2</v>
      </c>
      <c r="B16" s="17" t="s">
        <v>44</v>
      </c>
      <c r="C16" s="13" t="s">
        <v>45</v>
      </c>
      <c r="D16" s="16">
        <v>0.1</v>
      </c>
      <c r="E16" s="90">
        <f>E9*D16</f>
        <v>3.4450000000000003</v>
      </c>
      <c r="F16" s="90">
        <f>F9*D16</f>
        <v>3.6172500000000003</v>
      </c>
      <c r="G16" s="90">
        <f>G9*D16</f>
        <v>5.7049200000000004</v>
      </c>
      <c r="H16" s="90">
        <f>H9*D16</f>
        <v>6.6144000000000007</v>
      </c>
      <c r="I16" s="90">
        <f>I9*D16</f>
        <v>7.6065600000000009</v>
      </c>
    </row>
    <row r="17" spans="1:9" s="15" customFormat="1" ht="16.5" customHeight="1" x14ac:dyDescent="0.3">
      <c r="A17" s="13">
        <v>3</v>
      </c>
      <c r="B17" s="17" t="s">
        <v>46</v>
      </c>
      <c r="C17" s="13" t="s">
        <v>45</v>
      </c>
      <c r="D17" s="16">
        <v>0.1</v>
      </c>
      <c r="E17" s="91">
        <f>E$9*D$17</f>
        <v>3.4450000000000003</v>
      </c>
      <c r="F17" s="91">
        <f>F$9*D17</f>
        <v>3.6172500000000003</v>
      </c>
      <c r="G17" s="91">
        <f>G$9*D17</f>
        <v>5.7049200000000004</v>
      </c>
      <c r="H17" s="91">
        <f>H$9*D17</f>
        <v>6.6144000000000007</v>
      </c>
      <c r="I17" s="91">
        <f>I$9*D17</f>
        <v>7.6065600000000009</v>
      </c>
    </row>
    <row r="18" spans="1:9" s="15" customFormat="1" ht="16.5" customHeight="1" x14ac:dyDescent="0.3">
      <c r="A18" s="13">
        <v>4</v>
      </c>
      <c r="B18" s="17" t="s">
        <v>47</v>
      </c>
      <c r="C18" s="13" t="s">
        <v>45</v>
      </c>
      <c r="D18" s="18">
        <v>0.2</v>
      </c>
      <c r="E18" s="91">
        <f>E5*D18</f>
        <v>9.0900000000000016</v>
      </c>
      <c r="F18" s="91">
        <f>F5*D$18</f>
        <v>13.534500000000001</v>
      </c>
      <c r="G18" s="91">
        <f>G5*D18</f>
        <v>19.379340000000003</v>
      </c>
      <c r="H18" s="91">
        <f>H5*D18</f>
        <v>23.392800000000005</v>
      </c>
      <c r="I18" s="91">
        <f>I5*D18</f>
        <v>28.070580000000007</v>
      </c>
    </row>
    <row r="19" spans="1:9" s="15" customFormat="1" ht="16.5" customHeight="1" x14ac:dyDescent="0.3">
      <c r="A19" s="13">
        <v>5</v>
      </c>
      <c r="B19" s="17" t="s">
        <v>48</v>
      </c>
      <c r="C19" s="13" t="s">
        <v>45</v>
      </c>
      <c r="D19" s="18">
        <v>0.05</v>
      </c>
      <c r="E19" s="91">
        <f>E5*D19</f>
        <v>2.2725000000000004</v>
      </c>
      <c r="F19" s="91">
        <f>F5*D19</f>
        <v>3.3836250000000003</v>
      </c>
      <c r="G19" s="91">
        <f>G5*D19</f>
        <v>4.8448350000000007</v>
      </c>
      <c r="H19" s="91">
        <f>H5*D19</f>
        <v>5.8482000000000012</v>
      </c>
      <c r="I19" s="91">
        <f>I5*D19</f>
        <v>7.0176450000000017</v>
      </c>
    </row>
    <row r="20" spans="1:9" s="15" customFormat="1" ht="16.5" customHeight="1" x14ac:dyDescent="0.3">
      <c r="A20" s="13">
        <v>6</v>
      </c>
      <c r="B20" s="17" t="s">
        <v>49</v>
      </c>
      <c r="C20" s="19" t="s">
        <v>45</v>
      </c>
      <c r="D20" s="18">
        <v>0.04</v>
      </c>
      <c r="E20" s="91">
        <f>E9*D20</f>
        <v>1.3780000000000001</v>
      </c>
      <c r="F20" s="91">
        <f>F9*D20</f>
        <v>1.4469000000000001</v>
      </c>
      <c r="G20" s="91">
        <f>G9*D20</f>
        <v>2.281968</v>
      </c>
      <c r="H20" s="91">
        <f>H9*D20</f>
        <v>2.6457600000000001</v>
      </c>
      <c r="I20" s="91">
        <f>I9*D20</f>
        <v>3.042624</v>
      </c>
    </row>
    <row r="21" spans="1:9" ht="16.5" customHeight="1" x14ac:dyDescent="0.3">
      <c r="A21" s="13">
        <v>7</v>
      </c>
      <c r="B21" s="2" t="s">
        <v>50</v>
      </c>
      <c r="C21" s="1" t="s">
        <v>45</v>
      </c>
      <c r="D21" s="18">
        <v>0.05</v>
      </c>
      <c r="E21" s="91">
        <f>E9*D21</f>
        <v>1.7225000000000001</v>
      </c>
      <c r="F21" s="91">
        <f>F9*D21</f>
        <v>1.8086250000000001</v>
      </c>
      <c r="G21" s="91">
        <f>G9*D21</f>
        <v>2.8524600000000002</v>
      </c>
      <c r="H21" s="91">
        <f>H9*D21</f>
        <v>3.3072000000000004</v>
      </c>
      <c r="I21" s="91">
        <f>I9*D21</f>
        <v>3.8032800000000004</v>
      </c>
    </row>
    <row r="22" spans="1:9" ht="16.5" customHeight="1" x14ac:dyDescent="0.3">
      <c r="A22" s="13">
        <v>8</v>
      </c>
      <c r="B22" s="2" t="s">
        <v>51</v>
      </c>
      <c r="C22" s="1" t="s">
        <v>45</v>
      </c>
      <c r="D22" s="18">
        <v>0.1</v>
      </c>
      <c r="E22" s="91">
        <f>E5*$D$22</f>
        <v>4.5450000000000008</v>
      </c>
      <c r="F22" s="91">
        <f>F5*$D$22</f>
        <v>6.7672500000000007</v>
      </c>
      <c r="G22" s="91">
        <f>G5*$D$22</f>
        <v>9.6896700000000013</v>
      </c>
      <c r="H22" s="91">
        <f>H5*$D$22</f>
        <v>11.696400000000002</v>
      </c>
      <c r="I22" s="91">
        <f>I5*$D$22</f>
        <v>14.035290000000003</v>
      </c>
    </row>
    <row r="23" spans="1:9" ht="16.5" customHeight="1" x14ac:dyDescent="0.3">
      <c r="A23" s="13">
        <v>9</v>
      </c>
      <c r="B23" s="2" t="s">
        <v>52</v>
      </c>
      <c r="C23" s="1" t="s">
        <v>45</v>
      </c>
      <c r="D23" s="18">
        <v>0.1</v>
      </c>
      <c r="E23" s="91">
        <f>E22*D23</f>
        <v>0.45450000000000013</v>
      </c>
      <c r="F23" s="118">
        <f>F22*$D23</f>
        <v>0.67672500000000013</v>
      </c>
      <c r="G23" s="118">
        <f>G22*$D23</f>
        <v>0.96896700000000013</v>
      </c>
      <c r="H23" s="118">
        <f>H22*$D23</f>
        <v>1.1696400000000002</v>
      </c>
      <c r="I23" s="118">
        <f>I22*$D23</f>
        <v>1.4035290000000005</v>
      </c>
    </row>
    <row r="24" spans="1:9" ht="16.5" customHeight="1" x14ac:dyDescent="0.3">
      <c r="A24" s="13">
        <v>10</v>
      </c>
      <c r="B24" s="2" t="s">
        <v>53</v>
      </c>
      <c r="C24" s="1" t="s">
        <v>45</v>
      </c>
      <c r="D24" s="18">
        <v>0.1</v>
      </c>
      <c r="E24" s="91">
        <f>E$5*D24</f>
        <v>4.5450000000000008</v>
      </c>
      <c r="F24" s="91">
        <f>F$5*D24</f>
        <v>6.7672500000000007</v>
      </c>
      <c r="G24" s="91">
        <f>G$5*D24</f>
        <v>9.6896700000000013</v>
      </c>
      <c r="H24" s="91">
        <f>H$5*D24</f>
        <v>11.696400000000002</v>
      </c>
      <c r="I24" s="91">
        <f>I$5*D24</f>
        <v>14.035290000000003</v>
      </c>
    </row>
    <row r="25" spans="1:9" ht="16.5" customHeight="1" x14ac:dyDescent="0.3">
      <c r="A25" s="13">
        <v>11</v>
      </c>
      <c r="B25" s="2" t="s">
        <v>54</v>
      </c>
      <c r="C25" s="1" t="s">
        <v>45</v>
      </c>
      <c r="D25" s="18">
        <v>0.1</v>
      </c>
      <c r="E25" s="91">
        <f>E$5*D25</f>
        <v>4.5450000000000008</v>
      </c>
      <c r="F25" s="91">
        <f>F$5*D25</f>
        <v>6.7672500000000007</v>
      </c>
      <c r="G25" s="91">
        <f>G$5*D25</f>
        <v>9.6896700000000013</v>
      </c>
      <c r="H25" s="91">
        <f>H$5*D25</f>
        <v>11.696400000000002</v>
      </c>
      <c r="I25" s="91">
        <f>I$5*D25</f>
        <v>14.035290000000003</v>
      </c>
    </row>
    <row r="26" spans="1:9" s="30" customFormat="1" ht="16.5" customHeight="1" x14ac:dyDescent="0.3">
      <c r="A26" s="40" t="s">
        <v>55</v>
      </c>
      <c r="B26" s="27" t="s">
        <v>56</v>
      </c>
      <c r="C26" s="3"/>
      <c r="D26" s="8">
        <f>E26/E5</f>
        <v>0.12534653465346524</v>
      </c>
      <c r="E26" s="92">
        <f>E5-E12</f>
        <v>5.6969999999999956</v>
      </c>
      <c r="F26" s="92">
        <f>F5-F12</f>
        <v>12.565349999999981</v>
      </c>
      <c r="G26" s="92">
        <f>G5-G12</f>
        <v>16.572626999999997</v>
      </c>
      <c r="H26" s="92">
        <f>H5-H12</f>
        <v>20.739240000000009</v>
      </c>
      <c r="I26" s="92">
        <f>I5-I12</f>
        <v>25.778745000000001</v>
      </c>
    </row>
    <row r="27" spans="1:9" s="23" customFormat="1" ht="16.5" customHeight="1" x14ac:dyDescent="0.3">
      <c r="A27" s="20"/>
      <c r="B27" s="21"/>
      <c r="C27" s="22"/>
      <c r="D27" s="20"/>
      <c r="E27" s="143" t="s">
        <v>57</v>
      </c>
      <c r="F27" s="141"/>
    </row>
    <row r="28" spans="1:9" s="23" customFormat="1" ht="16.5" customHeight="1" x14ac:dyDescent="0.3">
      <c r="A28" s="22"/>
      <c r="B28" s="21" t="s">
        <v>58</v>
      </c>
      <c r="C28" s="140" t="s">
        <v>59</v>
      </c>
      <c r="D28" s="141"/>
      <c r="E28" s="144" t="s">
        <v>60</v>
      </c>
      <c r="F28" s="141"/>
    </row>
    <row r="29" spans="1:9" s="23" customFormat="1" ht="16.5" customHeight="1" x14ac:dyDescent="0.3">
      <c r="A29" s="20"/>
      <c r="B29" s="21"/>
      <c r="C29" s="21"/>
      <c r="D29" s="20"/>
      <c r="E29" s="24"/>
      <c r="F29" s="24"/>
    </row>
    <row r="30" spans="1:9" s="23" customFormat="1" ht="16.5" customHeight="1" x14ac:dyDescent="0.3">
      <c r="A30" s="20"/>
      <c r="B30" s="21"/>
      <c r="C30" s="21"/>
      <c r="D30" s="20"/>
      <c r="E30" s="24"/>
      <c r="F30" s="24"/>
    </row>
    <row r="31" spans="1:9" s="23" customFormat="1" ht="16.5" customHeight="1" x14ac:dyDescent="0.3">
      <c r="A31" s="20"/>
      <c r="B31" s="21"/>
      <c r="C31" s="21"/>
      <c r="D31" s="20"/>
      <c r="E31" s="24"/>
      <c r="F31" s="24"/>
    </row>
    <row r="32" spans="1:9" s="23" customFormat="1" ht="16.5" customHeight="1" x14ac:dyDescent="0.3">
      <c r="A32" s="20"/>
      <c r="B32" s="21"/>
      <c r="C32" s="21"/>
      <c r="D32" s="20"/>
      <c r="E32" s="24"/>
      <c r="F32" s="24"/>
    </row>
    <row r="33" spans="1:6" s="23" customFormat="1" ht="16.5" customHeight="1" x14ac:dyDescent="0.3">
      <c r="A33" s="20"/>
      <c r="B33" s="21" t="s">
        <v>61</v>
      </c>
      <c r="C33" s="140" t="s">
        <v>62</v>
      </c>
      <c r="D33" s="141"/>
      <c r="E33" s="142" t="s">
        <v>63</v>
      </c>
      <c r="F33" s="141"/>
    </row>
  </sheetData>
  <mergeCells count="8">
    <mergeCell ref="A2:F2"/>
    <mergeCell ref="C33:D33"/>
    <mergeCell ref="A1:F1"/>
    <mergeCell ref="E33:F33"/>
    <mergeCell ref="E27:F27"/>
    <mergeCell ref="E28:F28"/>
    <mergeCell ref="C28:D28"/>
    <mergeCell ref="A14:A15"/>
  </mergeCells>
  <pageMargins left="0.7" right="0.7" top="0.75" bottom="0.75" header="0.3" footer="0.3"/>
  <pageSetup paperSize="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9"/>
  <sheetViews>
    <sheetView tabSelected="1" topLeftCell="A3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3" customWidth="1"/>
    <col min="3" max="3" width="13.109375" bestFit="1" customWidth="1"/>
    <col min="4" max="4" width="10.33203125" style="25" customWidth="1"/>
    <col min="5" max="5" width="16.6640625" customWidth="1"/>
    <col min="6" max="6" width="17.44140625" customWidth="1"/>
    <col min="7" max="7" width="17.6640625" customWidth="1"/>
    <col min="8" max="8" width="17.44140625" customWidth="1"/>
    <col min="9" max="9" width="17.33203125" customWidth="1"/>
    <col min="10" max="10" width="23.44140625" customWidth="1"/>
    <col min="11" max="11" width="11.5546875" bestFit="1" customWidth="1"/>
  </cols>
  <sheetData>
    <row r="1" spans="1:11" ht="18.75" customHeight="1" x14ac:dyDescent="0.3">
      <c r="A1" s="137" t="s">
        <v>25</v>
      </c>
      <c r="B1" s="138"/>
      <c r="C1" s="138"/>
      <c r="D1" s="139"/>
      <c r="E1" s="138"/>
      <c r="F1" s="138"/>
    </row>
    <row r="2" spans="1:11" ht="18.75" customHeight="1" x14ac:dyDescent="0.3">
      <c r="A2" s="147" t="s">
        <v>64</v>
      </c>
      <c r="B2" s="138"/>
      <c r="C2" s="138"/>
      <c r="D2" s="139"/>
      <c r="E2" s="138"/>
      <c r="F2" s="138"/>
      <c r="G2" s="138"/>
      <c r="H2" s="138"/>
      <c r="I2" s="138"/>
    </row>
    <row r="4" spans="1:11" ht="33" customHeight="1" x14ac:dyDescent="0.3">
      <c r="A4" s="3" t="s">
        <v>27</v>
      </c>
      <c r="B4" s="3" t="s">
        <v>28</v>
      </c>
      <c r="C4" s="3" t="s">
        <v>29</v>
      </c>
      <c r="D4" s="4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</row>
    <row r="5" spans="1:11" ht="16.5" customHeight="1" x14ac:dyDescent="0.3">
      <c r="A5" s="3" t="s">
        <v>31</v>
      </c>
      <c r="B5" s="5" t="s">
        <v>71</v>
      </c>
      <c r="C5" s="3" t="s">
        <v>45</v>
      </c>
      <c r="D5" s="3"/>
      <c r="E5" s="93">
        <f>'Dự kiến thu'!B5*'Dự kiến thu'!B4</f>
        <v>517</v>
      </c>
      <c r="F5" s="93">
        <f>'Dự kiến thu'!C5*'Dự kiến thu'!C4</f>
        <v>1480.5000000000002</v>
      </c>
      <c r="G5" s="93">
        <f>'Dự kiến thu'!D5*'Dự kiến thu'!D4</f>
        <v>1787.7037500000004</v>
      </c>
      <c r="H5" s="93">
        <f>'Dự kiến thu'!E5*'Dự kiến thu'!E4</f>
        <v>2176.3350000000005</v>
      </c>
      <c r="I5" s="93">
        <f>'Dự kiến thu'!F5*'Dự kiến thu'!F4</f>
        <v>2627.9245125000007</v>
      </c>
    </row>
    <row r="6" spans="1:11" ht="16.5" customHeight="1" x14ac:dyDescent="0.3">
      <c r="A6" s="3" t="s">
        <v>39</v>
      </c>
      <c r="B6" s="5" t="s">
        <v>72</v>
      </c>
      <c r="C6" s="3"/>
      <c r="D6" s="8"/>
      <c r="E6" s="84">
        <f>SUM(E7:E18)</f>
        <v>431.178</v>
      </c>
      <c r="F6" s="84">
        <f>SUM(F7:F18)</f>
        <v>1241.7369999999999</v>
      </c>
      <c r="G6" s="84">
        <f>SUM(G7:G18)</f>
        <v>1497.9449275000004</v>
      </c>
      <c r="H6" s="84">
        <f>SUM(H7:H18)</f>
        <v>1822.0633900000005</v>
      </c>
      <c r="I6" s="84">
        <f>SUM(I7:I18)</f>
        <v>2198.6890434250004</v>
      </c>
    </row>
    <row r="7" spans="1:11" ht="16.5" customHeight="1" x14ac:dyDescent="0.3">
      <c r="A7" s="9">
        <v>1</v>
      </c>
      <c r="B7" s="10" t="s">
        <v>73</v>
      </c>
      <c r="C7" s="1" t="s">
        <v>45</v>
      </c>
      <c r="D7" s="119">
        <v>0.1</v>
      </c>
      <c r="E7" s="85">
        <f t="shared" ref="E7:E14" si="0">E$5*D7</f>
        <v>51.7</v>
      </c>
      <c r="F7" s="85">
        <f t="shared" ref="F7:F14" si="1">F$5*D7</f>
        <v>148.05000000000004</v>
      </c>
      <c r="G7" s="85">
        <f t="shared" ref="G7:G14" si="2">G$5*D7</f>
        <v>178.77037500000006</v>
      </c>
      <c r="H7" s="85">
        <f t="shared" ref="H7:H14" si="3">H$5*D7</f>
        <v>217.63350000000005</v>
      </c>
      <c r="I7" s="85">
        <f t="shared" ref="I7:I14" si="4">I$5*D7</f>
        <v>262.79245125000006</v>
      </c>
    </row>
    <row r="8" spans="1:11" s="15" customFormat="1" ht="33" customHeight="1" x14ac:dyDescent="0.3">
      <c r="A8" s="13">
        <v>2</v>
      </c>
      <c r="B8" s="39" t="s">
        <v>74</v>
      </c>
      <c r="C8" s="13" t="s">
        <v>45</v>
      </c>
      <c r="D8" s="119">
        <v>0.01</v>
      </c>
      <c r="E8" s="85">
        <f t="shared" si="0"/>
        <v>5.17</v>
      </c>
      <c r="F8" s="85">
        <f t="shared" si="1"/>
        <v>14.805000000000003</v>
      </c>
      <c r="G8" s="85">
        <f t="shared" si="2"/>
        <v>17.877037500000004</v>
      </c>
      <c r="H8" s="85">
        <f t="shared" si="3"/>
        <v>21.763350000000006</v>
      </c>
      <c r="I8" s="85">
        <f t="shared" si="4"/>
        <v>26.279245125000006</v>
      </c>
    </row>
    <row r="9" spans="1:11" s="15" customFormat="1" ht="33" customHeight="1" x14ac:dyDescent="0.3">
      <c r="A9" s="9">
        <v>3</v>
      </c>
      <c r="B9" s="39" t="s">
        <v>75</v>
      </c>
      <c r="C9" s="13" t="s">
        <v>45</v>
      </c>
      <c r="D9" s="119">
        <v>0.01</v>
      </c>
      <c r="E9" s="85">
        <f t="shared" si="0"/>
        <v>5.17</v>
      </c>
      <c r="F9" s="85">
        <f t="shared" si="1"/>
        <v>14.805000000000003</v>
      </c>
      <c r="G9" s="85">
        <f t="shared" si="2"/>
        <v>17.877037500000004</v>
      </c>
      <c r="H9" s="85">
        <f t="shared" si="3"/>
        <v>21.763350000000006</v>
      </c>
      <c r="I9" s="85">
        <f t="shared" si="4"/>
        <v>26.279245125000006</v>
      </c>
      <c r="K9" s="42"/>
    </row>
    <row r="10" spans="1:11" s="15" customFormat="1" ht="16.5" customHeight="1" x14ac:dyDescent="0.3">
      <c r="A10" s="13">
        <v>4</v>
      </c>
      <c r="B10" s="39" t="s">
        <v>76</v>
      </c>
      <c r="C10" s="13" t="s">
        <v>45</v>
      </c>
      <c r="D10" s="119">
        <v>0.12</v>
      </c>
      <c r="E10" s="85">
        <f t="shared" si="0"/>
        <v>62.04</v>
      </c>
      <c r="F10" s="85">
        <f t="shared" si="1"/>
        <v>177.66000000000003</v>
      </c>
      <c r="G10" s="85">
        <f t="shared" si="2"/>
        <v>214.52445000000003</v>
      </c>
      <c r="H10" s="85">
        <f t="shared" si="3"/>
        <v>261.16020000000003</v>
      </c>
      <c r="I10" s="85">
        <f t="shared" si="4"/>
        <v>315.35094150000009</v>
      </c>
      <c r="K10" s="42"/>
    </row>
    <row r="11" spans="1:11" s="15" customFormat="1" ht="16.5" customHeight="1" x14ac:dyDescent="0.3">
      <c r="A11" s="9">
        <v>5</v>
      </c>
      <c r="B11" s="39" t="s">
        <v>77</v>
      </c>
      <c r="C11" s="13" t="s">
        <v>45</v>
      </c>
      <c r="D11" s="119">
        <v>0.12</v>
      </c>
      <c r="E11" s="85">
        <f t="shared" si="0"/>
        <v>62.04</v>
      </c>
      <c r="F11" s="85">
        <f t="shared" si="1"/>
        <v>177.66000000000003</v>
      </c>
      <c r="G11" s="85">
        <f t="shared" si="2"/>
        <v>214.52445000000003</v>
      </c>
      <c r="H11" s="85">
        <f t="shared" si="3"/>
        <v>261.16020000000003</v>
      </c>
      <c r="I11" s="85">
        <f t="shared" si="4"/>
        <v>315.35094150000009</v>
      </c>
      <c r="K11" s="42"/>
    </row>
    <row r="12" spans="1:11" s="15" customFormat="1" ht="16.5" customHeight="1" x14ac:dyDescent="0.3">
      <c r="A12" s="13">
        <v>6</v>
      </c>
      <c r="B12" s="39" t="s">
        <v>78</v>
      </c>
      <c r="C12" s="13" t="s">
        <v>45</v>
      </c>
      <c r="D12" s="119">
        <v>0.25</v>
      </c>
      <c r="E12" s="85">
        <f t="shared" si="0"/>
        <v>129.25</v>
      </c>
      <c r="F12" s="85">
        <f t="shared" si="1"/>
        <v>370.12500000000006</v>
      </c>
      <c r="G12" s="85">
        <f t="shared" si="2"/>
        <v>446.92593750000009</v>
      </c>
      <c r="H12" s="85">
        <f t="shared" si="3"/>
        <v>544.08375000000012</v>
      </c>
      <c r="I12" s="85">
        <f t="shared" si="4"/>
        <v>656.98112812500017</v>
      </c>
      <c r="K12" s="42"/>
    </row>
    <row r="13" spans="1:11" s="15" customFormat="1" ht="16.5" customHeight="1" x14ac:dyDescent="0.3">
      <c r="A13" s="9">
        <v>7</v>
      </c>
      <c r="B13" s="39" t="s">
        <v>79</v>
      </c>
      <c r="C13" s="19" t="s">
        <v>45</v>
      </c>
      <c r="D13" s="119">
        <v>7.0000000000000007E-2</v>
      </c>
      <c r="E13" s="85">
        <f t="shared" si="0"/>
        <v>36.190000000000005</v>
      </c>
      <c r="F13" s="85">
        <f t="shared" si="1"/>
        <v>103.63500000000002</v>
      </c>
      <c r="G13" s="85">
        <f t="shared" si="2"/>
        <v>125.13926250000004</v>
      </c>
      <c r="H13" s="85">
        <f t="shared" si="3"/>
        <v>152.34345000000005</v>
      </c>
      <c r="I13" s="85">
        <f t="shared" si="4"/>
        <v>183.95471587500006</v>
      </c>
      <c r="K13" s="42"/>
    </row>
    <row r="14" spans="1:11" s="15" customFormat="1" ht="33" customHeight="1" x14ac:dyDescent="0.3">
      <c r="A14" s="13">
        <v>8</v>
      </c>
      <c r="B14" s="39" t="s">
        <v>80</v>
      </c>
      <c r="C14" s="19" t="s">
        <v>45</v>
      </c>
      <c r="D14" s="119">
        <v>0.01</v>
      </c>
      <c r="E14" s="85">
        <f t="shared" si="0"/>
        <v>5.17</v>
      </c>
      <c r="F14" s="85">
        <f t="shared" si="1"/>
        <v>14.805000000000003</v>
      </c>
      <c r="G14" s="85">
        <f t="shared" si="2"/>
        <v>17.877037500000004</v>
      </c>
      <c r="H14" s="85">
        <f t="shared" si="3"/>
        <v>21.763350000000006</v>
      </c>
      <c r="I14" s="85">
        <f t="shared" si="4"/>
        <v>26.279245125000006</v>
      </c>
      <c r="K14" s="43"/>
    </row>
    <row r="15" spans="1:11" ht="33" customHeight="1" x14ac:dyDescent="0.3">
      <c r="A15" s="9">
        <v>9</v>
      </c>
      <c r="B15" s="39" t="s">
        <v>81</v>
      </c>
      <c r="C15" s="1" t="s">
        <v>45</v>
      </c>
      <c r="D15" s="18">
        <v>0.1</v>
      </c>
      <c r="E15" s="85">
        <f>(E10+E11)*D15</f>
        <v>12.408000000000001</v>
      </c>
      <c r="F15" s="120">
        <f>(F10+F11)*$D15</f>
        <v>35.532000000000004</v>
      </c>
      <c r="G15" s="120">
        <f>(G10+G11)*$D15</f>
        <v>42.904890000000009</v>
      </c>
      <c r="H15" s="120">
        <f>(H10+H11)*$D15</f>
        <v>52.232040000000012</v>
      </c>
      <c r="I15" s="120">
        <f>(I10+I11)*$D15</f>
        <v>63.070188300000019</v>
      </c>
      <c r="K15" s="44"/>
    </row>
    <row r="16" spans="1:11" ht="33" customHeight="1" x14ac:dyDescent="0.3">
      <c r="A16" s="13">
        <v>10</v>
      </c>
      <c r="B16" s="39" t="s">
        <v>53</v>
      </c>
      <c r="C16" s="1" t="s">
        <v>45</v>
      </c>
      <c r="D16" s="18">
        <v>0.1</v>
      </c>
      <c r="E16" s="85">
        <f>E$5*D16</f>
        <v>51.7</v>
      </c>
      <c r="F16" s="85">
        <f>F$5*D16</f>
        <v>148.05000000000004</v>
      </c>
      <c r="G16" s="85">
        <f>G$5*D16</f>
        <v>178.77037500000006</v>
      </c>
      <c r="H16" s="85">
        <f>H$5*D16</f>
        <v>217.63350000000005</v>
      </c>
      <c r="I16" s="85">
        <f>I$5*D16</f>
        <v>262.79245125000006</v>
      </c>
    </row>
    <row r="17" spans="1:9" ht="33" customHeight="1" x14ac:dyDescent="0.3">
      <c r="A17" s="9">
        <v>11</v>
      </c>
      <c r="B17" s="39" t="s">
        <v>82</v>
      </c>
      <c r="C17" s="1"/>
      <c r="D17" s="18">
        <v>0.08</v>
      </c>
      <c r="E17" s="85" t="s">
        <v>83</v>
      </c>
      <c r="F17" s="85">
        <v>7</v>
      </c>
      <c r="G17" s="85">
        <v>7</v>
      </c>
      <c r="H17" s="85">
        <v>7</v>
      </c>
      <c r="I17" s="85">
        <v>7</v>
      </c>
    </row>
    <row r="18" spans="1:9" ht="16.5" customHeight="1" x14ac:dyDescent="0.3">
      <c r="A18" s="13">
        <v>12</v>
      </c>
      <c r="B18" s="39" t="s">
        <v>84</v>
      </c>
      <c r="C18" s="1" t="s">
        <v>45</v>
      </c>
      <c r="D18" s="18">
        <v>0.02</v>
      </c>
      <c r="E18" s="85">
        <f>E$5*D18</f>
        <v>10.34</v>
      </c>
      <c r="F18" s="85">
        <f>F$5*D18</f>
        <v>29.610000000000007</v>
      </c>
      <c r="G18" s="85">
        <f>G$5*D18</f>
        <v>35.754075000000007</v>
      </c>
      <c r="H18" s="85">
        <f>H$5*D18</f>
        <v>43.526700000000012</v>
      </c>
      <c r="I18" s="85">
        <f>I$5*D18</f>
        <v>52.558490250000013</v>
      </c>
    </row>
    <row r="19" spans="1:9" s="30" customFormat="1" ht="16.5" customHeight="1" x14ac:dyDescent="0.3">
      <c r="A19" s="40" t="s">
        <v>55</v>
      </c>
      <c r="B19" s="41" t="s">
        <v>56</v>
      </c>
      <c r="C19" s="3" t="s">
        <v>45</v>
      </c>
      <c r="D19" s="26"/>
      <c r="E19" s="84">
        <f>E5-E6</f>
        <v>85.822000000000003</v>
      </c>
      <c r="F19" s="84">
        <f>F5-F6</f>
        <v>238.76300000000037</v>
      </c>
      <c r="G19" s="84">
        <f>G5-G6</f>
        <v>289.75882249999995</v>
      </c>
      <c r="H19" s="84">
        <f>H5-H6</f>
        <v>354.27161000000001</v>
      </c>
      <c r="I19" s="84">
        <f>I5-I6</f>
        <v>429.23546907500031</v>
      </c>
    </row>
  </sheetData>
  <mergeCells count="2">
    <mergeCell ref="A1:F1"/>
    <mergeCell ref="A2:I2"/>
  </mergeCells>
  <pageMargins left="0.7" right="0.7" top="0.75" bottom="0.75" header="0.3" footer="0.3"/>
  <pageSetup paperSize="9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0"/>
  <sheetViews>
    <sheetView tabSelected="1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9.5546875" customWidth="1"/>
    <col min="3" max="3" width="15" customWidth="1"/>
    <col min="4" max="4" width="15.109375" customWidth="1"/>
    <col min="5" max="5" width="15.5546875" customWidth="1"/>
    <col min="6" max="6" width="15.33203125" customWidth="1"/>
    <col min="7" max="7" width="18.44140625" customWidth="1"/>
    <col min="8" max="8" width="23.44140625" customWidth="1"/>
    <col min="9" max="9" width="11.5546875" bestFit="1" customWidth="1"/>
  </cols>
  <sheetData>
    <row r="1" spans="1:17" ht="18.75" customHeight="1" x14ac:dyDescent="0.3">
      <c r="A1" s="137" t="s">
        <v>25</v>
      </c>
      <c r="B1" s="138"/>
      <c r="C1" s="138"/>
      <c r="D1" s="138"/>
      <c r="E1" s="138"/>
      <c r="F1" s="138"/>
      <c r="G1" s="138"/>
    </row>
    <row r="2" spans="1:17" ht="18.75" customHeight="1" x14ac:dyDescent="0.3">
      <c r="A2" s="147" t="s">
        <v>85</v>
      </c>
      <c r="B2" s="138"/>
      <c r="C2" s="138"/>
      <c r="D2" s="138"/>
      <c r="E2" s="138"/>
      <c r="F2" s="138"/>
      <c r="G2" s="138"/>
    </row>
    <row r="3" spans="1:17" ht="18.75" customHeight="1" x14ac:dyDescent="0.35">
      <c r="F3" s="148" t="s">
        <v>86</v>
      </c>
      <c r="G3" s="149"/>
      <c r="H3" s="76"/>
    </row>
    <row r="4" spans="1:17" ht="16.5" customHeight="1" x14ac:dyDescent="0.3">
      <c r="A4" s="3" t="s">
        <v>27</v>
      </c>
      <c r="B4" s="3" t="s">
        <v>28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107">
        <v>1000000</v>
      </c>
    </row>
    <row r="5" spans="1:17" ht="16.5" customHeight="1" x14ac:dyDescent="0.3">
      <c r="A5" s="3" t="s">
        <v>31</v>
      </c>
      <c r="B5" s="5" t="s">
        <v>87</v>
      </c>
      <c r="C5" s="93">
        <f>SUM(C6:C8)</f>
        <v>562.45000000000005</v>
      </c>
      <c r="D5" s="93">
        <f>SUM(D6:D8)</f>
        <v>1548.1725000000001</v>
      </c>
      <c r="E5" s="93">
        <f>SUM(E6:E8)</f>
        <v>1884.6004500000004</v>
      </c>
      <c r="F5" s="93">
        <f>SUM(F6:F8)</f>
        <v>2293.2990000000009</v>
      </c>
      <c r="G5" s="93">
        <f>SUM(G6:G8)</f>
        <v>2768.2774125000005</v>
      </c>
      <c r="H5" s="108">
        <f t="shared" ref="H5:Q5" si="0">C5/$H4</f>
        <v>5.6245000000000004E-4</v>
      </c>
      <c r="I5" s="108">
        <f t="shared" si="0"/>
        <v>1.5481725000000002E-3</v>
      </c>
      <c r="J5" s="108">
        <f t="shared" si="0"/>
        <v>1.8846004500000003E-3</v>
      </c>
      <c r="K5" s="108">
        <f t="shared" si="0"/>
        <v>2.2932990000000008E-3</v>
      </c>
      <c r="L5" s="108">
        <f t="shared" si="0"/>
        <v>2.7682774125000007E-3</v>
      </c>
      <c r="M5" s="108">
        <f t="shared" si="0"/>
        <v>5.6245000000000006E-10</v>
      </c>
      <c r="N5" s="108">
        <f t="shared" si="0"/>
        <v>1.5481725000000002E-9</v>
      </c>
      <c r="O5" s="108">
        <f t="shared" si="0"/>
        <v>1.8846004500000004E-9</v>
      </c>
      <c r="P5" s="108">
        <f t="shared" si="0"/>
        <v>2.2932990000000009E-9</v>
      </c>
      <c r="Q5" s="108">
        <f t="shared" si="0"/>
        <v>2.7682774125000009E-9</v>
      </c>
    </row>
    <row r="6" spans="1:17" ht="16.5" customHeight="1" x14ac:dyDescent="0.3">
      <c r="A6" s="1">
        <v>1</v>
      </c>
      <c r="B6" s="28" t="s">
        <v>88</v>
      </c>
      <c r="C6" s="94">
        <f>'Nội dung khoán tHU CHI học phí'!E5</f>
        <v>517</v>
      </c>
      <c r="D6" s="94">
        <f>'Nội dung khoán tHU CHI học phí'!F5</f>
        <v>1480.5000000000002</v>
      </c>
      <c r="E6" s="94">
        <f>'Nội dung khoán tHU CHI học phí'!G5</f>
        <v>1787.7037500000004</v>
      </c>
      <c r="F6" s="94">
        <f>'Nội dung khoán tHU CHI học phí'!H5</f>
        <v>2176.3350000000005</v>
      </c>
      <c r="G6" s="94">
        <f>'Nội dung khoán tHU CHI học phí'!I5</f>
        <v>2627.9245125000007</v>
      </c>
      <c r="H6" s="108">
        <f t="shared" ref="H6:L8" si="1">C6/$H$4</f>
        <v>5.1699999999999999E-4</v>
      </c>
      <c r="I6" s="108">
        <f t="shared" si="1"/>
        <v>1.4805000000000003E-3</v>
      </c>
      <c r="J6" s="108">
        <f t="shared" si="1"/>
        <v>1.7877037500000003E-3</v>
      </c>
      <c r="K6" s="108">
        <f t="shared" si="1"/>
        <v>2.1763350000000006E-3</v>
      </c>
      <c r="L6" s="108">
        <f t="shared" si="1"/>
        <v>2.6279245125000006E-3</v>
      </c>
    </row>
    <row r="7" spans="1:17" ht="16.5" customHeight="1" x14ac:dyDescent="0.3">
      <c r="A7" s="1">
        <v>2</v>
      </c>
      <c r="B7" s="28" t="s">
        <v>89</v>
      </c>
      <c r="C7" s="94">
        <f>'Nội dung khoán THU CHI thuê sân'!E6</f>
        <v>11</v>
      </c>
      <c r="D7" s="94">
        <f>'Nội dung khoán THU CHI thuê sân'!F6</f>
        <v>31.500000000000004</v>
      </c>
      <c r="E7" s="94">
        <f>'Nội dung khoán THU CHI thuê sân'!G6</f>
        <v>39.847500000000004</v>
      </c>
      <c r="F7" s="94">
        <f>'Nội dung khoán THU CHI thuê sân'!H6</f>
        <v>50.820000000000007</v>
      </c>
      <c r="G7" s="94">
        <f>'Nội dung khoán THU CHI thuê sân'!I6</f>
        <v>64.287300000000016</v>
      </c>
      <c r="H7" s="108">
        <f t="shared" si="1"/>
        <v>1.1E-5</v>
      </c>
      <c r="I7" s="108">
        <f t="shared" si="1"/>
        <v>3.1500000000000007E-5</v>
      </c>
      <c r="J7" s="108">
        <f t="shared" si="1"/>
        <v>3.9847500000000001E-5</v>
      </c>
      <c r="K7" s="108">
        <f t="shared" si="1"/>
        <v>5.0820000000000005E-5</v>
      </c>
      <c r="L7" s="108">
        <f t="shared" si="1"/>
        <v>6.428730000000001E-5</v>
      </c>
    </row>
    <row r="8" spans="1:17" ht="16.5" customHeight="1" x14ac:dyDescent="0.3">
      <c r="A8" s="1">
        <v>3</v>
      </c>
      <c r="B8" s="28" t="s">
        <v>90</v>
      </c>
      <c r="C8" s="94">
        <f>'Nội dung khoán THU CHI thuê sân'!E9</f>
        <v>34.450000000000003</v>
      </c>
      <c r="D8" s="94">
        <f>'Nội dung khoán THU CHI thuê sân'!F9</f>
        <v>36.172499999999999</v>
      </c>
      <c r="E8" s="94">
        <f>'Nội dung khoán THU CHI thuê sân'!G9</f>
        <v>57.049199999999999</v>
      </c>
      <c r="F8" s="94">
        <f>'Nội dung khoán THU CHI thuê sân'!H9</f>
        <v>66.144000000000005</v>
      </c>
      <c r="G8" s="94">
        <f>'Nội dung khoán THU CHI thuê sân'!I9</f>
        <v>76.065600000000003</v>
      </c>
      <c r="H8" s="108">
        <f t="shared" si="1"/>
        <v>3.4450000000000004E-5</v>
      </c>
      <c r="I8" s="108">
        <f t="shared" si="1"/>
        <v>3.61725E-5</v>
      </c>
      <c r="J8" s="108">
        <f t="shared" si="1"/>
        <v>5.7049199999999996E-5</v>
      </c>
      <c r="K8" s="108">
        <f t="shared" si="1"/>
        <v>6.6144000000000009E-5</v>
      </c>
      <c r="L8" s="108">
        <f t="shared" si="1"/>
        <v>7.6065599999999999E-5</v>
      </c>
    </row>
    <row r="9" spans="1:17" ht="16.5" customHeight="1" x14ac:dyDescent="0.3">
      <c r="A9" s="3" t="s">
        <v>39</v>
      </c>
      <c r="B9" s="5" t="s">
        <v>72</v>
      </c>
      <c r="C9" s="84">
        <f>SUM(C10:C21)</f>
        <v>616.04853880000007</v>
      </c>
      <c r="D9" s="84">
        <f>SUM(D10:D21)</f>
        <v>1413.4057513000002</v>
      </c>
      <c r="E9" s="84">
        <f>SUM(E10:E21)</f>
        <v>1674.5838943000001</v>
      </c>
      <c r="F9" s="84">
        <f>SUM(F10:F21)</f>
        <v>1998.8121088000005</v>
      </c>
      <c r="G9" s="84">
        <f>SUM(G10:G21)</f>
        <v>2375.5767535000005</v>
      </c>
      <c r="H9" s="80"/>
    </row>
    <row r="10" spans="1:17" ht="16.5" customHeight="1" x14ac:dyDescent="0.3">
      <c r="A10" s="9">
        <v>1</v>
      </c>
      <c r="B10" s="10" t="s">
        <v>41</v>
      </c>
      <c r="C10" s="85">
        <f>'Nội dung khoán tHU CHI học phí'!E7+'Nội dung khoán THU CHI thuê sân'!E14+'Nội dung khoán THU CHI thuê sân'!E15</f>
        <v>56.465000000000003</v>
      </c>
      <c r="D10" s="85">
        <f>'Nội dung khoán tHU CHI học phí'!F7+'Nội dung khoán THU CHI thuê sân'!F14+'Nội dung khoán THU CHI thuê sân'!F15</f>
        <v>155.44725000000005</v>
      </c>
      <c r="E10" s="85">
        <f>'Nội dung khoán tHU CHI học phí'!G7+'Nội dung khoán THU CHI thuê sân'!G14+'Nội dung khoán THU CHI thuê sân'!G15</f>
        <v>189.25699500000005</v>
      </c>
      <c r="F10" s="85">
        <f>'Nội dung khoán tHU CHI học phí'!H7+'Nội dung khoán THU CHI thuê sân'!H14+'Nội dung khoán THU CHI thuê sân'!H15</f>
        <v>230.34630000000004</v>
      </c>
      <c r="G10" s="85">
        <f>'Nội dung khoán tHU CHI học phí'!I7+'Nội dung khoán THU CHI thuê sân'!I14+'Nội dung khoán THU CHI thuê sân'!I15</f>
        <v>278.11348725000005</v>
      </c>
    </row>
    <row r="11" spans="1:17" s="15" customFormat="1" ht="16.5" customHeight="1" x14ac:dyDescent="0.3">
      <c r="A11" s="13">
        <v>2</v>
      </c>
      <c r="B11" s="39" t="s">
        <v>91</v>
      </c>
      <c r="C11" s="85">
        <f>'Khấu hao'!$I$17-'Khấu hao'!I13-'Khấu hao'!I15</f>
        <v>116.60728879999998</v>
      </c>
      <c r="D11" s="85">
        <f>'Khấu hao'!$I$17</f>
        <v>174.24728879999998</v>
      </c>
      <c r="E11" s="85">
        <f>'Khấu hao'!$I$17</f>
        <v>174.24728879999998</v>
      </c>
      <c r="F11" s="85">
        <f>'Khấu hao'!$I$17</f>
        <v>174.24728879999998</v>
      </c>
      <c r="G11" s="85">
        <f>'Khấu hao'!$I$17</f>
        <v>174.24728879999998</v>
      </c>
    </row>
    <row r="12" spans="1:17" s="15" customFormat="1" ht="16.5" customHeight="1" x14ac:dyDescent="0.3">
      <c r="A12" s="13">
        <v>4</v>
      </c>
      <c r="B12" s="39" t="s">
        <v>76</v>
      </c>
      <c r="C12" s="85">
        <f>'Nội dung khoán tHU CHI học phí'!E10</f>
        <v>62.04</v>
      </c>
      <c r="D12" s="85">
        <f>'Nội dung khoán tHU CHI học phí'!F10</f>
        <v>177.66000000000003</v>
      </c>
      <c r="E12" s="85">
        <f>'Nội dung khoán tHU CHI học phí'!G10</f>
        <v>214.52445000000003</v>
      </c>
      <c r="F12" s="85">
        <f>'Nội dung khoán tHU CHI học phí'!H10</f>
        <v>261.16020000000003</v>
      </c>
      <c r="G12" s="85">
        <f>'Nội dung khoán tHU CHI học phí'!I10</f>
        <v>315.35094150000009</v>
      </c>
      <c r="I12" s="42"/>
    </row>
    <row r="13" spans="1:17" s="15" customFormat="1" ht="16.5" customHeight="1" x14ac:dyDescent="0.3">
      <c r="A13" s="9">
        <v>5</v>
      </c>
      <c r="B13" s="39" t="s">
        <v>77</v>
      </c>
      <c r="C13" s="85">
        <f>'Nội dung khoán tHU CHI học phí'!E11</f>
        <v>62.04</v>
      </c>
      <c r="D13" s="85">
        <f>'Nội dung khoán tHU CHI học phí'!F11</f>
        <v>177.66000000000003</v>
      </c>
      <c r="E13" s="85">
        <f>'Nội dung khoán tHU CHI học phí'!G11</f>
        <v>214.52445000000003</v>
      </c>
      <c r="F13" s="85">
        <f>'Nội dung khoán tHU CHI học phí'!H11</f>
        <v>261.16020000000003</v>
      </c>
      <c r="G13" s="85">
        <f>'Nội dung khoán tHU CHI học phí'!I11</f>
        <v>315.35094150000009</v>
      </c>
      <c r="I13" s="42"/>
    </row>
    <row r="14" spans="1:17" s="15" customFormat="1" ht="33" customHeight="1" x14ac:dyDescent="0.3">
      <c r="A14" s="9">
        <v>6</v>
      </c>
      <c r="B14" s="39" t="s">
        <v>92</v>
      </c>
      <c r="C14" s="85">
        <f>'Nội dung khoán THU CHI thuê sân'!E22</f>
        <v>4.5450000000000008</v>
      </c>
      <c r="D14" s="85">
        <f>'Nội dung khoán THU CHI thuê sân'!F22</f>
        <v>6.7672500000000007</v>
      </c>
      <c r="E14" s="85">
        <f>'Nội dung khoán THU CHI thuê sân'!G22</f>
        <v>9.6896700000000013</v>
      </c>
      <c r="F14" s="85">
        <f>'Nội dung khoán THU CHI thuê sân'!H22</f>
        <v>11.696400000000002</v>
      </c>
      <c r="G14" s="85">
        <f>'Nội dung khoán THU CHI thuê sân'!I22</f>
        <v>14.035290000000003</v>
      </c>
      <c r="I14" s="42"/>
    </row>
    <row r="15" spans="1:17" s="15" customFormat="1" ht="16.5" customHeight="1" x14ac:dyDescent="0.3">
      <c r="A15" s="13">
        <v>6</v>
      </c>
      <c r="B15" s="39" t="s">
        <v>78</v>
      </c>
      <c r="C15" s="85">
        <f>'Nội dung khoán tHU CHI học phí'!E12</f>
        <v>129.25</v>
      </c>
      <c r="D15" s="85">
        <f>'Nội dung khoán tHU CHI học phí'!F12</f>
        <v>370.12500000000006</v>
      </c>
      <c r="E15" s="85">
        <f>'Nội dung khoán tHU CHI học phí'!G12</f>
        <v>446.92593750000009</v>
      </c>
      <c r="F15" s="85">
        <f>'Nội dung khoán tHU CHI học phí'!H12</f>
        <v>544.08375000000012</v>
      </c>
      <c r="G15" s="85">
        <f>'Nội dung khoán tHU CHI học phí'!I12</f>
        <v>656.98112812500017</v>
      </c>
      <c r="I15" s="42"/>
    </row>
    <row r="16" spans="1:17" s="15" customFormat="1" ht="16.5" customHeight="1" x14ac:dyDescent="0.3">
      <c r="A16" s="9">
        <v>7</v>
      </c>
      <c r="B16" s="39" t="s">
        <v>79</v>
      </c>
      <c r="C16" s="85">
        <f>C6*0.07</f>
        <v>36.190000000000005</v>
      </c>
      <c r="D16" s="85">
        <f>D6*0.07</f>
        <v>103.63500000000002</v>
      </c>
      <c r="E16" s="85">
        <f>E6*0.07</f>
        <v>125.13926250000004</v>
      </c>
      <c r="F16" s="85">
        <f>F6*0.07</f>
        <v>152.34345000000005</v>
      </c>
      <c r="G16" s="85">
        <f>G6*0.07</f>
        <v>183.95471587500006</v>
      </c>
      <c r="I16" s="42"/>
    </row>
    <row r="17" spans="1:9" s="15" customFormat="1" ht="33" customHeight="1" x14ac:dyDescent="0.3">
      <c r="A17" s="13">
        <v>8</v>
      </c>
      <c r="B17" s="39" t="s">
        <v>93</v>
      </c>
      <c r="C17" s="85">
        <f>'Nội dung khoán THU CHI thuê sân'!E20+'Nội dung khoán tHU CHI học phí'!E14</f>
        <v>6.548</v>
      </c>
      <c r="D17" s="85">
        <f>'Nội dung khoán THU CHI thuê sân'!F20+'Nội dung khoán tHU CHI học phí'!F14</f>
        <v>16.251900000000003</v>
      </c>
      <c r="E17" s="85">
        <f>'Nội dung khoán THU CHI thuê sân'!G20+'Nội dung khoán tHU CHI học phí'!G14</f>
        <v>20.159005500000003</v>
      </c>
      <c r="F17" s="85">
        <f>'Nội dung khoán THU CHI thuê sân'!H20+'Nội dung khoán tHU CHI học phí'!H14</f>
        <v>24.409110000000005</v>
      </c>
      <c r="G17" s="85">
        <f>'Nội dung khoán THU CHI thuê sân'!I20+'Nội dung khoán tHU CHI học phí'!I14</f>
        <v>29.321869125000006</v>
      </c>
      <c r="I17" s="43"/>
    </row>
    <row r="18" spans="1:9" ht="33" customHeight="1" x14ac:dyDescent="0.3">
      <c r="A18" s="9">
        <v>9</v>
      </c>
      <c r="B18" s="39" t="s">
        <v>94</v>
      </c>
      <c r="C18" s="85">
        <f>(C12+C13+C14)*0.15</f>
        <v>19.293749999999999</v>
      </c>
      <c r="D18" s="85">
        <f>(D12+D13+D14)*0.15</f>
        <v>54.313087500000002</v>
      </c>
      <c r="E18" s="85">
        <f>(E12+E13+E14)*0.15</f>
        <v>65.810785500000009</v>
      </c>
      <c r="F18" s="85">
        <f>(F12+F13+F14)*0.15</f>
        <v>80.102520000000013</v>
      </c>
      <c r="G18" s="85">
        <f>(G12+G13+G14)*0.15</f>
        <v>96.710575950000035</v>
      </c>
      <c r="I18" s="44"/>
    </row>
    <row r="19" spans="1:9" ht="33" customHeight="1" x14ac:dyDescent="0.3">
      <c r="A19" s="13">
        <v>10</v>
      </c>
      <c r="B19" s="39" t="s">
        <v>95</v>
      </c>
      <c r="C19" s="85">
        <f>C5*0.1</f>
        <v>56.245000000000005</v>
      </c>
      <c r="D19" s="85">
        <f>D5*0.1</f>
        <v>154.81725000000003</v>
      </c>
      <c r="E19" s="85">
        <f>E5*0.1</f>
        <v>188.46004500000004</v>
      </c>
      <c r="F19" s="85">
        <f>F5*0.1</f>
        <v>229.32990000000009</v>
      </c>
      <c r="G19" s="85">
        <f>G5*0.1</f>
        <v>276.82774125000009</v>
      </c>
    </row>
    <row r="20" spans="1:9" ht="16.5" customHeight="1" x14ac:dyDescent="0.3">
      <c r="A20" s="9">
        <v>11</v>
      </c>
      <c r="B20" s="39" t="s">
        <v>82</v>
      </c>
      <c r="C20" s="85">
        <v>61.2</v>
      </c>
      <c r="D20" s="85">
        <v>7</v>
      </c>
      <c r="E20" s="85">
        <v>7</v>
      </c>
      <c r="F20" s="85">
        <v>7</v>
      </c>
      <c r="G20" s="85">
        <v>7</v>
      </c>
    </row>
    <row r="21" spans="1:9" ht="16.5" customHeight="1" x14ac:dyDescent="0.3">
      <c r="A21" s="13">
        <v>12</v>
      </c>
      <c r="B21" s="39" t="s">
        <v>96</v>
      </c>
      <c r="C21" s="85">
        <f>C5*1%</f>
        <v>5.6245000000000003</v>
      </c>
      <c r="D21" s="85">
        <f>D5*1%</f>
        <v>15.481725000000001</v>
      </c>
      <c r="E21" s="85">
        <f>E5*1%</f>
        <v>18.846004500000003</v>
      </c>
      <c r="F21" s="85">
        <f>F5*1%</f>
        <v>22.932990000000011</v>
      </c>
      <c r="G21" s="85">
        <f>G5*1%</f>
        <v>27.682774125000005</v>
      </c>
    </row>
    <row r="22" spans="1:9" s="30" customFormat="1" ht="16.5" customHeight="1" x14ac:dyDescent="0.3">
      <c r="A22" s="40" t="s">
        <v>55</v>
      </c>
      <c r="B22" s="41" t="s">
        <v>56</v>
      </c>
      <c r="C22" s="84">
        <f>C5-C9</f>
        <v>-53.598538800000028</v>
      </c>
      <c r="D22" s="84">
        <f>D5-D9</f>
        <v>134.76674869999988</v>
      </c>
      <c r="E22" s="84">
        <f>E5-E9</f>
        <v>210.01655570000025</v>
      </c>
      <c r="F22" s="84">
        <f>F5-F9</f>
        <v>294.4868912000004</v>
      </c>
      <c r="G22" s="84">
        <f>G5-G9</f>
        <v>392.70065900000009</v>
      </c>
    </row>
    <row r="23" spans="1:9" ht="18.75" customHeight="1" x14ac:dyDescent="0.3">
      <c r="A23" s="68"/>
      <c r="B23" s="71" t="s">
        <v>97</v>
      </c>
      <c r="C23" s="121">
        <f>(C7+C8)*5%</f>
        <v>2.2725000000000004</v>
      </c>
      <c r="D23" s="121">
        <f>(D7+D8)*5%</f>
        <v>3.3836250000000003</v>
      </c>
      <c r="E23" s="121">
        <f>(E7+E8)*5%</f>
        <v>4.8448350000000007</v>
      </c>
      <c r="F23" s="121">
        <f>(F7+F8)*5%</f>
        <v>5.8482000000000012</v>
      </c>
      <c r="G23" s="121">
        <f>(G7+G8)*5%</f>
        <v>7.0176450000000017</v>
      </c>
    </row>
    <row r="24" spans="1:9" ht="18.75" customHeight="1" x14ac:dyDescent="0.3">
      <c r="A24" s="68"/>
      <c r="B24" s="71" t="s">
        <v>98</v>
      </c>
      <c r="C24" s="121">
        <f>(C8+C7)*5%+C6*2%</f>
        <v>12.612500000000001</v>
      </c>
      <c r="D24" s="121">
        <f>(D8+D7)*5%+D6*2%</f>
        <v>32.993625000000009</v>
      </c>
      <c r="E24" s="121">
        <f>(E8+E7)*5%+E6*2%</f>
        <v>40.598910000000011</v>
      </c>
      <c r="F24" s="121">
        <f>(F8+F7)*5%+F6*2%</f>
        <v>49.374900000000011</v>
      </c>
      <c r="G24" s="121">
        <f>(G8+G7)*5%+G6*2%</f>
        <v>59.576135250000014</v>
      </c>
    </row>
    <row r="25" spans="1:9" ht="18.75" customHeight="1" x14ac:dyDescent="0.3">
      <c r="A25" s="69" t="s">
        <v>99</v>
      </c>
      <c r="B25" s="70" t="s">
        <v>100</v>
      </c>
      <c r="C25" s="95">
        <f>C22-C23-C24</f>
        <v>-68.483538800000034</v>
      </c>
      <c r="D25" s="95">
        <f>D22-D23-D24</f>
        <v>98.389498699999876</v>
      </c>
      <c r="E25" s="95">
        <f>E22-E23-E24</f>
        <v>164.57281070000025</v>
      </c>
      <c r="F25" s="95">
        <f>F22-F23-F24</f>
        <v>239.26379120000036</v>
      </c>
      <c r="G25" s="95">
        <f>G22-G23-G24</f>
        <v>326.10687875000008</v>
      </c>
    </row>
    <row r="26" spans="1:9" ht="18.75" customHeight="1" x14ac:dyDescent="0.35">
      <c r="A26" s="72" t="s">
        <v>101</v>
      </c>
      <c r="B26" s="73" t="s">
        <v>102</v>
      </c>
      <c r="C26" s="96"/>
      <c r="D26" s="96"/>
      <c r="E26" s="96"/>
      <c r="F26" s="96"/>
      <c r="G26" s="96"/>
    </row>
    <row r="27" spans="1:9" ht="18.75" customHeight="1" x14ac:dyDescent="0.35">
      <c r="A27" s="75">
        <v>1</v>
      </c>
      <c r="B27" s="74" t="s">
        <v>103</v>
      </c>
      <c r="C27" s="96">
        <f>'Khấu hao'!G17</f>
        <v>1505.1760000000002</v>
      </c>
      <c r="D27" s="96"/>
      <c r="E27" s="96"/>
      <c r="F27" s="96"/>
      <c r="G27" s="96"/>
    </row>
    <row r="28" spans="1:9" ht="18.75" customHeight="1" x14ac:dyDescent="0.35">
      <c r="A28" s="75">
        <v>2</v>
      </c>
      <c r="B28" s="74" t="s">
        <v>104</v>
      </c>
      <c r="C28" s="96">
        <f>C25+C11</f>
        <v>48.123749999999944</v>
      </c>
      <c r="D28" s="96">
        <f>D25+D11</f>
        <v>272.63678749999985</v>
      </c>
      <c r="E28" s="96">
        <f>E25+E11</f>
        <v>338.8200995000002</v>
      </c>
      <c r="F28" s="96">
        <f>F25+F11</f>
        <v>413.51108000000033</v>
      </c>
      <c r="G28" s="96">
        <f>G25+G11</f>
        <v>500.35416755000006</v>
      </c>
    </row>
    <row r="29" spans="1:9" ht="18.75" customHeight="1" x14ac:dyDescent="0.35">
      <c r="A29" s="75">
        <v>3</v>
      </c>
      <c r="B29" s="74" t="s">
        <v>105</v>
      </c>
      <c r="C29" s="122">
        <f>IF(G30&lt;C27,"Chưa hoàn vốn trong 5 năm",IF(C30&gt;=C27,C27/C28,COUNTIF(C30:G30,"&lt;"&amp;C27)+(C27-INDEX(C30:G30,COUNTIF(C30:G30,"&lt;"&amp;C27)))/INDEX(C28:G28,COUNTIF(C30:G30,"&lt;"&amp;C27)+1)))</f>
        <v>4.8635568783522167</v>
      </c>
      <c r="D29" s="96"/>
      <c r="E29" s="96"/>
      <c r="F29" s="96"/>
      <c r="G29" s="96"/>
    </row>
    <row r="30" spans="1:9" ht="18" customHeight="1" x14ac:dyDescent="0.35">
      <c r="A30" s="123" t="s">
        <v>106</v>
      </c>
      <c r="B30" s="124" t="s">
        <v>107</v>
      </c>
      <c r="C30" s="125">
        <f>C28</f>
        <v>48.123749999999944</v>
      </c>
      <c r="D30" s="125">
        <f>C30+D28</f>
        <v>320.76053749999983</v>
      </c>
      <c r="E30" s="125">
        <f>D30+E28</f>
        <v>659.58063700000002</v>
      </c>
      <c r="F30" s="125">
        <f>E30+F28</f>
        <v>1073.0917170000002</v>
      </c>
      <c r="G30" s="125">
        <f>F30+G28</f>
        <v>1573.4458845500003</v>
      </c>
    </row>
  </sheetData>
  <mergeCells count="3">
    <mergeCell ref="F3:G3"/>
    <mergeCell ref="A2:G2"/>
    <mergeCell ref="A1:G1"/>
  </mergeCells>
  <pageMargins left="0.7" right="0.7" top="0.75" bottom="0.75" header="0.3" footer="0.3"/>
  <pageSetup paperSize="9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2"/>
  <sheetViews>
    <sheetView topLeftCell="A14" workbookViewId="0">
      <selection activeCell="A3" sqref="A3:J17"/>
    </sheetView>
  </sheetViews>
  <sheetFormatPr defaultColWidth="9.109375" defaultRowHeight="13.8" x14ac:dyDescent="0.25"/>
  <cols>
    <col min="1" max="1" width="5.109375" style="45" bestFit="1" customWidth="1"/>
    <col min="2" max="2" width="31.88671875" style="46" customWidth="1"/>
    <col min="3" max="3" width="9.33203125" style="45" customWidth="1"/>
    <col min="4" max="4" width="8" style="45" bestFit="1" customWidth="1"/>
    <col min="5" max="5" width="13.88671875" style="45" customWidth="1"/>
    <col min="6" max="6" width="10.109375" style="45" customWidth="1"/>
    <col min="7" max="8" width="12.5546875" style="45" customWidth="1"/>
    <col min="9" max="9" width="13.88671875" style="45" customWidth="1"/>
    <col min="10" max="10" width="12" style="45" customWidth="1"/>
    <col min="11" max="12" width="9.109375" style="45" customWidth="1"/>
    <col min="13" max="16384" width="9.109375" style="45"/>
  </cols>
  <sheetData>
    <row r="1" spans="1:11" ht="18.75" customHeight="1" x14ac:dyDescent="0.3">
      <c r="A1" s="147" t="s">
        <v>108</v>
      </c>
      <c r="B1" s="150"/>
      <c r="C1" s="151"/>
      <c r="D1" s="151"/>
      <c r="E1" s="151"/>
      <c r="F1" s="151"/>
      <c r="G1" s="151"/>
      <c r="H1" s="151"/>
      <c r="I1" s="151"/>
    </row>
    <row r="2" spans="1:11" ht="39.75" customHeight="1" x14ac:dyDescent="0.3">
      <c r="A2" s="154" t="s">
        <v>109</v>
      </c>
      <c r="B2" s="150"/>
      <c r="C2" s="151"/>
      <c r="D2" s="151"/>
      <c r="E2" s="151"/>
      <c r="F2" s="151"/>
      <c r="G2" s="151"/>
      <c r="H2" s="151"/>
      <c r="I2" s="151"/>
    </row>
    <row r="3" spans="1:11" ht="24.6" customHeight="1" x14ac:dyDescent="0.35">
      <c r="A3" s="60"/>
      <c r="B3" s="61"/>
      <c r="C3" s="60"/>
      <c r="D3" s="60"/>
      <c r="E3" s="60"/>
      <c r="F3" s="60"/>
      <c r="G3" s="60"/>
      <c r="H3" s="60"/>
      <c r="I3" s="62" t="s">
        <v>86</v>
      </c>
    </row>
    <row r="4" spans="1:11" ht="56.25" customHeight="1" x14ac:dyDescent="0.25">
      <c r="A4" s="31" t="s">
        <v>27</v>
      </c>
      <c r="B4" s="31" t="s">
        <v>110</v>
      </c>
      <c r="C4" s="31" t="s">
        <v>111</v>
      </c>
      <c r="D4" s="31" t="s">
        <v>112</v>
      </c>
      <c r="E4" s="31" t="s">
        <v>113</v>
      </c>
      <c r="F4" s="31" t="s">
        <v>114</v>
      </c>
      <c r="G4" s="31" t="s">
        <v>115</v>
      </c>
      <c r="H4" s="31" t="s">
        <v>116</v>
      </c>
      <c r="I4" s="31" t="s">
        <v>117</v>
      </c>
      <c r="J4" s="31" t="s">
        <v>118</v>
      </c>
    </row>
    <row r="5" spans="1:11" s="103" customFormat="1" ht="18.75" customHeight="1" x14ac:dyDescent="0.25">
      <c r="A5" s="104">
        <v>1</v>
      </c>
      <c r="B5" s="104">
        <v>2</v>
      </c>
      <c r="C5" s="104">
        <v>3</v>
      </c>
      <c r="D5" s="104">
        <v>4</v>
      </c>
      <c r="E5" s="104">
        <v>5</v>
      </c>
      <c r="F5" s="104">
        <v>6</v>
      </c>
      <c r="G5" s="105" t="s">
        <v>119</v>
      </c>
      <c r="H5" s="104">
        <v>8</v>
      </c>
      <c r="I5" s="104" t="s">
        <v>120</v>
      </c>
      <c r="J5" s="104">
        <v>10</v>
      </c>
    </row>
    <row r="6" spans="1:11" s="49" customFormat="1" ht="75" customHeight="1" x14ac:dyDescent="0.3">
      <c r="A6" s="47">
        <v>1</v>
      </c>
      <c r="B6" s="48" t="s">
        <v>121</v>
      </c>
      <c r="C6" s="47" t="s">
        <v>122</v>
      </c>
      <c r="D6" s="47">
        <v>145</v>
      </c>
      <c r="E6" s="63">
        <f>(6143/20)*2</f>
        <v>614.29999999999995</v>
      </c>
      <c r="F6" s="78">
        <v>0.1</v>
      </c>
      <c r="G6" s="63">
        <f t="shared" ref="G6:G16" si="0">E6*F6</f>
        <v>61.43</v>
      </c>
      <c r="H6" s="78">
        <v>0.04</v>
      </c>
      <c r="I6" s="65">
        <f t="shared" ref="I6:I16" si="1">G6*H6</f>
        <v>2.4571999999999998</v>
      </c>
      <c r="J6" s="47" t="s">
        <v>123</v>
      </c>
    </row>
    <row r="7" spans="1:11" s="49" customFormat="1" ht="56.25" customHeight="1" x14ac:dyDescent="0.3">
      <c r="A7" s="47">
        <v>2</v>
      </c>
      <c r="B7" s="48" t="s">
        <v>124</v>
      </c>
      <c r="C7" s="47" t="s">
        <v>122</v>
      </c>
      <c r="D7" s="47">
        <v>70</v>
      </c>
      <c r="E7" s="63">
        <f>6143/20</f>
        <v>307.14999999999998</v>
      </c>
      <c r="F7" s="78">
        <v>0.1</v>
      </c>
      <c r="G7" s="63">
        <f t="shared" si="0"/>
        <v>30.715</v>
      </c>
      <c r="H7" s="78">
        <v>0.04</v>
      </c>
      <c r="I7" s="65">
        <f t="shared" si="1"/>
        <v>1.2285999999999999</v>
      </c>
      <c r="J7" s="47" t="s">
        <v>123</v>
      </c>
    </row>
    <row r="8" spans="1:11" s="49" customFormat="1" ht="56.25" customHeight="1" x14ac:dyDescent="0.3">
      <c r="A8" s="47">
        <v>3</v>
      </c>
      <c r="B8" s="50" t="s">
        <v>125</v>
      </c>
      <c r="C8" s="47" t="s">
        <v>126</v>
      </c>
      <c r="D8" s="47">
        <v>32</v>
      </c>
      <c r="E8" s="63">
        <f>(D8*14.71)</f>
        <v>470.72</v>
      </c>
      <c r="F8" s="78">
        <v>0.1</v>
      </c>
      <c r="G8" s="63">
        <f t="shared" si="0"/>
        <v>47.072000000000003</v>
      </c>
      <c r="H8" s="64">
        <v>0.1429</v>
      </c>
      <c r="I8" s="65">
        <f t="shared" si="1"/>
        <v>6.7265888</v>
      </c>
      <c r="J8" s="47" t="s">
        <v>127</v>
      </c>
    </row>
    <row r="9" spans="1:11" s="49" customFormat="1" ht="56.25" customHeight="1" x14ac:dyDescent="0.3">
      <c r="A9" s="47">
        <v>4</v>
      </c>
      <c r="B9" s="66" t="s">
        <v>128</v>
      </c>
      <c r="C9" s="51" t="s">
        <v>129</v>
      </c>
      <c r="D9" s="47">
        <v>1</v>
      </c>
      <c r="E9" s="63">
        <v>70</v>
      </c>
      <c r="F9" s="78">
        <v>1</v>
      </c>
      <c r="G9" s="63">
        <f t="shared" si="0"/>
        <v>70</v>
      </c>
      <c r="H9" s="64">
        <v>6.6699999999999995E-2</v>
      </c>
      <c r="I9" s="65">
        <f t="shared" si="1"/>
        <v>4.6689999999999996</v>
      </c>
      <c r="J9" s="47" t="s">
        <v>130</v>
      </c>
    </row>
    <row r="10" spans="1:11" s="49" customFormat="1" ht="56.25" customHeight="1" x14ac:dyDescent="0.3">
      <c r="A10" s="47">
        <v>5</v>
      </c>
      <c r="B10" s="66" t="s">
        <v>131</v>
      </c>
      <c r="C10" s="47" t="s">
        <v>132</v>
      </c>
      <c r="D10" s="47">
        <v>2</v>
      </c>
      <c r="E10" s="63">
        <f>130*D10</f>
        <v>260</v>
      </c>
      <c r="F10" s="78">
        <v>1</v>
      </c>
      <c r="G10" s="63">
        <f t="shared" si="0"/>
        <v>260</v>
      </c>
      <c r="H10" s="78">
        <v>0.1</v>
      </c>
      <c r="I10" s="65">
        <f t="shared" si="1"/>
        <v>26</v>
      </c>
      <c r="J10" s="47" t="s">
        <v>133</v>
      </c>
    </row>
    <row r="11" spans="1:11" s="49" customFormat="1" ht="43.5" customHeight="1" x14ac:dyDescent="0.3">
      <c r="A11" s="47">
        <v>6</v>
      </c>
      <c r="B11" s="48" t="s">
        <v>134</v>
      </c>
      <c r="C11" s="47" t="s">
        <v>135</v>
      </c>
      <c r="D11" s="47">
        <v>3</v>
      </c>
      <c r="E11" s="63">
        <f>((590000000+100000+98658000+11760000)/1000000)</f>
        <v>700.51800000000003</v>
      </c>
      <c r="F11" s="78">
        <v>0.5</v>
      </c>
      <c r="G11" s="63">
        <f t="shared" si="0"/>
        <v>350.25900000000001</v>
      </c>
      <c r="H11" s="78">
        <v>0.1</v>
      </c>
      <c r="I11" s="65">
        <f t="shared" si="1"/>
        <v>35.0259</v>
      </c>
      <c r="J11" s="47" t="s">
        <v>133</v>
      </c>
    </row>
    <row r="12" spans="1:11" s="49" customFormat="1" ht="56.25" customHeight="1" x14ac:dyDescent="0.3">
      <c r="A12" s="47">
        <v>7</v>
      </c>
      <c r="B12" s="48" t="s">
        <v>136</v>
      </c>
      <c r="C12" s="47" t="s">
        <v>137</v>
      </c>
      <c r="D12" s="47">
        <v>1</v>
      </c>
      <c r="E12" s="63">
        <v>80</v>
      </c>
      <c r="F12" s="78">
        <v>1</v>
      </c>
      <c r="G12" s="63">
        <f t="shared" si="0"/>
        <v>80</v>
      </c>
      <c r="H12" s="78">
        <v>0.1</v>
      </c>
      <c r="I12" s="65">
        <f t="shared" si="1"/>
        <v>8</v>
      </c>
      <c r="J12" s="47" t="s">
        <v>133</v>
      </c>
      <c r="K12" s="49">
        <f>1/8</f>
        <v>0.125</v>
      </c>
    </row>
    <row r="13" spans="1:11" s="49" customFormat="1" ht="56.25" customHeight="1" x14ac:dyDescent="0.3">
      <c r="A13" s="47">
        <v>8</v>
      </c>
      <c r="B13" s="48" t="s">
        <v>138</v>
      </c>
      <c r="C13" s="47" t="s">
        <v>137</v>
      </c>
      <c r="D13" s="47">
        <v>1</v>
      </c>
      <c r="E13" s="126">
        <f>590</f>
        <v>590</v>
      </c>
      <c r="F13" s="78">
        <v>0.5</v>
      </c>
      <c r="G13" s="63">
        <f t="shared" si="0"/>
        <v>295</v>
      </c>
      <c r="H13" s="78">
        <v>0.1</v>
      </c>
      <c r="I13" s="65">
        <f t="shared" si="1"/>
        <v>29.5</v>
      </c>
      <c r="J13" s="47" t="s">
        <v>133</v>
      </c>
    </row>
    <row r="14" spans="1:11" s="49" customFormat="1" ht="173.25" customHeight="1" x14ac:dyDescent="0.3">
      <c r="A14" s="47">
        <v>9</v>
      </c>
      <c r="B14" s="48" t="s">
        <v>139</v>
      </c>
      <c r="C14" s="47" t="s">
        <v>140</v>
      </c>
      <c r="D14" s="47">
        <v>1</v>
      </c>
      <c r="E14" s="126">
        <v>150</v>
      </c>
      <c r="F14" s="78">
        <v>1</v>
      </c>
      <c r="G14" s="63">
        <f t="shared" si="0"/>
        <v>150</v>
      </c>
      <c r="H14" s="78">
        <v>0.2</v>
      </c>
      <c r="I14" s="65">
        <f t="shared" si="1"/>
        <v>30</v>
      </c>
      <c r="J14" s="47" t="s">
        <v>141</v>
      </c>
    </row>
    <row r="15" spans="1:11" s="49" customFormat="1" ht="75" customHeight="1" x14ac:dyDescent="0.3">
      <c r="A15" s="47">
        <v>10</v>
      </c>
      <c r="B15" s="48" t="s">
        <v>142</v>
      </c>
      <c r="C15" s="47" t="s">
        <v>140</v>
      </c>
      <c r="D15" s="47">
        <v>1</v>
      </c>
      <c r="E15" s="63">
        <f>469</f>
        <v>469</v>
      </c>
      <c r="F15" s="127">
        <v>0.3</v>
      </c>
      <c r="G15" s="63">
        <f t="shared" si="0"/>
        <v>140.69999999999999</v>
      </c>
      <c r="H15" s="78">
        <v>0.2</v>
      </c>
      <c r="I15" s="65">
        <f t="shared" si="1"/>
        <v>28.14</v>
      </c>
      <c r="J15" s="47" t="s">
        <v>141</v>
      </c>
    </row>
    <row r="16" spans="1:11" s="49" customFormat="1" ht="111" customHeight="1" x14ac:dyDescent="0.3">
      <c r="A16" s="47">
        <v>11</v>
      </c>
      <c r="B16" s="48" t="s">
        <v>143</v>
      </c>
      <c r="C16" s="47" t="s">
        <v>140</v>
      </c>
      <c r="D16" s="47">
        <v>1</v>
      </c>
      <c r="E16" s="63">
        <f>200</f>
        <v>200</v>
      </c>
      <c r="F16" s="78">
        <v>0.1</v>
      </c>
      <c r="G16" s="63">
        <f t="shared" si="0"/>
        <v>20</v>
      </c>
      <c r="H16" s="64">
        <v>0.125</v>
      </c>
      <c r="I16" s="65">
        <f t="shared" si="1"/>
        <v>2.5</v>
      </c>
      <c r="J16" s="47" t="s">
        <v>144</v>
      </c>
    </row>
    <row r="17" spans="1:10" s="49" customFormat="1" ht="24.6" customHeight="1" x14ac:dyDescent="0.3">
      <c r="A17" s="152" t="s">
        <v>145</v>
      </c>
      <c r="B17" s="153"/>
      <c r="C17" s="153"/>
      <c r="D17" s="153"/>
      <c r="E17" s="67">
        <f>SUM(E6:E16)</f>
        <v>3911.6880000000001</v>
      </c>
      <c r="F17" s="102"/>
      <c r="G17" s="128">
        <f>SUM(G6:G16)</f>
        <v>1505.1760000000002</v>
      </c>
      <c r="H17" s="68"/>
      <c r="I17" s="79">
        <f>SUM(I6:I16)</f>
        <v>174.24728879999998</v>
      </c>
      <c r="J17" s="47"/>
    </row>
    <row r="18" spans="1:10" x14ac:dyDescent="0.25">
      <c r="D18" s="52"/>
      <c r="E18" s="53"/>
      <c r="F18" s="54"/>
    </row>
    <row r="19" spans="1:10" ht="18.75" customHeight="1" x14ac:dyDescent="0.25">
      <c r="D19" s="52"/>
      <c r="E19" s="53"/>
      <c r="G19" s="55"/>
      <c r="H19" s="55"/>
    </row>
    <row r="20" spans="1:10" ht="18.75" customHeight="1" x14ac:dyDescent="0.25">
      <c r="D20" s="56"/>
      <c r="E20" s="57"/>
      <c r="G20" s="58"/>
      <c r="H20" s="58"/>
    </row>
    <row r="21" spans="1:10" x14ac:dyDescent="0.25">
      <c r="D21" s="56"/>
      <c r="E21" s="77"/>
      <c r="G21" s="59"/>
      <c r="H21" s="59"/>
    </row>
    <row r="22" spans="1:10" x14ac:dyDescent="0.25">
      <c r="D22" s="56"/>
      <c r="E22" s="57"/>
    </row>
  </sheetData>
  <mergeCells count="3">
    <mergeCell ref="A1:I1"/>
    <mergeCell ref="A17:D17"/>
    <mergeCell ref="A2:I2"/>
  </mergeCells>
  <pageMargins left="0.7" right="0.7" top="0.75" bottom="0.75" header="0.3" footer="0.3"/>
  <pageSetup paperSize="9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F16"/>
  <sheetViews>
    <sheetView topLeftCell="A5" workbookViewId="0">
      <selection activeCell="K12" sqref="K12"/>
    </sheetView>
  </sheetViews>
  <sheetFormatPr defaultRowHeight="14.4" x14ac:dyDescent="0.3"/>
  <cols>
    <col min="1" max="1" width="22.44140625" customWidth="1"/>
    <col min="2" max="6" width="16" customWidth="1"/>
  </cols>
  <sheetData>
    <row r="3" spans="1:6" ht="53.25" customHeight="1" x14ac:dyDescent="0.3">
      <c r="A3" s="33" t="s">
        <v>146</v>
      </c>
      <c r="B3" s="38" t="s">
        <v>17</v>
      </c>
      <c r="C3" s="38" t="s">
        <v>18</v>
      </c>
      <c r="D3" s="38" t="s">
        <v>19</v>
      </c>
      <c r="E3" s="38" t="s">
        <v>20</v>
      </c>
      <c r="F3" s="38" t="s">
        <v>21</v>
      </c>
    </row>
    <row r="4" spans="1:6" ht="53.25" customHeight="1" x14ac:dyDescent="0.3">
      <c r="A4" s="34" t="s">
        <v>147</v>
      </c>
      <c r="B4" s="35">
        <v>220</v>
      </c>
      <c r="C4" s="35">
        <v>600</v>
      </c>
      <c r="D4" s="35">
        <v>690</v>
      </c>
      <c r="E4" s="35">
        <v>800</v>
      </c>
      <c r="F4" s="35">
        <v>920</v>
      </c>
    </row>
    <row r="5" spans="1:6" ht="53.25" customHeight="1" x14ac:dyDescent="0.3">
      <c r="A5" s="34" t="s">
        <v>148</v>
      </c>
      <c r="B5" s="98">
        <f>'lộ trình hp'!B6</f>
        <v>2.35</v>
      </c>
      <c r="C5" s="98">
        <f>'lộ trình hp'!C6</f>
        <v>2.4675000000000002</v>
      </c>
      <c r="D5" s="98">
        <f>'lộ trình hp'!D6</f>
        <v>2.5908750000000005</v>
      </c>
      <c r="E5" s="98">
        <f>'lộ trình hp'!E6</f>
        <v>2.7204187500000008</v>
      </c>
      <c r="F5" s="98">
        <f>'lộ trình hp'!F6</f>
        <v>2.8564396875000009</v>
      </c>
    </row>
    <row r="6" spans="1:6" ht="53.25" customHeight="1" x14ac:dyDescent="0.3">
      <c r="A6" s="34" t="s">
        <v>149</v>
      </c>
      <c r="B6" s="99">
        <f>B4*B5</f>
        <v>517</v>
      </c>
      <c r="C6" s="99">
        <f>C4*C5</f>
        <v>1480.5000000000002</v>
      </c>
      <c r="D6" s="99">
        <f>D4*D5</f>
        <v>1787.7037500000004</v>
      </c>
      <c r="E6" s="99">
        <f>E4*E5</f>
        <v>2176.3350000000005</v>
      </c>
      <c r="F6" s="99">
        <f>F4*F5</f>
        <v>2627.9245125000007</v>
      </c>
    </row>
    <row r="7" spans="1:6" ht="15.75" customHeight="1" x14ac:dyDescent="0.3">
      <c r="A7" s="36"/>
      <c r="B7" s="36"/>
      <c r="C7" s="36"/>
      <c r="D7" s="36"/>
      <c r="E7" s="36"/>
      <c r="F7" s="36"/>
    </row>
    <row r="8" spans="1:6" ht="33.75" customHeight="1" x14ac:dyDescent="0.3">
      <c r="A8" s="33" t="s">
        <v>146</v>
      </c>
      <c r="B8" s="38" t="s">
        <v>17</v>
      </c>
      <c r="C8" s="38" t="s">
        <v>18</v>
      </c>
      <c r="D8" s="38" t="s">
        <v>19</v>
      </c>
      <c r="E8" s="38" t="s">
        <v>20</v>
      </c>
      <c r="F8" s="38" t="s">
        <v>21</v>
      </c>
    </row>
    <row r="9" spans="1:6" ht="33.75" customHeight="1" x14ac:dyDescent="0.3">
      <c r="A9" s="34" t="s">
        <v>150</v>
      </c>
      <c r="B9" s="35">
        <f>B4</f>
        <v>220</v>
      </c>
      <c r="C9" s="35">
        <f>C4</f>
        <v>600</v>
      </c>
      <c r="D9" s="35">
        <f>D4</f>
        <v>690</v>
      </c>
      <c r="E9" s="35">
        <f>E4</f>
        <v>800</v>
      </c>
      <c r="F9" s="35">
        <f>F4</f>
        <v>920</v>
      </c>
    </row>
    <row r="10" spans="1:6" ht="33.75" customHeight="1" x14ac:dyDescent="0.3">
      <c r="A10" s="34" t="s">
        <v>151</v>
      </c>
      <c r="B10" s="100">
        <f>'lộ trình hp'!B8</f>
        <v>0.05</v>
      </c>
      <c r="C10" s="100">
        <f>'lộ trình hp'!C8</f>
        <v>5.2500000000000005E-2</v>
      </c>
      <c r="D10" s="100">
        <f>'lộ trình hp'!D8</f>
        <v>5.775000000000001E-2</v>
      </c>
      <c r="E10" s="100">
        <f>'lộ trình hp'!E8</f>
        <v>6.3525000000000012E-2</v>
      </c>
      <c r="F10" s="100">
        <f>'lộ trình hp'!F8</f>
        <v>6.9877500000000023E-2</v>
      </c>
    </row>
    <row r="11" spans="1:6" ht="33.75" customHeight="1" x14ac:dyDescent="0.3">
      <c r="A11" s="34" t="s">
        <v>152</v>
      </c>
      <c r="B11" s="101">
        <f>B10*B9</f>
        <v>11</v>
      </c>
      <c r="C11" s="101">
        <f>C10*C9</f>
        <v>31.500000000000004</v>
      </c>
      <c r="D11" s="101">
        <f>D10*D9</f>
        <v>39.847500000000004</v>
      </c>
      <c r="E11" s="101">
        <f>E10*E9</f>
        <v>50.820000000000007</v>
      </c>
      <c r="F11" s="101">
        <f>F10*F9</f>
        <v>64.287300000000016</v>
      </c>
    </row>
    <row r="12" spans="1:6" ht="15.75" customHeight="1" x14ac:dyDescent="0.3">
      <c r="A12" s="36"/>
      <c r="B12" s="36"/>
      <c r="C12" s="36"/>
      <c r="D12" s="36"/>
      <c r="E12" s="36"/>
      <c r="F12" s="36"/>
    </row>
    <row r="13" spans="1:6" ht="15.75" customHeight="1" x14ac:dyDescent="0.3">
      <c r="A13" s="33" t="s">
        <v>146</v>
      </c>
      <c r="B13" s="33" t="s">
        <v>17</v>
      </c>
      <c r="C13" s="33" t="s">
        <v>18</v>
      </c>
      <c r="D13" s="33" t="s">
        <v>19</v>
      </c>
      <c r="E13" s="33" t="s">
        <v>20</v>
      </c>
      <c r="F13" s="33" t="s">
        <v>21</v>
      </c>
    </row>
    <row r="14" spans="1:6" ht="31.5" customHeight="1" x14ac:dyDescent="0.3">
      <c r="A14" s="34" t="s">
        <v>153</v>
      </c>
      <c r="B14" s="129">
        <v>500</v>
      </c>
      <c r="C14" s="129">
        <f>B14*(1+5%)</f>
        <v>525</v>
      </c>
      <c r="D14" s="37">
        <f>D9*(1+20%)</f>
        <v>828</v>
      </c>
      <c r="E14" s="37">
        <f>E9*(1+20%)</f>
        <v>960</v>
      </c>
      <c r="F14" s="37">
        <f>F9*(1+20%)</f>
        <v>1104</v>
      </c>
    </row>
    <row r="15" spans="1:6" ht="15.75" customHeight="1" x14ac:dyDescent="0.3">
      <c r="A15" s="34" t="s">
        <v>151</v>
      </c>
      <c r="B15" s="106">
        <v>6.8900000000000003E-2</v>
      </c>
      <c r="C15" s="106">
        <v>6.8900000000000003E-2</v>
      </c>
      <c r="D15" s="106">
        <v>6.8900000000000003E-2</v>
      </c>
      <c r="E15" s="106">
        <v>6.8900000000000003E-2</v>
      </c>
      <c r="F15" s="106">
        <v>6.8900000000000003E-2</v>
      </c>
    </row>
    <row r="16" spans="1:6" ht="15.75" customHeight="1" x14ac:dyDescent="0.3">
      <c r="A16" s="34" t="s">
        <v>152</v>
      </c>
      <c r="B16" s="97">
        <f>B15*B14</f>
        <v>34.450000000000003</v>
      </c>
      <c r="C16" s="97">
        <f>C15*C14</f>
        <v>36.172499999999999</v>
      </c>
      <c r="D16" s="97">
        <f>D15*D14</f>
        <v>57.049199999999999</v>
      </c>
      <c r="E16" s="97">
        <f>E15*E14</f>
        <v>66.144000000000005</v>
      </c>
      <c r="F16" s="97">
        <f>F15*F14</f>
        <v>76.065600000000003</v>
      </c>
    </row>
  </sheetData>
  <pageMargins left="0.7" right="0.7" top="0.75" bottom="0.75" header="0.3" footer="0.3"/>
  <pageSetup paperSize="9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H21"/>
  <sheetViews>
    <sheetView workbookViewId="0"/>
  </sheetViews>
  <sheetFormatPr defaultRowHeight="14.4" x14ac:dyDescent="0.3"/>
  <cols>
    <col min="1" max="2" width="22" customWidth="1"/>
    <col min="3" max="7" width="13" customWidth="1"/>
    <col min="8" max="8" width="18" customWidth="1"/>
  </cols>
  <sheetData>
    <row r="1" spans="1:8" ht="16.8" customHeight="1" x14ac:dyDescent="0.3">
      <c r="A1" s="130" t="s">
        <v>154</v>
      </c>
    </row>
    <row r="2" spans="1:8" ht="45" customHeight="1" x14ac:dyDescent="0.3">
      <c r="A2" s="159" t="s">
        <v>155</v>
      </c>
      <c r="B2" s="138"/>
      <c r="C2" s="138"/>
      <c r="D2" s="138"/>
      <c r="E2" s="138"/>
      <c r="F2" s="138"/>
      <c r="G2" s="138"/>
      <c r="H2" s="138"/>
    </row>
    <row r="4" spans="1:8" ht="31.2" customHeight="1" x14ac:dyDescent="0.3">
      <c r="A4" s="131" t="s">
        <v>156</v>
      </c>
      <c r="B4" s="131" t="s">
        <v>146</v>
      </c>
      <c r="C4" s="131" t="s">
        <v>66</v>
      </c>
      <c r="D4" s="131" t="s">
        <v>67</v>
      </c>
      <c r="E4" s="131" t="s">
        <v>68</v>
      </c>
      <c r="F4" s="131" t="s">
        <v>69</v>
      </c>
      <c r="G4" s="131" t="s">
        <v>70</v>
      </c>
      <c r="H4" s="131" t="s">
        <v>157</v>
      </c>
    </row>
    <row r="5" spans="1:8" ht="15.6" customHeight="1" x14ac:dyDescent="0.3">
      <c r="A5" s="158" t="s">
        <v>158</v>
      </c>
      <c r="B5" s="132" t="s">
        <v>32</v>
      </c>
      <c r="C5" s="133">
        <v>562.45000000000005</v>
      </c>
      <c r="D5" s="133">
        <v>1548.17</v>
      </c>
      <c r="E5" s="133">
        <v>1884.6</v>
      </c>
      <c r="F5" s="133">
        <v>2293.3000000000002</v>
      </c>
      <c r="G5" s="133">
        <v>2768.28</v>
      </c>
      <c r="H5" s="155">
        <v>4.8600000000000003</v>
      </c>
    </row>
    <row r="6" spans="1:8" ht="15.6" customHeight="1" x14ac:dyDescent="0.3">
      <c r="A6" s="156"/>
      <c r="B6" s="132" t="s">
        <v>159</v>
      </c>
      <c r="C6" s="133">
        <v>616.04999999999995</v>
      </c>
      <c r="D6" s="133">
        <v>1413.41</v>
      </c>
      <c r="E6" s="133">
        <v>1674.58</v>
      </c>
      <c r="F6" s="133">
        <v>1998.81</v>
      </c>
      <c r="G6" s="133">
        <v>2375.58</v>
      </c>
      <c r="H6" s="156"/>
    </row>
    <row r="7" spans="1:8" ht="15.6" customHeight="1" x14ac:dyDescent="0.3">
      <c r="A7" s="156"/>
      <c r="B7" s="132" t="s">
        <v>100</v>
      </c>
      <c r="C7" s="133">
        <v>-68.48</v>
      </c>
      <c r="D7" s="133">
        <v>98.39</v>
      </c>
      <c r="E7" s="133">
        <v>164.57</v>
      </c>
      <c r="F7" s="133">
        <v>239.26</v>
      </c>
      <c r="G7" s="133">
        <v>326.11</v>
      </c>
      <c r="H7" s="156"/>
    </row>
    <row r="8" spans="1:8" ht="15.6" customHeight="1" x14ac:dyDescent="0.3">
      <c r="A8" s="156"/>
      <c r="B8" s="132" t="s">
        <v>104</v>
      </c>
      <c r="C8" s="133">
        <v>48.12</v>
      </c>
      <c r="D8" s="133">
        <v>272.64</v>
      </c>
      <c r="E8" s="133">
        <v>338.82</v>
      </c>
      <c r="F8" s="133">
        <v>413.51</v>
      </c>
      <c r="G8" s="133">
        <v>500.35</v>
      </c>
      <c r="H8" s="156"/>
    </row>
    <row r="9" spans="1:8" ht="15.6" customHeight="1" x14ac:dyDescent="0.3">
      <c r="A9" s="157"/>
      <c r="B9" s="132" t="s">
        <v>107</v>
      </c>
      <c r="C9" s="133">
        <v>48.12</v>
      </c>
      <c r="D9" s="133">
        <v>320.76</v>
      </c>
      <c r="E9" s="133">
        <v>659.58</v>
      </c>
      <c r="F9" s="133">
        <v>1073.0899999999999</v>
      </c>
      <c r="G9" s="133">
        <v>1573.45</v>
      </c>
      <c r="H9" s="157"/>
    </row>
    <row r="10" spans="1:8" ht="15.6" customHeight="1" x14ac:dyDescent="0.3">
      <c r="A10" s="158" t="s">
        <v>160</v>
      </c>
      <c r="B10" s="132" t="s">
        <v>32</v>
      </c>
      <c r="C10" s="133">
        <v>393.72</v>
      </c>
      <c r="D10" s="133">
        <v>1083.72</v>
      </c>
      <c r="E10" s="133">
        <v>1319.22</v>
      </c>
      <c r="F10" s="133">
        <v>1605.31</v>
      </c>
      <c r="G10" s="133">
        <v>1937.79</v>
      </c>
      <c r="H10" s="155" t="s">
        <v>161</v>
      </c>
    </row>
    <row r="11" spans="1:8" ht="15.6" customHeight="1" x14ac:dyDescent="0.3">
      <c r="A11" s="156"/>
      <c r="B11" s="132" t="s">
        <v>159</v>
      </c>
      <c r="C11" s="133">
        <v>484.58</v>
      </c>
      <c r="D11" s="133">
        <v>1043.76</v>
      </c>
      <c r="E11" s="133">
        <v>1226.58</v>
      </c>
      <c r="F11" s="133">
        <v>1453.54</v>
      </c>
      <c r="G11" s="133">
        <v>1717.28</v>
      </c>
      <c r="H11" s="156"/>
    </row>
    <row r="12" spans="1:8" ht="15.6" customHeight="1" x14ac:dyDescent="0.3">
      <c r="A12" s="156"/>
      <c r="B12" s="132" t="s">
        <v>100</v>
      </c>
      <c r="C12" s="133">
        <v>-101.28</v>
      </c>
      <c r="D12" s="133">
        <v>14.5</v>
      </c>
      <c r="E12" s="133">
        <v>60.83</v>
      </c>
      <c r="F12" s="133">
        <v>113.11</v>
      </c>
      <c r="G12" s="133">
        <v>173.9</v>
      </c>
      <c r="H12" s="156"/>
    </row>
    <row r="13" spans="1:8" ht="15.6" customHeight="1" x14ac:dyDescent="0.3">
      <c r="A13" s="156"/>
      <c r="B13" s="132" t="s">
        <v>104</v>
      </c>
      <c r="C13" s="133">
        <v>15.33</v>
      </c>
      <c r="D13" s="133">
        <v>188.75</v>
      </c>
      <c r="E13" s="133">
        <v>235.07</v>
      </c>
      <c r="F13" s="133">
        <v>287.36</v>
      </c>
      <c r="G13" s="133">
        <v>348.15</v>
      </c>
      <c r="H13" s="156"/>
    </row>
    <row r="14" spans="1:8" ht="15.6" customHeight="1" x14ac:dyDescent="0.3">
      <c r="A14" s="157"/>
      <c r="B14" s="132" t="s">
        <v>107</v>
      </c>
      <c r="C14" s="133">
        <v>15.33</v>
      </c>
      <c r="D14" s="133">
        <v>204.07</v>
      </c>
      <c r="E14" s="133">
        <v>439.15</v>
      </c>
      <c r="F14" s="133">
        <v>726.5</v>
      </c>
      <c r="G14" s="133">
        <v>1074.6500000000001</v>
      </c>
      <c r="H14" s="157"/>
    </row>
    <row r="15" spans="1:8" ht="15.6" customHeight="1" x14ac:dyDescent="0.3">
      <c r="A15" s="158" t="s">
        <v>162</v>
      </c>
      <c r="B15" s="132" t="s">
        <v>32</v>
      </c>
      <c r="C15" s="133">
        <v>281.23</v>
      </c>
      <c r="D15" s="133">
        <v>774.09</v>
      </c>
      <c r="E15" s="133">
        <v>942.3</v>
      </c>
      <c r="F15" s="133">
        <v>1146.6500000000001</v>
      </c>
      <c r="G15" s="133">
        <v>1384.14</v>
      </c>
      <c r="H15" s="155" t="s">
        <v>161</v>
      </c>
    </row>
    <row r="16" spans="1:8" ht="15.6" customHeight="1" x14ac:dyDescent="0.3">
      <c r="A16" s="156"/>
      <c r="B16" s="132" t="s">
        <v>159</v>
      </c>
      <c r="C16" s="133">
        <v>396.93</v>
      </c>
      <c r="D16" s="133">
        <v>797.33</v>
      </c>
      <c r="E16" s="133">
        <v>927.92</v>
      </c>
      <c r="F16" s="133">
        <v>1090.03</v>
      </c>
      <c r="G16" s="133">
        <v>1278.4100000000001</v>
      </c>
      <c r="H16" s="156"/>
    </row>
    <row r="17" spans="1:8" ht="15.6" customHeight="1" x14ac:dyDescent="0.3">
      <c r="A17" s="156"/>
      <c r="B17" s="132" t="s">
        <v>100</v>
      </c>
      <c r="C17" s="133">
        <v>-123.15</v>
      </c>
      <c r="D17" s="133">
        <v>-41.43</v>
      </c>
      <c r="E17" s="133">
        <v>-8.34</v>
      </c>
      <c r="F17" s="133">
        <v>29.01</v>
      </c>
      <c r="G17" s="133">
        <v>72.430000000000007</v>
      </c>
      <c r="H17" s="156"/>
    </row>
    <row r="18" spans="1:8" ht="15.6" customHeight="1" x14ac:dyDescent="0.3">
      <c r="A18" s="156"/>
      <c r="B18" s="132" t="s">
        <v>104</v>
      </c>
      <c r="C18" s="133">
        <v>-6.54</v>
      </c>
      <c r="D18" s="133">
        <v>132.82</v>
      </c>
      <c r="E18" s="133">
        <v>165.91</v>
      </c>
      <c r="F18" s="133">
        <v>203.26</v>
      </c>
      <c r="G18" s="133">
        <v>246.68</v>
      </c>
      <c r="H18" s="156"/>
    </row>
    <row r="19" spans="1:8" ht="15.6" customHeight="1" x14ac:dyDescent="0.3">
      <c r="A19" s="157"/>
      <c r="B19" s="132" t="s">
        <v>107</v>
      </c>
      <c r="C19" s="133">
        <v>-6.54</v>
      </c>
      <c r="D19" s="133">
        <v>126.28</v>
      </c>
      <c r="E19" s="133">
        <v>292.19</v>
      </c>
      <c r="F19" s="133">
        <v>495.45</v>
      </c>
      <c r="G19" s="133">
        <v>742.12</v>
      </c>
      <c r="H19" s="157"/>
    </row>
    <row r="21" spans="1:8" x14ac:dyDescent="0.3">
      <c r="A21" s="134" t="s">
        <v>163</v>
      </c>
    </row>
  </sheetData>
  <mergeCells count="7">
    <mergeCell ref="H15:H19"/>
    <mergeCell ref="A5:A9"/>
    <mergeCell ref="A15:A19"/>
    <mergeCell ref="A2:H2"/>
    <mergeCell ref="H5:H9"/>
    <mergeCell ref="A10:A14"/>
    <mergeCell ref="H10:H14"/>
  </mergeCells>
  <pageMargins left="0.75" right="0.75" top="1" bottom="1" header="0.5" footer="0.5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D13"/>
  <sheetViews>
    <sheetView workbookViewId="0"/>
  </sheetViews>
  <sheetFormatPr defaultRowHeight="14.4" x14ac:dyDescent="0.3"/>
  <cols>
    <col min="1" max="1" width="5" customWidth="1"/>
    <col min="2" max="2" width="32" customWidth="1"/>
    <col min="3" max="3" width="90" customWidth="1"/>
    <col min="4" max="4" width="18" customWidth="1"/>
  </cols>
  <sheetData>
    <row r="1" spans="1:4" ht="15.6" customHeight="1" x14ac:dyDescent="0.3">
      <c r="A1" s="135" t="s">
        <v>27</v>
      </c>
      <c r="B1" s="135" t="s">
        <v>164</v>
      </c>
      <c r="C1" s="135" t="s">
        <v>165</v>
      </c>
      <c r="D1" s="135" t="s">
        <v>166</v>
      </c>
    </row>
    <row r="2" spans="1:4" ht="31.2" customHeight="1" x14ac:dyDescent="0.3">
      <c r="A2" s="136">
        <v>1</v>
      </c>
      <c r="B2" s="136" t="s">
        <v>167</v>
      </c>
      <c r="C2" s="136" t="s">
        <v>168</v>
      </c>
      <c r="D2" s="136" t="s">
        <v>169</v>
      </c>
    </row>
    <row r="3" spans="1:4" ht="31.2" customHeight="1" x14ac:dyDescent="0.3">
      <c r="A3" s="136">
        <v>2</v>
      </c>
      <c r="B3" s="136" t="s">
        <v>170</v>
      </c>
      <c r="C3" s="136" t="s">
        <v>171</v>
      </c>
      <c r="D3" s="136" t="s">
        <v>169</v>
      </c>
    </row>
    <row r="4" spans="1:4" ht="46.8" customHeight="1" x14ac:dyDescent="0.3">
      <c r="A4" s="136">
        <v>3</v>
      </c>
      <c r="B4" s="136" t="s">
        <v>172</v>
      </c>
      <c r="C4" s="136" t="s">
        <v>173</v>
      </c>
      <c r="D4" s="136" t="s">
        <v>174</v>
      </c>
    </row>
    <row r="5" spans="1:4" ht="46.8" customHeight="1" x14ac:dyDescent="0.3">
      <c r="A5" s="136">
        <v>4</v>
      </c>
      <c r="B5" s="136" t="s">
        <v>175</v>
      </c>
      <c r="C5" s="136" t="s">
        <v>176</v>
      </c>
      <c r="D5" s="136" t="s">
        <v>177</v>
      </c>
    </row>
    <row r="6" spans="1:4" ht="15.6" customHeight="1" x14ac:dyDescent="0.3">
      <c r="A6" s="136">
        <v>5</v>
      </c>
      <c r="B6" s="136" t="s">
        <v>178</v>
      </c>
      <c r="C6" s="136" t="s">
        <v>179</v>
      </c>
      <c r="D6" s="136" t="s">
        <v>177</v>
      </c>
    </row>
    <row r="7" spans="1:4" ht="31.2" customHeight="1" x14ac:dyDescent="0.3">
      <c r="A7" s="136">
        <v>6</v>
      </c>
      <c r="B7" s="136" t="s">
        <v>180</v>
      </c>
      <c r="C7" s="136" t="s">
        <v>181</v>
      </c>
      <c r="D7" s="136" t="s">
        <v>177</v>
      </c>
    </row>
    <row r="8" spans="1:4" ht="46.8" customHeight="1" x14ac:dyDescent="0.3">
      <c r="A8" s="136">
        <v>7</v>
      </c>
      <c r="B8" s="136" t="s">
        <v>182</v>
      </c>
      <c r="C8" s="136" t="s">
        <v>183</v>
      </c>
      <c r="D8" s="136" t="s">
        <v>177</v>
      </c>
    </row>
    <row r="9" spans="1:4" ht="31.2" customHeight="1" x14ac:dyDescent="0.3">
      <c r="A9" s="136">
        <v>8</v>
      </c>
      <c r="B9" s="136" t="s">
        <v>184</v>
      </c>
      <c r="C9" s="136" t="s">
        <v>185</v>
      </c>
      <c r="D9" s="136" t="s">
        <v>177</v>
      </c>
    </row>
    <row r="10" spans="1:4" ht="46.8" customHeight="1" x14ac:dyDescent="0.3">
      <c r="A10" s="136">
        <v>9</v>
      </c>
      <c r="B10" s="136" t="s">
        <v>186</v>
      </c>
      <c r="C10" s="136" t="s">
        <v>187</v>
      </c>
      <c r="D10" s="136" t="s">
        <v>177</v>
      </c>
    </row>
    <row r="11" spans="1:4" ht="46.8" customHeight="1" x14ac:dyDescent="0.3">
      <c r="A11" s="136">
        <v>10</v>
      </c>
      <c r="B11" s="136" t="s">
        <v>188</v>
      </c>
      <c r="C11" s="136" t="s">
        <v>189</v>
      </c>
      <c r="D11" s="136" t="s">
        <v>177</v>
      </c>
    </row>
    <row r="12" spans="1:4" ht="31.2" customHeight="1" x14ac:dyDescent="0.3">
      <c r="A12" s="136">
        <v>11</v>
      </c>
      <c r="B12" s="136" t="s">
        <v>190</v>
      </c>
      <c r="C12" s="136" t="s">
        <v>191</v>
      </c>
      <c r="D12" s="136" t="s">
        <v>192</v>
      </c>
    </row>
    <row r="13" spans="1:4" ht="31.2" customHeight="1" x14ac:dyDescent="0.3">
      <c r="A13" s="136">
        <v>12</v>
      </c>
      <c r="B13" s="136" t="s">
        <v>193</v>
      </c>
      <c r="C13" s="136" t="s">
        <v>194</v>
      </c>
      <c r="D13" s="136" t="s">
        <v>195</v>
      </c>
    </row>
  </sheetData>
  <pageMargins left="0.75" right="0.75" top="1" bottom="1" header="0.5" footer="0.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Quy ước màu</vt:lpstr>
      <vt:lpstr>lộ trình hp</vt:lpstr>
      <vt:lpstr>Nội dung khoán THU CHI thuê sân</vt:lpstr>
      <vt:lpstr>Nội dung khoán tHU CHI học phí</vt:lpstr>
      <vt:lpstr>Dự toán thu - chi</vt:lpstr>
      <vt:lpstr>Khấu hao</vt:lpstr>
      <vt:lpstr>Dự kiến thu</vt:lpstr>
      <vt:lpstr>Độ nhạy</vt:lpstr>
      <vt:lpstr>Ghi chú rà soát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Thị Tuyết</dc:creator>
  <cp:lastModifiedBy>Nguyễn Phục</cp:lastModifiedBy>
  <cp:lastPrinted>2023-08-30T03:53:33Z</cp:lastPrinted>
  <dcterms:created xsi:type="dcterms:W3CDTF">2023-08-29T08:51:59Z</dcterms:created>
  <dcterms:modified xsi:type="dcterms:W3CDTF">2026-10-21T14:30:45Z</dcterms:modified>
</cp:coreProperties>
</file>