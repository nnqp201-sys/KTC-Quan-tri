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1\Tham-dinh\Hoan thien\Ban-trinh-giao-ban\"/>
    </mc:Choice>
  </mc:AlternateContent>
  <xr:revisionPtr revIDLastSave="0" documentId="13_ncr:1_{1E251A61-61D0-4C1D-8787-4A56C339F17C}" xr6:coauthVersionLast="47" xr6:coauthVersionMax="47" xr10:uidLastSave="{00000000-0000-0000-0000-000000000000}"/>
  <bookViews>
    <workbookView xWindow="2928" yWindow="2172" windowWidth="10428" windowHeight="10068" xr2:uid="{00000000-000D-0000-FFFF-FFFF00000000}"/>
  </bookViews>
  <sheets>
    <sheet name="lộ trình hp" sheetId="1" r:id="rId1"/>
    <sheet name="Nội dung khoán THU CHI thuê sân" sheetId="2" r:id="rId2"/>
    <sheet name="Nội dung khoán tHU CHI học phí" sheetId="3" r:id="rId3"/>
    <sheet name="Dự toán thu - chi" sheetId="4" r:id="rId4"/>
    <sheet name="Khấu hao" sheetId="5" r:id="rId5"/>
    <sheet name="Dự kiến thu" sheetId="6" r:id="rId6"/>
    <sheet name="Độ nhạ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C14" i="6"/>
  <c r="C16" i="6" s="1"/>
  <c r="B10" i="6"/>
  <c r="F9" i="6"/>
  <c r="F14" i="6" s="1"/>
  <c r="E9" i="6"/>
  <c r="E14" i="6" s="1"/>
  <c r="E16" i="6" s="1"/>
  <c r="D9" i="6"/>
  <c r="C9" i="6"/>
  <c r="F7" i="2" s="1"/>
  <c r="B9" i="6"/>
  <c r="E7" i="2" s="1"/>
  <c r="E6" i="2" s="1"/>
  <c r="B5" i="6"/>
  <c r="B6" i="6" s="1"/>
  <c r="E16" i="5"/>
  <c r="G16" i="5" s="1"/>
  <c r="I16" i="5" s="1"/>
  <c r="E15" i="5"/>
  <c r="G15" i="5" s="1"/>
  <c r="I15" i="5" s="1"/>
  <c r="G14" i="5"/>
  <c r="I14" i="5" s="1"/>
  <c r="E13" i="5"/>
  <c r="G13" i="5" s="1"/>
  <c r="I13" i="5" s="1"/>
  <c r="K12" i="5"/>
  <c r="G12" i="5"/>
  <c r="I12" i="5" s="1"/>
  <c r="E11" i="5"/>
  <c r="G11" i="5" s="1"/>
  <c r="I11" i="5" s="1"/>
  <c r="E10" i="5"/>
  <c r="G10" i="5" s="1"/>
  <c r="I10" i="5" s="1"/>
  <c r="G9" i="5"/>
  <c r="I9" i="5" s="1"/>
  <c r="E8" i="5"/>
  <c r="G8" i="5" s="1"/>
  <c r="I8" i="5" s="1"/>
  <c r="G7" i="5"/>
  <c r="I7" i="5" s="1"/>
  <c r="E7" i="5"/>
  <c r="E6" i="5"/>
  <c r="I11" i="2"/>
  <c r="H11" i="2"/>
  <c r="G11" i="2"/>
  <c r="F11" i="2"/>
  <c r="E11" i="2"/>
  <c r="H10" i="2"/>
  <c r="F10" i="2"/>
  <c r="F9" i="2" s="1"/>
  <c r="F15" i="2" s="1"/>
  <c r="E10" i="2"/>
  <c r="E8" i="2"/>
  <c r="C8" i="1"/>
  <c r="F8" i="2" s="1"/>
  <c r="C7" i="1"/>
  <c r="D7" i="1" s="1"/>
  <c r="E7" i="1" s="1"/>
  <c r="F7" i="1" s="1"/>
  <c r="C6" i="1"/>
  <c r="D6" i="1" s="1"/>
  <c r="D5" i="6" s="1"/>
  <c r="C5" i="6" l="1"/>
  <c r="F6" i="2"/>
  <c r="D8" i="1"/>
  <c r="H7" i="2"/>
  <c r="I7" i="2"/>
  <c r="C10" i="6"/>
  <c r="C11" i="6" s="1"/>
  <c r="F21" i="2"/>
  <c r="F16" i="2"/>
  <c r="D8" i="4"/>
  <c r="F17" i="2"/>
  <c r="F20" i="2"/>
  <c r="E14" i="2"/>
  <c r="C7" i="4"/>
  <c r="F14" i="2"/>
  <c r="F13" i="2" s="1"/>
  <c r="D7" i="4"/>
  <c r="G7" i="2"/>
  <c r="D14" i="6"/>
  <c r="F5" i="2"/>
  <c r="E17" i="5"/>
  <c r="E9" i="2"/>
  <c r="F16" i="6"/>
  <c r="I10" i="2"/>
  <c r="I9" i="2" s="1"/>
  <c r="B11" i="6"/>
  <c r="H9" i="2"/>
  <c r="G5" i="3"/>
  <c r="D6" i="6"/>
  <c r="E6" i="1"/>
  <c r="E5" i="3"/>
  <c r="G6" i="5"/>
  <c r="D10" i="6"/>
  <c r="D11" i="6" s="1"/>
  <c r="E8" i="1" l="1"/>
  <c r="G8" i="2"/>
  <c r="G6" i="2" s="1"/>
  <c r="C6" i="6"/>
  <c r="F5" i="3"/>
  <c r="I21" i="2"/>
  <c r="G8" i="4"/>
  <c r="I16" i="2"/>
  <c r="I15" i="2"/>
  <c r="I20" i="2"/>
  <c r="I17" i="2"/>
  <c r="H16" i="2"/>
  <c r="H20" i="2"/>
  <c r="H21" i="2"/>
  <c r="H15" i="2"/>
  <c r="H17" i="2"/>
  <c r="F8" i="4"/>
  <c r="I7" i="4"/>
  <c r="D23" i="4"/>
  <c r="H7" i="4"/>
  <c r="I6" i="5"/>
  <c r="I17" i="5" s="1"/>
  <c r="G17" i="5"/>
  <c r="E14" i="3"/>
  <c r="E11" i="3"/>
  <c r="C13" i="4" s="1"/>
  <c r="E9" i="3"/>
  <c r="E16" i="3"/>
  <c r="E8" i="3"/>
  <c r="E13" i="3"/>
  <c r="C16" i="4" s="1"/>
  <c r="E12" i="3"/>
  <c r="C15" i="4" s="1"/>
  <c r="E18" i="3"/>
  <c r="E10" i="3"/>
  <c r="C6" i="4"/>
  <c r="E7" i="3"/>
  <c r="G16" i="3"/>
  <c r="G10" i="3"/>
  <c r="G18" i="3"/>
  <c r="G11" i="3"/>
  <c r="E13" i="4" s="1"/>
  <c r="G13" i="3"/>
  <c r="E16" i="4" s="1"/>
  <c r="E6" i="4"/>
  <c r="G8" i="3"/>
  <c r="G9" i="3"/>
  <c r="G14" i="3"/>
  <c r="G7" i="3"/>
  <c r="G12" i="3"/>
  <c r="E15" i="4" s="1"/>
  <c r="I8" i="4"/>
  <c r="D16" i="6"/>
  <c r="G10" i="2"/>
  <c r="G9" i="2" s="1"/>
  <c r="C8" i="4"/>
  <c r="C23" i="4" s="1"/>
  <c r="E17" i="2"/>
  <c r="E21" i="2"/>
  <c r="E16" i="2"/>
  <c r="E20" i="2"/>
  <c r="E15" i="2"/>
  <c r="E13" i="2" s="1"/>
  <c r="E5" i="2"/>
  <c r="E5" i="6"/>
  <c r="F6" i="1"/>
  <c r="F5" i="6" s="1"/>
  <c r="F24" i="2"/>
  <c r="F19" i="2"/>
  <c r="F18" i="2"/>
  <c r="F25" i="2"/>
  <c r="F22" i="2"/>
  <c r="G14" i="2" l="1"/>
  <c r="E7" i="4"/>
  <c r="F16" i="3"/>
  <c r="F11" i="3"/>
  <c r="D13" i="4" s="1"/>
  <c r="F13" i="3"/>
  <c r="D16" i="4" s="1"/>
  <c r="F8" i="3"/>
  <c r="D6" i="4"/>
  <c r="F18" i="3"/>
  <c r="F10" i="3"/>
  <c r="F7" i="3"/>
  <c r="D10" i="4" s="1"/>
  <c r="F9" i="3"/>
  <c r="F12" i="3"/>
  <c r="D15" i="4" s="1"/>
  <c r="F14" i="3"/>
  <c r="D17" i="4" s="1"/>
  <c r="F8" i="1"/>
  <c r="E10" i="6"/>
  <c r="E11" i="6" s="1"/>
  <c r="H8" i="2"/>
  <c r="H6" i="2" s="1"/>
  <c r="F12" i="2"/>
  <c r="F26" i="2" s="1"/>
  <c r="K8" i="4"/>
  <c r="C10" i="4"/>
  <c r="E18" i="2"/>
  <c r="E24" i="2"/>
  <c r="E19" i="2"/>
  <c r="E25" i="2"/>
  <c r="E22" i="2"/>
  <c r="H6" i="4"/>
  <c r="C5" i="4"/>
  <c r="D14" i="4"/>
  <c r="F23" i="2"/>
  <c r="J6" i="4"/>
  <c r="G20" i="2"/>
  <c r="E17" i="4" s="1"/>
  <c r="G21" i="2"/>
  <c r="G16" i="2"/>
  <c r="E8" i="4"/>
  <c r="G17" i="2"/>
  <c r="G15" i="2"/>
  <c r="E10" i="4" s="1"/>
  <c r="H8" i="4"/>
  <c r="C24" i="4"/>
  <c r="G5" i="2"/>
  <c r="J7" i="4"/>
  <c r="G15" i="3"/>
  <c r="G6" i="3" s="1"/>
  <c r="G19" i="3" s="1"/>
  <c r="E12" i="4"/>
  <c r="F6" i="6"/>
  <c r="I5" i="3"/>
  <c r="E6" i="6"/>
  <c r="H5" i="3"/>
  <c r="G11" i="4"/>
  <c r="D11" i="4"/>
  <c r="F11" i="4"/>
  <c r="E11" i="4"/>
  <c r="C11" i="4"/>
  <c r="E15" i="3"/>
  <c r="E6" i="3" s="1"/>
  <c r="E19" i="3" s="1"/>
  <c r="C12" i="4"/>
  <c r="C17" i="4"/>
  <c r="L8" i="4"/>
  <c r="F15" i="3" l="1"/>
  <c r="F6" i="3" s="1"/>
  <c r="F19" i="3" s="1"/>
  <c r="D12" i="4"/>
  <c r="D18" i="4"/>
  <c r="E12" i="2"/>
  <c r="E26" i="2" s="1"/>
  <c r="D26" i="2" s="1"/>
  <c r="D24" i="4"/>
  <c r="I6" i="4"/>
  <c r="D5" i="4"/>
  <c r="H14" i="2"/>
  <c r="H13" i="2" s="1"/>
  <c r="F7" i="4"/>
  <c r="H5" i="2"/>
  <c r="F10" i="6"/>
  <c r="F11" i="6" s="1"/>
  <c r="I8" i="2"/>
  <c r="I6" i="2" s="1"/>
  <c r="G19" i="2"/>
  <c r="G18" i="2"/>
  <c r="G25" i="2"/>
  <c r="G24" i="2"/>
  <c r="G22" i="2"/>
  <c r="C19" i="4"/>
  <c r="H5" i="4"/>
  <c r="M5" i="4" s="1"/>
  <c r="C21" i="4"/>
  <c r="H11" i="3"/>
  <c r="F13" i="4" s="1"/>
  <c r="H8" i="3"/>
  <c r="H12" i="3"/>
  <c r="F15" i="4" s="1"/>
  <c r="H13" i="3"/>
  <c r="F16" i="4" s="1"/>
  <c r="F6" i="4"/>
  <c r="H10" i="3"/>
  <c r="H18" i="3"/>
  <c r="H16" i="3"/>
  <c r="H9" i="3"/>
  <c r="H14" i="3"/>
  <c r="F17" i="4" s="1"/>
  <c r="H7" i="3"/>
  <c r="G13" i="2"/>
  <c r="I7" i="3"/>
  <c r="I13" i="3"/>
  <c r="G16" i="4" s="1"/>
  <c r="I8" i="3"/>
  <c r="G6" i="4"/>
  <c r="I10" i="3"/>
  <c r="I18" i="3"/>
  <c r="I12" i="3"/>
  <c r="G15" i="4" s="1"/>
  <c r="I11" i="3"/>
  <c r="G13" i="4" s="1"/>
  <c r="I16" i="3"/>
  <c r="I9" i="3"/>
  <c r="I14" i="3"/>
  <c r="G17" i="4" s="1"/>
  <c r="E24" i="4"/>
  <c r="J8" i="4"/>
  <c r="E23" i="4"/>
  <c r="E5" i="4"/>
  <c r="C14" i="4"/>
  <c r="C18" i="4" s="1"/>
  <c r="E23" i="2"/>
  <c r="H18" i="2" l="1"/>
  <c r="H25" i="2"/>
  <c r="H19" i="2"/>
  <c r="H24" i="2"/>
  <c r="H22" i="2"/>
  <c r="K7" i="4"/>
  <c r="F23" i="4"/>
  <c r="H12" i="2"/>
  <c r="H26" i="2" s="1"/>
  <c r="I5" i="4"/>
  <c r="N5" i="4" s="1"/>
  <c r="D21" i="4"/>
  <c r="D9" i="4" s="1"/>
  <c r="D22" i="4" s="1"/>
  <c r="D25" i="4" s="1"/>
  <c r="D28" i="4" s="1"/>
  <c r="D19" i="4"/>
  <c r="G12" i="2"/>
  <c r="G26" i="2" s="1"/>
  <c r="G7" i="4"/>
  <c r="I5" i="2"/>
  <c r="I14" i="2"/>
  <c r="I13" i="2" s="1"/>
  <c r="G10" i="4"/>
  <c r="F10" i="4"/>
  <c r="C9" i="4"/>
  <c r="C22" i="4" s="1"/>
  <c r="C25" i="4" s="1"/>
  <c r="C28" i="4" s="1"/>
  <c r="C30" i="4" s="1"/>
  <c r="H15" i="3"/>
  <c r="H6" i="3" s="1"/>
  <c r="H19" i="3" s="1"/>
  <c r="F12" i="4"/>
  <c r="L6" i="4"/>
  <c r="K6" i="4"/>
  <c r="F5" i="4"/>
  <c r="F24" i="4"/>
  <c r="G23" i="2"/>
  <c r="E14" i="4"/>
  <c r="J5" i="4"/>
  <c r="O5" i="4" s="1"/>
  <c r="E21" i="4"/>
  <c r="E19" i="4"/>
  <c r="I15" i="3"/>
  <c r="I6" i="3" s="1"/>
  <c r="I19" i="3" s="1"/>
  <c r="G12" i="4"/>
  <c r="D30" i="4" l="1"/>
  <c r="H23" i="2"/>
  <c r="F14" i="4"/>
  <c r="F18" i="4" s="1"/>
  <c r="I18" i="2"/>
  <c r="I22" i="2"/>
  <c r="I25" i="2"/>
  <c r="I19" i="2"/>
  <c r="I24" i="2"/>
  <c r="L7" i="4"/>
  <c r="G23" i="4"/>
  <c r="G24" i="4"/>
  <c r="G5" i="4"/>
  <c r="L5" i="4"/>
  <c r="Q5" i="4" s="1"/>
  <c r="G21" i="4"/>
  <c r="G19" i="4"/>
  <c r="E18" i="4"/>
  <c r="E9" i="4" s="1"/>
  <c r="E22" i="4" s="1"/>
  <c r="E25" i="4" s="1"/>
  <c r="E28" i="4" s="1"/>
  <c r="E30" i="4" s="1"/>
  <c r="K5" i="4"/>
  <c r="P5" i="4" s="1"/>
  <c r="F21" i="4"/>
  <c r="F19" i="4"/>
  <c r="F9" i="4" l="1"/>
  <c r="F22" i="4" s="1"/>
  <c r="F25" i="4" s="1"/>
  <c r="F28" i="4" s="1"/>
  <c r="I23" i="2"/>
  <c r="G14" i="4"/>
  <c r="I12" i="2"/>
  <c r="I26" i="2" s="1"/>
  <c r="F30" i="4"/>
  <c r="G18" i="4" l="1"/>
  <c r="G9" i="4"/>
  <c r="G22" i="4" s="1"/>
  <c r="G25" i="4" s="1"/>
  <c r="G28" i="4" s="1"/>
  <c r="G30" i="4" s="1"/>
  <c r="C29" i="4" s="1"/>
</calcChain>
</file>

<file path=xl/sharedStrings.xml><?xml version="1.0" encoding="utf-8"?>
<sst xmlns="http://schemas.openxmlformats.org/spreadsheetml/2006/main" count="260" uniqueCount="148">
  <si>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</si>
  <si>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</si>
  <si>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</si>
  <si>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</si>
  <si>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</si>
  <si>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</si>
  <si>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</si>
  <si>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</si>
  <si>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</si>
  <si>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V</t>
  </si>
  <si>
    <t>PHÂN KHAI KHOẢN THU CHO THUÊ SÂN, THIẾT BỊ ÔN LUYỆN VÀ PHỤC VỤ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</si>
  <si>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</si>
  <si>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</si>
  <si>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</si>
  <si>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</si>
  <si>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</si>
  <si>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</si>
  <si>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</si>
  <si>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</si>
  <si>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</si>
  <si>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</si>
  <si>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Đồng</t>
  </si>
  <si>
    <t>Thuê sân phục vụ sát hạch (53% lp)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</si>
  <si>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</si>
  <si>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</si>
  <si>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</si>
  <si>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</si>
  <si>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</si>
  <si>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</si>
  <si>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</si>
  <si>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</si>
  <si>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</si>
  <si>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</si>
  <si>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</si>
  <si>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</si>
  <si>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</si>
  <si>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</si>
  <si>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</si>
  <si>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</si>
  <si>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</si>
  <si>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</si>
  <si>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</si>
  <si>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</si>
  <si>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</si>
  <si>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</si>
  <si>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</si>
  <si>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</si>
  <si>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</si>
  <si>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</si>
  <si>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</si>
  <si>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</si>
  <si>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</si>
  <si>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</si>
  <si>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</si>
  <si>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</si>
  <si>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</si>
  <si>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</si>
  <si>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</si>
  <si>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</si>
  <si>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</si>
  <si>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</si>
  <si>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</si>
  <si>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</si>
  <si>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</si>
  <si>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</si>
  <si>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(10% lương trực tiếp)</t>
  </si>
  <si>
    <t>Đào tạo bồi dưỡng (2027:09GV)</t>
  </si>
  <si>
    <t>61.2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</si>
  <si>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</si>
  <si>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</si>
  <si>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</si>
  <si>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</si>
  <si>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</si>
  <si>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</si>
  <si>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</si>
  <si>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</si>
  <si>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</si>
  <si>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</si>
  <si>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</si>
  <si>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</si>
  <si>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</si>
  <si>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</si>
  <si>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</si>
  <si>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</si>
  <si>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</si>
  <si>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</si>
  <si>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</si>
  <si>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</si>
  <si>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</si>
  <si>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</si>
  <si>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</si>
  <si>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</si>
  <si>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</si>
  <si>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</si>
  <si>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</si>
  <si>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</si>
  <si>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</si>
  <si>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</si>
  <si>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</si>
  <si>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</si>
  <si>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</si>
  <si>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</si>
  <si>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</si>
  <si>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</si>
  <si>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</si>
  <si>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</si>
  <si>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</si>
  <si>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</si>
  <si>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</si>
  <si>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</si>
  <si>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</si>
  <si>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</si>
  <si>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</si>
  <si>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</si>
  <si>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</si>
  <si>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</si>
  <si>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</si>
  <si>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</si>
  <si>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</si>
  <si>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</si>
  <si>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</si>
  <si>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</si>
  <si>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</si>
  <si>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</si>
  <si>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</si>
  <si>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</si>
  <si>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</si>
  <si>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</si>
  <si>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</si>
  <si>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</si>
  <si>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</si>
  <si>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</si>
  <si>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</si>
  <si>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</si>
  <si>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</si>
  <si>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</si>
  <si>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</si>
  <si>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</si>
  <si>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</si>
  <si>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Tính bằng cùng công thức sheet "Dự toán thu - chi" (giữ nguyên khấu hao, chi bồi dưỡng; các khoản khác, thuế theo tỷ lệ doanh thu). Cập nhật 22/10/2026 theo số liệu phòng TC-KT chốt (khoán tuyển sinh 5%, thuê xe 22%, thiết bị chấm điểm 200 triệu đồng).</t>
  </si>
  <si>
    <t>Kịch bản</t>
  </si>
  <si>
    <t>Thời gian hoàn vốn (năm)</t>
  </si>
  <si>
    <t>100% kế hoạch (Bảng 7)</t>
  </si>
  <si>
    <t>Chi phí</t>
  </si>
  <si>
    <t>70% kế hoạch</t>
  </si>
  <si>
    <t>Chưa hoàn vốn trong 5 năm</t>
  </si>
  <si>
    <t>50% kế hoạch</t>
  </si>
  <si>
    <t>Vốn đầu tư dùng làm mẫu số: 1.730,2 triệu đồng (Bảng 10 Đề án; 'Dự toán thu - chi'!C27), phòng TC-KT chốt 22/10/2026.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</si>
</sst>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2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</font>
    <font>
      <b/>
      <sz val="14"/>
      <color rgb="FFC00000"/>
      <name val="Times New Roman"/>
    </font>
    <font>
      <sz val="13"/>
      <color rgb="FFC00000"/>
      <name val="Times New Roman"/>
    </font>
    <font>
      <b/>
      <sz val="13"/>
      <color rgb="FF000000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1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0" fillId="0" borderId="0" xfId="0" applyFont="1"/>
    <xf numFmtId="164" fontId="20" fillId="0" borderId="0" xfId="0" applyNumberFormat="1" applyFont="1"/>
    <xf numFmtId="166" fontId="22" fillId="0" borderId="1" xfId="1" applyNumberFormat="1" applyFont="1" applyBorder="1" applyAlignment="1">
      <alignment vertical="center"/>
    </xf>
    <xf numFmtId="9" fontId="23" fillId="0" borderId="1" xfId="2" applyFont="1" applyBorder="1" applyAlignment="1">
      <alignment horizontal="center" vertical="center"/>
    </xf>
    <xf numFmtId="43" fontId="22" fillId="0" borderId="1" xfId="0" applyNumberFormat="1" applyFont="1" applyBorder="1" applyAlignment="1">
      <alignment vertical="center"/>
    </xf>
    <xf numFmtId="43" fontId="23" fillId="0" borderId="1" xfId="0" applyNumberFormat="1" applyFont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43" fontId="24" fillId="0" borderId="1" xfId="0" applyNumberFormat="1" applyFont="1" applyBorder="1"/>
    <xf numFmtId="43" fontId="21" fillId="0" borderId="1" xfId="0" applyNumberFormat="1" applyFont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0" applyNumberFormat="1" applyFont="1" applyBorder="1"/>
    <xf numFmtId="164" fontId="24" fillId="0" borderId="1" xfId="1" applyNumberFormat="1" applyFont="1" applyBorder="1" applyAlignment="1">
      <alignment horizontal="center" vertical="center" wrapText="1"/>
    </xf>
    <xf numFmtId="0" fontId="23" fillId="0" borderId="0" xfId="0" applyFont="1"/>
    <xf numFmtId="0" fontId="27" fillId="0" borderId="8" xfId="0" applyFont="1" applyBorder="1" applyAlignment="1">
      <alignment horizontal="center" vertical="center" wrapText="1"/>
    </xf>
    <xf numFmtId="0" fontId="28" fillId="0" borderId="8" xfId="0" applyFont="1" applyBorder="1"/>
    <xf numFmtId="4" fontId="28" fillId="0" borderId="8" xfId="0" applyNumberFormat="1" applyFont="1" applyBorder="1"/>
    <xf numFmtId="0" fontId="26" fillId="0" borderId="0" xfId="0" applyFont="1"/>
    <xf numFmtId="0" fontId="2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8" fillId="0" borderId="0" xfId="0" applyFont="1" applyAlignment="1">
      <alignment horizontal="center" wrapText="1"/>
    </xf>
    <xf numFmtId="0" fontId="28" fillId="0" borderId="11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8" fillId="0" borderId="11" xfId="0" applyFont="1" applyBorder="1" applyAlignment="1">
      <alignment vertical="center" wrapText="1"/>
    </xf>
    <xf numFmtId="0" fontId="26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F8"/>
  <sheetViews>
    <sheetView tabSelected="1"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0</v>
      </c>
      <c r="B5" s="31" t="s">
        <v>1</v>
      </c>
      <c r="C5" s="31" t="s">
        <v>2</v>
      </c>
      <c r="D5" s="31" t="s">
        <v>3</v>
      </c>
      <c r="E5" s="31" t="s">
        <v>4</v>
      </c>
      <c r="F5" s="31" t="s">
        <v>5</v>
      </c>
    </row>
    <row r="6" spans="1:6" ht="49.5" customHeight="1" x14ac:dyDescent="0.3">
      <c r="A6" s="32" t="s">
        <v>6</v>
      </c>
      <c r="B6" s="81">
        <v>2.35</v>
      </c>
      <c r="C6" s="81">
        <f t="shared" ref="C6:F7" si="0">B6*(1+5%)</f>
        <v>2.4675000000000002</v>
      </c>
      <c r="D6" s="81">
        <f t="shared" si="0"/>
        <v>2.5908750000000005</v>
      </c>
      <c r="E6" s="81">
        <f t="shared" si="0"/>
        <v>2.7204187500000008</v>
      </c>
      <c r="F6" s="81">
        <f t="shared" si="0"/>
        <v>2.8564396875000009</v>
      </c>
    </row>
    <row r="7" spans="1:6" ht="49.5" customHeight="1" x14ac:dyDescent="0.3">
      <c r="A7" s="32" t="s">
        <v>7</v>
      </c>
      <c r="B7" s="82">
        <v>0.3</v>
      </c>
      <c r="C7" s="82">
        <f t="shared" si="0"/>
        <v>0.315</v>
      </c>
      <c r="D7" s="82">
        <f t="shared" si="0"/>
        <v>0.33075000000000004</v>
      </c>
      <c r="E7" s="82">
        <f t="shared" si="0"/>
        <v>0.34728750000000008</v>
      </c>
      <c r="F7" s="82">
        <f t="shared" si="0"/>
        <v>0.36465187500000013</v>
      </c>
    </row>
    <row r="8" spans="1:6" ht="49.5" customHeight="1" x14ac:dyDescent="0.3">
      <c r="A8" s="32" t="s">
        <v>8</v>
      </c>
      <c r="B8" s="82">
        <v>0.05</v>
      </c>
      <c r="C8" s="82">
        <f>B8*(1+5%)</f>
        <v>5.2500000000000005E-2</v>
      </c>
      <c r="D8" s="82">
        <f>C8*(1+10%)</f>
        <v>5.775000000000001E-2</v>
      </c>
      <c r="E8" s="82">
        <f>D8*(1+10%)</f>
        <v>6.3525000000000012E-2</v>
      </c>
      <c r="F8" s="82">
        <f>E8*(1+10%)</f>
        <v>6.9877500000000023E-2</v>
      </c>
    </row>
  </sheetData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25" t="s">
        <v>9</v>
      </c>
      <c r="B1" s="126"/>
      <c r="C1" s="126"/>
      <c r="D1" s="127"/>
      <c r="E1" s="126"/>
      <c r="F1" s="126"/>
    </row>
    <row r="2" spans="1:9" ht="18.75" customHeight="1" x14ac:dyDescent="0.3">
      <c r="A2" s="125" t="s">
        <v>10</v>
      </c>
      <c r="B2" s="126"/>
      <c r="C2" s="126"/>
      <c r="D2" s="127"/>
      <c r="E2" s="126"/>
      <c r="F2" s="126"/>
    </row>
    <row r="4" spans="1:9" ht="33" customHeight="1" x14ac:dyDescent="0.3">
      <c r="A4" s="3" t="s">
        <v>11</v>
      </c>
      <c r="B4" s="3" t="s">
        <v>12</v>
      </c>
      <c r="C4" s="3" t="s">
        <v>13</v>
      </c>
      <c r="D4" s="4" t="s">
        <v>14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</row>
    <row r="5" spans="1:9" ht="18.75" customHeight="1" x14ac:dyDescent="0.3">
      <c r="A5" s="3" t="s">
        <v>15</v>
      </c>
      <c r="B5" s="5" t="s">
        <v>16</v>
      </c>
      <c r="C5" s="3"/>
      <c r="D5" s="3"/>
      <c r="E5" s="86">
        <f>E6+E9</f>
        <v>45.45</v>
      </c>
      <c r="F5" s="86">
        <f>F6+F9</f>
        <v>67.672499999999999</v>
      </c>
      <c r="G5" s="86">
        <f>G6+G9</f>
        <v>96.89670000000001</v>
      </c>
      <c r="H5" s="86">
        <f>H6+H9</f>
        <v>116.96400000000001</v>
      </c>
      <c r="I5" s="86">
        <f>I6+I9</f>
        <v>140.35290000000003</v>
      </c>
    </row>
    <row r="6" spans="1:9" ht="18.75" customHeight="1" x14ac:dyDescent="0.3">
      <c r="A6" s="1">
        <v>1</v>
      </c>
      <c r="B6" s="28" t="s">
        <v>17</v>
      </c>
      <c r="D6" s="29"/>
      <c r="E6" s="83">
        <f>E7*E8</f>
        <v>11</v>
      </c>
      <c r="F6" s="83">
        <f>F7*F8</f>
        <v>31.500000000000004</v>
      </c>
      <c r="G6" s="83">
        <f>G7*G8</f>
        <v>39.847500000000004</v>
      </c>
      <c r="H6" s="83">
        <f>H7*H8</f>
        <v>50.820000000000007</v>
      </c>
      <c r="I6" s="83">
        <f>I7*I8</f>
        <v>64.287300000000016</v>
      </c>
    </row>
    <row r="7" spans="1:9" ht="18.75" customHeight="1" x14ac:dyDescent="0.3">
      <c r="A7" s="6"/>
      <c r="B7" s="7" t="s">
        <v>18</v>
      </c>
      <c r="C7" s="1" t="s">
        <v>19</v>
      </c>
      <c r="D7" s="29"/>
      <c r="E7" s="83">
        <f>'Dự kiến thu'!B9</f>
        <v>220</v>
      </c>
      <c r="F7" s="83">
        <f>'Dự kiến thu'!C9</f>
        <v>600</v>
      </c>
      <c r="G7" s="83">
        <f>'Dự kiến thu'!D9</f>
        <v>690</v>
      </c>
      <c r="H7" s="83">
        <f>'Dự kiến thu'!E9</f>
        <v>800</v>
      </c>
      <c r="I7" s="83">
        <f>'Dự kiến thu'!F9</f>
        <v>920</v>
      </c>
    </row>
    <row r="8" spans="1:9" ht="18.75" customHeight="1" x14ac:dyDescent="0.3">
      <c r="A8" s="6"/>
      <c r="B8" s="7" t="s">
        <v>20</v>
      </c>
      <c r="C8" s="6" t="s">
        <v>21</v>
      </c>
      <c r="E8" s="83">
        <f>'lộ trình hp'!B8</f>
        <v>0.05</v>
      </c>
      <c r="F8" s="83">
        <f>'lộ trình hp'!C8</f>
        <v>5.2500000000000005E-2</v>
      </c>
      <c r="G8" s="83">
        <f>'lộ trình hp'!D8</f>
        <v>5.775000000000001E-2</v>
      </c>
      <c r="H8" s="83">
        <f>'lộ trình hp'!E8</f>
        <v>6.3525000000000012E-2</v>
      </c>
      <c r="I8" s="83">
        <f>'lộ trình hp'!F8</f>
        <v>6.9877500000000023E-2</v>
      </c>
    </row>
    <row r="9" spans="1:9" ht="18.75" customHeight="1" x14ac:dyDescent="0.35">
      <c r="A9" s="1">
        <v>2</v>
      </c>
      <c r="B9" s="28" t="s">
        <v>22</v>
      </c>
      <c r="C9" s="1"/>
      <c r="D9" s="29"/>
      <c r="E9" s="87">
        <f>E11*E10</f>
        <v>34.450000000000003</v>
      </c>
      <c r="F9" s="87">
        <f>F11*F10</f>
        <v>36.172499999999999</v>
      </c>
      <c r="G9" s="87">
        <f>G11*G10</f>
        <v>57.049199999999999</v>
      </c>
      <c r="H9" s="87">
        <f>H11*H10</f>
        <v>66.144000000000005</v>
      </c>
      <c r="I9" s="87">
        <f>I11*I10</f>
        <v>76.065600000000003</v>
      </c>
    </row>
    <row r="10" spans="1:9" ht="18.75" customHeight="1" x14ac:dyDescent="0.3">
      <c r="A10" s="6"/>
      <c r="B10" s="7" t="s">
        <v>18</v>
      </c>
      <c r="C10" s="1" t="s">
        <v>19</v>
      </c>
      <c r="D10" s="29"/>
      <c r="E10" s="83">
        <f>'Dự kiến thu'!B14</f>
        <v>500</v>
      </c>
      <c r="F10" s="83">
        <f>'Dự kiến thu'!C14</f>
        <v>525</v>
      </c>
      <c r="G10" s="83">
        <f>'Dự kiến thu'!D14</f>
        <v>828</v>
      </c>
      <c r="H10" s="83">
        <f>'Dự kiến thu'!E14</f>
        <v>960</v>
      </c>
      <c r="I10" s="83">
        <f>'Dự kiến thu'!F14</f>
        <v>1104</v>
      </c>
    </row>
    <row r="11" spans="1:9" ht="18.75" customHeight="1" x14ac:dyDescent="0.3">
      <c r="A11" s="6"/>
      <c r="B11" s="7" t="s">
        <v>20</v>
      </c>
      <c r="C11" s="6" t="s">
        <v>21</v>
      </c>
      <c r="D11" s="29"/>
      <c r="E11" s="83">
        <f>0.13*53%</f>
        <v>6.8900000000000003E-2</v>
      </c>
      <c r="F11" s="83">
        <f>0.13*53%</f>
        <v>6.8900000000000003E-2</v>
      </c>
      <c r="G11" s="83">
        <f>0.13*53%</f>
        <v>6.8900000000000003E-2</v>
      </c>
      <c r="H11" s="83">
        <f>0.13*53%</f>
        <v>6.8900000000000003E-2</v>
      </c>
      <c r="I11" s="83">
        <f>0.13*53%</f>
        <v>6.8900000000000003E-2</v>
      </c>
    </row>
    <row r="12" spans="1:9" ht="16.5" customHeight="1" x14ac:dyDescent="0.3">
      <c r="A12" s="3" t="s">
        <v>23</v>
      </c>
      <c r="B12" s="5" t="s">
        <v>24</v>
      </c>
      <c r="C12" s="3"/>
      <c r="D12" s="8"/>
      <c r="E12" s="88">
        <f>E13+E16+E17+E18+E19+E20+E21+E22+E24+E25</f>
        <v>39.753000000000007</v>
      </c>
      <c r="F12" s="88">
        <f>F13+F16+F17+F18+F19+F20+F21+F22+F24+F25</f>
        <v>55.107150000000019</v>
      </c>
      <c r="G12" s="88">
        <f>G13+G16+G17+G18+G19+G20+G21+G22+G24+G25</f>
        <v>80.324073000000013</v>
      </c>
      <c r="H12" s="88">
        <f>H13+H16+H17+H18+H19+H20+H21+H22+H24+H25</f>
        <v>96.224760000000003</v>
      </c>
      <c r="I12" s="88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25</v>
      </c>
      <c r="C13" s="1"/>
      <c r="D13" s="11"/>
      <c r="E13" s="89">
        <f>E14+E15</f>
        <v>4.7650000000000006</v>
      </c>
      <c r="F13" s="89">
        <f>F14+F15</f>
        <v>7.3972500000000005</v>
      </c>
      <c r="G13" s="89">
        <f>G14+G15</f>
        <v>10.48662</v>
      </c>
      <c r="H13" s="89">
        <f>H14+H15</f>
        <v>12.712800000000001</v>
      </c>
      <c r="I13" s="89">
        <f>I14+I15</f>
        <v>15.321036000000003</v>
      </c>
    </row>
    <row r="14" spans="1:9" s="15" customFormat="1" ht="33" customHeight="1" x14ac:dyDescent="0.3">
      <c r="A14" s="133"/>
      <c r="B14" s="12" t="s">
        <v>26</v>
      </c>
      <c r="C14" s="6" t="s">
        <v>19</v>
      </c>
      <c r="D14" s="14">
        <v>0.12</v>
      </c>
      <c r="E14" s="90">
        <f>E6*D14</f>
        <v>1.3199999999999998</v>
      </c>
      <c r="F14" s="90">
        <f>F6*D$14</f>
        <v>3.7800000000000002</v>
      </c>
      <c r="G14" s="90">
        <f>G6*D14</f>
        <v>4.7816999999999998</v>
      </c>
      <c r="H14" s="90">
        <f>H6*D14</f>
        <v>6.0984000000000007</v>
      </c>
      <c r="I14" s="90">
        <f>I6*D14</f>
        <v>7.7144760000000012</v>
      </c>
    </row>
    <row r="15" spans="1:9" s="15" customFormat="1" ht="23.25" customHeight="1" x14ac:dyDescent="0.3">
      <c r="A15" s="134"/>
      <c r="B15" s="12" t="s">
        <v>27</v>
      </c>
      <c r="C15" s="6" t="s">
        <v>19</v>
      </c>
      <c r="D15" s="16">
        <v>0.1</v>
      </c>
      <c r="E15" s="90">
        <f>E9*D15</f>
        <v>3.4450000000000003</v>
      </c>
      <c r="F15" s="90">
        <f>F9*D15</f>
        <v>3.6172500000000003</v>
      </c>
      <c r="G15" s="90">
        <f>G9*D15</f>
        <v>5.7049200000000004</v>
      </c>
      <c r="H15" s="90">
        <f>H9*D15</f>
        <v>6.6144000000000007</v>
      </c>
      <c r="I15" s="90">
        <f>I9*D15</f>
        <v>7.6065600000000009</v>
      </c>
    </row>
    <row r="16" spans="1:9" s="15" customFormat="1" ht="16.5" customHeight="1" x14ac:dyDescent="0.3">
      <c r="A16" s="13">
        <v>2</v>
      </c>
      <c r="B16" s="17" t="s">
        <v>28</v>
      </c>
      <c r="C16" s="13" t="s">
        <v>29</v>
      </c>
      <c r="D16" s="16">
        <v>0.1</v>
      </c>
      <c r="E16" s="90">
        <f>E9*D16</f>
        <v>3.4450000000000003</v>
      </c>
      <c r="F16" s="90">
        <f>F9*D16</f>
        <v>3.6172500000000003</v>
      </c>
      <c r="G16" s="90">
        <f>G9*D16</f>
        <v>5.7049200000000004</v>
      </c>
      <c r="H16" s="90">
        <f>H9*D16</f>
        <v>6.6144000000000007</v>
      </c>
      <c r="I16" s="90">
        <f>I9*D16</f>
        <v>7.6065600000000009</v>
      </c>
    </row>
    <row r="17" spans="1:9" s="15" customFormat="1" ht="16.5" customHeight="1" x14ac:dyDescent="0.3">
      <c r="A17" s="13">
        <v>3</v>
      </c>
      <c r="B17" s="17" t="s">
        <v>30</v>
      </c>
      <c r="C17" s="13" t="s">
        <v>29</v>
      </c>
      <c r="D17" s="16">
        <v>0.1</v>
      </c>
      <c r="E17" s="91">
        <f>E$9*D$17</f>
        <v>3.4450000000000003</v>
      </c>
      <c r="F17" s="91">
        <f>F$9*D17</f>
        <v>3.6172500000000003</v>
      </c>
      <c r="G17" s="91">
        <f>G$9*D17</f>
        <v>5.7049200000000004</v>
      </c>
      <c r="H17" s="91">
        <f>H$9*D17</f>
        <v>6.6144000000000007</v>
      </c>
      <c r="I17" s="91">
        <f>I$9*D17</f>
        <v>7.6065600000000009</v>
      </c>
    </row>
    <row r="18" spans="1:9" s="15" customFormat="1" ht="16.5" customHeight="1" x14ac:dyDescent="0.3">
      <c r="A18" s="13">
        <v>4</v>
      </c>
      <c r="B18" s="17" t="s">
        <v>31</v>
      </c>
      <c r="C18" s="13" t="s">
        <v>29</v>
      </c>
      <c r="D18" s="18">
        <v>0.2</v>
      </c>
      <c r="E18" s="91">
        <f>E5*D18</f>
        <v>9.0900000000000016</v>
      </c>
      <c r="F18" s="91">
        <f>F5*D$18</f>
        <v>13.534500000000001</v>
      </c>
      <c r="G18" s="91">
        <f>G5*D18</f>
        <v>19.379340000000003</v>
      </c>
      <c r="H18" s="91">
        <f>H5*D18</f>
        <v>23.392800000000005</v>
      </c>
      <c r="I18" s="91">
        <f>I5*D18</f>
        <v>28.070580000000007</v>
      </c>
    </row>
    <row r="19" spans="1:9" s="15" customFormat="1" ht="16.5" customHeight="1" x14ac:dyDescent="0.3">
      <c r="A19" s="13">
        <v>5</v>
      </c>
      <c r="B19" s="17" t="s">
        <v>32</v>
      </c>
      <c r="C19" s="13" t="s">
        <v>29</v>
      </c>
      <c r="D19" s="18">
        <v>0.05</v>
      </c>
      <c r="E19" s="91">
        <f>E5*D19</f>
        <v>2.2725000000000004</v>
      </c>
      <c r="F19" s="91">
        <f>F5*D19</f>
        <v>3.3836250000000003</v>
      </c>
      <c r="G19" s="91">
        <f>G5*D19</f>
        <v>4.8448350000000007</v>
      </c>
      <c r="H19" s="91">
        <f>H5*D19</f>
        <v>5.8482000000000012</v>
      </c>
      <c r="I19" s="91">
        <f>I5*D19</f>
        <v>7.0176450000000017</v>
      </c>
    </row>
    <row r="20" spans="1:9" s="15" customFormat="1" ht="16.5" customHeight="1" x14ac:dyDescent="0.3">
      <c r="A20" s="13">
        <v>6</v>
      </c>
      <c r="B20" s="17" t="s">
        <v>33</v>
      </c>
      <c r="C20" s="19" t="s">
        <v>29</v>
      </c>
      <c r="D20" s="18">
        <v>0.04</v>
      </c>
      <c r="E20" s="91">
        <f>E9*D20</f>
        <v>1.3780000000000001</v>
      </c>
      <c r="F20" s="91">
        <f>F9*D20</f>
        <v>1.4469000000000001</v>
      </c>
      <c r="G20" s="91">
        <f>G9*D20</f>
        <v>2.281968</v>
      </c>
      <c r="H20" s="91">
        <f>H9*D20</f>
        <v>2.6457600000000001</v>
      </c>
      <c r="I20" s="91">
        <f>I9*D20</f>
        <v>3.042624</v>
      </c>
    </row>
    <row r="21" spans="1:9" ht="16.5" customHeight="1" x14ac:dyDescent="0.3">
      <c r="A21" s="13">
        <v>7</v>
      </c>
      <c r="B21" s="2" t="s">
        <v>34</v>
      </c>
      <c r="C21" s="1" t="s">
        <v>29</v>
      </c>
      <c r="D21" s="18">
        <v>0.05</v>
      </c>
      <c r="E21" s="91">
        <f>E9*D21</f>
        <v>1.7225000000000001</v>
      </c>
      <c r="F21" s="91">
        <f>F9*D21</f>
        <v>1.8086250000000001</v>
      </c>
      <c r="G21" s="91">
        <f>G9*D21</f>
        <v>2.8524600000000002</v>
      </c>
      <c r="H21" s="91">
        <f>H9*D21</f>
        <v>3.3072000000000004</v>
      </c>
      <c r="I21" s="91">
        <f>I9*D21</f>
        <v>3.8032800000000004</v>
      </c>
    </row>
    <row r="22" spans="1:9" ht="16.5" customHeight="1" x14ac:dyDescent="0.3">
      <c r="A22" s="13">
        <v>8</v>
      </c>
      <c r="B22" s="2" t="s">
        <v>35</v>
      </c>
      <c r="C22" s="1" t="s">
        <v>29</v>
      </c>
      <c r="D22" s="18">
        <v>0.1</v>
      </c>
      <c r="E22" s="91">
        <f>E5*$D$22</f>
        <v>4.5450000000000008</v>
      </c>
      <c r="F22" s="91">
        <f>F5*$D$22</f>
        <v>6.7672500000000007</v>
      </c>
      <c r="G22" s="91">
        <f>G5*$D$22</f>
        <v>9.6896700000000013</v>
      </c>
      <c r="H22" s="91">
        <f>H5*$D$22</f>
        <v>11.696400000000002</v>
      </c>
      <c r="I22" s="91">
        <f>I5*$D$22</f>
        <v>14.035290000000003</v>
      </c>
    </row>
    <row r="23" spans="1:9" ht="16.5" customHeight="1" x14ac:dyDescent="0.3">
      <c r="A23" s="13">
        <v>9</v>
      </c>
      <c r="B23" s="2" t="s">
        <v>36</v>
      </c>
      <c r="C23" s="1" t="s">
        <v>29</v>
      </c>
      <c r="D23" s="18">
        <v>0.1</v>
      </c>
      <c r="E23" s="91">
        <f>E22*D23</f>
        <v>0.45450000000000013</v>
      </c>
      <c r="F23" s="109">
        <f>F22*$D23</f>
        <v>0.67672500000000013</v>
      </c>
      <c r="G23" s="109">
        <f>G22*$D23</f>
        <v>0.96896700000000013</v>
      </c>
      <c r="H23" s="109">
        <f>H22*$D23</f>
        <v>1.1696400000000002</v>
      </c>
      <c r="I23" s="109">
        <f>I22*$D23</f>
        <v>1.4035290000000005</v>
      </c>
    </row>
    <row r="24" spans="1:9" ht="16.5" customHeight="1" x14ac:dyDescent="0.3">
      <c r="A24" s="13">
        <v>10</v>
      </c>
      <c r="B24" s="2" t="s">
        <v>37</v>
      </c>
      <c r="C24" s="1" t="s">
        <v>29</v>
      </c>
      <c r="D24" s="18">
        <v>0.1</v>
      </c>
      <c r="E24" s="91">
        <f>E$5*D24</f>
        <v>4.5450000000000008</v>
      </c>
      <c r="F24" s="91">
        <f>F$5*D24</f>
        <v>6.7672500000000007</v>
      </c>
      <c r="G24" s="91">
        <f>G$5*D24</f>
        <v>9.6896700000000013</v>
      </c>
      <c r="H24" s="91">
        <f>H$5*D24</f>
        <v>11.696400000000002</v>
      </c>
      <c r="I24" s="91">
        <f>I$5*D24</f>
        <v>14.035290000000003</v>
      </c>
    </row>
    <row r="25" spans="1:9" ht="16.5" customHeight="1" x14ac:dyDescent="0.3">
      <c r="A25" s="13">
        <v>11</v>
      </c>
      <c r="B25" s="2" t="s">
        <v>38</v>
      </c>
      <c r="C25" s="1" t="s">
        <v>29</v>
      </c>
      <c r="D25" s="18">
        <v>0.1</v>
      </c>
      <c r="E25" s="91">
        <f>E$5*D25</f>
        <v>4.5450000000000008</v>
      </c>
      <c r="F25" s="91">
        <f>F$5*D25</f>
        <v>6.7672500000000007</v>
      </c>
      <c r="G25" s="91">
        <f>G$5*D25</f>
        <v>9.6896700000000013</v>
      </c>
      <c r="H25" s="91">
        <f>H$5*D25</f>
        <v>11.696400000000002</v>
      </c>
      <c r="I25" s="91">
        <f>I$5*D25</f>
        <v>14.035290000000003</v>
      </c>
    </row>
    <row r="26" spans="1:9" s="30" customFormat="1" ht="16.5" customHeight="1" x14ac:dyDescent="0.3">
      <c r="A26" s="40" t="s">
        <v>39</v>
      </c>
      <c r="B26" s="27" t="s">
        <v>40</v>
      </c>
      <c r="C26" s="3"/>
      <c r="D26" s="8">
        <f>E26/E5</f>
        <v>0.12534653465346524</v>
      </c>
      <c r="E26" s="92">
        <f>E5-E12</f>
        <v>5.6969999999999956</v>
      </c>
      <c r="F26" s="92">
        <f>F5-F12</f>
        <v>12.565349999999981</v>
      </c>
      <c r="G26" s="92">
        <f>G5-G12</f>
        <v>16.572626999999997</v>
      </c>
      <c r="H26" s="92">
        <f>H5-H12</f>
        <v>20.739240000000009</v>
      </c>
      <c r="I26" s="92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31" t="s">
        <v>41</v>
      </c>
      <c r="F27" s="129"/>
    </row>
    <row r="28" spans="1:9" s="23" customFormat="1" ht="16.5" customHeight="1" x14ac:dyDescent="0.3">
      <c r="A28" s="22"/>
      <c r="B28" s="21" t="s">
        <v>42</v>
      </c>
      <c r="C28" s="128" t="s">
        <v>43</v>
      </c>
      <c r="D28" s="129"/>
      <c r="E28" s="132" t="s">
        <v>44</v>
      </c>
      <c r="F28" s="129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45</v>
      </c>
      <c r="C33" s="128" t="s">
        <v>46</v>
      </c>
      <c r="D33" s="129"/>
      <c r="E33" s="130" t="s">
        <v>47</v>
      </c>
      <c r="F33" s="129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9"/>
  <sheetViews>
    <sheetView tabSelected="1" topLeftCell="A3" workbookViewId="0">
      <selection activeCell="E13" sqref="E13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25" t="s">
        <v>9</v>
      </c>
      <c r="B1" s="126"/>
      <c r="C1" s="126"/>
      <c r="D1" s="127"/>
      <c r="E1" s="126"/>
      <c r="F1" s="126"/>
    </row>
    <row r="2" spans="1:11" ht="18.75" customHeight="1" x14ac:dyDescent="0.3">
      <c r="A2" s="135" t="s">
        <v>48</v>
      </c>
      <c r="B2" s="126"/>
      <c r="C2" s="126"/>
      <c r="D2" s="127"/>
      <c r="E2" s="126"/>
      <c r="F2" s="126"/>
      <c r="G2" s="126"/>
      <c r="H2" s="126"/>
      <c r="I2" s="126"/>
    </row>
    <row r="4" spans="1:11" ht="33" customHeight="1" x14ac:dyDescent="0.3">
      <c r="A4" s="3" t="s">
        <v>11</v>
      </c>
      <c r="B4" s="3" t="s">
        <v>12</v>
      </c>
      <c r="C4" s="3" t="s">
        <v>13</v>
      </c>
      <c r="D4" s="4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</row>
    <row r="5" spans="1:11" ht="16.5" customHeight="1" x14ac:dyDescent="0.3">
      <c r="A5" s="3" t="s">
        <v>15</v>
      </c>
      <c r="B5" s="5" t="s">
        <v>55</v>
      </c>
      <c r="C5" s="3" t="s">
        <v>29</v>
      </c>
      <c r="D5" s="3"/>
      <c r="E5" s="93">
        <f>'Dự kiến thu'!B5*'Dự kiến thu'!B4</f>
        <v>517</v>
      </c>
      <c r="F5" s="93">
        <f>'Dự kiến thu'!C5*'Dự kiến thu'!C4</f>
        <v>1480.5000000000002</v>
      </c>
      <c r="G5" s="93">
        <f>'Dự kiến thu'!D5*'Dự kiến thu'!D4</f>
        <v>1787.7037500000004</v>
      </c>
      <c r="H5" s="93">
        <f>'Dự kiến thu'!E5*'Dự kiến thu'!E4</f>
        <v>2176.3350000000005</v>
      </c>
      <c r="I5" s="93">
        <f>'Dự kiến thu'!F5*'Dự kiến thu'!F4</f>
        <v>2627.9245125000007</v>
      </c>
    </row>
    <row r="6" spans="1:11" ht="16.5" customHeight="1" x14ac:dyDescent="0.3">
      <c r="A6" s="3" t="s">
        <v>23</v>
      </c>
      <c r="B6" s="5" t="s">
        <v>56</v>
      </c>
      <c r="C6" s="3"/>
      <c r="D6" s="8"/>
      <c r="E6" s="84">
        <f>SUM(E7:E18)</f>
        <v>405.32800000000003</v>
      </c>
      <c r="F6" s="84">
        <f>SUM(F7:F18)</f>
        <v>1167.712</v>
      </c>
      <c r="G6" s="84">
        <f>SUM(G7:G18)</f>
        <v>1408.5597400000001</v>
      </c>
      <c r="H6" s="84">
        <f>SUM(H7:H18)</f>
        <v>1713.2466400000005</v>
      </c>
      <c r="I6" s="84">
        <f>SUM(I7:I18)</f>
        <v>2067.2928178000006</v>
      </c>
    </row>
    <row r="7" spans="1:11" ht="16.5" customHeight="1" x14ac:dyDescent="0.3">
      <c r="A7" s="9">
        <v>1</v>
      </c>
      <c r="B7" s="10" t="s">
        <v>57</v>
      </c>
      <c r="C7" s="1" t="s">
        <v>29</v>
      </c>
      <c r="D7" s="18">
        <v>0.1</v>
      </c>
      <c r="E7" s="85">
        <f t="shared" ref="E7:E14" si="0">E$5*D7</f>
        <v>51.7</v>
      </c>
      <c r="F7" s="85">
        <f t="shared" ref="F7:F14" si="1">F$5*D7</f>
        <v>148.05000000000004</v>
      </c>
      <c r="G7" s="85">
        <f t="shared" ref="G7:G14" si="2">G$5*D7</f>
        <v>178.77037500000006</v>
      </c>
      <c r="H7" s="85">
        <f t="shared" ref="H7:H14" si="3">H$5*D7</f>
        <v>217.63350000000005</v>
      </c>
      <c r="I7" s="85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9" t="s">
        <v>58</v>
      </c>
      <c r="C8" s="13" t="s">
        <v>29</v>
      </c>
      <c r="D8" s="18">
        <v>0.01</v>
      </c>
      <c r="E8" s="85">
        <f t="shared" si="0"/>
        <v>5.17</v>
      </c>
      <c r="F8" s="85">
        <f t="shared" si="1"/>
        <v>14.805000000000003</v>
      </c>
      <c r="G8" s="85">
        <f t="shared" si="2"/>
        <v>17.877037500000004</v>
      </c>
      <c r="H8" s="85">
        <f t="shared" si="3"/>
        <v>21.763350000000006</v>
      </c>
      <c r="I8" s="85">
        <f t="shared" si="4"/>
        <v>26.279245125000006</v>
      </c>
    </row>
    <row r="9" spans="1:11" s="15" customFormat="1" ht="33" customHeight="1" x14ac:dyDescent="0.3">
      <c r="A9" s="9">
        <v>3</v>
      </c>
      <c r="B9" s="39" t="s">
        <v>59</v>
      </c>
      <c r="C9" s="13" t="s">
        <v>29</v>
      </c>
      <c r="D9" s="18">
        <v>0.01</v>
      </c>
      <c r="E9" s="85">
        <f t="shared" si="0"/>
        <v>5.17</v>
      </c>
      <c r="F9" s="85">
        <f t="shared" si="1"/>
        <v>14.805000000000003</v>
      </c>
      <c r="G9" s="85">
        <f t="shared" si="2"/>
        <v>17.877037500000004</v>
      </c>
      <c r="H9" s="85">
        <f t="shared" si="3"/>
        <v>21.763350000000006</v>
      </c>
      <c r="I9" s="85">
        <f t="shared" si="4"/>
        <v>26.279245125000006</v>
      </c>
      <c r="K9" s="42"/>
    </row>
    <row r="10" spans="1:11" s="15" customFormat="1" ht="16.5" customHeight="1" x14ac:dyDescent="0.3">
      <c r="A10" s="13">
        <v>4</v>
      </c>
      <c r="B10" s="39" t="s">
        <v>60</v>
      </c>
      <c r="C10" s="13" t="s">
        <v>29</v>
      </c>
      <c r="D10" s="18">
        <v>0.12</v>
      </c>
      <c r="E10" s="85">
        <f t="shared" si="0"/>
        <v>62.04</v>
      </c>
      <c r="F10" s="85">
        <f t="shared" si="1"/>
        <v>177.66000000000003</v>
      </c>
      <c r="G10" s="85">
        <f t="shared" si="2"/>
        <v>214.52445000000003</v>
      </c>
      <c r="H10" s="85">
        <f t="shared" si="3"/>
        <v>261.16020000000003</v>
      </c>
      <c r="I10" s="85">
        <f t="shared" si="4"/>
        <v>315.35094150000009</v>
      </c>
      <c r="K10" s="42"/>
    </row>
    <row r="11" spans="1:11" s="15" customFormat="1" ht="16.5" customHeight="1" x14ac:dyDescent="0.3">
      <c r="A11" s="9">
        <v>5</v>
      </c>
      <c r="B11" s="39" t="s">
        <v>61</v>
      </c>
      <c r="C11" s="13" t="s">
        <v>29</v>
      </c>
      <c r="D11" s="18">
        <v>0.12</v>
      </c>
      <c r="E11" s="85">
        <f t="shared" si="0"/>
        <v>62.04</v>
      </c>
      <c r="F11" s="85">
        <f t="shared" si="1"/>
        <v>177.66000000000003</v>
      </c>
      <c r="G11" s="85">
        <f t="shared" si="2"/>
        <v>214.52445000000003</v>
      </c>
      <c r="H11" s="85">
        <f t="shared" si="3"/>
        <v>261.16020000000003</v>
      </c>
      <c r="I11" s="85">
        <f t="shared" si="4"/>
        <v>315.35094150000009</v>
      </c>
      <c r="K11" s="42"/>
    </row>
    <row r="12" spans="1:11" s="15" customFormat="1" ht="16.5" customHeight="1" x14ac:dyDescent="0.3">
      <c r="A12" s="13">
        <v>6</v>
      </c>
      <c r="B12" s="39" t="s">
        <v>62</v>
      </c>
      <c r="C12" s="13" t="s">
        <v>29</v>
      </c>
      <c r="D12" s="110">
        <v>0.22</v>
      </c>
      <c r="E12" s="85">
        <f t="shared" si="0"/>
        <v>113.74</v>
      </c>
      <c r="F12" s="85">
        <f t="shared" si="1"/>
        <v>325.71000000000004</v>
      </c>
      <c r="G12" s="85">
        <f t="shared" si="2"/>
        <v>393.29482500000006</v>
      </c>
      <c r="H12" s="85">
        <f t="shared" si="3"/>
        <v>478.79370000000011</v>
      </c>
      <c r="I12" s="85">
        <f t="shared" si="4"/>
        <v>578.1433927500002</v>
      </c>
      <c r="K12" s="42"/>
    </row>
    <row r="13" spans="1:11" s="15" customFormat="1" ht="16.5" customHeight="1" x14ac:dyDescent="0.3">
      <c r="A13" s="9">
        <v>7</v>
      </c>
      <c r="B13" s="39" t="s">
        <v>63</v>
      </c>
      <c r="C13" s="19" t="s">
        <v>29</v>
      </c>
      <c r="D13" s="110">
        <v>0.05</v>
      </c>
      <c r="E13" s="85">
        <f t="shared" si="0"/>
        <v>25.85</v>
      </c>
      <c r="F13" s="85">
        <f t="shared" si="1"/>
        <v>74.02500000000002</v>
      </c>
      <c r="G13" s="85">
        <f t="shared" si="2"/>
        <v>89.385187500000029</v>
      </c>
      <c r="H13" s="85">
        <f t="shared" si="3"/>
        <v>108.81675000000003</v>
      </c>
      <c r="I13" s="85">
        <f t="shared" si="4"/>
        <v>131.39622562500003</v>
      </c>
      <c r="K13" s="42"/>
    </row>
    <row r="14" spans="1:11" s="15" customFormat="1" ht="33" customHeight="1" x14ac:dyDescent="0.3">
      <c r="A14" s="13">
        <v>8</v>
      </c>
      <c r="B14" s="39" t="s">
        <v>64</v>
      </c>
      <c r="C14" s="19" t="s">
        <v>29</v>
      </c>
      <c r="D14" s="18">
        <v>0.01</v>
      </c>
      <c r="E14" s="85">
        <f t="shared" si="0"/>
        <v>5.17</v>
      </c>
      <c r="F14" s="85">
        <f t="shared" si="1"/>
        <v>14.805000000000003</v>
      </c>
      <c r="G14" s="85">
        <f t="shared" si="2"/>
        <v>17.877037500000004</v>
      </c>
      <c r="H14" s="85">
        <f t="shared" si="3"/>
        <v>21.763350000000006</v>
      </c>
      <c r="I14" s="85">
        <f t="shared" si="4"/>
        <v>26.279245125000006</v>
      </c>
      <c r="K14" s="43"/>
    </row>
    <row r="15" spans="1:11" ht="33" customHeight="1" x14ac:dyDescent="0.3">
      <c r="A15" s="9">
        <v>9</v>
      </c>
      <c r="B15" s="39" t="s">
        <v>65</v>
      </c>
      <c r="C15" s="1" t="s">
        <v>29</v>
      </c>
      <c r="D15" s="18">
        <v>0.1</v>
      </c>
      <c r="E15" s="85">
        <f>(E10+E11)*D15</f>
        <v>12.408000000000001</v>
      </c>
      <c r="F15" s="111">
        <f>(F10+F11)*$D15</f>
        <v>35.532000000000004</v>
      </c>
      <c r="G15" s="111">
        <f>(G10+G11)*$D15</f>
        <v>42.904890000000009</v>
      </c>
      <c r="H15" s="111">
        <f>(H10+H11)*$D15</f>
        <v>52.232040000000012</v>
      </c>
      <c r="I15" s="111">
        <f>(I10+I11)*$D15</f>
        <v>63.070188300000019</v>
      </c>
      <c r="K15" s="44"/>
    </row>
    <row r="16" spans="1:11" ht="33" customHeight="1" x14ac:dyDescent="0.3">
      <c r="A16" s="13">
        <v>10</v>
      </c>
      <c r="B16" s="39" t="s">
        <v>37</v>
      </c>
      <c r="C16" s="1" t="s">
        <v>29</v>
      </c>
      <c r="D16" s="18">
        <v>0.1</v>
      </c>
      <c r="E16" s="85">
        <f>E$5*D16</f>
        <v>51.7</v>
      </c>
      <c r="F16" s="85">
        <f>F$5*D16</f>
        <v>148.05000000000004</v>
      </c>
      <c r="G16" s="85">
        <f>G$5*D16</f>
        <v>178.77037500000006</v>
      </c>
      <c r="H16" s="85">
        <f>H$5*D16</f>
        <v>217.63350000000005</v>
      </c>
      <c r="I16" s="85">
        <f>I$5*D16</f>
        <v>262.79245125000006</v>
      </c>
    </row>
    <row r="17" spans="1:9" ht="33" customHeight="1" x14ac:dyDescent="0.3">
      <c r="A17" s="9">
        <v>11</v>
      </c>
      <c r="B17" s="39" t="s">
        <v>66</v>
      </c>
      <c r="C17" s="1"/>
      <c r="D17" s="18">
        <v>0.08</v>
      </c>
      <c r="E17" s="85" t="s">
        <v>67</v>
      </c>
      <c r="F17" s="85">
        <v>7</v>
      </c>
      <c r="G17" s="85">
        <v>7</v>
      </c>
      <c r="H17" s="85">
        <v>7</v>
      </c>
      <c r="I17" s="85">
        <v>7</v>
      </c>
    </row>
    <row r="18" spans="1:9" ht="16.5" customHeight="1" x14ac:dyDescent="0.3">
      <c r="A18" s="13">
        <v>12</v>
      </c>
      <c r="B18" s="39" t="s">
        <v>68</v>
      </c>
      <c r="C18" s="1" t="s">
        <v>29</v>
      </c>
      <c r="D18" s="18">
        <v>0.02</v>
      </c>
      <c r="E18" s="85">
        <f>E$5*D18</f>
        <v>10.34</v>
      </c>
      <c r="F18" s="85">
        <f>F$5*D18</f>
        <v>29.610000000000007</v>
      </c>
      <c r="G18" s="85">
        <f>G$5*D18</f>
        <v>35.754075000000007</v>
      </c>
      <c r="H18" s="85">
        <f>H$5*D18</f>
        <v>43.526700000000012</v>
      </c>
      <c r="I18" s="85">
        <f>I$5*D18</f>
        <v>52.558490250000013</v>
      </c>
    </row>
    <row r="19" spans="1:9" s="30" customFormat="1" ht="16.5" customHeight="1" x14ac:dyDescent="0.3">
      <c r="A19" s="40" t="s">
        <v>39</v>
      </c>
      <c r="B19" s="41" t="s">
        <v>40</v>
      </c>
      <c r="C19" s="3" t="s">
        <v>29</v>
      </c>
      <c r="D19" s="26"/>
      <c r="E19" s="84">
        <f>E5-E6</f>
        <v>111.67199999999997</v>
      </c>
      <c r="F19" s="84">
        <f>F5-F6</f>
        <v>312.78800000000024</v>
      </c>
      <c r="G19" s="84">
        <f>G5-G6</f>
        <v>379.14401000000021</v>
      </c>
      <c r="H19" s="84">
        <f>H5-H6</f>
        <v>463.08835999999997</v>
      </c>
      <c r="I19" s="84">
        <f>I5-I6</f>
        <v>560.63169470000003</v>
      </c>
    </row>
  </sheetData>
  <mergeCells count="2">
    <mergeCell ref="A1:F1"/>
    <mergeCell ref="A2:I2"/>
  </mergeCell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0"/>
  <sheetViews>
    <sheetView tabSelected="1" workbookViewId="0">
      <selection activeCell="E13" sqref="E13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25" t="s">
        <v>9</v>
      </c>
      <c r="B1" s="126"/>
      <c r="C1" s="126"/>
      <c r="D1" s="126"/>
      <c r="E1" s="126"/>
      <c r="F1" s="126"/>
      <c r="G1" s="126"/>
    </row>
    <row r="2" spans="1:17" ht="18.75" customHeight="1" x14ac:dyDescent="0.3">
      <c r="A2" s="135" t="s">
        <v>69</v>
      </c>
      <c r="B2" s="126"/>
      <c r="C2" s="126"/>
      <c r="D2" s="126"/>
      <c r="E2" s="126"/>
      <c r="F2" s="126"/>
      <c r="G2" s="126"/>
    </row>
    <row r="3" spans="1:17" ht="18.75" customHeight="1" x14ac:dyDescent="0.35">
      <c r="F3" s="136" t="s">
        <v>70</v>
      </c>
      <c r="G3" s="137"/>
      <c r="H3" s="76"/>
    </row>
    <row r="4" spans="1:17" ht="16.5" customHeight="1" x14ac:dyDescent="0.3">
      <c r="A4" s="3" t="s">
        <v>11</v>
      </c>
      <c r="B4" s="3" t="s">
        <v>12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107">
        <v>1000000</v>
      </c>
    </row>
    <row r="5" spans="1:17" ht="16.5" customHeight="1" x14ac:dyDescent="0.3">
      <c r="A5" s="3" t="s">
        <v>15</v>
      </c>
      <c r="B5" s="5" t="s">
        <v>71</v>
      </c>
      <c r="C5" s="93">
        <f>SUM(C6:C8)</f>
        <v>562.45000000000005</v>
      </c>
      <c r="D5" s="93">
        <f>SUM(D6:D8)</f>
        <v>1548.1725000000001</v>
      </c>
      <c r="E5" s="93">
        <f>SUM(E6:E8)</f>
        <v>1884.6004500000004</v>
      </c>
      <c r="F5" s="93">
        <f>SUM(F6:F8)</f>
        <v>2293.2990000000009</v>
      </c>
      <c r="G5" s="93">
        <f>SUM(G6:G8)</f>
        <v>2768.2774125000005</v>
      </c>
      <c r="H5" s="108">
        <f t="shared" ref="H5:Q5" si="0">C5/$H4</f>
        <v>5.6245000000000004E-4</v>
      </c>
      <c r="I5" s="108">
        <f t="shared" si="0"/>
        <v>1.5481725000000002E-3</v>
      </c>
      <c r="J5" s="108">
        <f t="shared" si="0"/>
        <v>1.8846004500000003E-3</v>
      </c>
      <c r="K5" s="108">
        <f t="shared" si="0"/>
        <v>2.2932990000000008E-3</v>
      </c>
      <c r="L5" s="108">
        <f t="shared" si="0"/>
        <v>2.7682774125000007E-3</v>
      </c>
      <c r="M5" s="108">
        <f t="shared" si="0"/>
        <v>5.6245000000000006E-10</v>
      </c>
      <c r="N5" s="108">
        <f t="shared" si="0"/>
        <v>1.5481725000000002E-9</v>
      </c>
      <c r="O5" s="108">
        <f t="shared" si="0"/>
        <v>1.8846004500000004E-9</v>
      </c>
      <c r="P5" s="108">
        <f t="shared" si="0"/>
        <v>2.2932990000000009E-9</v>
      </c>
      <c r="Q5" s="108">
        <f t="shared" si="0"/>
        <v>2.7682774125000009E-9</v>
      </c>
    </row>
    <row r="6" spans="1:17" ht="16.5" customHeight="1" x14ac:dyDescent="0.3">
      <c r="A6" s="1">
        <v>1</v>
      </c>
      <c r="B6" s="28" t="s">
        <v>72</v>
      </c>
      <c r="C6" s="94">
        <f>'Nội dung khoán tHU CHI học phí'!E5</f>
        <v>517</v>
      </c>
      <c r="D6" s="94">
        <f>'Nội dung khoán tHU CHI học phí'!F5</f>
        <v>1480.5000000000002</v>
      </c>
      <c r="E6" s="94">
        <f>'Nội dung khoán tHU CHI học phí'!G5</f>
        <v>1787.7037500000004</v>
      </c>
      <c r="F6" s="94">
        <f>'Nội dung khoán tHU CHI học phí'!H5</f>
        <v>2176.3350000000005</v>
      </c>
      <c r="G6" s="94">
        <f>'Nội dung khoán tHU CHI học phí'!I5</f>
        <v>2627.9245125000007</v>
      </c>
      <c r="H6" s="108">
        <f t="shared" ref="H6:L8" si="1">C6/$H$4</f>
        <v>5.1699999999999999E-4</v>
      </c>
      <c r="I6" s="108">
        <f t="shared" si="1"/>
        <v>1.4805000000000003E-3</v>
      </c>
      <c r="J6" s="108">
        <f t="shared" si="1"/>
        <v>1.7877037500000003E-3</v>
      </c>
      <c r="K6" s="108">
        <f t="shared" si="1"/>
        <v>2.1763350000000006E-3</v>
      </c>
      <c r="L6" s="108">
        <f t="shared" si="1"/>
        <v>2.6279245125000006E-3</v>
      </c>
    </row>
    <row r="7" spans="1:17" ht="16.5" customHeight="1" x14ac:dyDescent="0.3">
      <c r="A7" s="1">
        <v>2</v>
      </c>
      <c r="B7" s="28" t="s">
        <v>73</v>
      </c>
      <c r="C7" s="94">
        <f>'Nội dung khoán THU CHI thuê sân'!E6</f>
        <v>11</v>
      </c>
      <c r="D7" s="94">
        <f>'Nội dung khoán THU CHI thuê sân'!F6</f>
        <v>31.500000000000004</v>
      </c>
      <c r="E7" s="94">
        <f>'Nội dung khoán THU CHI thuê sân'!G6</f>
        <v>39.847500000000004</v>
      </c>
      <c r="F7" s="94">
        <f>'Nội dung khoán THU CHI thuê sân'!H6</f>
        <v>50.820000000000007</v>
      </c>
      <c r="G7" s="94">
        <f>'Nội dung khoán THU CHI thuê sân'!I6</f>
        <v>64.287300000000016</v>
      </c>
      <c r="H7" s="108">
        <f t="shared" si="1"/>
        <v>1.1E-5</v>
      </c>
      <c r="I7" s="108">
        <f t="shared" si="1"/>
        <v>3.1500000000000007E-5</v>
      </c>
      <c r="J7" s="108">
        <f t="shared" si="1"/>
        <v>3.9847500000000001E-5</v>
      </c>
      <c r="K7" s="108">
        <f t="shared" si="1"/>
        <v>5.0820000000000005E-5</v>
      </c>
      <c r="L7" s="108">
        <f t="shared" si="1"/>
        <v>6.428730000000001E-5</v>
      </c>
    </row>
    <row r="8" spans="1:17" ht="16.5" customHeight="1" x14ac:dyDescent="0.3">
      <c r="A8" s="1">
        <v>3</v>
      </c>
      <c r="B8" s="28" t="s">
        <v>74</v>
      </c>
      <c r="C8" s="94">
        <f>'Nội dung khoán THU CHI thuê sân'!E9</f>
        <v>34.450000000000003</v>
      </c>
      <c r="D8" s="94">
        <f>'Nội dung khoán THU CHI thuê sân'!F9</f>
        <v>36.172499999999999</v>
      </c>
      <c r="E8" s="94">
        <f>'Nội dung khoán THU CHI thuê sân'!G9</f>
        <v>57.049199999999999</v>
      </c>
      <c r="F8" s="94">
        <f>'Nội dung khoán THU CHI thuê sân'!H9</f>
        <v>66.144000000000005</v>
      </c>
      <c r="G8" s="94">
        <f>'Nội dung khoán THU CHI thuê sân'!I9</f>
        <v>76.065600000000003</v>
      </c>
      <c r="H8" s="108">
        <f t="shared" si="1"/>
        <v>3.4450000000000004E-5</v>
      </c>
      <c r="I8" s="108">
        <f t="shared" si="1"/>
        <v>3.61725E-5</v>
      </c>
      <c r="J8" s="108">
        <f t="shared" si="1"/>
        <v>5.7049199999999996E-5</v>
      </c>
      <c r="K8" s="108">
        <f t="shared" si="1"/>
        <v>6.6144000000000009E-5</v>
      </c>
      <c r="L8" s="108">
        <f t="shared" si="1"/>
        <v>7.6065599999999999E-5</v>
      </c>
    </row>
    <row r="9" spans="1:17" ht="16.5" customHeight="1" x14ac:dyDescent="0.3">
      <c r="A9" s="3" t="s">
        <v>23</v>
      </c>
      <c r="B9" s="5" t="s">
        <v>56</v>
      </c>
      <c r="C9" s="84">
        <f>SUM(C10:C21)</f>
        <v>600.19853880000005</v>
      </c>
      <c r="D9" s="84">
        <f>SUM(D10:D21)</f>
        <v>1349.3807513000002</v>
      </c>
      <c r="E9" s="84">
        <f>SUM(E10:E21)</f>
        <v>1595.1987068000001</v>
      </c>
      <c r="F9" s="84">
        <f>SUM(F10:F21)</f>
        <v>1899.9953588000003</v>
      </c>
      <c r="G9" s="84">
        <f>SUM(G10:G21)</f>
        <v>2254.1805278750003</v>
      </c>
      <c r="H9" s="80"/>
    </row>
    <row r="10" spans="1:17" ht="16.5" customHeight="1" x14ac:dyDescent="0.3">
      <c r="A10" s="9">
        <v>1</v>
      </c>
      <c r="B10" s="10" t="s">
        <v>25</v>
      </c>
      <c r="C10" s="85">
        <f>'Nội dung khoán tHU CHI học phí'!E7+'Nội dung khoán THU CHI thuê sân'!E14+'Nội dung khoán THU CHI thuê sân'!E15</f>
        <v>56.465000000000003</v>
      </c>
      <c r="D10" s="85">
        <f>'Nội dung khoán tHU CHI học phí'!F7+'Nội dung khoán THU CHI thuê sân'!F14+'Nội dung khoán THU CHI thuê sân'!F15</f>
        <v>155.44725000000005</v>
      </c>
      <c r="E10" s="85">
        <f>'Nội dung khoán tHU CHI học phí'!G7+'Nội dung khoán THU CHI thuê sân'!G14+'Nội dung khoán THU CHI thuê sân'!G15</f>
        <v>189.25699500000005</v>
      </c>
      <c r="F10" s="85">
        <f>'Nội dung khoán tHU CHI học phí'!H7+'Nội dung khoán THU CHI thuê sân'!H14+'Nội dung khoán THU CHI thuê sân'!H15</f>
        <v>230.34630000000004</v>
      </c>
      <c r="G10" s="85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9" t="s">
        <v>75</v>
      </c>
      <c r="C11" s="85">
        <f>'Khấu hao'!$I$17-'Khấu hao'!I13-'Khấu hao'!I15</f>
        <v>126.60728879999998</v>
      </c>
      <c r="D11" s="85">
        <f>'Khấu hao'!$I$17</f>
        <v>184.24728879999998</v>
      </c>
      <c r="E11" s="85">
        <f>'Khấu hao'!$I$17</f>
        <v>184.24728879999998</v>
      </c>
      <c r="F11" s="85">
        <f>'Khấu hao'!$I$17</f>
        <v>184.24728879999998</v>
      </c>
      <c r="G11" s="85">
        <f>'Khấu hao'!$I$17</f>
        <v>184.24728879999998</v>
      </c>
    </row>
    <row r="12" spans="1:17" s="15" customFormat="1" ht="16.5" customHeight="1" x14ac:dyDescent="0.3">
      <c r="A12" s="13">
        <v>4</v>
      </c>
      <c r="B12" s="39" t="s">
        <v>60</v>
      </c>
      <c r="C12" s="85">
        <f>'Nội dung khoán tHU CHI học phí'!E10</f>
        <v>62.04</v>
      </c>
      <c r="D12" s="85">
        <f>'Nội dung khoán tHU CHI học phí'!F10</f>
        <v>177.66000000000003</v>
      </c>
      <c r="E12" s="85">
        <f>'Nội dung khoán tHU CHI học phí'!G10</f>
        <v>214.52445000000003</v>
      </c>
      <c r="F12" s="85">
        <f>'Nội dung khoán tHU CHI học phí'!H10</f>
        <v>261.16020000000003</v>
      </c>
      <c r="G12" s="85">
        <f>'Nội dung khoán tHU CHI học phí'!I10</f>
        <v>315.35094150000009</v>
      </c>
      <c r="I12" s="42"/>
    </row>
    <row r="13" spans="1:17" s="15" customFormat="1" ht="16.5" customHeight="1" x14ac:dyDescent="0.3">
      <c r="A13" s="9">
        <v>5</v>
      </c>
      <c r="B13" s="39" t="s">
        <v>61</v>
      </c>
      <c r="C13" s="85">
        <f>'Nội dung khoán tHU CHI học phí'!E11</f>
        <v>62.04</v>
      </c>
      <c r="D13" s="85">
        <f>'Nội dung khoán tHU CHI học phí'!F11</f>
        <v>177.66000000000003</v>
      </c>
      <c r="E13" s="85">
        <f>'Nội dung khoán tHU CHI học phí'!G11</f>
        <v>214.52445000000003</v>
      </c>
      <c r="F13" s="85">
        <f>'Nội dung khoán tHU CHI học phí'!H11</f>
        <v>261.16020000000003</v>
      </c>
      <c r="G13" s="85">
        <f>'Nội dung khoán tHU CHI học phí'!I11</f>
        <v>315.35094150000009</v>
      </c>
      <c r="I13" s="42"/>
    </row>
    <row r="14" spans="1:17" s="15" customFormat="1" ht="33" customHeight="1" x14ac:dyDescent="0.3">
      <c r="A14" s="9">
        <v>6</v>
      </c>
      <c r="B14" s="39" t="s">
        <v>76</v>
      </c>
      <c r="C14" s="85">
        <f>'Nội dung khoán THU CHI thuê sân'!E22</f>
        <v>4.5450000000000008</v>
      </c>
      <c r="D14" s="85">
        <f>'Nội dung khoán THU CHI thuê sân'!F22</f>
        <v>6.7672500000000007</v>
      </c>
      <c r="E14" s="85">
        <f>'Nội dung khoán THU CHI thuê sân'!G22</f>
        <v>9.6896700000000013</v>
      </c>
      <c r="F14" s="85">
        <f>'Nội dung khoán THU CHI thuê sân'!H22</f>
        <v>11.696400000000002</v>
      </c>
      <c r="G14" s="85">
        <f>'Nội dung khoán THU CHI thuê sân'!I22</f>
        <v>14.035290000000003</v>
      </c>
      <c r="I14" s="42"/>
    </row>
    <row r="15" spans="1:17" s="15" customFormat="1" ht="16.5" customHeight="1" x14ac:dyDescent="0.3">
      <c r="A15" s="13">
        <v>6</v>
      </c>
      <c r="B15" s="39" t="s">
        <v>62</v>
      </c>
      <c r="C15" s="85">
        <f>'Nội dung khoán tHU CHI học phí'!E12</f>
        <v>113.74</v>
      </c>
      <c r="D15" s="85">
        <f>'Nội dung khoán tHU CHI học phí'!F12</f>
        <v>325.71000000000004</v>
      </c>
      <c r="E15" s="85">
        <f>'Nội dung khoán tHU CHI học phí'!G12</f>
        <v>393.29482500000006</v>
      </c>
      <c r="F15" s="85">
        <f>'Nội dung khoán tHU CHI học phí'!H12</f>
        <v>478.79370000000011</v>
      </c>
      <c r="G15" s="85">
        <f>'Nội dung khoán tHU CHI học phí'!I12</f>
        <v>578.1433927500002</v>
      </c>
      <c r="I15" s="42"/>
    </row>
    <row r="16" spans="1:17" s="15" customFormat="1" ht="16.5" customHeight="1" x14ac:dyDescent="0.3">
      <c r="A16" s="9">
        <v>7</v>
      </c>
      <c r="B16" s="39" t="s">
        <v>63</v>
      </c>
      <c r="C16" s="112">
        <f>'Nội dung khoán tHU CHI học phí'!E13</f>
        <v>25.85</v>
      </c>
      <c r="D16" s="112">
        <f>'Nội dung khoán tHU CHI học phí'!F13</f>
        <v>74.02500000000002</v>
      </c>
      <c r="E16" s="112">
        <f>'Nội dung khoán tHU CHI học phí'!G13</f>
        <v>89.385187500000029</v>
      </c>
      <c r="F16" s="112">
        <f>'Nội dung khoán tHU CHI học phí'!H13</f>
        <v>108.81675000000003</v>
      </c>
      <c r="G16" s="112">
        <f>'Nội dung khoán tHU CHI học phí'!I13</f>
        <v>131.39622562500003</v>
      </c>
      <c r="I16" s="42"/>
    </row>
    <row r="17" spans="1:9" s="15" customFormat="1" ht="33" customHeight="1" x14ac:dyDescent="0.3">
      <c r="A17" s="13">
        <v>8</v>
      </c>
      <c r="B17" s="39" t="s">
        <v>77</v>
      </c>
      <c r="C17" s="85">
        <f>'Nội dung khoán THU CHI thuê sân'!E20+'Nội dung khoán tHU CHI học phí'!E14</f>
        <v>6.548</v>
      </c>
      <c r="D17" s="85">
        <f>'Nội dung khoán THU CHI thuê sân'!F20+'Nội dung khoán tHU CHI học phí'!F14</f>
        <v>16.251900000000003</v>
      </c>
      <c r="E17" s="85">
        <f>'Nội dung khoán THU CHI thuê sân'!G20+'Nội dung khoán tHU CHI học phí'!G14</f>
        <v>20.159005500000003</v>
      </c>
      <c r="F17" s="85">
        <f>'Nội dung khoán THU CHI thuê sân'!H20+'Nội dung khoán tHU CHI học phí'!H14</f>
        <v>24.409110000000005</v>
      </c>
      <c r="G17" s="85">
        <f>'Nội dung khoán THU CHI thuê sân'!I20+'Nội dung khoán tHU CHI học phí'!I14</f>
        <v>29.321869125000006</v>
      </c>
      <c r="I17" s="43"/>
    </row>
    <row r="18" spans="1:9" ht="33" customHeight="1" x14ac:dyDescent="0.3">
      <c r="A18" s="9">
        <v>9</v>
      </c>
      <c r="B18" s="39" t="s">
        <v>78</v>
      </c>
      <c r="C18" s="85">
        <f>(C12+C13+C14)*0.15</f>
        <v>19.293749999999999</v>
      </c>
      <c r="D18" s="85">
        <f>(D12+D13+D14)*0.15</f>
        <v>54.313087500000002</v>
      </c>
      <c r="E18" s="85">
        <f>(E12+E13+E14)*0.15</f>
        <v>65.810785500000009</v>
      </c>
      <c r="F18" s="85">
        <f>(F12+F13+F14)*0.15</f>
        <v>80.102520000000013</v>
      </c>
      <c r="G18" s="85">
        <f>(G12+G13+G14)*0.15</f>
        <v>96.710575950000035</v>
      </c>
      <c r="I18" s="44"/>
    </row>
    <row r="19" spans="1:9" ht="33" customHeight="1" x14ac:dyDescent="0.3">
      <c r="A19" s="13">
        <v>10</v>
      </c>
      <c r="B19" s="39" t="s">
        <v>79</v>
      </c>
      <c r="C19" s="85">
        <f>C5*0.1</f>
        <v>56.245000000000005</v>
      </c>
      <c r="D19" s="85">
        <f>D5*0.1</f>
        <v>154.81725000000003</v>
      </c>
      <c r="E19" s="85">
        <f>E5*0.1</f>
        <v>188.46004500000004</v>
      </c>
      <c r="F19" s="85">
        <f>F5*0.1</f>
        <v>229.32990000000009</v>
      </c>
      <c r="G19" s="85">
        <f>G5*0.1</f>
        <v>276.82774125000009</v>
      </c>
    </row>
    <row r="20" spans="1:9" ht="16.5" customHeight="1" x14ac:dyDescent="0.3">
      <c r="A20" s="9">
        <v>11</v>
      </c>
      <c r="B20" s="39" t="s">
        <v>66</v>
      </c>
      <c r="C20" s="85">
        <v>61.2</v>
      </c>
      <c r="D20" s="85">
        <v>7</v>
      </c>
      <c r="E20" s="85">
        <v>7</v>
      </c>
      <c r="F20" s="85">
        <v>7</v>
      </c>
      <c r="G20" s="85">
        <v>7</v>
      </c>
    </row>
    <row r="21" spans="1:9" ht="16.5" customHeight="1" x14ac:dyDescent="0.3">
      <c r="A21" s="13">
        <v>12</v>
      </c>
      <c r="B21" s="39" t="s">
        <v>80</v>
      </c>
      <c r="C21" s="85">
        <f>C5*1%</f>
        <v>5.6245000000000003</v>
      </c>
      <c r="D21" s="85">
        <f>D5*1%</f>
        <v>15.481725000000001</v>
      </c>
      <c r="E21" s="85">
        <f>E5*1%</f>
        <v>18.846004500000003</v>
      </c>
      <c r="F21" s="85">
        <f>F5*1%</f>
        <v>22.932990000000011</v>
      </c>
      <c r="G21" s="85">
        <f>G5*1%</f>
        <v>27.682774125000005</v>
      </c>
    </row>
    <row r="22" spans="1:9" s="30" customFormat="1" ht="16.5" customHeight="1" x14ac:dyDescent="0.3">
      <c r="A22" s="40" t="s">
        <v>39</v>
      </c>
      <c r="B22" s="41" t="s">
        <v>40</v>
      </c>
      <c r="C22" s="84">
        <f>C5-C9</f>
        <v>-37.748538800000006</v>
      </c>
      <c r="D22" s="84">
        <f>D5-D9</f>
        <v>198.79174869999997</v>
      </c>
      <c r="E22" s="84">
        <f>E5-E9</f>
        <v>289.40174320000028</v>
      </c>
      <c r="F22" s="84">
        <f>F5-F9</f>
        <v>393.30364120000058</v>
      </c>
      <c r="G22" s="84">
        <f>G5-G9</f>
        <v>514.09688462500026</v>
      </c>
    </row>
    <row r="23" spans="1:9" ht="18.75" customHeight="1" x14ac:dyDescent="0.3">
      <c r="A23" s="68"/>
      <c r="B23" s="71" t="s">
        <v>81</v>
      </c>
      <c r="C23" s="113">
        <f>(C7+C8)*5%</f>
        <v>2.2725000000000004</v>
      </c>
      <c r="D23" s="113">
        <f>(D7+D8)*5%</f>
        <v>3.3836250000000003</v>
      </c>
      <c r="E23" s="113">
        <f>(E7+E8)*5%</f>
        <v>4.8448350000000007</v>
      </c>
      <c r="F23" s="113">
        <f>(F7+F8)*5%</f>
        <v>5.8482000000000012</v>
      </c>
      <c r="G23" s="113">
        <f>(G7+G8)*5%</f>
        <v>7.0176450000000017</v>
      </c>
    </row>
    <row r="24" spans="1:9" ht="18.75" customHeight="1" x14ac:dyDescent="0.3">
      <c r="A24" s="68"/>
      <c r="B24" s="71" t="s">
        <v>82</v>
      </c>
      <c r="C24" s="113">
        <f>(C8+C7)*5%+C6*2%</f>
        <v>12.612500000000001</v>
      </c>
      <c r="D24" s="113">
        <f>(D8+D7)*5%+D6*2%</f>
        <v>32.993625000000009</v>
      </c>
      <c r="E24" s="113">
        <f>(E8+E7)*5%+E6*2%</f>
        <v>40.598910000000011</v>
      </c>
      <c r="F24" s="113">
        <f>(F8+F7)*5%+F6*2%</f>
        <v>49.374900000000011</v>
      </c>
      <c r="G24" s="113">
        <f>(G8+G7)*5%+G6*2%</f>
        <v>59.576135250000014</v>
      </c>
    </row>
    <row r="25" spans="1:9" ht="18.75" customHeight="1" x14ac:dyDescent="0.3">
      <c r="A25" s="69" t="s">
        <v>83</v>
      </c>
      <c r="B25" s="70" t="s">
        <v>84</v>
      </c>
      <c r="C25" s="95">
        <f>C22-C23-C24</f>
        <v>-52.633538800000011</v>
      </c>
      <c r="D25" s="95">
        <f>D22-D23-D24</f>
        <v>162.41449869999997</v>
      </c>
      <c r="E25" s="95">
        <f>E22-E23-E24</f>
        <v>243.95799820000028</v>
      </c>
      <c r="F25" s="95">
        <f>F22-F23-F24</f>
        <v>338.08054120000054</v>
      </c>
      <c r="G25" s="95">
        <f>G22-G23-G24</f>
        <v>447.50310437500025</v>
      </c>
    </row>
    <row r="26" spans="1:9" ht="18.75" customHeight="1" x14ac:dyDescent="0.35">
      <c r="A26" s="72" t="s">
        <v>85</v>
      </c>
      <c r="B26" s="73" t="s">
        <v>86</v>
      </c>
      <c r="C26" s="96"/>
      <c r="D26" s="96"/>
      <c r="E26" s="96"/>
      <c r="F26" s="96"/>
      <c r="G26" s="96"/>
    </row>
    <row r="27" spans="1:9" ht="18.75" customHeight="1" x14ac:dyDescent="0.35">
      <c r="A27" s="75">
        <v>1</v>
      </c>
      <c r="B27" s="74" t="s">
        <v>87</v>
      </c>
      <c r="C27" s="114">
        <v>1730.2</v>
      </c>
      <c r="D27" s="96"/>
      <c r="E27" s="96"/>
      <c r="F27" s="96"/>
      <c r="G27" s="96"/>
    </row>
    <row r="28" spans="1:9" ht="18.75" customHeight="1" x14ac:dyDescent="0.35">
      <c r="A28" s="75">
        <v>2</v>
      </c>
      <c r="B28" s="74" t="s">
        <v>88</v>
      </c>
      <c r="C28" s="96">
        <f>C25+C11</f>
        <v>73.973749999999967</v>
      </c>
      <c r="D28" s="96">
        <f>D25+D11</f>
        <v>346.66178749999995</v>
      </c>
      <c r="E28" s="96">
        <f>E25+E11</f>
        <v>428.20528700000023</v>
      </c>
      <c r="F28" s="96">
        <f>F25+F11</f>
        <v>522.32783000000052</v>
      </c>
      <c r="G28" s="96">
        <f>G25+G11</f>
        <v>631.75039317500023</v>
      </c>
    </row>
    <row r="29" spans="1:9" ht="18.75" customHeight="1" x14ac:dyDescent="0.35">
      <c r="A29" s="75">
        <v>3</v>
      </c>
      <c r="B29" s="74" t="s">
        <v>89</v>
      </c>
      <c r="C29" s="115">
        <f>IF(G30&lt;C27,"Chưa hoàn vốn trong 5 năm",IF(C30&gt;=C27,C27/C28,COUNTIF(C30:G30,"&lt;"&amp;C27)+(C27-INDEX(C30:G30,COUNTIF(C30:G30,"&lt;"&amp;C27)))/INDEX(C28:G28,COUNTIF(C30:G30,"&lt;"&amp;C27)+1)))</f>
        <v>4.5683120254118226</v>
      </c>
      <c r="D29" s="96"/>
      <c r="E29" s="96"/>
      <c r="F29" s="96"/>
      <c r="G29" s="96"/>
    </row>
    <row r="30" spans="1:9" ht="18" customHeight="1" x14ac:dyDescent="0.35">
      <c r="A30" s="116" t="s">
        <v>90</v>
      </c>
      <c r="B30" s="117" t="s">
        <v>91</v>
      </c>
      <c r="C30" s="118">
        <f>C28</f>
        <v>73.973749999999967</v>
      </c>
      <c r="D30" s="118">
        <f>C30+D28</f>
        <v>420.63553749999994</v>
      </c>
      <c r="E30" s="118">
        <f>D30+E28</f>
        <v>848.84082450000017</v>
      </c>
      <c r="F30" s="118">
        <f>E30+F28</f>
        <v>1371.1686545000007</v>
      </c>
      <c r="G30" s="118">
        <f>F30+G28</f>
        <v>2002.9190476750009</v>
      </c>
    </row>
  </sheetData>
  <mergeCells count="3">
    <mergeCell ref="F3:G3"/>
    <mergeCell ref="A2:G2"/>
    <mergeCell ref="A1:G1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5" bestFit="1" customWidth="1"/>
    <col min="2" max="2" width="31.88671875" style="46" customWidth="1"/>
    <col min="3" max="3" width="9.33203125" style="45" customWidth="1"/>
    <col min="4" max="4" width="8" style="45" bestFit="1" customWidth="1"/>
    <col min="5" max="5" width="13.88671875" style="45" customWidth="1"/>
    <col min="6" max="6" width="10.109375" style="45" customWidth="1"/>
    <col min="7" max="8" width="12.5546875" style="45" customWidth="1"/>
    <col min="9" max="9" width="13.88671875" style="45" customWidth="1"/>
    <col min="10" max="10" width="12" style="45" customWidth="1"/>
    <col min="11" max="15" width="9.109375" style="45" customWidth="1"/>
    <col min="16" max="16384" width="9.109375" style="45"/>
  </cols>
  <sheetData>
    <row r="1" spans="1:11" ht="18.75" customHeight="1" x14ac:dyDescent="0.3">
      <c r="A1" s="135" t="s">
        <v>92</v>
      </c>
      <c r="B1" s="138"/>
      <c r="C1" s="139"/>
      <c r="D1" s="139"/>
      <c r="E1" s="139"/>
      <c r="F1" s="139"/>
      <c r="G1" s="139"/>
      <c r="H1" s="139"/>
      <c r="I1" s="139"/>
    </row>
    <row r="2" spans="1:11" ht="39.75" customHeight="1" x14ac:dyDescent="0.3">
      <c r="A2" s="142" t="s">
        <v>93</v>
      </c>
      <c r="B2" s="138"/>
      <c r="C2" s="139"/>
      <c r="D2" s="139"/>
      <c r="E2" s="139"/>
      <c r="F2" s="139"/>
      <c r="G2" s="139"/>
      <c r="H2" s="139"/>
      <c r="I2" s="139"/>
    </row>
    <row r="3" spans="1:11" ht="24.6" customHeight="1" x14ac:dyDescent="0.35">
      <c r="A3" s="60"/>
      <c r="B3" s="61"/>
      <c r="C3" s="60"/>
      <c r="D3" s="60"/>
      <c r="E3" s="60"/>
      <c r="F3" s="60"/>
      <c r="G3" s="60"/>
      <c r="H3" s="60"/>
      <c r="I3" s="62" t="s">
        <v>70</v>
      </c>
    </row>
    <row r="4" spans="1:11" ht="56.25" customHeight="1" x14ac:dyDescent="0.25">
      <c r="A4" s="31" t="s">
        <v>11</v>
      </c>
      <c r="B4" s="31" t="s">
        <v>94</v>
      </c>
      <c r="C4" s="31" t="s">
        <v>95</v>
      </c>
      <c r="D4" s="31" t="s">
        <v>96</v>
      </c>
      <c r="E4" s="31" t="s">
        <v>97</v>
      </c>
      <c r="F4" s="31" t="s">
        <v>98</v>
      </c>
      <c r="G4" s="31" t="s">
        <v>99</v>
      </c>
      <c r="H4" s="31" t="s">
        <v>100</v>
      </c>
      <c r="I4" s="31" t="s">
        <v>101</v>
      </c>
      <c r="J4" s="31" t="s">
        <v>102</v>
      </c>
    </row>
    <row r="5" spans="1:11" s="103" customFormat="1" ht="18.75" customHeight="1" x14ac:dyDescent="0.25">
      <c r="A5" s="104">
        <v>1</v>
      </c>
      <c r="B5" s="104">
        <v>2</v>
      </c>
      <c r="C5" s="104">
        <v>3</v>
      </c>
      <c r="D5" s="104">
        <v>4</v>
      </c>
      <c r="E5" s="104">
        <v>5</v>
      </c>
      <c r="F5" s="104">
        <v>6</v>
      </c>
      <c r="G5" s="105" t="s">
        <v>103</v>
      </c>
      <c r="H5" s="104">
        <v>8</v>
      </c>
      <c r="I5" s="104" t="s">
        <v>104</v>
      </c>
      <c r="J5" s="104">
        <v>10</v>
      </c>
    </row>
    <row r="6" spans="1:11" s="49" customFormat="1" ht="75" customHeight="1" x14ac:dyDescent="0.3">
      <c r="A6" s="47">
        <v>1</v>
      </c>
      <c r="B6" s="48" t="s">
        <v>105</v>
      </c>
      <c r="C6" s="47" t="s">
        <v>106</v>
      </c>
      <c r="D6" s="47">
        <v>145</v>
      </c>
      <c r="E6" s="63">
        <f>(6143/20)*2</f>
        <v>614.29999999999995</v>
      </c>
      <c r="F6" s="78">
        <v>0.1</v>
      </c>
      <c r="G6" s="63">
        <f t="shared" ref="G6:G16" si="0">E6*F6</f>
        <v>61.43</v>
      </c>
      <c r="H6" s="78">
        <v>0.04</v>
      </c>
      <c r="I6" s="65">
        <f t="shared" ref="I6:I16" si="1">G6*H6</f>
        <v>2.4571999999999998</v>
      </c>
      <c r="J6" s="47" t="s">
        <v>107</v>
      </c>
    </row>
    <row r="7" spans="1:11" s="49" customFormat="1" ht="56.25" customHeight="1" x14ac:dyDescent="0.3">
      <c r="A7" s="47">
        <v>2</v>
      </c>
      <c r="B7" s="48" t="s">
        <v>108</v>
      </c>
      <c r="C7" s="47" t="s">
        <v>106</v>
      </c>
      <c r="D7" s="47">
        <v>70</v>
      </c>
      <c r="E7" s="63">
        <f>6143/20</f>
        <v>307.14999999999998</v>
      </c>
      <c r="F7" s="78">
        <v>0.1</v>
      </c>
      <c r="G7" s="63">
        <f t="shared" si="0"/>
        <v>30.715</v>
      </c>
      <c r="H7" s="78">
        <v>0.04</v>
      </c>
      <c r="I7" s="65">
        <f t="shared" si="1"/>
        <v>1.2285999999999999</v>
      </c>
      <c r="J7" s="47" t="s">
        <v>107</v>
      </c>
    </row>
    <row r="8" spans="1:11" s="49" customFormat="1" ht="56.25" customHeight="1" x14ac:dyDescent="0.3">
      <c r="A8" s="47">
        <v>3</v>
      </c>
      <c r="B8" s="50" t="s">
        <v>109</v>
      </c>
      <c r="C8" s="47" t="s">
        <v>110</v>
      </c>
      <c r="D8" s="47">
        <v>32</v>
      </c>
      <c r="E8" s="63">
        <f>(D8*14.71)</f>
        <v>470.72</v>
      </c>
      <c r="F8" s="78">
        <v>0.1</v>
      </c>
      <c r="G8" s="63">
        <f t="shared" si="0"/>
        <v>47.072000000000003</v>
      </c>
      <c r="H8" s="64">
        <v>0.1429</v>
      </c>
      <c r="I8" s="65">
        <f t="shared" si="1"/>
        <v>6.7265888</v>
      </c>
      <c r="J8" s="47" t="s">
        <v>111</v>
      </c>
    </row>
    <row r="9" spans="1:11" s="49" customFormat="1" ht="56.25" customHeight="1" x14ac:dyDescent="0.3">
      <c r="A9" s="47">
        <v>4</v>
      </c>
      <c r="B9" s="66" t="s">
        <v>112</v>
      </c>
      <c r="C9" s="51" t="s">
        <v>113</v>
      </c>
      <c r="D9" s="47">
        <v>1</v>
      </c>
      <c r="E9" s="63">
        <v>70</v>
      </c>
      <c r="F9" s="78">
        <v>1</v>
      </c>
      <c r="G9" s="63">
        <f t="shared" si="0"/>
        <v>70</v>
      </c>
      <c r="H9" s="64">
        <v>6.6699999999999995E-2</v>
      </c>
      <c r="I9" s="65">
        <f t="shared" si="1"/>
        <v>4.6689999999999996</v>
      </c>
      <c r="J9" s="47" t="s">
        <v>114</v>
      </c>
    </row>
    <row r="10" spans="1:11" s="49" customFormat="1" ht="56.25" customHeight="1" x14ac:dyDescent="0.3">
      <c r="A10" s="47">
        <v>5</v>
      </c>
      <c r="B10" s="66" t="s">
        <v>115</v>
      </c>
      <c r="C10" s="47" t="s">
        <v>116</v>
      </c>
      <c r="D10" s="47">
        <v>2</v>
      </c>
      <c r="E10" s="63">
        <f>130*D10</f>
        <v>260</v>
      </c>
      <c r="F10" s="78">
        <v>1</v>
      </c>
      <c r="G10" s="63">
        <f t="shared" si="0"/>
        <v>260</v>
      </c>
      <c r="H10" s="78">
        <v>0.1</v>
      </c>
      <c r="I10" s="65">
        <f t="shared" si="1"/>
        <v>26</v>
      </c>
      <c r="J10" s="47" t="s">
        <v>117</v>
      </c>
    </row>
    <row r="11" spans="1:11" s="49" customFormat="1" ht="43.5" customHeight="1" x14ac:dyDescent="0.3">
      <c r="A11" s="47">
        <v>6</v>
      </c>
      <c r="B11" s="48" t="s">
        <v>118</v>
      </c>
      <c r="C11" s="47" t="s">
        <v>119</v>
      </c>
      <c r="D11" s="47">
        <v>3</v>
      </c>
      <c r="E11" s="63">
        <f>((590000000+100000+98658000+11760000)/1000000)</f>
        <v>700.51800000000003</v>
      </c>
      <c r="F11" s="78">
        <v>0.5</v>
      </c>
      <c r="G11" s="63">
        <f t="shared" si="0"/>
        <v>350.25900000000001</v>
      </c>
      <c r="H11" s="78">
        <v>0.1</v>
      </c>
      <c r="I11" s="65">
        <f t="shared" si="1"/>
        <v>35.0259</v>
      </c>
      <c r="J11" s="47" t="s">
        <v>117</v>
      </c>
    </row>
    <row r="12" spans="1:11" s="49" customFormat="1" ht="56.25" customHeight="1" x14ac:dyDescent="0.3">
      <c r="A12" s="47">
        <v>7</v>
      </c>
      <c r="B12" s="48" t="s">
        <v>120</v>
      </c>
      <c r="C12" s="47" t="s">
        <v>121</v>
      </c>
      <c r="D12" s="47">
        <v>1</v>
      </c>
      <c r="E12" s="63">
        <v>80</v>
      </c>
      <c r="F12" s="78">
        <v>1</v>
      </c>
      <c r="G12" s="63">
        <f t="shared" si="0"/>
        <v>80</v>
      </c>
      <c r="H12" s="78">
        <v>0.1</v>
      </c>
      <c r="I12" s="65">
        <f t="shared" si="1"/>
        <v>8</v>
      </c>
      <c r="J12" s="47" t="s">
        <v>117</v>
      </c>
      <c r="K12" s="49">
        <f>1/8</f>
        <v>0.125</v>
      </c>
    </row>
    <row r="13" spans="1:11" s="49" customFormat="1" ht="56.25" customHeight="1" x14ac:dyDescent="0.3">
      <c r="A13" s="47">
        <v>8</v>
      </c>
      <c r="B13" s="48" t="s">
        <v>122</v>
      </c>
      <c r="C13" s="47" t="s">
        <v>121</v>
      </c>
      <c r="D13" s="47">
        <v>1</v>
      </c>
      <c r="E13" s="63">
        <f>590</f>
        <v>590</v>
      </c>
      <c r="F13" s="78">
        <v>0.5</v>
      </c>
      <c r="G13" s="63">
        <f t="shared" si="0"/>
        <v>295</v>
      </c>
      <c r="H13" s="78">
        <v>0.1</v>
      </c>
      <c r="I13" s="65">
        <f t="shared" si="1"/>
        <v>29.5</v>
      </c>
      <c r="J13" s="47" t="s">
        <v>117</v>
      </c>
    </row>
    <row r="14" spans="1:11" s="49" customFormat="1" ht="173.25" customHeight="1" x14ac:dyDescent="0.3">
      <c r="A14" s="47">
        <v>9</v>
      </c>
      <c r="B14" s="48" t="s">
        <v>123</v>
      </c>
      <c r="C14" s="47" t="s">
        <v>124</v>
      </c>
      <c r="D14" s="47">
        <v>1</v>
      </c>
      <c r="E14" s="119">
        <v>200</v>
      </c>
      <c r="F14" s="78">
        <v>1</v>
      </c>
      <c r="G14" s="63">
        <f t="shared" si="0"/>
        <v>200</v>
      </c>
      <c r="H14" s="78">
        <v>0.2</v>
      </c>
      <c r="I14" s="65">
        <f t="shared" si="1"/>
        <v>40</v>
      </c>
      <c r="J14" s="47" t="s">
        <v>125</v>
      </c>
    </row>
    <row r="15" spans="1:11" s="49" customFormat="1" ht="75" customHeight="1" x14ac:dyDescent="0.3">
      <c r="A15" s="47">
        <v>10</v>
      </c>
      <c r="B15" s="48" t="s">
        <v>126</v>
      </c>
      <c r="C15" s="47" t="s">
        <v>124</v>
      </c>
      <c r="D15" s="47">
        <v>1</v>
      </c>
      <c r="E15" s="63">
        <f>469</f>
        <v>469</v>
      </c>
      <c r="F15" s="78">
        <v>0.3</v>
      </c>
      <c r="G15" s="63">
        <f t="shared" si="0"/>
        <v>140.69999999999999</v>
      </c>
      <c r="H15" s="78">
        <v>0.2</v>
      </c>
      <c r="I15" s="65">
        <f t="shared" si="1"/>
        <v>28.14</v>
      </c>
      <c r="J15" s="47" t="s">
        <v>125</v>
      </c>
    </row>
    <row r="16" spans="1:11" s="49" customFormat="1" ht="111" customHeight="1" x14ac:dyDescent="0.3">
      <c r="A16" s="47">
        <v>11</v>
      </c>
      <c r="B16" s="48" t="s">
        <v>127</v>
      </c>
      <c r="C16" s="47" t="s">
        <v>124</v>
      </c>
      <c r="D16" s="47">
        <v>1</v>
      </c>
      <c r="E16" s="63">
        <f>200</f>
        <v>200</v>
      </c>
      <c r="F16" s="78">
        <v>0.1</v>
      </c>
      <c r="G16" s="63">
        <f t="shared" si="0"/>
        <v>20</v>
      </c>
      <c r="H16" s="64">
        <v>0.125</v>
      </c>
      <c r="I16" s="65">
        <f t="shared" si="1"/>
        <v>2.5</v>
      </c>
      <c r="J16" s="47" t="s">
        <v>128</v>
      </c>
    </row>
    <row r="17" spans="1:10" s="49" customFormat="1" ht="24.6" customHeight="1" x14ac:dyDescent="0.3">
      <c r="A17" s="140" t="s">
        <v>129</v>
      </c>
      <c r="B17" s="141"/>
      <c r="C17" s="141"/>
      <c r="D17" s="141"/>
      <c r="E17" s="67">
        <f>SUM(E6:E16)</f>
        <v>3961.6880000000001</v>
      </c>
      <c r="F17" s="102"/>
      <c r="G17" s="67">
        <f>SUM(G6:G16)</f>
        <v>1555.1760000000002</v>
      </c>
      <c r="H17" s="68"/>
      <c r="I17" s="79">
        <f>SUM(I6:I16)</f>
        <v>184.24728879999998</v>
      </c>
      <c r="J17" s="47"/>
    </row>
    <row r="18" spans="1:10" x14ac:dyDescent="0.25">
      <c r="D18" s="52"/>
      <c r="E18" s="53"/>
      <c r="F18" s="54"/>
    </row>
    <row r="19" spans="1:10" ht="18.75" customHeight="1" x14ac:dyDescent="0.25">
      <c r="D19" s="52"/>
      <c r="E19" s="53"/>
      <c r="G19" s="55"/>
      <c r="H19" s="55"/>
    </row>
    <row r="20" spans="1:10" ht="18.75" customHeight="1" x14ac:dyDescent="0.25">
      <c r="D20" s="56"/>
      <c r="E20" s="57"/>
      <c r="G20" s="58"/>
      <c r="H20" s="58"/>
    </row>
    <row r="21" spans="1:10" x14ac:dyDescent="0.25">
      <c r="D21" s="56"/>
      <c r="E21" s="77"/>
      <c r="G21" s="59"/>
      <c r="H21" s="59"/>
    </row>
    <row r="22" spans="1:10" x14ac:dyDescent="0.25">
      <c r="D22" s="56"/>
      <c r="E22" s="57"/>
    </row>
  </sheetData>
  <mergeCells count="3">
    <mergeCell ref="A1:I1"/>
    <mergeCell ref="A17:D17"/>
    <mergeCell ref="A2:I2"/>
  </mergeCell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130</v>
      </c>
      <c r="B3" s="38" t="s">
        <v>1</v>
      </c>
      <c r="C3" s="38" t="s">
        <v>2</v>
      </c>
      <c r="D3" s="38" t="s">
        <v>3</v>
      </c>
      <c r="E3" s="38" t="s">
        <v>4</v>
      </c>
      <c r="F3" s="38" t="s">
        <v>5</v>
      </c>
    </row>
    <row r="4" spans="1:6" ht="53.25" customHeight="1" x14ac:dyDescent="0.3">
      <c r="A4" s="34" t="s">
        <v>131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132</v>
      </c>
      <c r="B5" s="98">
        <f>'lộ trình hp'!B6</f>
        <v>2.35</v>
      </c>
      <c r="C5" s="98">
        <f>'lộ trình hp'!C6</f>
        <v>2.4675000000000002</v>
      </c>
      <c r="D5" s="98">
        <f>'lộ trình hp'!D6</f>
        <v>2.5908750000000005</v>
      </c>
      <c r="E5" s="98">
        <f>'lộ trình hp'!E6</f>
        <v>2.7204187500000008</v>
      </c>
      <c r="F5" s="98">
        <f>'lộ trình hp'!F6</f>
        <v>2.8564396875000009</v>
      </c>
    </row>
    <row r="6" spans="1:6" ht="53.25" customHeight="1" x14ac:dyDescent="0.3">
      <c r="A6" s="34" t="s">
        <v>133</v>
      </c>
      <c r="B6" s="99">
        <f>B4*B5</f>
        <v>517</v>
      </c>
      <c r="C6" s="99">
        <f>C4*C5</f>
        <v>1480.5000000000002</v>
      </c>
      <c r="D6" s="99">
        <f>D4*D5</f>
        <v>1787.7037500000004</v>
      </c>
      <c r="E6" s="99">
        <f>E4*E5</f>
        <v>2176.3350000000005</v>
      </c>
      <c r="F6" s="99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130</v>
      </c>
      <c r="B8" s="38" t="s">
        <v>1</v>
      </c>
      <c r="C8" s="38" t="s">
        <v>2</v>
      </c>
      <c r="D8" s="38" t="s">
        <v>3</v>
      </c>
      <c r="E8" s="38" t="s">
        <v>4</v>
      </c>
      <c r="F8" s="38" t="s">
        <v>5</v>
      </c>
    </row>
    <row r="9" spans="1:6" ht="33.75" customHeight="1" x14ac:dyDescent="0.3">
      <c r="A9" s="34" t="s">
        <v>134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135</v>
      </c>
      <c r="B10" s="100">
        <f>'lộ trình hp'!B8</f>
        <v>0.05</v>
      </c>
      <c r="C10" s="100">
        <f>'lộ trình hp'!C8</f>
        <v>5.2500000000000005E-2</v>
      </c>
      <c r="D10" s="100">
        <f>'lộ trình hp'!D8</f>
        <v>5.775000000000001E-2</v>
      </c>
      <c r="E10" s="100">
        <f>'lộ trình hp'!E8</f>
        <v>6.3525000000000012E-2</v>
      </c>
      <c r="F10" s="100">
        <f>'lộ trình hp'!F8</f>
        <v>6.9877500000000023E-2</v>
      </c>
    </row>
    <row r="11" spans="1:6" ht="33.75" customHeight="1" x14ac:dyDescent="0.3">
      <c r="A11" s="34" t="s">
        <v>136</v>
      </c>
      <c r="B11" s="101">
        <f>B10*B9</f>
        <v>11</v>
      </c>
      <c r="C11" s="101">
        <f>C10*C9</f>
        <v>31.500000000000004</v>
      </c>
      <c r="D11" s="101">
        <f>D10*D9</f>
        <v>39.847500000000004</v>
      </c>
      <c r="E11" s="101">
        <f>E10*E9</f>
        <v>50.820000000000007</v>
      </c>
      <c r="F11" s="101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130</v>
      </c>
      <c r="B13" s="33" t="s">
        <v>1</v>
      </c>
      <c r="C13" s="33" t="s">
        <v>2</v>
      </c>
      <c r="D13" s="33" t="s">
        <v>3</v>
      </c>
      <c r="E13" s="33" t="s">
        <v>4</v>
      </c>
      <c r="F13" s="33" t="s">
        <v>5</v>
      </c>
    </row>
    <row r="14" spans="1:6" ht="31.5" customHeight="1" x14ac:dyDescent="0.3">
      <c r="A14" s="34" t="s">
        <v>137</v>
      </c>
      <c r="B14" s="37">
        <v>500</v>
      </c>
      <c r="C14" s="37">
        <f>B14*(1+5%)</f>
        <v>525</v>
      </c>
      <c r="D14" s="37">
        <f>D9*(1+20%)</f>
        <v>828</v>
      </c>
      <c r="E14" s="37">
        <f>E9*(1+20%)</f>
        <v>960</v>
      </c>
      <c r="F14" s="37">
        <f>F9*(1+20%)</f>
        <v>1104</v>
      </c>
    </row>
    <row r="15" spans="1:6" ht="15.75" customHeight="1" x14ac:dyDescent="0.3">
      <c r="A15" s="34" t="s">
        <v>135</v>
      </c>
      <c r="B15" s="106">
        <v>6.8900000000000003E-2</v>
      </c>
      <c r="C15" s="106">
        <v>6.8900000000000003E-2</v>
      </c>
      <c r="D15" s="106">
        <v>6.8900000000000003E-2</v>
      </c>
      <c r="E15" s="106">
        <v>6.8900000000000003E-2</v>
      </c>
      <c r="F15" s="106">
        <v>6.8900000000000003E-2</v>
      </c>
    </row>
    <row r="16" spans="1:6" ht="15.75" customHeight="1" x14ac:dyDescent="0.3">
      <c r="A16" s="34" t="s">
        <v>136</v>
      </c>
      <c r="B16" s="97">
        <f>B15*B14</f>
        <v>34.450000000000003</v>
      </c>
      <c r="C16" s="97">
        <f>C15*C14</f>
        <v>36.172499999999999</v>
      </c>
      <c r="D16" s="97">
        <f>D15*D14</f>
        <v>57.049199999999999</v>
      </c>
      <c r="E16" s="97">
        <f>E15*E14</f>
        <v>66.144000000000005</v>
      </c>
      <c r="F16" s="97">
        <f>F15*F14</f>
        <v>76.065600000000003</v>
      </c>
    </row>
  </sheetData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customHeight="1" x14ac:dyDescent="0.3">
      <c r="A1" s="120" t="s">
        <v>138</v>
      </c>
    </row>
    <row r="2" spans="1:8" ht="45" customHeight="1" x14ac:dyDescent="0.3">
      <c r="A2" s="147" t="s">
        <v>139</v>
      </c>
      <c r="B2" s="126"/>
      <c r="C2" s="126"/>
      <c r="D2" s="126"/>
      <c r="E2" s="126"/>
      <c r="F2" s="126"/>
      <c r="G2" s="126"/>
      <c r="H2" s="126"/>
    </row>
    <row r="4" spans="1:8" ht="31.2" customHeight="1" x14ac:dyDescent="0.3">
      <c r="A4" s="121" t="s">
        <v>140</v>
      </c>
      <c r="B4" s="121" t="s">
        <v>130</v>
      </c>
      <c r="C4" s="121" t="s">
        <v>50</v>
      </c>
      <c r="D4" s="121" t="s">
        <v>51</v>
      </c>
      <c r="E4" s="121" t="s">
        <v>52</v>
      </c>
      <c r="F4" s="121" t="s">
        <v>53</v>
      </c>
      <c r="G4" s="121" t="s">
        <v>54</v>
      </c>
      <c r="H4" s="121" t="s">
        <v>141</v>
      </c>
    </row>
    <row r="5" spans="1:8" ht="15.6" customHeight="1" x14ac:dyDescent="0.3">
      <c r="A5" s="146" t="s">
        <v>142</v>
      </c>
      <c r="B5" s="122" t="s">
        <v>16</v>
      </c>
      <c r="C5" s="123">
        <v>562.45000000000005</v>
      </c>
      <c r="D5" s="123">
        <v>1548.17</v>
      </c>
      <c r="E5" s="123">
        <v>1884.6</v>
      </c>
      <c r="F5" s="123">
        <v>2293.3000000000002</v>
      </c>
      <c r="G5" s="123">
        <v>2768.28</v>
      </c>
      <c r="H5" s="143">
        <v>4.57</v>
      </c>
    </row>
    <row r="6" spans="1:8" ht="15.6" customHeight="1" x14ac:dyDescent="0.3">
      <c r="A6" s="144"/>
      <c r="B6" s="122" t="s">
        <v>143</v>
      </c>
      <c r="C6" s="123">
        <v>600.20000000000005</v>
      </c>
      <c r="D6" s="123">
        <v>1349.38</v>
      </c>
      <c r="E6" s="123">
        <v>1595.2</v>
      </c>
      <c r="F6" s="123">
        <v>1900</v>
      </c>
      <c r="G6" s="123">
        <v>2254.1799999999998</v>
      </c>
      <c r="H6" s="144"/>
    </row>
    <row r="7" spans="1:8" ht="15.6" customHeight="1" x14ac:dyDescent="0.3">
      <c r="A7" s="144"/>
      <c r="B7" s="122" t="s">
        <v>84</v>
      </c>
      <c r="C7" s="123">
        <v>-52.63</v>
      </c>
      <c r="D7" s="123">
        <v>162.41</v>
      </c>
      <c r="E7" s="123">
        <v>243.96</v>
      </c>
      <c r="F7" s="123">
        <v>338.08</v>
      </c>
      <c r="G7" s="123">
        <v>447.5</v>
      </c>
      <c r="H7" s="144"/>
    </row>
    <row r="8" spans="1:8" ht="15.6" customHeight="1" x14ac:dyDescent="0.3">
      <c r="A8" s="144"/>
      <c r="B8" s="122" t="s">
        <v>88</v>
      </c>
      <c r="C8" s="123">
        <v>73.97</v>
      </c>
      <c r="D8" s="123">
        <v>346.66</v>
      </c>
      <c r="E8" s="123">
        <v>428.21</v>
      </c>
      <c r="F8" s="123">
        <v>522.33000000000004</v>
      </c>
      <c r="G8" s="123">
        <v>631.75</v>
      </c>
      <c r="H8" s="144"/>
    </row>
    <row r="9" spans="1:8" ht="15.6" customHeight="1" x14ac:dyDescent="0.3">
      <c r="A9" s="145"/>
      <c r="B9" s="122" t="s">
        <v>91</v>
      </c>
      <c r="C9" s="123">
        <v>73.97</v>
      </c>
      <c r="D9" s="123">
        <v>420.64</v>
      </c>
      <c r="E9" s="123">
        <v>848.84</v>
      </c>
      <c r="F9" s="123">
        <v>1371.17</v>
      </c>
      <c r="G9" s="123">
        <v>2002.92</v>
      </c>
      <c r="H9" s="145"/>
    </row>
    <row r="10" spans="1:8" ht="15.6" customHeight="1" x14ac:dyDescent="0.3">
      <c r="A10" s="146" t="s">
        <v>144</v>
      </c>
      <c r="B10" s="122" t="s">
        <v>16</v>
      </c>
      <c r="C10" s="123">
        <v>393.72</v>
      </c>
      <c r="D10" s="123">
        <v>1083.72</v>
      </c>
      <c r="E10" s="123">
        <v>1319.22</v>
      </c>
      <c r="F10" s="123">
        <v>1605.31</v>
      </c>
      <c r="G10" s="123">
        <v>1937.79</v>
      </c>
      <c r="H10" s="143" t="s">
        <v>145</v>
      </c>
    </row>
    <row r="11" spans="1:8" ht="15.6" customHeight="1" x14ac:dyDescent="0.3">
      <c r="A11" s="144"/>
      <c r="B11" s="122" t="s">
        <v>143</v>
      </c>
      <c r="C11" s="123">
        <v>476.48</v>
      </c>
      <c r="D11" s="123">
        <v>1001.94</v>
      </c>
      <c r="E11" s="123">
        <v>1174.01</v>
      </c>
      <c r="F11" s="123">
        <v>1387.37</v>
      </c>
      <c r="G11" s="123">
        <v>1635.3</v>
      </c>
      <c r="H11" s="144"/>
    </row>
    <row r="12" spans="1:8" ht="15.6" customHeight="1" x14ac:dyDescent="0.3">
      <c r="A12" s="144"/>
      <c r="B12" s="122" t="s">
        <v>84</v>
      </c>
      <c r="C12" s="123">
        <v>-93.19</v>
      </c>
      <c r="D12" s="123">
        <v>56.32</v>
      </c>
      <c r="E12" s="123">
        <v>113.4</v>
      </c>
      <c r="F12" s="123">
        <v>179.28</v>
      </c>
      <c r="G12" s="123">
        <v>255.88</v>
      </c>
      <c r="H12" s="144"/>
    </row>
    <row r="13" spans="1:8" ht="15.6" customHeight="1" x14ac:dyDescent="0.3">
      <c r="A13" s="144"/>
      <c r="B13" s="122" t="s">
        <v>88</v>
      </c>
      <c r="C13" s="123">
        <v>33.42</v>
      </c>
      <c r="D13" s="123">
        <v>240.56</v>
      </c>
      <c r="E13" s="123">
        <v>297.64</v>
      </c>
      <c r="F13" s="123">
        <v>363.53</v>
      </c>
      <c r="G13" s="123">
        <v>440.13</v>
      </c>
      <c r="H13" s="144"/>
    </row>
    <row r="14" spans="1:8" ht="15.6" customHeight="1" x14ac:dyDescent="0.3">
      <c r="A14" s="145"/>
      <c r="B14" s="122" t="s">
        <v>91</v>
      </c>
      <c r="C14" s="123">
        <v>33.42</v>
      </c>
      <c r="D14" s="123">
        <v>273.98</v>
      </c>
      <c r="E14" s="123">
        <v>571.63</v>
      </c>
      <c r="F14" s="123">
        <v>935.16</v>
      </c>
      <c r="G14" s="123">
        <v>1375.28</v>
      </c>
      <c r="H14" s="145"/>
    </row>
    <row r="15" spans="1:8" ht="15.6" customHeight="1" x14ac:dyDescent="0.3">
      <c r="A15" s="146" t="s">
        <v>146</v>
      </c>
      <c r="B15" s="122" t="s">
        <v>16</v>
      </c>
      <c r="C15" s="123">
        <v>281.23</v>
      </c>
      <c r="D15" s="123">
        <v>774.09</v>
      </c>
      <c r="E15" s="123">
        <v>942.3</v>
      </c>
      <c r="F15" s="123">
        <v>1146.6500000000001</v>
      </c>
      <c r="G15" s="123">
        <v>1384.14</v>
      </c>
      <c r="H15" s="143" t="s">
        <v>145</v>
      </c>
    </row>
    <row r="16" spans="1:8" ht="15.6" customHeight="1" x14ac:dyDescent="0.3">
      <c r="A16" s="144"/>
      <c r="B16" s="122" t="s">
        <v>143</v>
      </c>
      <c r="C16" s="123">
        <v>394</v>
      </c>
      <c r="D16" s="123">
        <v>770.31</v>
      </c>
      <c r="E16" s="123">
        <v>893.22</v>
      </c>
      <c r="F16" s="123">
        <v>1045.6199999999999</v>
      </c>
      <c r="G16" s="123">
        <v>1222.71</v>
      </c>
      <c r="H16" s="144"/>
    </row>
    <row r="17" spans="1:8" ht="15.6" customHeight="1" x14ac:dyDescent="0.3">
      <c r="A17" s="144"/>
      <c r="B17" s="122" t="s">
        <v>84</v>
      </c>
      <c r="C17" s="123">
        <v>-120.22</v>
      </c>
      <c r="D17" s="123">
        <v>-14.42</v>
      </c>
      <c r="E17" s="123">
        <v>26.36</v>
      </c>
      <c r="F17" s="123">
        <v>73.42</v>
      </c>
      <c r="G17" s="123">
        <v>128.13</v>
      </c>
      <c r="H17" s="144"/>
    </row>
    <row r="18" spans="1:8" ht="15.6" customHeight="1" x14ac:dyDescent="0.3">
      <c r="A18" s="144"/>
      <c r="B18" s="122" t="s">
        <v>88</v>
      </c>
      <c r="C18" s="123">
        <v>6.39</v>
      </c>
      <c r="D18" s="123">
        <v>169.83</v>
      </c>
      <c r="E18" s="123">
        <v>210.6</v>
      </c>
      <c r="F18" s="123">
        <v>257.66000000000003</v>
      </c>
      <c r="G18" s="123">
        <v>312.38</v>
      </c>
      <c r="H18" s="144"/>
    </row>
    <row r="19" spans="1:8" ht="15.6" customHeight="1" x14ac:dyDescent="0.3">
      <c r="A19" s="145"/>
      <c r="B19" s="122" t="s">
        <v>91</v>
      </c>
      <c r="C19" s="123">
        <v>6.39</v>
      </c>
      <c r="D19" s="123">
        <v>176.22</v>
      </c>
      <c r="E19" s="123">
        <v>386.82</v>
      </c>
      <c r="F19" s="123">
        <v>644.48</v>
      </c>
      <c r="G19" s="123">
        <v>956.86</v>
      </c>
      <c r="H19" s="145"/>
    </row>
    <row r="21" spans="1:8" x14ac:dyDescent="0.3">
      <c r="A21" s="124" t="s">
        <v>147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2026-10-22T07:17:29Z</dcterms:modified>
</cp:coreProperties>
</file>