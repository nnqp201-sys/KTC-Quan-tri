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24" yWindow="0" windowWidth="11712" windowHeight="12336" tabRatio="600" firstSheet="0" activeTab="0" autoFilterDateGrouping="1"/>
  </bookViews>
  <sheets>
    <sheet xmlns:r="http://schemas.openxmlformats.org/officeDocument/2006/relationships" name="DỰ TOÁN CBDT" sheetId="1" state="visible" r:id="rId1"/>
    <sheet xmlns:r="http://schemas.openxmlformats.org/officeDocument/2006/relationships" name="CƠ SỞ QUY ĐỔI" sheetId="2" state="visible" r:id="rId2"/>
  </sheets>
  <definedNames/>
  <calcPr calcId="191029" fullCalcOnLoad="1"/>
</workbook>
</file>

<file path=xl/styles.xml><?xml version="1.0" encoding="utf-8"?>
<styleSheet xmlns="http://schemas.openxmlformats.org/spreadsheetml/2006/main">
  <numFmts count="4">
    <numFmt numFmtId="164" formatCode="0.000"/>
    <numFmt numFmtId="165" formatCode="0.000000"/>
    <numFmt numFmtId="166" formatCode="0.000%"/>
    <numFmt numFmtId="167" formatCode="0.0000%"/>
  </numFmts>
  <fonts count="12">
    <font>
      <name val="Carlito"/>
      <sz val="11"/>
    </font>
    <font>
      <name val="Times New Roman"/>
      <color rgb="FF000000"/>
      <sz val="11"/>
    </font>
    <font>
      <name val="Times New Roman"/>
      <b val="1"/>
      <color rgb="FFFFFFFF"/>
      <sz val="16"/>
    </font>
    <font>
      <name val="Times New Roman"/>
      <b val="1"/>
      <color rgb="FF1F1F1F"/>
      <sz val="12"/>
    </font>
    <font>
      <name val="Times New Roman"/>
      <i val="1"/>
      <color rgb="FF404040"/>
      <sz val="10"/>
    </font>
    <font>
      <name val="Times New Roman"/>
      <b val="1"/>
      <color rgb="FF1F1F1F"/>
      <sz val="11"/>
    </font>
    <font>
      <name val="Times New Roman"/>
      <b val="1"/>
      <color rgb="FFFFFFFF"/>
      <sz val="10"/>
    </font>
    <font>
      <name val="Times New Roman"/>
      <b val="1"/>
      <color rgb="FF9C5700"/>
      <sz val="11"/>
    </font>
    <font>
      <name val="Times New Roman"/>
      <b val="1"/>
      <color rgb="FF000000"/>
      <sz val="11"/>
    </font>
    <font>
      <b val="1"/>
      <sz val="13"/>
    </font>
    <font>
      <name val="Times New Roman"/>
      <b val="1"/>
      <sz val="12"/>
    </font>
    <font>
      <name val="Times New Roman"/>
      <sz val="11"/>
    </font>
  </fonts>
  <fills count="9">
    <fill>
      <patternFill/>
    </fill>
    <fill>
      <patternFill patternType="gray125"/>
    </fill>
    <fill>
      <patternFill patternType="solid">
        <fgColor rgb="FF1F4E78"/>
      </patternFill>
    </fill>
    <fill>
      <patternFill patternType="solid">
        <fgColor rgb="FFD9EAF7"/>
      </patternFill>
    </fill>
    <fill>
      <patternFill patternType="solid">
        <fgColor rgb="FF4472C4"/>
      </patternFill>
    </fill>
    <fill>
      <patternFill patternType="solid">
        <fgColor rgb="FFFFF2CC"/>
      </patternFill>
    </fill>
    <fill>
      <patternFill patternType="solid">
        <fgColor rgb="FFE2F0D9"/>
      </patternFill>
    </fill>
    <fill>
      <patternFill patternType="solid">
        <fgColor rgb="FFF8FBFD"/>
      </patternFill>
    </fill>
    <fill>
      <patternFill patternType="solid">
        <fgColor rgb="FFF2F2F2"/>
      </patternFill>
    </fill>
  </fills>
  <borders count="54">
    <border>
      <left/>
      <right/>
      <top/>
      <bottom/>
      <diagonal/>
    </border>
    <border>
      <left style="thin">
        <color rgb="FF4472C4"/>
      </left>
      <right/>
      <top style="thin">
        <color rgb="FF4472C4"/>
      </top>
      <bottom style="thin">
        <color rgb="FF4472C4"/>
      </bottom>
      <diagonal/>
    </border>
    <border>
      <left/>
      <right/>
      <top style="thin">
        <color rgb="FF4472C4"/>
      </top>
      <bottom style="thin">
        <color rgb="FF4472C4"/>
      </bottom>
      <diagonal/>
    </border>
    <border>
      <left/>
      <right style="thin">
        <color rgb="FF4472C4"/>
      </right>
      <top style="thin">
        <color rgb="FF4472C4"/>
      </top>
      <bottom style="thin">
        <color rgb="FF4472C4"/>
      </bottom>
      <diagonal/>
    </border>
    <border>
      <left style="thin">
        <color rgb="FF7F7F7F"/>
      </left>
      <right style="thin">
        <color rgb="FFBFBFBF"/>
      </right>
      <top style="thin">
        <color rgb="FF7F7F7F"/>
      </top>
      <bottom style="thin">
        <color rgb="FFBFBFBF"/>
      </bottom>
      <diagonal/>
    </border>
    <border>
      <left style="thin">
        <color rgb="FFBFBFBF"/>
      </left>
      <right style="thin">
        <color rgb="FFBFBFBF"/>
      </right>
      <top style="thin">
        <color rgb="FF7F7F7F"/>
      </top>
      <bottom style="thin">
        <color rgb="FFBFBFBF"/>
      </bottom>
      <diagonal/>
    </border>
    <border>
      <left style="thin">
        <color rgb="FFBFBFBF"/>
      </left>
      <right style="thin">
        <color rgb="FF7F7F7F"/>
      </right>
      <top style="thin">
        <color rgb="FF7F7F7F"/>
      </top>
      <bottom style="thin">
        <color rgb="FFBFBFBF"/>
      </bottom>
      <diagonal/>
    </border>
    <border>
      <left style="thin">
        <color rgb="FF7F7F7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7F7F7F"/>
      </right>
      <top style="thin">
        <color rgb="FFBFBFBF"/>
      </top>
      <bottom style="thin">
        <color rgb="FFBFBFBF"/>
      </bottom>
      <diagonal/>
    </border>
    <border>
      <left style="thin">
        <color rgb="FF7F7F7F"/>
      </left>
      <right style="thin">
        <color rgb="FFBFBFBF"/>
      </right>
      <top style="thin">
        <color rgb="FFBFBFBF"/>
      </top>
      <bottom style="thin">
        <color rgb="FF7F7F7F"/>
      </bottom>
      <diagonal/>
    </border>
    <border>
      <left style="thin">
        <color rgb="FFBFBFBF"/>
      </left>
      <right style="thin">
        <color rgb="FFBFBFBF"/>
      </right>
      <top style="thin">
        <color rgb="FFBFBFBF"/>
      </top>
      <bottom style="thin">
        <color rgb="FF7F7F7F"/>
      </bottom>
      <diagonal/>
    </border>
    <border>
      <left style="thin">
        <color rgb="FFBFBFBF"/>
      </left>
      <right style="thin">
        <color rgb="FF7F7F7F"/>
      </right>
      <top style="thin">
        <color rgb="FFBFBFBF"/>
      </top>
      <bottom style="thin">
        <color rgb="FF7F7F7F"/>
      </bottom>
      <diagonal/>
    </border>
    <border>
      <left style="thin">
        <color rgb="FF1F1F1F"/>
      </left>
      <right style="thin">
        <color rgb="FFD9EAF7"/>
      </right>
      <top style="thin">
        <color rgb="FF1F1F1F"/>
      </top>
      <bottom style="thin">
        <color rgb="FF1F1F1F"/>
      </bottom>
      <diagonal/>
    </border>
    <border>
      <left style="thin">
        <color rgb="FFD9EAF7"/>
      </left>
      <right style="thin">
        <color rgb="FFD9EAF7"/>
      </right>
      <top style="thin">
        <color rgb="FF1F1F1F"/>
      </top>
      <bottom style="thin">
        <color rgb="FF1F1F1F"/>
      </bottom>
      <diagonal/>
    </border>
    <border>
      <left style="thin">
        <color rgb="FFD9EAF7"/>
      </left>
      <right style="thin">
        <color rgb="FF1F1F1F"/>
      </right>
      <top style="thin">
        <color rgb="FF1F1F1F"/>
      </top>
      <bottom style="thin">
        <color rgb="FF1F1F1F"/>
      </bottom>
      <diagonal/>
    </border>
    <border>
      <left style="thin">
        <color rgb="FFBFBFBF"/>
      </left>
      <right style="thin">
        <color rgb="FFD9D9D9"/>
      </right>
      <top style="thin">
        <color rgb="FFBFBFBF"/>
      </top>
      <bottom style="thin">
        <color rgb="FFD9D9D9"/>
      </bottom>
      <diagonal/>
    </border>
    <border>
      <left style="thin">
        <color rgb="FFD9D9D9"/>
      </left>
      <right style="thin">
        <color rgb="FFD9D9D9"/>
      </right>
      <top style="thin">
        <color rgb="FFBFBFBF"/>
      </top>
      <bottom style="thin">
        <color rgb="FFD9D9D9"/>
      </bottom>
      <diagonal/>
    </border>
    <border>
      <left style="thin">
        <color rgb="FFD9D9D9"/>
      </left>
      <right style="thin">
        <color rgb="FFBFBFBF"/>
      </right>
      <top style="thin">
        <color rgb="FFBFBFBF"/>
      </top>
      <bottom style="thin">
        <color rgb="FFD9D9D9"/>
      </bottom>
      <diagonal/>
    </border>
    <border>
      <left style="thin">
        <color rgb="FFBFBFBF"/>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BFBFBF"/>
      </right>
      <top style="thin">
        <color rgb="FFD9D9D9"/>
      </top>
      <bottom style="thin">
        <color rgb="FFD9D9D9"/>
      </bottom>
      <diagonal/>
    </border>
    <border>
      <left style="thin">
        <color rgb="FFBFBFBF"/>
      </left>
      <right style="thin">
        <color rgb="FFD9D9D9"/>
      </right>
      <top style="thin">
        <color rgb="FFD9D9D9"/>
      </top>
      <bottom style="thin">
        <color rgb="FFBFBFBF"/>
      </bottom>
      <diagonal/>
    </border>
    <border>
      <left style="thin">
        <color rgb="FFD9D9D9"/>
      </left>
      <right style="thin">
        <color rgb="FFD9D9D9"/>
      </right>
      <top style="thin">
        <color rgb="FFD9D9D9"/>
      </top>
      <bottom style="thin">
        <color rgb="FFBFBFBF"/>
      </bottom>
      <diagonal/>
    </border>
    <border>
      <left style="thin">
        <color rgb="FFD9D9D9"/>
      </left>
      <right style="thin">
        <color rgb="FFBFBFBF"/>
      </right>
      <top style="thin">
        <color rgb="FFD9D9D9"/>
      </top>
      <bottom style="thin">
        <color rgb="FFBFBFBF"/>
      </bottom>
      <diagonal/>
    </border>
    <border>
      <left style="thin">
        <color rgb="FF548235"/>
      </left>
      <right style="thin">
        <color rgb="FFBFBFBF"/>
      </right>
      <top style="double">
        <color rgb="FF548235"/>
      </top>
      <bottom style="double">
        <color rgb="FF548235"/>
      </bottom>
      <diagonal/>
    </border>
    <border>
      <left style="thin">
        <color rgb="FFBFBFBF"/>
      </left>
      <right style="thin">
        <color rgb="FFBFBFBF"/>
      </right>
      <top style="double">
        <color rgb="FF548235"/>
      </top>
      <bottom style="double">
        <color rgb="FF548235"/>
      </bottom>
      <diagonal/>
    </border>
    <border>
      <left style="thin">
        <color rgb="FFBFBFBF"/>
      </left>
      <right style="thin">
        <color rgb="FF548235"/>
      </right>
      <top style="double">
        <color rgb="FF548235"/>
      </top>
      <bottom style="double">
        <color rgb="FF548235"/>
      </bottom>
      <diagonal/>
    </border>
    <border>
      <left style="thin">
        <color rgb="FF4472C4"/>
      </left>
      <right style="thin">
        <color rgb="FF4472C4"/>
      </right>
      <top style="thin">
        <color rgb="FF4472C4"/>
      </top>
      <bottom style="thin">
        <color rgb="FF4472C4"/>
      </bottom>
      <diagonal/>
    </border>
    <border>
      <left/>
      <right/>
      <top style="thin">
        <color rgb="FF4472C4"/>
      </top>
      <bottom/>
      <diagonal/>
    </border>
    <border>
      <left/>
      <right style="thin">
        <color rgb="FF4472C4"/>
      </right>
      <top style="thin">
        <color rgb="FF4472C4"/>
      </top>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style="thin">
        <color rgb="FF7F7F7F"/>
      </bottom>
      <diagonal/>
    </border>
    <border>
      <left/>
      <right style="thin">
        <color rgb="FFBFBFBF"/>
      </right>
      <top style="thin">
        <color rgb="FFBFBFBF"/>
      </top>
      <bottom style="thin">
        <color rgb="FF7F7F7F"/>
      </bottom>
      <diagonal/>
    </border>
    <border>
      <left/>
      <right/>
      <top style="double">
        <color rgb="FF548235"/>
      </top>
      <bottom/>
      <diagonal/>
    </border>
    <border>
      <left/>
      <right style="thin">
        <color rgb="FFBFBFBF"/>
      </right>
      <top style="double">
        <color rgb="FF548235"/>
      </top>
      <bottom/>
      <diagonal/>
    </border>
    <border>
      <left/>
      <right/>
      <top style="double">
        <color rgb="FF548235"/>
      </top>
      <bottom style="double">
        <color rgb="FF548235"/>
      </bottom>
      <diagonal/>
    </border>
    <border>
      <left/>
      <right style="thin">
        <color rgb="FFBFBFBF"/>
      </right>
      <top style="double">
        <color rgb="FF548235"/>
      </top>
      <bottom style="double">
        <color rgb="FF548235"/>
      </bottom>
      <diagonal/>
    </border>
    <border>
      <left/>
      <right/>
      <top style="thin">
        <color rgb="FF7F7F7F"/>
      </top>
      <bottom/>
      <diagonal/>
    </border>
    <border>
      <left/>
      <right style="thin">
        <color rgb="FFBFBFBF"/>
      </right>
      <top style="thin">
        <color rgb="FF7F7F7F"/>
      </top>
      <bottom/>
      <diagonal/>
    </border>
    <border>
      <left/>
      <right/>
      <top style="thin">
        <color rgb="FF7F7F7F"/>
      </top>
      <bottom style="thin">
        <color rgb="FFBFBFBF"/>
      </bottom>
      <diagonal/>
    </border>
    <border>
      <left/>
      <right style="thin">
        <color rgb="FFBFBFBF"/>
      </right>
      <top style="thin">
        <color rgb="FF7F7F7F"/>
      </top>
      <bottom style="thin">
        <color rgb="FFBFBFBF"/>
      </bottom>
      <diagonal/>
    </border>
    <border>
      <left/>
      <right/>
      <top style="thin">
        <color rgb="FFD9D9D9"/>
      </top>
      <bottom/>
      <diagonal/>
    </border>
    <border>
      <left/>
      <right style="thin">
        <color rgb="FFD9D9D9"/>
      </right>
      <top style="thin">
        <color rgb="FFD9D9D9"/>
      </top>
      <bottom/>
      <diagonal/>
    </border>
    <border>
      <left/>
      <right style="thin">
        <color rgb="FFD9D9D9"/>
      </right>
      <top style="thin">
        <color rgb="FFD9D9D9"/>
      </top>
      <bottom style="thin">
        <color rgb="FFBFBFBF"/>
      </bottom>
      <diagonal/>
    </border>
    <border>
      <left/>
      <right/>
      <top style="thin">
        <color rgb="FFD9D9D9"/>
      </top>
      <bottom style="thin">
        <color rgb="FFBFBFBF"/>
      </bottom>
      <diagonal/>
    </border>
    <border>
      <left/>
      <right style="thin">
        <color rgb="FFD9D9D9"/>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BFBFBF"/>
      </top>
      <bottom/>
      <diagonal/>
    </border>
    <border>
      <left/>
      <right style="thin">
        <color rgb="FFD9D9D9"/>
      </right>
      <top style="thin">
        <color rgb="FFBFBFBF"/>
      </top>
      <bottom style="thin">
        <color rgb="FFD9D9D9"/>
      </bottom>
      <diagonal/>
    </border>
    <border>
      <left/>
      <right/>
      <top style="thin">
        <color rgb="FFBFBFBF"/>
      </top>
      <bottom style="thin">
        <color rgb="FFD9D9D9"/>
      </bottom>
      <diagonal/>
    </border>
  </borders>
  <cellStyleXfs count="1">
    <xf numFmtId="0" fontId="0" fillId="0" borderId="0"/>
  </cellStyleXfs>
  <cellXfs count="83">
    <xf numFmtId="0" fontId="0" fillId="0" borderId="0" pivotButton="0" quotePrefix="0" xfId="0"/>
    <xf numFmtId="0" fontId="1" fillId="0" borderId="0" applyAlignment="1" pivotButton="0" quotePrefix="0" xfId="0">
      <alignment vertical="center" wrapText="1"/>
    </xf>
    <xf numFmtId="0" fontId="1" fillId="0" borderId="8" applyAlignment="1" pivotButton="0" quotePrefix="0" xfId="0">
      <alignment vertical="center" wrapText="1"/>
    </xf>
    <xf numFmtId="0" fontId="1" fillId="0" borderId="9" applyAlignment="1" pivotButton="0" quotePrefix="0" xfId="0">
      <alignment vertical="center" wrapText="1"/>
    </xf>
    <xf numFmtId="0" fontId="1" fillId="0" borderId="11" applyAlignment="1" pivotButton="0" quotePrefix="0" xfId="0">
      <alignment vertical="center" wrapText="1"/>
    </xf>
    <xf numFmtId="0" fontId="1" fillId="0" borderId="12" applyAlignment="1" pivotButton="0" quotePrefix="0" xfId="0">
      <alignment vertical="center" wrapText="1"/>
    </xf>
    <xf numFmtId="0" fontId="6" fillId="4" borderId="13" applyAlignment="1" pivotButton="0" quotePrefix="0" xfId="0">
      <alignment horizontal="center" vertical="center" wrapText="1"/>
    </xf>
    <xf numFmtId="0" fontId="6" fillId="4" borderId="14" applyAlignment="1" pivotButton="0" quotePrefix="0" xfId="0">
      <alignment horizontal="center" vertical="center" wrapText="1"/>
    </xf>
    <xf numFmtId="0" fontId="6" fillId="4" borderId="15" applyAlignment="1" pivotButton="0" quotePrefix="0" xfId="0">
      <alignment horizontal="center" vertical="center" wrapText="1"/>
    </xf>
    <xf numFmtId="0" fontId="8" fillId="6" borderId="27" applyAlignment="1" pivotButton="0" quotePrefix="0" xfId="0">
      <alignment vertical="center" wrapText="1"/>
    </xf>
    <xf numFmtId="0" fontId="1" fillId="7" borderId="6" applyAlignment="1" pivotButton="0" quotePrefix="0" xfId="0">
      <alignment vertical="center" wrapText="1"/>
    </xf>
    <xf numFmtId="0" fontId="1" fillId="7" borderId="9" applyAlignment="1" pivotButton="0" quotePrefix="0" xfId="0">
      <alignment vertical="center" wrapText="1"/>
    </xf>
    <xf numFmtId="0" fontId="1" fillId="7" borderId="12" applyAlignment="1" pivotButton="0" quotePrefix="0" xfId="0">
      <alignment vertical="center" wrapText="1"/>
    </xf>
    <xf numFmtId="0" fontId="1" fillId="0" borderId="7" applyAlignment="1" pivotButton="0" quotePrefix="0" xfId="0">
      <alignment horizontal="center" vertical="center" wrapText="1"/>
    </xf>
    <xf numFmtId="0" fontId="1" fillId="0" borderId="10" applyAlignment="1" pivotButton="0" quotePrefix="0" xfId="0">
      <alignment horizontal="center" vertical="center" wrapText="1"/>
    </xf>
    <xf numFmtId="0" fontId="1" fillId="0" borderId="0" applyAlignment="1" pivotButton="0" quotePrefix="0" xfId="0">
      <alignment horizontal="center" vertical="center" wrapText="1"/>
    </xf>
    <xf numFmtId="0" fontId="6" fillId="4" borderId="14" applyAlignment="1" pivotButton="0" quotePrefix="0" xfId="0">
      <alignment horizontal="right" vertical="center" wrapText="1"/>
    </xf>
    <xf numFmtId="0" fontId="1" fillId="0" borderId="8" applyAlignment="1" pivotButton="0" quotePrefix="0" xfId="0">
      <alignment horizontal="right" vertical="center" wrapText="1"/>
    </xf>
    <xf numFmtId="164" fontId="1" fillId="0" borderId="8" applyAlignment="1" pivotButton="0" quotePrefix="0" xfId="0">
      <alignment horizontal="center" vertical="center" wrapText="1"/>
    </xf>
    <xf numFmtId="164" fontId="1" fillId="0" borderId="11" applyAlignment="1" pivotButton="0" quotePrefix="0" xfId="0">
      <alignment horizontal="center" vertical="center" wrapText="1"/>
    </xf>
    <xf numFmtId="165" fontId="1" fillId="0" borderId="8" applyAlignment="1" pivotButton="0" quotePrefix="0" xfId="0">
      <alignment horizontal="center" vertical="center" wrapText="1"/>
    </xf>
    <xf numFmtId="165" fontId="1" fillId="0" borderId="11" applyAlignment="1" pivotButton="0" quotePrefix="0" xfId="0">
      <alignment horizontal="center" vertical="center" wrapText="1"/>
    </xf>
    <xf numFmtId="3" fontId="1" fillId="0" borderId="8" applyAlignment="1" pivotButton="0" quotePrefix="0" xfId="0">
      <alignment horizontal="right" vertical="center" wrapText="1"/>
    </xf>
    <xf numFmtId="3" fontId="8" fillId="6" borderId="26" applyAlignment="1" pivotButton="0" quotePrefix="0" xfId="0">
      <alignment horizontal="right" vertical="center" wrapText="1"/>
    </xf>
    <xf numFmtId="0" fontId="2" fillId="2" borderId="0" applyAlignment="1" pivotButton="0" quotePrefix="0" xfId="0">
      <alignment horizontal="center" vertical="center" wrapText="1"/>
    </xf>
    <xf numFmtId="0" fontId="3" fillId="3" borderId="0" applyAlignment="1" pivotButton="0" quotePrefix="0" xfId="0">
      <alignment horizontal="center" vertical="center" wrapText="1"/>
    </xf>
    <xf numFmtId="0" fontId="4" fillId="0" borderId="0" applyAlignment="1" pivotButton="0" quotePrefix="0" xfId="0">
      <alignment horizontal="right" vertical="center" wrapText="1"/>
    </xf>
    <xf numFmtId="0" fontId="5" fillId="3" borderId="1" applyAlignment="1" pivotButton="0" quotePrefix="0" xfId="0">
      <alignment horizontal="left" vertical="center" wrapText="1"/>
    </xf>
    <xf numFmtId="0" fontId="5" fillId="3" borderId="2" applyAlignment="1" pivotButton="0" quotePrefix="0" xfId="0">
      <alignment horizontal="left" vertical="center" wrapText="1"/>
    </xf>
    <xf numFmtId="0" fontId="5" fillId="3" borderId="3" applyAlignment="1" pivotButton="0" quotePrefix="0" xfId="0">
      <alignment horizontal="left" vertical="center" wrapText="1"/>
    </xf>
    <xf numFmtId="0" fontId="1" fillId="0" borderId="16" applyAlignment="1" pivotButton="0" quotePrefix="0" xfId="0">
      <alignment vertical="center" wrapText="1"/>
    </xf>
    <xf numFmtId="0" fontId="1" fillId="0" borderId="17" applyAlignment="1" pivotButton="0" quotePrefix="0" xfId="0">
      <alignment vertical="center" wrapText="1"/>
    </xf>
    <xf numFmtId="3" fontId="1" fillId="5" borderId="17" applyAlignment="1" pivotButton="0" quotePrefix="0" xfId="0">
      <alignment horizontal="right" vertical="center" wrapText="1"/>
    </xf>
    <xf numFmtId="0" fontId="1" fillId="0" borderId="18" applyAlignment="1" pivotButton="0" quotePrefix="0" xfId="0">
      <alignment vertical="center" wrapText="1"/>
    </xf>
    <xf numFmtId="0" fontId="1" fillId="0" borderId="19" applyAlignment="1" pivotButton="0" quotePrefix="0" xfId="0">
      <alignment vertical="center" wrapText="1"/>
    </xf>
    <xf numFmtId="0" fontId="1" fillId="0" borderId="20" applyAlignment="1" pivotButton="0" quotePrefix="0" xfId="0">
      <alignment vertical="center" wrapText="1"/>
    </xf>
    <xf numFmtId="3" fontId="1" fillId="5" borderId="20" applyAlignment="1" pivotButton="0" quotePrefix="0" xfId="0">
      <alignment horizontal="right" vertical="center" wrapText="1"/>
    </xf>
    <xf numFmtId="0" fontId="1" fillId="0" borderId="21" applyAlignment="1" pivotButton="0" quotePrefix="0" xfId="0">
      <alignment vertical="center" wrapText="1"/>
    </xf>
    <xf numFmtId="10" fontId="1" fillId="5" borderId="20" applyAlignment="1" pivotButton="0" quotePrefix="0" xfId="0">
      <alignment horizontal="right" vertical="center" wrapText="1"/>
    </xf>
    <xf numFmtId="3" fontId="1" fillId="6" borderId="20" applyAlignment="1" pivotButton="0" quotePrefix="0" xfId="0">
      <alignment horizontal="right" vertical="center" wrapText="1"/>
    </xf>
    <xf numFmtId="0" fontId="7" fillId="5" borderId="22" applyAlignment="1" pivotButton="0" quotePrefix="0" xfId="0">
      <alignment vertical="center" wrapText="1"/>
    </xf>
    <xf numFmtId="0" fontId="7" fillId="5" borderId="23" applyAlignment="1" pivotButton="0" quotePrefix="0" xfId="0">
      <alignment vertical="center" wrapText="1"/>
    </xf>
    <xf numFmtId="3" fontId="7" fillId="5" borderId="23" applyAlignment="1" pivotButton="0" quotePrefix="0" xfId="0">
      <alignment horizontal="right" vertical="center" wrapText="1"/>
    </xf>
    <xf numFmtId="0" fontId="7" fillId="5" borderId="24" applyAlignment="1" pivotButton="0" quotePrefix="0" xfId="0">
      <alignment vertical="center" wrapText="1"/>
    </xf>
    <xf numFmtId="0" fontId="5" fillId="3" borderId="1" applyAlignment="1" pivotButton="0" quotePrefix="0" xfId="0">
      <alignment horizontal="center" vertical="center" wrapText="1"/>
    </xf>
    <xf numFmtId="0" fontId="8" fillId="6" borderId="25" applyAlignment="1" pivotButton="0" quotePrefix="0" xfId="0">
      <alignment vertical="center" wrapText="1"/>
    </xf>
    <xf numFmtId="0" fontId="8" fillId="6" borderId="26" applyAlignment="1" pivotButton="0" quotePrefix="0" xfId="0">
      <alignment vertical="center" wrapText="1"/>
    </xf>
    <xf numFmtId="0" fontId="8" fillId="6" borderId="26" applyAlignment="1" pivotButton="0" quotePrefix="0" xfId="0">
      <alignment horizontal="right" vertical="center" wrapText="1"/>
    </xf>
    <xf numFmtId="0" fontId="5" fillId="7" borderId="4" applyAlignment="1" pivotButton="0" quotePrefix="0" xfId="0">
      <alignment vertical="center" wrapText="1"/>
    </xf>
    <xf numFmtId="0" fontId="5" fillId="7" borderId="5" applyAlignment="1" pivotButton="0" quotePrefix="0" xfId="0">
      <alignment vertical="center" wrapText="1"/>
    </xf>
    <xf numFmtId="3" fontId="5" fillId="7" borderId="5" applyAlignment="1" pivotButton="0" quotePrefix="0" xfId="0">
      <alignment vertical="center" wrapText="1"/>
    </xf>
    <xf numFmtId="0" fontId="5" fillId="7" borderId="7" applyAlignment="1" pivotButton="0" quotePrefix="0" xfId="0">
      <alignment vertical="center" wrapText="1"/>
    </xf>
    <xf numFmtId="0" fontId="5" fillId="7" borderId="8" applyAlignment="1" pivotButton="0" quotePrefix="0" xfId="0">
      <alignment vertical="center" wrapText="1"/>
    </xf>
    <xf numFmtId="3" fontId="5" fillId="7" borderId="8" applyAlignment="1" pivotButton="0" quotePrefix="0" xfId="0">
      <alignment vertical="center" wrapText="1"/>
    </xf>
    <xf numFmtId="166" fontId="5" fillId="7" borderId="8" applyAlignment="1" pivotButton="0" quotePrefix="0" xfId="0">
      <alignment vertical="center" wrapText="1"/>
    </xf>
    <xf numFmtId="0" fontId="5" fillId="7" borderId="10" applyAlignment="1" pivotButton="0" quotePrefix="0" xfId="0">
      <alignment vertical="center" wrapText="1"/>
    </xf>
    <xf numFmtId="0" fontId="5" fillId="7" borderId="11" applyAlignment="1" pivotButton="0" quotePrefix="0" xfId="0">
      <alignment vertical="center" wrapText="1"/>
    </xf>
    <xf numFmtId="3" fontId="5" fillId="7" borderId="11" applyAlignment="1" pivotButton="0" quotePrefix="0" xfId="0">
      <alignment vertical="center" wrapText="1"/>
    </xf>
    <xf numFmtId="0" fontId="4" fillId="8" borderId="0" applyAlignment="1" pivotButton="0" quotePrefix="0" xfId="0">
      <alignment vertical="top" wrapText="1"/>
    </xf>
    <xf numFmtId="0" fontId="5" fillId="3" borderId="28" applyAlignment="1" pivotButton="0" quotePrefix="0" xfId="0">
      <alignment horizontal="left" vertical="center" wrapText="1"/>
    </xf>
    <xf numFmtId="0" fontId="0" fillId="0" borderId="2" pivotButton="0" quotePrefix="0" xfId="0"/>
    <xf numFmtId="0" fontId="0" fillId="0" borderId="3" pivotButton="0" quotePrefix="0" xfId="0"/>
    <xf numFmtId="0" fontId="0" fillId="0" borderId="52" pivotButton="0" quotePrefix="0" xfId="0"/>
    <xf numFmtId="0" fontId="0" fillId="0" borderId="53" pivotButton="0" quotePrefix="0" xfId="0"/>
    <xf numFmtId="0" fontId="0" fillId="0" borderId="49" pivotButton="0" quotePrefix="0" xfId="0"/>
    <xf numFmtId="0" fontId="0" fillId="0" borderId="50" pivotButton="0" quotePrefix="0" xfId="0"/>
    <xf numFmtId="0" fontId="0" fillId="0" borderId="47" pivotButton="0" quotePrefix="0" xfId="0"/>
    <xf numFmtId="0" fontId="0" fillId="0" borderId="48" pivotButton="0" quotePrefix="0" xfId="0"/>
    <xf numFmtId="0" fontId="5" fillId="3" borderId="28" applyAlignment="1" pivotButton="0" quotePrefix="0" xfId="0">
      <alignment horizontal="center" vertical="center" wrapText="1"/>
    </xf>
    <xf numFmtId="0" fontId="0" fillId="0" borderId="39" pivotButton="0" quotePrefix="0" xfId="0"/>
    <xf numFmtId="0" fontId="0" fillId="0" borderId="40" pivotButton="0" quotePrefix="0" xfId="0"/>
    <xf numFmtId="0" fontId="0" fillId="0" borderId="43" pivotButton="0" quotePrefix="0" xfId="0"/>
    <xf numFmtId="0" fontId="0" fillId="0" borderId="44" pivotButton="0" quotePrefix="0" xfId="0"/>
    <xf numFmtId="0" fontId="0" fillId="0" borderId="33" pivotButton="0" quotePrefix="0" xfId="0"/>
    <xf numFmtId="0" fontId="0" fillId="0" borderId="34" pivotButton="0" quotePrefix="0" xfId="0"/>
    <xf numFmtId="0" fontId="0" fillId="0" borderId="35" pivotButton="0" quotePrefix="0" xfId="0"/>
    <xf numFmtId="0" fontId="0" fillId="0" borderId="36" pivotButton="0" quotePrefix="0" xfId="0"/>
    <xf numFmtId="0" fontId="10" fillId="0" borderId="0" pivotButton="0" quotePrefix="0" xfId="0"/>
    <xf numFmtId="0" fontId="11" fillId="0" borderId="0" pivotButton="0" quotePrefix="0" xfId="0"/>
    <xf numFmtId="0" fontId="11" fillId="0" borderId="0" applyAlignment="1" pivotButton="0" quotePrefix="0" xfId="0">
      <alignment vertical="top" wrapText="1"/>
    </xf>
    <xf numFmtId="3" fontId="11" fillId="5" borderId="0" pivotButton="0" quotePrefix="0" xfId="0"/>
    <xf numFmtId="167" fontId="11" fillId="0" borderId="0" pivotButton="0" quotePrefix="0" xfId="0"/>
    <xf numFmtId="3" fontId="11"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7"/>
  <sheetViews>
    <sheetView showGridLines="0" tabSelected="1" topLeftCell="C20" zoomScale="55" zoomScaleNormal="55" workbookViewId="0">
      <selection activeCell="I26" sqref="I26"/>
    </sheetView>
  </sheetViews>
  <sheetFormatPr baseColWidth="8" defaultRowHeight="13.8"/>
  <cols>
    <col width="7" customWidth="1" min="1" max="1"/>
    <col width="38" customWidth="1" min="2" max="2"/>
    <col width="32" customWidth="1" min="3" max="3"/>
    <col width="17" customWidth="1" min="4" max="5"/>
    <col width="20" customWidth="1" min="6" max="6"/>
    <col width="16" customWidth="1" min="7" max="7"/>
    <col width="20" customWidth="1" min="8" max="8"/>
    <col width="45" customWidth="1" min="9" max="9"/>
  </cols>
  <sheetData>
    <row r="1" ht="30" customHeight="1">
      <c r="A1" s="24" t="inlineStr">
        <is>
          <t>BẢNG TÍNH DỰ TOÁN KINH PHÍ CHUẨN BỊ ĐẦU TƯ</t>
        </is>
      </c>
    </row>
    <row r="2" ht="58.05" customHeight="1">
      <c r="A2" s="25" t="inlineStr">
        <is>
          <t>Dự án: Đầu tư, cải tạo các công trình phục vụ người học, nhà giáo và mua sắm bổ sung thiết bị đáp ứng mục tiêu xây dựng Trường Cao đẳng Kon Tum trở thành trường cao đẳng chất lượng cao giai đoạn 2026 - 2030 (tên theo Nghị quyết số 56/NQ-HĐND ngày 28/8/2026 và Quyết định số 805/QĐ-UBND ngày 11/9/2026)</t>
        </is>
      </c>
    </row>
    <row r="3">
      <c r="A3" s="26" t="inlineStr">
        <is>
          <t>Đơn vị tính: đồng; tỷ lệ tính theo %</t>
        </is>
      </c>
    </row>
    <row r="4">
      <c r="A4" s="1" t="n"/>
      <c r="B4" s="1" t="n"/>
      <c r="C4" s="1" t="n"/>
      <c r="D4" s="1" t="n"/>
      <c r="E4" s="1" t="n"/>
      <c r="F4" s="1" t="n"/>
      <c r="G4" s="1" t="n"/>
      <c r="H4" s="1" t="n"/>
      <c r="I4" s="1" t="n"/>
    </row>
    <row r="5" ht="24" customHeight="1">
      <c r="A5" s="59" t="inlineStr">
        <is>
          <t>I. DỮ LIỆU ĐẦU VÀO VÀ GIẢ ĐỊNH TÍNH TOÁN</t>
        </is>
      </c>
      <c r="B5" s="60" t="n"/>
      <c r="C5" s="60" t="n"/>
      <c r="D5" s="60" t="n"/>
      <c r="E5" s="60" t="n"/>
      <c r="F5" s="60" t="n"/>
      <c r="G5" s="60" t="n"/>
      <c r="H5" s="60" t="n"/>
      <c r="I5" s="61" t="n"/>
    </row>
    <row r="6" ht="31.95" customHeight="1">
      <c r="A6" s="30" t="inlineStr">
        <is>
          <t>Tổng mức đầu tư</t>
        </is>
      </c>
      <c r="B6" s="62" t="n"/>
      <c r="C6" s="32" t="n">
        <v>24894000000</v>
      </c>
      <c r="D6" s="62" t="n"/>
      <c r="E6" s="31" t="inlineStr">
        <is>
          <t>Theo Báo cáo số 326/BC-CĐKT ngày 14/9/2026 (lần 2): 24.894 triệu đồng</t>
        </is>
      </c>
      <c r="F6" s="63" t="n"/>
      <c r="G6" s="63" t="n"/>
      <c r="H6" s="63" t="n"/>
      <c r="I6" s="62" t="n"/>
    </row>
    <row r="7" ht="31.95" customHeight="1">
      <c r="A7" s="34" t="inlineStr">
        <is>
          <t>Chi phí đầu tư xây dựng và mua sắm thiết bị (sau VAT)</t>
        </is>
      </c>
      <c r="B7" s="64" t="n"/>
      <c r="C7" s="36">
        <f>ROUND(C6*'CƠ SỞ QUY ĐỔI'!C5,0)</f>
        <v/>
      </c>
      <c r="D7" s="64" t="n"/>
      <c r="E7" s="35" t="inlineStr">
        <is>
          <t>Giả định giữ tỷ trọng XD + thiết bị / TMĐT của phương án gốc (sheet CƠ SỞ QUY ĐỔI); thay bằng số khái toán/dự toán thật</t>
        </is>
      </c>
      <c r="F7" s="65" t="n"/>
      <c r="G7" s="65" t="n"/>
      <c r="H7" s="65" t="n"/>
      <c r="I7" s="64" t="n"/>
    </row>
    <row r="8" ht="31.95" customHeight="1">
      <c r="A8" s="34" t="inlineStr">
        <is>
          <t>Thuế GTGT áp dụng cho dịch vụ tư vấn</t>
        </is>
      </c>
      <c r="B8" s="64" t="n"/>
      <c r="C8" s="38" t="n">
        <v>0.1</v>
      </c>
      <c r="D8" s="64" t="n"/>
      <c r="E8" s="35" t="inlineStr">
        <is>
          <t>Giả định dùng để quy đổi trước/sau VAT</t>
        </is>
      </c>
      <c r="F8" s="65" t="n"/>
      <c r="G8" s="65" t="n"/>
      <c r="H8" s="65" t="n"/>
      <c r="I8" s="64" t="n"/>
    </row>
    <row r="9" ht="31.95" customHeight="1">
      <c r="A9" s="34" t="inlineStr">
        <is>
          <t>Chi phí xây dựng + thiết bị trước VAT</t>
        </is>
      </c>
      <c r="B9" s="64" t="n"/>
      <c r="C9" s="39">
        <f>ROUND(C7/(1+C8),0)</f>
        <v/>
      </c>
      <c r="D9" s="64" t="n"/>
      <c r="E9" s="35" t="inlineStr">
        <is>
          <t>Tự động tính từ dòng trên</t>
        </is>
      </c>
      <c r="F9" s="65" t="n"/>
      <c r="G9" s="65" t="n"/>
      <c r="H9" s="65" t="n"/>
      <c r="I9" s="64" t="n"/>
    </row>
    <row r="10" ht="31.95" customHeight="1">
      <c r="A10" s="34" t="inlineStr">
        <is>
          <t>Phần còn lại của tổng mức đầu tư trước khi tính CBDT</t>
        </is>
      </c>
      <c r="B10" s="64" t="n"/>
      <c r="C10" s="39">
        <f>C6-C7</f>
        <v/>
      </c>
      <c r="D10" s="64" t="n"/>
      <c r="E10" s="35" t="inlineStr">
        <is>
          <t>Tổng mức đầu tư trừ chi phí XD + thiết bị</t>
        </is>
      </c>
      <c r="F10" s="65" t="n"/>
      <c r="G10" s="65" t="n"/>
      <c r="H10" s="65" t="n"/>
      <c r="I10" s="64" t="n"/>
    </row>
    <row r="11" ht="31.95" customHeight="1">
      <c r="A11" s="34" t="inlineStr">
        <is>
          <t>Hệ số dự án cải tạo, sửa chữa có kết nối công trình hiện có</t>
        </is>
      </c>
      <c r="B11" s="64" t="n"/>
      <c r="C11" s="38" t="n">
        <v>1.15</v>
      </c>
      <c r="D11" s="64" t="n"/>
      <c r="E11" s="35" t="inlineStr">
        <is>
          <t>Điểm a khoản 2.7 Phụ lục VIII TT 38/2026/TT-BXD; cần xác nhận phạm vi kỹ thuật</t>
        </is>
      </c>
      <c r="F11" s="65" t="n"/>
      <c r="G11" s="65" t="n"/>
      <c r="H11" s="65" t="n"/>
      <c r="I11" s="64" t="n"/>
    </row>
    <row r="12" ht="31.95" customHeight="1">
      <c r="A12" s="34" t="inlineStr">
        <is>
          <t>Mức giảm phí thẩm định dự án trong năm 2026</t>
        </is>
      </c>
      <c r="B12" s="64" t="n"/>
      <c r="C12" s="38" t="n">
        <v>0.5</v>
      </c>
      <c r="D12" s="64" t="n"/>
      <c r="E12" s="35" t="inlineStr">
        <is>
          <t>TT 64/2025/TT-BTC: thu bằng 50% đến hết 31/12/2026 (hiện không dùng vì dự án chỉ lập báo cáo kinh tế - kỹ thuật)</t>
        </is>
      </c>
      <c r="F12" s="65" t="n"/>
      <c r="G12" s="65" t="n"/>
      <c r="H12" s="65" t="n"/>
      <c r="I12" s="64" t="n"/>
    </row>
    <row r="13" ht="54" customHeight="1">
      <c r="A13" s="40" t="inlineStr">
        <is>
          <t>Chi phí khảo sát xây dựng (sau VAT)</t>
        </is>
      </c>
      <c r="B13" s="66" t="n"/>
      <c r="C13" s="42">
        <f>'CƠ SỞ QUY ĐỔI'!C9</f>
        <v/>
      </c>
      <c r="D13" s="66" t="n"/>
      <c r="E13" s="41" t="inlineStr">
        <is>
          <t>TAM SUẤT theo quy mô: 900.000.000 × TMĐT mới / TMĐT gốc. Thay bằng dự toán khảo sát thật sau khi lập nhiệm vụ, phương án kỹ thuật</t>
        </is>
      </c>
      <c r="F13" s="67" t="n"/>
      <c r="G13" s="67" t="n"/>
      <c r="H13" s="67" t="n"/>
      <c r="I13" s="66" t="n"/>
    </row>
    <row r="14">
      <c r="A14" s="1" t="n"/>
      <c r="B14" s="1" t="n"/>
      <c r="C14" s="1" t="n"/>
      <c r="D14" s="1" t="n"/>
      <c r="E14" s="1" t="n"/>
      <c r="F14" s="1" t="n"/>
      <c r="G14" s="1" t="n"/>
      <c r="H14" s="1" t="n"/>
      <c r="I14" s="1" t="n"/>
    </row>
    <row r="15" ht="24" customHeight="1">
      <c r="A15" s="59" t="inlineStr">
        <is>
          <t>II. NỘI SUY ĐỊNH MỨC TỶ LỆ</t>
        </is>
      </c>
      <c r="B15" s="60" t="n"/>
      <c r="C15" s="60" t="n"/>
      <c r="D15" s="60" t="n"/>
      <c r="E15" s="60" t="n"/>
      <c r="F15" s="60" t="n"/>
      <c r="G15" s="60" t="n"/>
      <c r="H15" s="60" t="n"/>
      <c r="I15" s="61" t="n"/>
    </row>
    <row r="16" ht="42" customHeight="1">
      <c r="A16" s="6" t="inlineStr">
        <is>
          <t>STT</t>
        </is>
      </c>
      <c r="B16" s="7" t="inlineStr">
        <is>
          <t>Khoản mục</t>
        </is>
      </c>
      <c r="C16" s="7" t="inlineStr">
        <is>
          <t>Cơ sở tính
(tỷ đồng)</t>
        </is>
      </c>
      <c r="D16" s="7" t="inlineStr">
        <is>
          <t>Cận dưới</t>
        </is>
      </c>
      <c r="E16" s="7" t="inlineStr">
        <is>
          <t>Cận trên</t>
        </is>
      </c>
      <c r="F16" s="7" t="inlineStr">
        <is>
          <t>Tỷ lệ cận dưới (%)</t>
        </is>
      </c>
      <c r="G16" s="7" t="inlineStr">
        <is>
          <t>Tỷ lệ cận trên (%)</t>
        </is>
      </c>
      <c r="H16" s="7" t="inlineStr">
        <is>
          <t>Tỷ lệ nội suy (%)</t>
        </is>
      </c>
      <c r="I16" s="8" t="inlineStr">
        <is>
          <t>Căn cứ</t>
        </is>
      </c>
    </row>
    <row r="17" ht="37.95" customHeight="1">
      <c r="A17" s="13" t="n">
        <v>1</v>
      </c>
      <c r="B17" s="2" t="inlineStr">
        <is>
          <t>Quản lý dự án – công trình dân dụng</t>
        </is>
      </c>
      <c r="C17" s="18">
        <f>C9/1000000000</f>
        <v/>
      </c>
      <c r="D17" s="18" t="n">
        <v>20</v>
      </c>
      <c r="E17" s="18" t="n">
        <v>50</v>
      </c>
      <c r="F17" s="20" t="n">
        <v>2.923</v>
      </c>
      <c r="G17" s="20" t="n">
        <v>2.61</v>
      </c>
      <c r="H17" s="20">
        <f>F17-(F17-G17)/(E17-D17)*(C17-D17)</f>
        <v/>
      </c>
      <c r="I17" s="3" t="inlineStr">
        <is>
          <t>Bảng 1.1 Phụ lục VIII TT 38/2026/TT-BXD</t>
        </is>
      </c>
    </row>
    <row r="18" ht="37.95" customHeight="1">
      <c r="A18" s="13" t="n">
        <v>2</v>
      </c>
      <c r="B18" s="2" t="inlineStr">
        <is>
          <t>Lập Báo cáo kinh tế - kỹ thuật – công trình dân dụng</t>
        </is>
      </c>
      <c r="C18" s="18">
        <f>C9/1000000000</f>
        <v/>
      </c>
      <c r="D18" s="18" t="n">
        <v>20</v>
      </c>
      <c r="E18" s="18" t="n">
        <v>40</v>
      </c>
      <c r="F18" s="20" t="n">
        <v>2.9</v>
      </c>
      <c r="G18" s="20" t="n">
        <v>2.4</v>
      </c>
      <c r="H18" s="20">
        <f>F18-(F18-G18)/(E18-D18)*(C18-D18)</f>
        <v/>
      </c>
      <c r="I18" s="3" t="inlineStr">
        <is>
          <t>Bảng 2.4 Phụ lục VIII TT 38/2026/TT-BXD (dự án TMĐT ≤ 40 tỷ; NĐ 217/2026 Điều 27 khoản 2 điểm b); hệ số cải tạo áp dụng tại bảng chi phí</t>
        </is>
      </c>
    </row>
    <row r="19" ht="37.95" customHeight="1">
      <c r="A19" s="13" t="n">
        <v>3</v>
      </c>
      <c r="B19" s="2" t="inlineStr">
        <is>
          <t>Thẩm tra Báo cáo kinh tế - kỹ thuật – công trình dân dụng</t>
        </is>
      </c>
      <c r="C19" s="18">
        <f>C9/1000000000</f>
        <v/>
      </c>
      <c r="D19" s="18" t="n">
        <v>20</v>
      </c>
      <c r="E19" s="18" t="n">
        <v>40</v>
      </c>
      <c r="F19" s="20" t="n">
        <v>0</v>
      </c>
      <c r="G19" s="20" t="n">
        <v>0</v>
      </c>
      <c r="H19" s="20">
        <f>F19-(F19-G19)/(E19-D19)*(C19-D19)</f>
        <v/>
      </c>
      <c r="I19" s="3" t="inlineStr">
        <is>
          <t>TT 38/2026 chỉ có định mức thẩm tra báo cáo nghiên cứu khả thi (Bảng 2.18); báo cáo kinh tế - kỹ thuật không có → 0</t>
        </is>
      </c>
    </row>
    <row r="20" ht="37.95" customHeight="1">
      <c r="A20" s="13" t="n">
        <v>4</v>
      </c>
      <c r="B20" s="2" t="inlineStr">
        <is>
          <t>Lập HSMT và đánh giá HSDT gói tư vấn quản lý dự án</t>
        </is>
      </c>
      <c r="C20" s="18">
        <f>F25/1000000000</f>
        <v/>
      </c>
      <c r="D20" s="18" t="n">
        <v>1</v>
      </c>
      <c r="E20" s="18" t="n">
        <v>3</v>
      </c>
      <c r="F20" s="20" t="n">
        <v>0.8159999999999999</v>
      </c>
      <c r="G20" s="20" t="n">
        <v>0.583</v>
      </c>
      <c r="H20" s="20">
        <f>IF(C20&lt;=D20,F20,F20-(F20-G20)/(E20-D20)*(C20-D20))</f>
        <v/>
      </c>
      <c r="I20" s="3" t="inlineStr">
        <is>
          <t>Bảng 2.21 Phụ lục VIII TT 38/2026/TT-BXD; chi phí tư vấn ≤ 1 tỷ áp 0,816%</t>
        </is>
      </c>
    </row>
    <row r="21" ht="37.95" customHeight="1">
      <c r="A21" s="14" t="n">
        <v>5</v>
      </c>
      <c r="B21" s="4" t="inlineStr">
        <is>
          <t>Phí thẩm định dự án đầu tư xây dựng (không phát sinh)</t>
        </is>
      </c>
      <c r="C21" s="19">
        <f>C6/1000000000</f>
        <v/>
      </c>
      <c r="D21" s="19" t="n"/>
      <c r="E21" s="19" t="n"/>
      <c r="F21" s="21" t="n"/>
      <c r="G21" s="21" t="n"/>
      <c r="H21" s="21" t="n">
        <v>0</v>
      </c>
      <c r="I21" s="5" t="inlineStr">
        <is>
          <t>Dự án chỉ lập báo cáo kinh tế - kỹ thuật không thẩm định tại cơ quan chuyên môn về xây dựng (Luật Xây dựng 135/2025) → không thu phí; xác nhận lại</t>
        </is>
      </c>
    </row>
    <row r="22">
      <c r="A22" s="15" t="n"/>
      <c r="B22" s="1" t="n"/>
      <c r="C22" s="1" t="n"/>
      <c r="D22" s="1" t="n"/>
      <c r="E22" s="1" t="n"/>
      <c r="F22" s="1" t="n"/>
      <c r="G22" s="1" t="n"/>
      <c r="H22" s="1" t="n"/>
      <c r="I22" s="1" t="n"/>
    </row>
    <row r="23" ht="24" customHeight="1">
      <c r="A23" s="68" t="inlineStr">
        <is>
          <t>III. DỰ TOÁN KINH PHÍ CHUẨN BỊ ĐẦU TƯ</t>
        </is>
      </c>
      <c r="B23" s="60" t="n"/>
      <c r="C23" s="60" t="n"/>
      <c r="D23" s="60" t="n"/>
      <c r="E23" s="60" t="n"/>
      <c r="F23" s="60" t="n"/>
      <c r="G23" s="60" t="n"/>
      <c r="H23" s="60" t="n"/>
      <c r="I23" s="61" t="n"/>
    </row>
    <row r="24" ht="48" customHeight="1">
      <c r="A24" s="6" t="inlineStr">
        <is>
          <t>STT</t>
        </is>
      </c>
      <c r="B24" s="7" t="inlineStr">
        <is>
          <t>Khoản mục chi phí</t>
        </is>
      </c>
      <c r="C24" s="7" t="inlineStr">
        <is>
          <t>Căn cứ / công thức</t>
        </is>
      </c>
      <c r="D24" s="16" t="inlineStr">
        <is>
          <t>Cơ sở tính</t>
        </is>
      </c>
      <c r="E24" s="16" t="inlineStr">
        <is>
          <t>Tỷ lệ / hệ số</t>
        </is>
      </c>
      <c r="F24" s="16" t="inlineStr">
        <is>
          <t>Trước VAT hoặc không chịu VAT</t>
        </is>
      </c>
      <c r="G24" s="16" t="inlineStr">
        <is>
          <t>Thuế GTGT</t>
        </is>
      </c>
      <c r="H24" s="16" t="inlineStr">
        <is>
          <t>Sau VAT</t>
        </is>
      </c>
      <c r="I24" s="8" t="inlineStr">
        <is>
          <t>Ghi chú</t>
        </is>
      </c>
    </row>
    <row r="25" ht="52.05" customHeight="1">
      <c r="A25" s="13" t="n">
        <v>1</v>
      </c>
      <c r="B25" s="2" t="inlineStr">
        <is>
          <t>Tư vấn quản lý dự án</t>
        </is>
      </c>
      <c r="C25" s="2" t="inlineStr">
        <is>
          <t>C9 × H17</t>
        </is>
      </c>
      <c r="D25" s="17" t="inlineStr">
        <is>
          <t>C9</t>
        </is>
      </c>
      <c r="E25" s="17" t="inlineStr">
        <is>
          <t>H17</t>
        </is>
      </c>
      <c r="F25" s="22">
        <f>ROUND($C$9*$H$17/100,0)</f>
        <v/>
      </c>
      <c r="G25" s="22">
        <f>ROUND(F25*$C$8,0)</f>
        <v/>
      </c>
      <c r="H25" s="22">
        <f>F25+G25</f>
        <v/>
      </c>
      <c r="I25" s="3" t="inlineStr">
        <is>
          <t>Tính theo định mức; không lấy số TK1/TK2</t>
        </is>
      </c>
    </row>
    <row r="26" ht="52.05" customHeight="1">
      <c r="A26" s="13" t="n">
        <v>2</v>
      </c>
      <c r="B26" s="2" t="inlineStr">
        <is>
          <t>Khảo sát xây dựng phục vụ lập Báo cáo kinh tế - kỹ thuật</t>
        </is>
      </c>
      <c r="C26" s="2" t="inlineStr">
        <is>
          <t>Tam suất theo quy mô (ô C13)</t>
        </is>
      </c>
      <c r="D26" s="17" t="inlineStr">
        <is>
          <t>C13</t>
        </is>
      </c>
      <c r="E26" s="17" t="inlineStr">
        <is>
          <t>—</t>
        </is>
      </c>
      <c r="F26" s="22">
        <f>ROUND($C$13/(1+$C$8),0)</f>
        <v/>
      </c>
      <c r="G26" s="22">
        <f>$C$13-F26</f>
        <v/>
      </c>
      <c r="H26" s="22">
        <f>F26+G26</f>
        <v/>
      </c>
      <c r="I26" s="3" t="inlineStr">
        <is>
          <t>Giảm theo tam suất so với quy mô gốc; thay bằng dự toán khảo sát thật</t>
        </is>
      </c>
    </row>
    <row r="27" ht="52.05" customHeight="1">
      <c r="A27" s="13" t="n">
        <v>3</v>
      </c>
      <c r="B27" s="2" t="inlineStr">
        <is>
          <t>Lập Báo cáo kinh tế - kỹ thuật</t>
        </is>
      </c>
      <c r="C27" s="2" t="inlineStr">
        <is>
          <t>C9 × H18 × hệ số cải tạo</t>
        </is>
      </c>
      <c r="D27" s="17" t="inlineStr">
        <is>
          <t>C9</t>
        </is>
      </c>
      <c r="E27" s="17" t="inlineStr">
        <is>
          <t>H18 × C11</t>
        </is>
      </c>
      <c r="F27" s="22">
        <f>ROUND($C$9*$H$18/100*$C$11,0)</f>
        <v/>
      </c>
      <c r="G27" s="22">
        <f>ROUND(F27*$C$8,0)</f>
        <v/>
      </c>
      <c r="H27" s="22">
        <f>F27+G27</f>
        <v/>
      </c>
      <c r="I27" s="3" t="inlineStr">
        <is>
          <t>Hệ số 1,15 cần được xác nhận theo phạm vi cải tạo thực tế</t>
        </is>
      </c>
    </row>
    <row r="28" ht="52.05" customHeight="1">
      <c r="A28" s="13" t="n">
        <v>4</v>
      </c>
      <c r="B28" s="2" t="inlineStr">
        <is>
          <t>Thẩm tra Báo cáo kinh tế - kỹ thuật</t>
        </is>
      </c>
      <c r="C28" s="2" t="inlineStr">
        <is>
          <t>C9 × H19</t>
        </is>
      </c>
      <c r="D28" s="17" t="inlineStr">
        <is>
          <t>C9</t>
        </is>
      </c>
      <c r="E28" s="17" t="inlineStr">
        <is>
          <t>H19</t>
        </is>
      </c>
      <c r="F28" s="22">
        <f>ROUND($C$9*$H$19/100,0)</f>
        <v/>
      </c>
      <c r="G28" s="22">
        <f>ROUND(F28*$C$8,0)</f>
        <v/>
      </c>
      <c r="H28" s="22">
        <f>F28+G28</f>
        <v/>
      </c>
      <c r="I28" s="3" t="inlineStr">
        <is>
          <t>Không có định mức → 0</t>
        </is>
      </c>
    </row>
    <row r="29" ht="52.05" customHeight="1">
      <c r="A29" s="13" t="n">
        <v>5</v>
      </c>
      <c r="B29" s="2" t="inlineStr">
        <is>
          <t>Phí thẩm định dự án đầu tư xây dựng</t>
        </is>
      </c>
      <c r="C29" s="2" t="inlineStr">
        <is>
          <t>C6 × H21 × mức thu 50%</t>
        </is>
      </c>
      <c r="D29" s="17" t="inlineStr">
        <is>
          <t>C6</t>
        </is>
      </c>
      <c r="E29" s="17" t="inlineStr">
        <is>
          <t>H21 × C12</t>
        </is>
      </c>
      <c r="F29" s="22">
        <f>ROUND($C$6*$H$21/100*$C$12,0)</f>
        <v/>
      </c>
      <c r="G29" s="22" t="n">
        <v>0</v>
      </c>
      <c r="H29" s="22">
        <f>F29</f>
        <v/>
      </c>
      <c r="I29" s="3" t="inlineStr">
        <is>
          <t>Không phát sinh (xem ô I21)</t>
        </is>
      </c>
    </row>
    <row r="30" ht="52.05" customHeight="1">
      <c r="A30" s="13" t="n">
        <v>6</v>
      </c>
      <c r="B30" s="2" t="inlineStr">
        <is>
          <t>Lập HSMT và đánh giá HSDT gói tư vấn quản lý dự án</t>
        </is>
      </c>
      <c r="C30" s="2" t="inlineStr">
        <is>
          <t>F25 × H20</t>
        </is>
      </c>
      <c r="D30" s="17" t="inlineStr">
        <is>
          <t>F25</t>
        </is>
      </c>
      <c r="E30" s="17" t="inlineStr">
        <is>
          <t>H20</t>
        </is>
      </c>
      <c r="F30" s="22">
        <f>ROUND(F25*$H$20/100,0)</f>
        <v/>
      </c>
      <c r="G30" s="22">
        <f>ROUND(F30*$C$8,0)</f>
        <v/>
      </c>
      <c r="H30" s="22">
        <f>F30+G30</f>
        <v/>
      </c>
      <c r="I30" s="3" t="inlineStr">
        <is>
          <t>Bảng 2.21; tính trên chi phí tư vấn QLDA trước VAT</t>
        </is>
      </c>
    </row>
    <row r="31" ht="52.05" customHeight="1">
      <c r="A31" s="13" t="n">
        <v>7</v>
      </c>
      <c r="B31" s="2" t="inlineStr">
        <is>
          <t>Thẩm định HSMT gói tư vấn quản lý dự án</t>
        </is>
      </c>
      <c r="C31" s="2" t="inlineStr">
        <is>
          <t>0,1% giá gói thầu; tối thiểu 2 triệu, tối đa 60 triệu</t>
        </is>
      </c>
      <c r="D31" s="17" t="inlineStr">
        <is>
          <t>H25</t>
        </is>
      </c>
      <c r="E31" s="17" t="inlineStr">
        <is>
          <t>0,1%</t>
        </is>
      </c>
      <c r="F31" s="22">
        <f>ROUND(MIN(MAX(H25*0.1%,2000000),60000000),0)</f>
        <v/>
      </c>
      <c r="G31" s="22" t="n">
        <v>0</v>
      </c>
      <c r="H31" s="22">
        <f>F31</f>
        <v/>
      </c>
      <c r="I31" s="3" t="inlineStr">
        <is>
          <t>Khoản 4 Điều 14 NĐ 214/2025/NĐ-CP; không cộng VAT</t>
        </is>
      </c>
    </row>
    <row r="32" ht="52.05" customHeight="1">
      <c r="A32" s="13" t="n">
        <v>8</v>
      </c>
      <c r="B32" s="2" t="inlineStr">
        <is>
          <t>Thẩm định kết quả lựa chọn nhà thầu gói tư vấn quản lý dự án</t>
        </is>
      </c>
      <c r="C32" s="2" t="inlineStr">
        <is>
          <t>0,1% giá gói thầu; tối thiểu 3 triệu, tối đa 60 triệu</t>
        </is>
      </c>
      <c r="D32" s="17" t="inlineStr">
        <is>
          <t>H25</t>
        </is>
      </c>
      <c r="E32" s="17" t="inlineStr">
        <is>
          <t>0,1%</t>
        </is>
      </c>
      <c r="F32" s="22">
        <f>ROUND(MIN(MAX(H25*0.1%,3000000),60000000),0)</f>
        <v/>
      </c>
      <c r="G32" s="22" t="n">
        <v>0</v>
      </c>
      <c r="H32" s="22">
        <f>F32</f>
        <v/>
      </c>
      <c r="I32" s="3" t="inlineStr">
        <is>
          <t>Khoản 6 Điều 14 NĐ 214/2025/NĐ-CP; không cộng VAT</t>
        </is>
      </c>
    </row>
    <row r="33" ht="36" customHeight="1">
      <c r="A33" s="45" t="inlineStr">
        <is>
          <t>TỔNG DỰ TOÁN KINH PHÍ CHUẨN BỊ ĐẦU TƯ</t>
        </is>
      </c>
      <c r="B33" s="69" t="n"/>
      <c r="C33" s="69" t="n"/>
      <c r="D33" s="69" t="n"/>
      <c r="E33" s="70" t="n"/>
      <c r="F33" s="23">
        <f>SUM(F25:F32)</f>
        <v/>
      </c>
      <c r="G33" s="23">
        <f>SUM(G25:G32)</f>
        <v/>
      </c>
      <c r="H33" s="23">
        <f>SUM(H25:H32)</f>
        <v/>
      </c>
      <c r="I33" s="9" t="inlineStr">
        <is>
          <t>Tự động cập nhật khi nhập chi phí khảo sát tại C13</t>
        </is>
      </c>
    </row>
    <row r="34">
      <c r="A34" s="1" t="n"/>
      <c r="B34" s="1" t="n"/>
      <c r="C34" s="1" t="n"/>
      <c r="D34" s="1" t="n"/>
      <c r="E34" s="1" t="n"/>
      <c r="F34" s="1" t="n"/>
      <c r="G34" s="1" t="n"/>
      <c r="H34" s="1" t="n"/>
      <c r="I34" s="1" t="n"/>
    </row>
    <row r="35" ht="24" customHeight="1">
      <c r="A35" s="59" t="inlineStr">
        <is>
          <t>IV. TỔNG HỢP VÀ KIỂM TRA</t>
        </is>
      </c>
      <c r="B35" s="60" t="n"/>
      <c r="C35" s="60" t="n"/>
      <c r="D35" s="60" t="n"/>
      <c r="E35" s="60" t="n"/>
      <c r="F35" s="60" t="n"/>
      <c r="G35" s="60" t="n"/>
      <c r="H35" s="60" t="n"/>
      <c r="I35" s="61" t="n"/>
    </row>
    <row r="36" ht="30" customHeight="1">
      <c r="A36" s="48" t="inlineStr">
        <is>
          <t>Tổng chi phí xác định được, chưa bao gồm khảo sát</t>
        </is>
      </c>
      <c r="B36" s="71" t="n"/>
      <c r="C36" s="71" t="n"/>
      <c r="D36" s="71" t="n"/>
      <c r="E36" s="71" t="n"/>
      <c r="F36" s="72" t="n"/>
      <c r="G36" s="50">
        <f>H33-H26</f>
        <v/>
      </c>
      <c r="H36" s="72" t="n"/>
      <c r="I36" s="10" t="inlineStr">
        <is>
          <t>H33 − H26</t>
        </is>
      </c>
    </row>
    <row r="37" ht="30" customHeight="1">
      <c r="A37" s="51" t="inlineStr">
        <is>
          <t>Chi phí khảo sát cần lập và nhập bổ sung</t>
        </is>
      </c>
      <c r="B37" s="73" t="n"/>
      <c r="C37" s="73" t="n"/>
      <c r="D37" s="73" t="n"/>
      <c r="E37" s="73" t="n"/>
      <c r="F37" s="74" t="n"/>
      <c r="G37" s="53">
        <f>H26</f>
        <v/>
      </c>
      <c r="H37" s="74" t="n"/>
      <c r="I37" s="11" t="inlineStr">
        <is>
          <t>Theo nhiệm vụ và dự toán khảo sát</t>
        </is>
      </c>
    </row>
    <row r="38" ht="30" customHeight="1">
      <c r="A38" s="51" t="inlineStr">
        <is>
          <t>Tổng dự toán CBDT sau khi nhập khảo sát</t>
        </is>
      </c>
      <c r="B38" s="73" t="n"/>
      <c r="C38" s="73" t="n"/>
      <c r="D38" s="73" t="n"/>
      <c r="E38" s="73" t="n"/>
      <c r="F38" s="74" t="n"/>
      <c r="G38" s="53">
        <f>H33</f>
        <v/>
      </c>
      <c r="H38" s="74" t="n"/>
      <c r="I38" s="11" t="inlineStr">
        <is>
          <t>Bằng tổng tại H33</t>
        </is>
      </c>
    </row>
    <row r="39" ht="30" customHeight="1">
      <c r="A39" s="51" t="inlineStr">
        <is>
          <t>Tỷ lệ dự toán CBDT / Tổng mức đầu tư</t>
        </is>
      </c>
      <c r="B39" s="73" t="n"/>
      <c r="C39" s="73" t="n"/>
      <c r="D39" s="73" t="n"/>
      <c r="E39" s="73" t="n"/>
      <c r="F39" s="74" t="n"/>
      <c r="G39" s="54">
        <f>H33/$C$6</f>
        <v/>
      </c>
      <c r="H39" s="74" t="n"/>
      <c r="I39" s="11" t="inlineStr">
        <is>
          <t>Chỉ tiêu tham khảo</t>
        </is>
      </c>
    </row>
    <row r="40" ht="30" customHeight="1">
      <c r="A40" s="55" t="inlineStr">
        <is>
          <t>Phần còn lại trong TMĐT sau chi phí XD+TB và CBDT</t>
        </is>
      </c>
      <c r="B40" s="75" t="n"/>
      <c r="C40" s="75" t="n"/>
      <c r="D40" s="75" t="n"/>
      <c r="E40" s="75" t="n"/>
      <c r="F40" s="76" t="n"/>
      <c r="G40" s="57">
        <f>$C$6-$C$7-H33</f>
        <v/>
      </c>
      <c r="H40" s="76" t="n"/>
      <c r="I40" s="12" t="inlineStr">
        <is>
          <t>Phải không âm; phần còn lại để chi cho thiết kế, giám sát, dự phòng… — xem xét đủ hay không</t>
        </is>
      </c>
    </row>
    <row r="41">
      <c r="A41" s="1" t="n"/>
      <c r="B41" s="1" t="n"/>
      <c r="C41" s="1" t="n"/>
      <c r="D41" s="1" t="n"/>
      <c r="E41" s="1" t="n"/>
      <c r="F41" s="1" t="n"/>
      <c r="G41" s="1" t="n"/>
      <c r="H41" s="1" t="n"/>
      <c r="I41" s="1" t="n"/>
    </row>
    <row r="42" ht="24" customHeight="1">
      <c r="A42" s="59" t="inlineStr">
        <is>
          <t>V. LƯU Ý RÀ SOÁT</t>
        </is>
      </c>
      <c r="B42" s="60" t="n"/>
      <c r="C42" s="60" t="n"/>
      <c r="D42" s="60" t="n"/>
      <c r="E42" s="60" t="n"/>
      <c r="F42" s="60" t="n"/>
      <c r="G42" s="60" t="n"/>
      <c r="H42" s="60" t="n"/>
      <c r="I42" s="61" t="n"/>
    </row>
    <row r="43" ht="42" customHeight="1">
      <c r="A43" s="58" t="inlineStr">
        <is>
          <t>1. Bảng tính này thay số liệu phương án 238 tỷ bằng phương án 24.894 triệu đồng (BC 326 lần 2). Tên dự án theo NQ 56/NQ-HĐND và QĐ 805/QĐ-UBND.</t>
        </is>
      </c>
    </row>
    <row r="44" ht="42" customHeight="1">
      <c r="A44" s="58" t="inlineStr">
        <is>
          <t>2. Chi phí khảo sát: tam suất theo quy mô (sheet CƠ SỞ QUY ĐỔI). Đây vẫn là số tạm; cần phê duyệt nhiệm vụ khảo sát, phương án kỹ thuật, khối lượng, đơn giá rồi nhập vào ô C13.</t>
        </is>
      </c>
    </row>
    <row r="45" ht="42" customHeight="1">
      <c r="A45" s="58" t="inlineStr">
        <is>
          <t>3. Giả định: công trình dân dụng; thuế GTGT tư vấn 10%; hệ số cải tạo k = 1,15; tỷ trọng XD + thiết bị/TMĐT giữ như phương án gốc. Các ô tô vàng cần xác nhận trước khi dùng.</t>
        </is>
      </c>
    </row>
    <row r="46" ht="42" customHeight="1">
      <c r="A46" s="58" t="inlineStr">
        <is>
          <t>4. Dự án TMĐT ≤ 40 tỷ chỉ cần lập báo cáo kinh tế - kỹ thuật (NĐ 217/2026 Điều 27 khoản 2 điểm b). Nếu người quyết định đầu tư yêu cầu lập báo cáo nghiên cứu khả thi (khoản 3) thì phải tính lại theo Bảng 2.3, 2.18 và phí thẩm định.</t>
        </is>
      </c>
    </row>
    <row r="47" ht="42" customHeight="1">
      <c r="A47" s="58" t="inlineStr">
        <is>
          <t>5. Chi phí thẩm định HSMT và kết quả lựa chọn nhà thầu tính trên giá gói thầu tư vấn quản lý dự án (Điều 14 NĐ 214/2025/NĐ-CP): với gói nhỏ áp mức tối thiểu 2 triệu và 3 triệu đồng.</t>
        </is>
      </c>
    </row>
  </sheetData>
  <mergeCells count="48">
    <mergeCell ref="C6:D6"/>
    <mergeCell ref="E12:I12"/>
    <mergeCell ref="A46:I46"/>
    <mergeCell ref="A11:B11"/>
    <mergeCell ref="A37:F37"/>
    <mergeCell ref="G36:H36"/>
    <mergeCell ref="A3:I3"/>
    <mergeCell ref="G40:H40"/>
    <mergeCell ref="E8:I8"/>
    <mergeCell ref="A6:B6"/>
    <mergeCell ref="G39:H39"/>
    <mergeCell ref="A2:I2"/>
    <mergeCell ref="C10:D10"/>
    <mergeCell ref="A7:B7"/>
    <mergeCell ref="A47:I47"/>
    <mergeCell ref="A42:I42"/>
    <mergeCell ref="G38:H38"/>
    <mergeCell ref="A5:I5"/>
    <mergeCell ref="E10:I10"/>
    <mergeCell ref="G37:H37"/>
    <mergeCell ref="E13:I13"/>
    <mergeCell ref="A23:I23"/>
    <mergeCell ref="C9:D9"/>
    <mergeCell ref="A35:I35"/>
    <mergeCell ref="E9:I9"/>
    <mergeCell ref="A12:B12"/>
    <mergeCell ref="A38:F38"/>
    <mergeCell ref="C12:D12"/>
    <mergeCell ref="A43:I43"/>
    <mergeCell ref="E6:I6"/>
    <mergeCell ref="C11:D11"/>
    <mergeCell ref="A44:I44"/>
    <mergeCell ref="A33:E33"/>
    <mergeCell ref="E11:I11"/>
    <mergeCell ref="A40:F40"/>
    <mergeCell ref="A39:F39"/>
    <mergeCell ref="A8:B8"/>
    <mergeCell ref="C8:D8"/>
    <mergeCell ref="A15:I15"/>
    <mergeCell ref="C7:D7"/>
    <mergeCell ref="E7:I7"/>
    <mergeCell ref="A36:F36"/>
    <mergeCell ref="A10:B10"/>
    <mergeCell ref="A45:I45"/>
    <mergeCell ref="A1:I1"/>
    <mergeCell ref="A13:B13"/>
    <mergeCell ref="C13:D13"/>
    <mergeCell ref="A9:B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6" customWidth="1" min="1" max="1"/>
    <col width="62" customWidth="1" min="2" max="2"/>
    <col width="24" customWidth="1" min="3" max="3"/>
    <col width="70" customWidth="1" min="4" max="4"/>
  </cols>
  <sheetData>
    <row r="1">
      <c r="A1" s="77" t="inlineStr">
        <is>
          <t>CƠ SỞ QUY ĐỔI THEO QUY MÔ ĐẦU TƯ (TAM SUẤT)</t>
        </is>
      </c>
      <c r="B1" s="78" t="n"/>
      <c r="C1" s="78" t="n"/>
      <c r="D1" s="78" t="n"/>
    </row>
    <row r="2">
      <c r="A2" s="78" t="n"/>
      <c r="B2" s="78" t="n"/>
      <c r="C2" s="78" t="n"/>
      <c r="D2" s="78" t="n"/>
    </row>
    <row r="3">
      <c r="A3" s="78" t="n"/>
      <c r="B3" s="79" t="inlineStr">
        <is>
          <t>TMĐT phương án gốc (BC 326 ngày 9/7/2026; QĐ 1899 ngày 28/8/2026)</t>
        </is>
      </c>
      <c r="C3" s="80" t="n">
        <v>238357000000</v>
      </c>
      <c r="D3" s="79" t="inlineStr">
        <is>
          <t>Số đã dùng để tính dự toán CBĐT 6.249.856.462 đồng</t>
        </is>
      </c>
    </row>
    <row r="4">
      <c r="A4" s="78" t="n"/>
      <c r="B4" s="79" t="inlineStr">
        <is>
          <t>Chi phí XD + thiết bị sau VAT của phương án gốc</t>
        </is>
      </c>
      <c r="C4" s="80" t="n">
        <v>219272095427</v>
      </c>
      <c r="D4" s="79" t="inlineStr">
        <is>
          <t>Lấy từ bảng tính gốc (ô C7)</t>
        </is>
      </c>
    </row>
    <row r="5">
      <c r="A5" s="78" t="n"/>
      <c r="B5" s="79" t="inlineStr">
        <is>
          <t>Tỷ trọng chi phí XD + thiết bị / TMĐT</t>
        </is>
      </c>
      <c r="C5" s="81">
        <f>C4/C3</f>
        <v/>
      </c>
      <c r="D5" s="79" t="inlineStr">
        <is>
          <t>Giữ nguyên tỷ trọng cho phương án mới (giả định, thay bằng số khái toán/dự toán thật khi có)</t>
        </is>
      </c>
    </row>
    <row r="6">
      <c r="A6" s="78" t="n"/>
      <c r="B6" s="79" t="inlineStr">
        <is>
          <t>Chi phí khảo sát trong dự toán CBĐT gốc (sau VAT)</t>
        </is>
      </c>
      <c r="C6" s="80" t="n">
        <v>900000000</v>
      </c>
      <c r="D6" s="79" t="inlineStr">
        <is>
          <t>Số tạm tính của phương án gốc, chưa từ dự toán khảo sát thật</t>
        </is>
      </c>
    </row>
    <row r="7">
      <c r="A7" s="78" t="n"/>
      <c r="B7" s="79" t="inlineStr">
        <is>
          <t>TMĐT phương án mới</t>
        </is>
      </c>
      <c r="C7" s="82">
        <f>'DỰ TOÁN CBDT'!C6</f>
        <v/>
      </c>
      <c r="D7" s="79" t="inlineStr">
        <is>
          <t>BC 326 lần 2 (14/9/2026): 24.894 triệu đồng</t>
        </is>
      </c>
    </row>
    <row r="8">
      <c r="A8" s="78" t="n"/>
      <c r="B8" s="79" t="inlineStr">
        <is>
          <t>Hệ số tam suất = TMĐT mới / TMĐT gốc</t>
        </is>
      </c>
      <c r="C8" s="81">
        <f>C7/C3</f>
        <v/>
      </c>
      <c r="D8" s="79" t="inlineStr">
        <is>
          <t>Quy mô giảm bao nhiêu thì chi phí khảo sát giảm bấy nhiêu</t>
        </is>
      </c>
    </row>
    <row r="9">
      <c r="A9" s="78" t="n"/>
      <c r="B9" s="79" t="inlineStr">
        <is>
          <t>Chi phí khảo sát theo tam suất (sau VAT)</t>
        </is>
      </c>
      <c r="C9" s="82">
        <f>ROUND(C6*C8,0)</f>
        <v/>
      </c>
      <c r="D9" s="79" t="inlineStr">
        <is>
          <t>Chuyển sang ô C13 của bảng tính; thay bằng dự toán khảo sát thật khi lập xong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Nguyễn Phục</dc:creator>
  <dcterms:created xmlns:dcterms="http://purl.org/dc/terms/" xmlns:xsi="http://www.w3.org/2001/XMLSchema-instance" xsi:type="dcterms:W3CDTF">2026-08-28T10:57:36Z</dcterms:created>
  <dcterms:modified xmlns:dcterms="http://purl.org/dc/terms/" xmlns:xsi="http://www.w3.org/2001/XMLSchema-instance" xsi:type="dcterms:W3CDTF">2026-09-24T07:40:24Z</dcterms:modified>
  <cp:lastModifiedBy>Nguyễn Ngọc Quang Phục</cp:lastModifiedBy>
</cp:coreProperties>
</file>