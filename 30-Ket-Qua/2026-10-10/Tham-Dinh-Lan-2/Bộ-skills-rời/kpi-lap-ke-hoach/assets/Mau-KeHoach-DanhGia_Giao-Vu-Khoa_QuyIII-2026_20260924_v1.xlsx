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59AF48D1-B44F-4E23-8EA9-8CDAAE1B2EBF}" xr6:coauthVersionLast="47" xr6:coauthVersionMax="47" xr10:uidLastSave="{00000000-0000-0000-0000-000000000000}"/>
  <bookViews>
    <workbookView xWindow="-120" yWindow="-120" windowWidth="20730" windowHeight="11160" tabRatio="500" activeTab="1" xr2:uid="{00000000-000D-0000-FFFF-FFFF00000000}"/>
  </bookViews>
  <sheets>
    <sheet name="Ke Hoach" sheetId="1" r:id="rId1"/>
    <sheet name="KPI" sheetId="2" r:id="rId2"/>
    <sheet name="Danh gia" sheetId="3" r:id="rId3"/>
  </sheets>
  <definedNames>
    <definedName name="_xlnm.Print_Area" localSheetId="2">'Danh gia'!$A$5:$H$100</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Q31" i="2" l="1"/>
  <c r="Q32" i="2"/>
  <c r="Q33" i="2"/>
  <c r="Q34" i="2"/>
  <c r="Q35" i="2"/>
  <c r="Q36" i="2"/>
  <c r="Q37" i="2"/>
  <c r="Q38" i="2"/>
  <c r="Q39" i="2"/>
  <c r="Q40" i="2"/>
  <c r="Q41" i="2"/>
  <c r="Q42" i="2"/>
  <c r="Q43" i="2"/>
  <c r="Q44" i="2"/>
  <c r="Q45" i="2"/>
  <c r="Q46" i="2"/>
  <c r="Q47" i="2"/>
  <c r="Q48" i="2"/>
  <c r="Q49" i="2"/>
  <c r="F61" i="3"/>
  <c r="E40" i="3"/>
  <c r="E36" i="3"/>
  <c r="D36" i="3"/>
  <c r="E31" i="3"/>
  <c r="D31" i="3"/>
  <c r="E20" i="3"/>
  <c r="D20" i="3"/>
  <c r="D40" i="3" s="1"/>
  <c r="F62" i="3" s="1"/>
  <c r="M133" i="2"/>
  <c r="I133" i="2"/>
  <c r="O133" i="2" s="1"/>
  <c r="H133" i="2"/>
  <c r="G133" i="2"/>
  <c r="J133" i="2" s="1"/>
  <c r="B133" i="2"/>
  <c r="M132" i="2"/>
  <c r="I132" i="2"/>
  <c r="O132" i="2" s="1"/>
  <c r="H132" i="2"/>
  <c r="G132" i="2"/>
  <c r="J132" i="2" s="1"/>
  <c r="B132" i="2"/>
  <c r="M131" i="2"/>
  <c r="I131" i="2"/>
  <c r="O131" i="2" s="1"/>
  <c r="H131" i="2"/>
  <c r="G131" i="2"/>
  <c r="J131" i="2" s="1"/>
  <c r="B131" i="2"/>
  <c r="M130" i="2"/>
  <c r="I130" i="2"/>
  <c r="O130" i="2" s="1"/>
  <c r="H130" i="2"/>
  <c r="G130" i="2"/>
  <c r="J130" i="2" s="1"/>
  <c r="B130" i="2"/>
  <c r="M129" i="2"/>
  <c r="I129" i="2"/>
  <c r="O129" i="2" s="1"/>
  <c r="H129" i="2"/>
  <c r="G129" i="2"/>
  <c r="J129" i="2" s="1"/>
  <c r="B129" i="2"/>
  <c r="M128" i="2"/>
  <c r="I128" i="2"/>
  <c r="O128" i="2" s="1"/>
  <c r="H128" i="2"/>
  <c r="G128" i="2"/>
  <c r="J128" i="2" s="1"/>
  <c r="B128" i="2"/>
  <c r="M127" i="2"/>
  <c r="I127" i="2"/>
  <c r="O127" i="2" s="1"/>
  <c r="H127" i="2"/>
  <c r="G127" i="2"/>
  <c r="J127" i="2" s="1"/>
  <c r="B127" i="2"/>
  <c r="M126" i="2"/>
  <c r="I126" i="2"/>
  <c r="O126" i="2" s="1"/>
  <c r="H126" i="2"/>
  <c r="G126" i="2"/>
  <c r="J126" i="2" s="1"/>
  <c r="B126" i="2"/>
  <c r="M125" i="2"/>
  <c r="I125" i="2"/>
  <c r="O125" i="2" s="1"/>
  <c r="H125" i="2"/>
  <c r="G125" i="2"/>
  <c r="J125" i="2" s="1"/>
  <c r="B125" i="2"/>
  <c r="M124" i="2"/>
  <c r="I124" i="2"/>
  <c r="O124" i="2" s="1"/>
  <c r="H124" i="2"/>
  <c r="G124" i="2"/>
  <c r="J124" i="2" s="1"/>
  <c r="B124" i="2"/>
  <c r="M123" i="2"/>
  <c r="I123" i="2"/>
  <c r="O123" i="2" s="1"/>
  <c r="H123" i="2"/>
  <c r="G123" i="2"/>
  <c r="J123" i="2" s="1"/>
  <c r="B123" i="2"/>
  <c r="M122" i="2"/>
  <c r="I122" i="2"/>
  <c r="O122" i="2" s="1"/>
  <c r="H122" i="2"/>
  <c r="G122" i="2"/>
  <c r="J122" i="2" s="1"/>
  <c r="B122" i="2"/>
  <c r="M121" i="2"/>
  <c r="I121" i="2"/>
  <c r="O121" i="2" s="1"/>
  <c r="H121" i="2"/>
  <c r="G121" i="2"/>
  <c r="J121" i="2" s="1"/>
  <c r="B121" i="2"/>
  <c r="M120" i="2"/>
  <c r="I120" i="2"/>
  <c r="O120" i="2" s="1"/>
  <c r="H120" i="2"/>
  <c r="G120" i="2"/>
  <c r="J120" i="2" s="1"/>
  <c r="B120" i="2"/>
  <c r="M119" i="2"/>
  <c r="I119" i="2"/>
  <c r="O119" i="2" s="1"/>
  <c r="H119" i="2"/>
  <c r="G119" i="2"/>
  <c r="J119" i="2" s="1"/>
  <c r="B119" i="2"/>
  <c r="M118" i="2"/>
  <c r="I118" i="2"/>
  <c r="O118" i="2" s="1"/>
  <c r="H118" i="2"/>
  <c r="G118" i="2"/>
  <c r="J118" i="2" s="1"/>
  <c r="B118" i="2"/>
  <c r="M117" i="2"/>
  <c r="I117" i="2"/>
  <c r="O117" i="2" s="1"/>
  <c r="H117" i="2"/>
  <c r="G117" i="2"/>
  <c r="J117" i="2" s="1"/>
  <c r="B117" i="2"/>
  <c r="M116" i="2"/>
  <c r="I116" i="2"/>
  <c r="O116" i="2" s="1"/>
  <c r="H116" i="2"/>
  <c r="G116" i="2"/>
  <c r="J116" i="2" s="1"/>
  <c r="B116" i="2"/>
  <c r="M115" i="2"/>
  <c r="I115" i="2"/>
  <c r="O115" i="2" s="1"/>
  <c r="H115" i="2"/>
  <c r="G115" i="2"/>
  <c r="J115" i="2" s="1"/>
  <c r="B115" i="2"/>
  <c r="M114" i="2"/>
  <c r="I114" i="2"/>
  <c r="O114" i="2" s="1"/>
  <c r="H114" i="2"/>
  <c r="G114" i="2"/>
  <c r="J114" i="2" s="1"/>
  <c r="B114" i="2"/>
  <c r="O113" i="2"/>
  <c r="J113" i="2"/>
  <c r="C59" i="3" s="1"/>
  <c r="O112" i="2"/>
  <c r="J112" i="2"/>
  <c r="I112" i="2"/>
  <c r="Q112" i="2" s="1"/>
  <c r="H112" i="2"/>
  <c r="G112" i="2"/>
  <c r="M112" i="2" s="1"/>
  <c r="B112" i="2"/>
  <c r="O111" i="2"/>
  <c r="J111" i="2"/>
  <c r="I111" i="2"/>
  <c r="Q111" i="2" s="1"/>
  <c r="H111" i="2"/>
  <c r="G111" i="2"/>
  <c r="M111" i="2" s="1"/>
  <c r="B111" i="2"/>
  <c r="O110" i="2"/>
  <c r="J110" i="2"/>
  <c r="I110" i="2"/>
  <c r="Q110" i="2" s="1"/>
  <c r="H110" i="2"/>
  <c r="G110" i="2"/>
  <c r="M110" i="2" s="1"/>
  <c r="B110" i="2"/>
  <c r="O109" i="2"/>
  <c r="J109" i="2"/>
  <c r="I109" i="2"/>
  <c r="Q109" i="2" s="1"/>
  <c r="H109" i="2"/>
  <c r="G109" i="2"/>
  <c r="M109" i="2" s="1"/>
  <c r="B109" i="2"/>
  <c r="O108" i="2"/>
  <c r="J108" i="2"/>
  <c r="I108" i="2"/>
  <c r="Q108" i="2" s="1"/>
  <c r="H108" i="2"/>
  <c r="G108" i="2"/>
  <c r="M108" i="2" s="1"/>
  <c r="B108" i="2"/>
  <c r="O107" i="2"/>
  <c r="J107" i="2"/>
  <c r="I107" i="2"/>
  <c r="Q107" i="2" s="1"/>
  <c r="H107" i="2"/>
  <c r="G107" i="2"/>
  <c r="M107" i="2" s="1"/>
  <c r="B107" i="2"/>
  <c r="O106" i="2"/>
  <c r="J106" i="2"/>
  <c r="I106" i="2"/>
  <c r="Q106" i="2" s="1"/>
  <c r="H106" i="2"/>
  <c r="G106" i="2"/>
  <c r="M106" i="2" s="1"/>
  <c r="B106" i="2"/>
  <c r="O105" i="2"/>
  <c r="J105" i="2"/>
  <c r="I105" i="2"/>
  <c r="Q105" i="2" s="1"/>
  <c r="H105" i="2"/>
  <c r="G105" i="2"/>
  <c r="M105" i="2" s="1"/>
  <c r="B105" i="2"/>
  <c r="O104" i="2"/>
  <c r="J104" i="2"/>
  <c r="I104" i="2"/>
  <c r="Q104" i="2" s="1"/>
  <c r="H104" i="2"/>
  <c r="G104" i="2"/>
  <c r="M104" i="2" s="1"/>
  <c r="B104" i="2"/>
  <c r="O103" i="2"/>
  <c r="J103" i="2"/>
  <c r="I103" i="2"/>
  <c r="Q103" i="2" s="1"/>
  <c r="H103" i="2"/>
  <c r="G103" i="2"/>
  <c r="M103" i="2" s="1"/>
  <c r="B103" i="2"/>
  <c r="O102" i="2"/>
  <c r="J102" i="2"/>
  <c r="I102" i="2"/>
  <c r="Q102" i="2" s="1"/>
  <c r="H102" i="2"/>
  <c r="G102" i="2"/>
  <c r="M102" i="2" s="1"/>
  <c r="B102" i="2"/>
  <c r="O101" i="2"/>
  <c r="J101" i="2"/>
  <c r="I101" i="2"/>
  <c r="Q101" i="2" s="1"/>
  <c r="H101" i="2"/>
  <c r="G101" i="2"/>
  <c r="M101" i="2" s="1"/>
  <c r="B101" i="2"/>
  <c r="O100" i="2"/>
  <c r="J100" i="2"/>
  <c r="I100" i="2"/>
  <c r="Q100" i="2" s="1"/>
  <c r="H100" i="2"/>
  <c r="G100" i="2"/>
  <c r="M100" i="2" s="1"/>
  <c r="B100" i="2"/>
  <c r="O99" i="2"/>
  <c r="J99" i="2"/>
  <c r="I99" i="2"/>
  <c r="Q99" i="2" s="1"/>
  <c r="H99" i="2"/>
  <c r="G99" i="2"/>
  <c r="M99" i="2" s="1"/>
  <c r="B99" i="2"/>
  <c r="O98" i="2"/>
  <c r="J98" i="2"/>
  <c r="I98" i="2"/>
  <c r="Q98" i="2" s="1"/>
  <c r="H98" i="2"/>
  <c r="G98" i="2"/>
  <c r="M98" i="2" s="1"/>
  <c r="B98" i="2"/>
  <c r="O97" i="2"/>
  <c r="J97" i="2"/>
  <c r="I97" i="2"/>
  <c r="Q97" i="2" s="1"/>
  <c r="H97" i="2"/>
  <c r="G97" i="2"/>
  <c r="M97" i="2" s="1"/>
  <c r="B97" i="2"/>
  <c r="O96" i="2"/>
  <c r="J96" i="2"/>
  <c r="I96" i="2"/>
  <c r="Q96" i="2" s="1"/>
  <c r="H96" i="2"/>
  <c r="G96" i="2"/>
  <c r="M96" i="2" s="1"/>
  <c r="B96" i="2"/>
  <c r="O95" i="2"/>
  <c r="J95" i="2"/>
  <c r="I95" i="2"/>
  <c r="Q95" i="2" s="1"/>
  <c r="H95" i="2"/>
  <c r="G95" i="2"/>
  <c r="M95" i="2" s="1"/>
  <c r="B95" i="2"/>
  <c r="O94" i="2"/>
  <c r="J94" i="2"/>
  <c r="I94" i="2"/>
  <c r="Q94" i="2" s="1"/>
  <c r="H94" i="2"/>
  <c r="G94" i="2"/>
  <c r="M94" i="2" s="1"/>
  <c r="B94" i="2"/>
  <c r="O93" i="2"/>
  <c r="O92" i="2" s="1"/>
  <c r="J93" i="2"/>
  <c r="J92" i="2" s="1"/>
  <c r="C57" i="3" s="1"/>
  <c r="I93" i="2"/>
  <c r="Q93" i="2" s="1"/>
  <c r="H93" i="2"/>
  <c r="G93" i="2"/>
  <c r="M93" i="2" s="1"/>
  <c r="M92" i="2" s="1"/>
  <c r="R92" i="2" s="1"/>
  <c r="D57" i="3" s="1"/>
  <c r="B93" i="2"/>
  <c r="Q92" i="2"/>
  <c r="I91" i="2"/>
  <c r="O91" i="2" s="1"/>
  <c r="H91" i="2"/>
  <c r="G91" i="2"/>
  <c r="J91" i="2" s="1"/>
  <c r="B91" i="2"/>
  <c r="I90" i="2"/>
  <c r="O90" i="2" s="1"/>
  <c r="H90" i="2"/>
  <c r="G90" i="2"/>
  <c r="J90" i="2" s="1"/>
  <c r="B90" i="2"/>
  <c r="I89" i="2"/>
  <c r="O89" i="2" s="1"/>
  <c r="H89" i="2"/>
  <c r="G89" i="2"/>
  <c r="J89" i="2" s="1"/>
  <c r="B89" i="2"/>
  <c r="I88" i="2"/>
  <c r="O88" i="2" s="1"/>
  <c r="H88" i="2"/>
  <c r="G88" i="2"/>
  <c r="J88" i="2" s="1"/>
  <c r="B88" i="2"/>
  <c r="I87" i="2"/>
  <c r="O87" i="2" s="1"/>
  <c r="H87" i="2"/>
  <c r="G87" i="2"/>
  <c r="J87" i="2" s="1"/>
  <c r="B87" i="2"/>
  <c r="I86" i="2"/>
  <c r="H86" i="2"/>
  <c r="G86" i="2"/>
  <c r="B86" i="2"/>
  <c r="I85" i="2"/>
  <c r="O85" i="2" s="1"/>
  <c r="H85" i="2"/>
  <c r="G85" i="2"/>
  <c r="B85" i="2"/>
  <c r="Q84" i="2"/>
  <c r="I84" i="2"/>
  <c r="O84" i="2" s="1"/>
  <c r="H84" i="2"/>
  <c r="G84" i="2"/>
  <c r="B84" i="2"/>
  <c r="I83" i="2"/>
  <c r="O83" i="2" s="1"/>
  <c r="H83" i="2"/>
  <c r="G83" i="2"/>
  <c r="B83" i="2"/>
  <c r="Q82" i="2"/>
  <c r="I82" i="2"/>
  <c r="O82" i="2" s="1"/>
  <c r="H82" i="2"/>
  <c r="G82" i="2"/>
  <c r="B82" i="2"/>
  <c r="I81" i="2"/>
  <c r="O81" i="2" s="1"/>
  <c r="H81" i="2"/>
  <c r="G81" i="2"/>
  <c r="B81" i="2"/>
  <c r="Q80" i="2"/>
  <c r="I80" i="2"/>
  <c r="O80" i="2" s="1"/>
  <c r="H80" i="2"/>
  <c r="G80" i="2"/>
  <c r="B80" i="2"/>
  <c r="I79" i="2"/>
  <c r="O79" i="2" s="1"/>
  <c r="H79" i="2"/>
  <c r="G79" i="2"/>
  <c r="B79" i="2"/>
  <c r="Q78" i="2"/>
  <c r="I78" i="2"/>
  <c r="O78" i="2" s="1"/>
  <c r="H78" i="2"/>
  <c r="G78" i="2"/>
  <c r="B78" i="2"/>
  <c r="I77" i="2"/>
  <c r="O77" i="2" s="1"/>
  <c r="H77" i="2"/>
  <c r="G77" i="2"/>
  <c r="B77" i="2"/>
  <c r="Q76" i="2"/>
  <c r="I76" i="2"/>
  <c r="O76" i="2" s="1"/>
  <c r="H76" i="2"/>
  <c r="G76" i="2"/>
  <c r="B76" i="2"/>
  <c r="I75" i="2"/>
  <c r="O75" i="2" s="1"/>
  <c r="H75" i="2"/>
  <c r="G75" i="2"/>
  <c r="B75" i="2"/>
  <c r="Q74" i="2"/>
  <c r="I74" i="2"/>
  <c r="O74" i="2" s="1"/>
  <c r="H74" i="2"/>
  <c r="G74" i="2"/>
  <c r="B74" i="2"/>
  <c r="I73" i="2"/>
  <c r="O73" i="2" s="1"/>
  <c r="H73" i="2"/>
  <c r="G73" i="2"/>
  <c r="B73" i="2"/>
  <c r="Q72" i="2"/>
  <c r="I72" i="2"/>
  <c r="O72" i="2" s="1"/>
  <c r="H72" i="2"/>
  <c r="G72" i="2"/>
  <c r="B72" i="2"/>
  <c r="O70" i="2"/>
  <c r="J70" i="2"/>
  <c r="I70" i="2"/>
  <c r="Q70" i="2" s="1"/>
  <c r="H70" i="2"/>
  <c r="G70" i="2"/>
  <c r="M70" i="2" s="1"/>
  <c r="B70" i="2"/>
  <c r="O69" i="2"/>
  <c r="J69" i="2"/>
  <c r="I69" i="2"/>
  <c r="Q69" i="2" s="1"/>
  <c r="H69" i="2"/>
  <c r="G69" i="2"/>
  <c r="M69" i="2" s="1"/>
  <c r="B69" i="2"/>
  <c r="O68" i="2"/>
  <c r="J68" i="2"/>
  <c r="I68" i="2"/>
  <c r="Q68" i="2" s="1"/>
  <c r="H68" i="2"/>
  <c r="G68" i="2"/>
  <c r="M68" i="2" s="1"/>
  <c r="B68" i="2"/>
  <c r="O67" i="2"/>
  <c r="J67" i="2"/>
  <c r="I67" i="2"/>
  <c r="Q67" i="2" s="1"/>
  <c r="H67" i="2"/>
  <c r="G67" i="2"/>
  <c r="M67" i="2" s="1"/>
  <c r="B67" i="2"/>
  <c r="O66" i="2"/>
  <c r="J66" i="2"/>
  <c r="I66" i="2"/>
  <c r="Q66" i="2" s="1"/>
  <c r="H66" i="2"/>
  <c r="G66" i="2"/>
  <c r="M66" i="2" s="1"/>
  <c r="B66" i="2"/>
  <c r="O65" i="2"/>
  <c r="J65" i="2"/>
  <c r="I65" i="2"/>
  <c r="Q65" i="2" s="1"/>
  <c r="H65" i="2"/>
  <c r="G65" i="2"/>
  <c r="M65" i="2" s="1"/>
  <c r="B65" i="2"/>
  <c r="O64" i="2"/>
  <c r="J64" i="2"/>
  <c r="I64" i="2"/>
  <c r="Q64" i="2" s="1"/>
  <c r="H64" i="2"/>
  <c r="G64" i="2"/>
  <c r="M64" i="2" s="1"/>
  <c r="B64" i="2"/>
  <c r="O63" i="2"/>
  <c r="J63" i="2"/>
  <c r="I63" i="2"/>
  <c r="Q63" i="2" s="1"/>
  <c r="H63" i="2"/>
  <c r="G63" i="2"/>
  <c r="M63" i="2" s="1"/>
  <c r="B63" i="2"/>
  <c r="O62" i="2"/>
  <c r="J62" i="2"/>
  <c r="I62" i="2"/>
  <c r="Q62" i="2" s="1"/>
  <c r="H62" i="2"/>
  <c r="G62" i="2"/>
  <c r="M62" i="2" s="1"/>
  <c r="B62" i="2"/>
  <c r="O61" i="2"/>
  <c r="J61" i="2"/>
  <c r="I61" i="2"/>
  <c r="Q61" i="2" s="1"/>
  <c r="H61" i="2"/>
  <c r="G61" i="2"/>
  <c r="M61" i="2" s="1"/>
  <c r="B61" i="2"/>
  <c r="O60" i="2"/>
  <c r="J60" i="2"/>
  <c r="I60" i="2"/>
  <c r="Q60" i="2" s="1"/>
  <c r="H60" i="2"/>
  <c r="G60" i="2"/>
  <c r="M60" i="2" s="1"/>
  <c r="B60" i="2"/>
  <c r="O59" i="2"/>
  <c r="J59" i="2"/>
  <c r="I59" i="2"/>
  <c r="Q59" i="2" s="1"/>
  <c r="H59" i="2"/>
  <c r="G59" i="2"/>
  <c r="M59" i="2" s="1"/>
  <c r="B59" i="2"/>
  <c r="O58" i="2"/>
  <c r="J58" i="2"/>
  <c r="I58" i="2"/>
  <c r="Q58" i="2" s="1"/>
  <c r="H58" i="2"/>
  <c r="G58" i="2"/>
  <c r="M58" i="2" s="1"/>
  <c r="B58" i="2"/>
  <c r="O57" i="2"/>
  <c r="J57" i="2"/>
  <c r="I57" i="2"/>
  <c r="Q57" i="2" s="1"/>
  <c r="H57" i="2"/>
  <c r="G57" i="2"/>
  <c r="M57" i="2" s="1"/>
  <c r="B57" i="2"/>
  <c r="O56" i="2"/>
  <c r="J56" i="2"/>
  <c r="I56" i="2"/>
  <c r="Q56" i="2" s="1"/>
  <c r="H56" i="2"/>
  <c r="G56" i="2"/>
  <c r="M56" i="2" s="1"/>
  <c r="B56" i="2"/>
  <c r="O55" i="2"/>
  <c r="J55" i="2"/>
  <c r="I55" i="2"/>
  <c r="Q55" i="2" s="1"/>
  <c r="H55" i="2"/>
  <c r="G55" i="2"/>
  <c r="M55" i="2" s="1"/>
  <c r="B55" i="2"/>
  <c r="O54" i="2"/>
  <c r="J54" i="2"/>
  <c r="I54" i="2"/>
  <c r="Q54" i="2" s="1"/>
  <c r="H54" i="2"/>
  <c r="G54" i="2"/>
  <c r="M54" i="2" s="1"/>
  <c r="B54" i="2"/>
  <c r="O53" i="2"/>
  <c r="J53" i="2"/>
  <c r="I53" i="2"/>
  <c r="Q53" i="2" s="1"/>
  <c r="H53" i="2"/>
  <c r="G53" i="2"/>
  <c r="M53" i="2" s="1"/>
  <c r="B53" i="2"/>
  <c r="O52" i="2"/>
  <c r="J52" i="2"/>
  <c r="I52" i="2"/>
  <c r="Q52" i="2" s="1"/>
  <c r="H52" i="2"/>
  <c r="G52" i="2"/>
  <c r="M52" i="2" s="1"/>
  <c r="B52" i="2"/>
  <c r="O51" i="2"/>
  <c r="O50" i="2" s="1"/>
  <c r="J51" i="2"/>
  <c r="J50" i="2" s="1"/>
  <c r="C52" i="3" s="1"/>
  <c r="I51" i="2"/>
  <c r="Q51" i="2" s="1"/>
  <c r="H51" i="2"/>
  <c r="G51" i="2"/>
  <c r="M51" i="2" s="1"/>
  <c r="B51" i="2"/>
  <c r="Q50" i="2"/>
  <c r="M50" i="2"/>
  <c r="R50" i="2" s="1"/>
  <c r="D52" i="3" s="1"/>
  <c r="M49" i="2"/>
  <c r="I49" i="2"/>
  <c r="O49" i="2" s="1"/>
  <c r="H49" i="2"/>
  <c r="G49" i="2"/>
  <c r="J49" i="2" s="1"/>
  <c r="B49" i="2"/>
  <c r="M48" i="2"/>
  <c r="I48" i="2"/>
  <c r="O48" i="2" s="1"/>
  <c r="H48" i="2"/>
  <c r="G48" i="2"/>
  <c r="J48" i="2" s="1"/>
  <c r="B48" i="2"/>
  <c r="O47" i="2"/>
  <c r="J47" i="2"/>
  <c r="I47" i="2"/>
  <c r="H47" i="2"/>
  <c r="G47" i="2"/>
  <c r="M47" i="2" s="1"/>
  <c r="B47" i="2"/>
  <c r="I46" i="2"/>
  <c r="O46" i="2" s="1"/>
  <c r="H46" i="2"/>
  <c r="G46" i="2"/>
  <c r="B46" i="2"/>
  <c r="I45" i="2"/>
  <c r="O45" i="2" s="1"/>
  <c r="H45" i="2"/>
  <c r="G45" i="2"/>
  <c r="B45" i="2"/>
  <c r="I44" i="2"/>
  <c r="O44" i="2" s="1"/>
  <c r="H44" i="2"/>
  <c r="G44" i="2"/>
  <c r="B44" i="2"/>
  <c r="O43" i="2"/>
  <c r="J43" i="2"/>
  <c r="I43" i="2"/>
  <c r="H43" i="2"/>
  <c r="G43" i="2"/>
  <c r="M43" i="2" s="1"/>
  <c r="B43" i="2"/>
  <c r="M42" i="2"/>
  <c r="I42" i="2"/>
  <c r="O42" i="2" s="1"/>
  <c r="H42" i="2"/>
  <c r="G42" i="2"/>
  <c r="J42" i="2" s="1"/>
  <c r="B42" i="2"/>
  <c r="O41" i="2"/>
  <c r="J41" i="2"/>
  <c r="I41" i="2"/>
  <c r="H41" i="2"/>
  <c r="G41" i="2"/>
  <c r="M41" i="2" s="1"/>
  <c r="B41" i="2"/>
  <c r="I40" i="2"/>
  <c r="O40" i="2" s="1"/>
  <c r="H40" i="2"/>
  <c r="G40" i="2"/>
  <c r="B40" i="2"/>
  <c r="O39" i="2"/>
  <c r="J39" i="2"/>
  <c r="I39" i="2"/>
  <c r="H39" i="2"/>
  <c r="G39" i="2"/>
  <c r="M39" i="2" s="1"/>
  <c r="B39" i="2"/>
  <c r="M38" i="2"/>
  <c r="I38" i="2"/>
  <c r="O38" i="2" s="1"/>
  <c r="H38" i="2"/>
  <c r="G38" i="2"/>
  <c r="J38" i="2" s="1"/>
  <c r="B38" i="2"/>
  <c r="O37" i="2"/>
  <c r="J37" i="2"/>
  <c r="I37" i="2"/>
  <c r="H37" i="2"/>
  <c r="G37" i="2"/>
  <c r="M37" i="2" s="1"/>
  <c r="B37" i="2"/>
  <c r="I36" i="2"/>
  <c r="O36" i="2" s="1"/>
  <c r="H36" i="2"/>
  <c r="G36" i="2"/>
  <c r="B36" i="2"/>
  <c r="O35" i="2"/>
  <c r="J35" i="2"/>
  <c r="I35" i="2"/>
  <c r="H35" i="2"/>
  <c r="G35" i="2"/>
  <c r="M35" i="2" s="1"/>
  <c r="B35" i="2"/>
  <c r="M34" i="2"/>
  <c r="I34" i="2"/>
  <c r="O34" i="2" s="1"/>
  <c r="H34" i="2"/>
  <c r="G34" i="2"/>
  <c r="J34" i="2" s="1"/>
  <c r="B34" i="2"/>
  <c r="O33" i="2"/>
  <c r="J33" i="2"/>
  <c r="I33" i="2"/>
  <c r="H33" i="2"/>
  <c r="G33" i="2"/>
  <c r="M33" i="2" s="1"/>
  <c r="B33" i="2"/>
  <c r="I32" i="2"/>
  <c r="O32" i="2" s="1"/>
  <c r="H32" i="2"/>
  <c r="G32" i="2"/>
  <c r="B32" i="2"/>
  <c r="I31" i="2"/>
  <c r="O31" i="2" s="1"/>
  <c r="H31" i="2"/>
  <c r="G31" i="2"/>
  <c r="B31" i="2"/>
  <c r="I30" i="2"/>
  <c r="O30" i="2" s="1"/>
  <c r="O29" i="2" s="1"/>
  <c r="H30" i="2"/>
  <c r="G30" i="2"/>
  <c r="B30" i="2"/>
  <c r="O28" i="2"/>
  <c r="J28" i="2"/>
  <c r="I28" i="2"/>
  <c r="Q28" i="2" s="1"/>
  <c r="H28" i="2"/>
  <c r="G28" i="2"/>
  <c r="M28" i="2" s="1"/>
  <c r="B28" i="2"/>
  <c r="O27" i="2"/>
  <c r="J27" i="2"/>
  <c r="I27" i="2"/>
  <c r="Q27" i="2" s="1"/>
  <c r="H27" i="2"/>
  <c r="G27" i="2"/>
  <c r="M27" i="2" s="1"/>
  <c r="B27" i="2"/>
  <c r="O26" i="2"/>
  <c r="J26" i="2"/>
  <c r="I26" i="2"/>
  <c r="Q26" i="2" s="1"/>
  <c r="H26" i="2"/>
  <c r="G26" i="2"/>
  <c r="M26" i="2" s="1"/>
  <c r="B26" i="2"/>
  <c r="J25" i="2"/>
  <c r="I25" i="2"/>
  <c r="Q25" i="2" s="1"/>
  <c r="H25" i="2"/>
  <c r="G25" i="2"/>
  <c r="M25" i="2" s="1"/>
  <c r="B25" i="2"/>
  <c r="O24" i="2"/>
  <c r="J24" i="2"/>
  <c r="I24" i="2"/>
  <c r="Q24" i="2" s="1"/>
  <c r="H24" i="2"/>
  <c r="G24" i="2"/>
  <c r="M24" i="2" s="1"/>
  <c r="B24" i="2"/>
  <c r="O23" i="2"/>
  <c r="J23" i="2"/>
  <c r="I23" i="2"/>
  <c r="Q23" i="2" s="1"/>
  <c r="H23" i="2"/>
  <c r="G23" i="2"/>
  <c r="M23" i="2" s="1"/>
  <c r="B23" i="2"/>
  <c r="O22" i="2"/>
  <c r="J22" i="2"/>
  <c r="I22" i="2"/>
  <c r="Q22" i="2" s="1"/>
  <c r="H22" i="2"/>
  <c r="G22" i="2"/>
  <c r="M22" i="2" s="1"/>
  <c r="B22" i="2"/>
  <c r="O21" i="2"/>
  <c r="J21" i="2"/>
  <c r="I21" i="2"/>
  <c r="Q21" i="2" s="1"/>
  <c r="H21" i="2"/>
  <c r="G21" i="2"/>
  <c r="M21" i="2" s="1"/>
  <c r="B21" i="2"/>
  <c r="O20" i="2"/>
  <c r="J20" i="2"/>
  <c r="I20" i="2"/>
  <c r="Q20" i="2" s="1"/>
  <c r="H20" i="2"/>
  <c r="G20" i="2"/>
  <c r="M20" i="2" s="1"/>
  <c r="B20" i="2"/>
  <c r="O19" i="2"/>
  <c r="J19" i="2"/>
  <c r="I19" i="2"/>
  <c r="Q19" i="2" s="1"/>
  <c r="H19" i="2"/>
  <c r="G19" i="2"/>
  <c r="M19" i="2" s="1"/>
  <c r="B19" i="2"/>
  <c r="O18" i="2"/>
  <c r="J18" i="2"/>
  <c r="I18" i="2"/>
  <c r="Q18" i="2" s="1"/>
  <c r="H18" i="2"/>
  <c r="G18" i="2"/>
  <c r="M18" i="2" s="1"/>
  <c r="B18" i="2"/>
  <c r="O17" i="2"/>
  <c r="J17" i="2"/>
  <c r="I17" i="2"/>
  <c r="Q17" i="2" s="1"/>
  <c r="H17" i="2"/>
  <c r="G17" i="2"/>
  <c r="M17" i="2" s="1"/>
  <c r="B17" i="2"/>
  <c r="O16" i="2"/>
  <c r="J16" i="2"/>
  <c r="I16" i="2"/>
  <c r="Q16" i="2" s="1"/>
  <c r="H16" i="2"/>
  <c r="G16" i="2"/>
  <c r="M16" i="2" s="1"/>
  <c r="B16" i="2"/>
  <c r="O15" i="2"/>
  <c r="J15" i="2"/>
  <c r="I15" i="2"/>
  <c r="Q15" i="2" s="1"/>
  <c r="H15" i="2"/>
  <c r="G15" i="2"/>
  <c r="M15" i="2" s="1"/>
  <c r="B15" i="2"/>
  <c r="O14" i="2"/>
  <c r="J14" i="2"/>
  <c r="I14" i="2"/>
  <c r="Q14" i="2" s="1"/>
  <c r="H14" i="2"/>
  <c r="G14" i="2"/>
  <c r="M14" i="2" s="1"/>
  <c r="B14" i="2"/>
  <c r="O13" i="2"/>
  <c r="J13" i="2"/>
  <c r="I13" i="2"/>
  <c r="Q13" i="2" s="1"/>
  <c r="H13" i="2"/>
  <c r="G13" i="2"/>
  <c r="M13" i="2" s="1"/>
  <c r="B13" i="2"/>
  <c r="O12" i="2"/>
  <c r="J12" i="2"/>
  <c r="I12" i="2"/>
  <c r="Q12" i="2" s="1"/>
  <c r="H12" i="2"/>
  <c r="G12" i="2"/>
  <c r="M12" i="2" s="1"/>
  <c r="B12" i="2"/>
  <c r="O11" i="2"/>
  <c r="J11" i="2"/>
  <c r="I11" i="2"/>
  <c r="Q11" i="2" s="1"/>
  <c r="H11" i="2"/>
  <c r="G11" i="2"/>
  <c r="M11" i="2" s="1"/>
  <c r="B11" i="2"/>
  <c r="O10" i="2"/>
  <c r="J10" i="2"/>
  <c r="I10" i="2"/>
  <c r="Q10" i="2" s="1"/>
  <c r="H10" i="2"/>
  <c r="G10" i="2"/>
  <c r="M10" i="2" s="1"/>
  <c r="B10" i="2"/>
  <c r="O9" i="2"/>
  <c r="J9" i="2"/>
  <c r="J8" i="2" s="1"/>
  <c r="C43" i="3" s="1"/>
  <c r="I9" i="2"/>
  <c r="Q9" i="2" s="1"/>
  <c r="H9" i="2"/>
  <c r="G9" i="2"/>
  <c r="M9" i="2" s="1"/>
  <c r="B9" i="2"/>
  <c r="Q8" i="2"/>
  <c r="M8" i="2"/>
  <c r="J30" i="2" l="1"/>
  <c r="M30" i="2"/>
  <c r="J32" i="2"/>
  <c r="M32" i="2"/>
  <c r="J40" i="2"/>
  <c r="M40" i="2"/>
  <c r="J45" i="2"/>
  <c r="M45" i="2"/>
  <c r="E52" i="3"/>
  <c r="G52" i="3" s="1"/>
  <c r="J73" i="2"/>
  <c r="M73" i="2"/>
  <c r="J75" i="2"/>
  <c r="M75" i="2"/>
  <c r="J77" i="2"/>
  <c r="M77" i="2"/>
  <c r="J79" i="2"/>
  <c r="M79" i="2"/>
  <c r="J81" i="2"/>
  <c r="M81" i="2"/>
  <c r="J83" i="2"/>
  <c r="M83" i="2"/>
  <c r="J85" i="2"/>
  <c r="M85" i="2"/>
  <c r="Q30" i="2"/>
  <c r="J31" i="2"/>
  <c r="M31" i="2"/>
  <c r="J36" i="2"/>
  <c r="M36" i="2"/>
  <c r="J44" i="2"/>
  <c r="M44" i="2"/>
  <c r="J46" i="2"/>
  <c r="M46" i="2"/>
  <c r="J72" i="2"/>
  <c r="M72" i="2"/>
  <c r="Q73" i="2"/>
  <c r="Q71" i="2" s="1"/>
  <c r="J74" i="2"/>
  <c r="M74" i="2"/>
  <c r="Q75" i="2"/>
  <c r="J76" i="2"/>
  <c r="M76" i="2"/>
  <c r="Q77" i="2"/>
  <c r="J78" i="2"/>
  <c r="M78" i="2"/>
  <c r="Q79" i="2"/>
  <c r="J80" i="2"/>
  <c r="M80" i="2"/>
  <c r="Q81" i="2"/>
  <c r="J82" i="2"/>
  <c r="M82" i="2"/>
  <c r="Q83" i="2"/>
  <c r="J84" i="2"/>
  <c r="M84" i="2"/>
  <c r="Q85" i="2"/>
  <c r="J86" i="2"/>
  <c r="M86" i="2"/>
  <c r="O86" i="2"/>
  <c r="O71" i="2" s="1"/>
  <c r="Q86" i="2"/>
  <c r="Q87" i="2"/>
  <c r="Q88" i="2"/>
  <c r="Q89" i="2"/>
  <c r="Q90" i="2"/>
  <c r="Q91" i="2"/>
  <c r="O25" i="2"/>
  <c r="O8" i="2" s="1"/>
  <c r="R8" i="2" s="1"/>
  <c r="D43" i="3" s="1"/>
  <c r="E43" i="3" s="1"/>
  <c r="G43" i="3" s="1"/>
  <c r="M87" i="2"/>
  <c r="M88" i="2"/>
  <c r="M89" i="2"/>
  <c r="M90" i="2"/>
  <c r="M91" i="2"/>
  <c r="E57" i="3"/>
  <c r="G57" i="3" s="1"/>
  <c r="M113" i="2"/>
  <c r="Q114" i="2"/>
  <c r="Q115" i="2"/>
  <c r="Q116" i="2"/>
  <c r="Q117" i="2"/>
  <c r="Q118" i="2"/>
  <c r="Q119" i="2"/>
  <c r="Q120" i="2"/>
  <c r="Q121" i="2"/>
  <c r="Q122" i="2"/>
  <c r="Q123" i="2"/>
  <c r="Q124" i="2"/>
  <c r="Q125" i="2"/>
  <c r="Q126" i="2"/>
  <c r="Q127" i="2"/>
  <c r="Q128" i="2"/>
  <c r="Q129" i="2"/>
  <c r="Q130" i="2"/>
  <c r="Q131" i="2"/>
  <c r="Q132" i="2"/>
  <c r="Q133" i="2"/>
  <c r="J29" i="2" l="1"/>
  <c r="C49" i="3" s="1"/>
  <c r="J71" i="2"/>
  <c r="C55" i="3" s="1"/>
  <c r="Q29" i="2"/>
  <c r="M29" i="2"/>
  <c r="Q113" i="2"/>
  <c r="R113" i="2" s="1"/>
  <c r="D59" i="3" s="1"/>
  <c r="E59" i="3" s="1"/>
  <c r="G59" i="3" s="1"/>
  <c r="M71" i="2"/>
  <c r="R71" i="2" s="1"/>
  <c r="D55" i="3" s="1"/>
  <c r="R29" i="2" l="1"/>
  <c r="D49" i="3" s="1"/>
  <c r="E55" i="3"/>
  <c r="G55" i="3" s="1"/>
  <c r="E49" i="3"/>
  <c r="G49" i="3" s="1"/>
  <c r="G61" i="3" l="1"/>
  <c r="G62" i="3" s="1"/>
</calcChain>
</file>

<file path=xl/sharedStrings.xml><?xml version="1.0" encoding="utf-8"?>
<sst xmlns="http://schemas.openxmlformats.org/spreadsheetml/2006/main" count="450" uniqueCount="185">
  <si>
    <t>Phụ lục I
(Kèm theo Quyết định số:      /QĐ-CĐKT ngày   tháng   năm 2026
của Hiệu trưởng Trường Cao đẳng Kon Tum)</t>
  </si>
  <si>
    <t>Họ và tên: …............ Ngày sinh: …..............</t>
  </si>
  <si>
    <t>Chức vụ Đảng: …..............................................................................................................................</t>
  </si>
  <si>
    <t>Chức vụ chính quyền: …......................................................................................................................</t>
  </si>
  <si>
    <t>Chức vụ đoàn thể: …..............................................................................................................................</t>
  </si>
  <si>
    <t>Đơn vị công tác: …..................................................................................................................................</t>
  </si>
  <si>
    <t>STT</t>
  </si>
  <si>
    <t>Nhiệm vụ theo quý</t>
  </si>
  <si>
    <t xml:space="preserve">Cấp trình </t>
  </si>
  <si>
    <t>Độ khó, mới, phức
tạp; phạm vi tác
động</t>
  </si>
  <si>
    <t>Sản phẩm</t>
  </si>
  <si>
    <t>Số lượng</t>
  </si>
  <si>
    <t>Thời gian hoàn thành</t>
  </si>
  <si>
    <t>Điểm chấm công việc</t>
  </si>
  <si>
    <t>Hệ số quy đổi</t>
  </si>
  <si>
    <t>Ghi chú</t>
  </si>
  <si>
    <t>(1)</t>
  </si>
  <si>
    <t>(2)</t>
  </si>
  <si>
    <t>(3)</t>
  </si>
  <si>
    <t>(4)</t>
  </si>
  <si>
    <t>(5)</t>
  </si>
  <si>
    <t>(6)</t>
  </si>
  <si>
    <t>(7)</t>
  </si>
  <si>
    <t>(8)</t>
  </si>
  <si>
    <t>(9)</t>
  </si>
  <si>
    <t>(10)</t>
  </si>
  <si>
    <t>A</t>
  </si>
  <si>
    <t xml:space="preserve"> Các nhiệm vụ theo kế hoạch (chương trình) công tác đã đề ra từ đầu năm </t>
  </si>
  <si>
    <t>I</t>
  </si>
  <si>
    <t xml:space="preserve">Trục (1) - Thực hiện mục tiêu phát triển Kinh tế - xã hội và nhiệm vụ chính trị được giao </t>
  </si>
  <si>
    <t>1</t>
  </si>
  <si>
    <t>Tổ chức thi và hoàn thiện hồ sơ lớp bồi dưỡng tiếng dân tộc thiểu số Bahnar khoá 1 năm 2026.</t>
  </si>
  <si>
    <t>Trường Cao đẳng Kon Tum</t>
  </si>
  <si>
    <t>Thường xuyên, nhiệm vụ chủ yếu là thống kê (mức độ thấp)</t>
  </si>
  <si>
    <t xml:space="preserve">Hồ sơ thi và hoàn thiện hồ sơ lớp bồi dưỡng </t>
  </si>
  <si>
    <t>2</t>
  </si>
  <si>
    <t>3</t>
  </si>
  <si>
    <t>4</t>
  </si>
  <si>
    <t>5</t>
  </si>
  <si>
    <t>6</t>
  </si>
  <si>
    <t>7</t>
  </si>
  <si>
    <t>8</t>
  </si>
  <si>
    <t>9</t>
  </si>
  <si>
    <t>10</t>
  </si>
  <si>
    <t>11</t>
  </si>
  <si>
    <t>12</t>
  </si>
  <si>
    <t>13</t>
  </si>
  <si>
    <t>14</t>
  </si>
  <si>
    <t>15</t>
  </si>
  <si>
    <t>16</t>
  </si>
  <si>
    <t>17</t>
  </si>
  <si>
    <t>18</t>
  </si>
  <si>
    <t>19</t>
  </si>
  <si>
    <t>20</t>
  </si>
  <si>
    <t>II</t>
  </si>
  <si>
    <t>Trục (2) - Hoàn thiện thể chế, đẩy mạnh phân cấp, phân quyền gắn với kiểm tra, giám sát</t>
  </si>
  <si>
    <t>III</t>
  </si>
  <si>
    <t>Trục (3) - Thúc đẩy phát triển khoa học, công nghệ, đổi mới sáng tạo và chuyển đổi số</t>
  </si>
  <si>
    <t>IV</t>
  </si>
  <si>
    <t>Trục (4) - Xây dựng đảng và hệ thống chính trị trong sạch, vững mạnh; giữ gìn đoàn kết, thống nhất nội bộ; phòng, chống tham nhũng, lãng phí, tiêu cực</t>
  </si>
  <si>
    <t>V</t>
  </si>
  <si>
    <t>Trục (5) - Phát triển văn hóa, con người, bảo đảm an sinh xã hội, nâng cao đời sống nhân dân</t>
  </si>
  <si>
    <t>VI</t>
  </si>
  <si>
    <t>Trục (6) - Củng cố quốc phòng, an ninh, giữ vững ổn định chính trị - xã hội, nâng cao hiệu quả đối ngoại và hội nhập quốc tế</t>
  </si>
  <si>
    <t>B</t>
  </si>
  <si>
    <t>Các nhiệm vụ đột xuất, phát sinh ở Quý trước phải thực hiện sang Quý sau (nếu có)</t>
  </si>
  <si>
    <t>C</t>
  </si>
  <si>
    <t>Kết quả khắc phục các khuyết điểm theo kế hoạch cá nhân đã đề ra trong quý (nếu có); yêu cầu nêu cụ thể bằng sản phẩm</t>
  </si>
  <si>
    <t>Quảng Ngãi, ngày    tháng    năm 2026</t>
  </si>
  <si>
    <t>TẬP THỂ LÃNH ĐẠO PHÒNG/KHOA</t>
  </si>
  <si>
    <t>NGƯỜI LẬP KẾ HOẠCH
 (Ký, ghi rõ họ tên)</t>
  </si>
  <si>
    <t>(Ký và ghi rõ họ tên)</t>
  </si>
  <si>
    <t>Ghi chú:
Mức độ công việc, gồm 4 mức: Thấp; Trung Bình; Cao; Khó, phức tạp và mang tính đột phá
+ Mức độ thấp: Thường xuyên, nhiệm vụ chủ yếu là thống kê: Hệ số: 1.0
+ Mức độ trung bình: Thường xuyên, nhưng có tính thống kê, tổng hợp cao hơn tháng, tác động lớn hơn báo cáo hằng tháng: Hệ số: 1.2
+ Mức độ cao: Tổng hợp, phân tích, đánh giá số liệu, không quá khó và phức tạp: Hệ số: 1.5.
+ Mức độ khó và phức tạp: Khó, phức tạp, tác động lớn, sâu rộng trong toàn Đảng: Hệ số: 2.0</t>
  </si>
  <si>
    <t>Phụ lục II
(Kèm theo Quyết định số:      /QĐ-CĐKT ngày   tháng   năm 2026
của Hiệu trưởng Trường Cao đẳng Kon Tum)</t>
  </si>
  <si>
    <t>DANH MỤC SẢN PHẨM CÔNG TÁC TRỌNG TÂM QUÝ III NĂM 2026 CỦA TRƯỜNG CAO ĐẲNG KON TUM
-----</t>
  </si>
  <si>
    <t>NHIỆM VỤ ĐỀ RA KẾ HOẠCH</t>
  </si>
  <si>
    <t>THỰC TẾ TRIỂN KHAI</t>
  </si>
  <si>
    <t>NỘI DUNG CÔNG VIỆC</t>
  </si>
  <si>
    <t>Người trực tiếp chỉ đạo</t>
  </si>
  <si>
    <t>Người phối hợp</t>
  </si>
  <si>
    <t>Đơn vị tham mưu</t>
  </si>
  <si>
    <t>Sản phẩm dự kiến hoàn thành</t>
  </si>
  <si>
    <t>Số lượng quy đổi</t>
  </si>
  <si>
    <t>KPI (số lượng)</t>
  </si>
  <si>
    <t>KPI (chất lượng)</t>
  </si>
  <si>
    <t>KPI (tiến độ)</t>
  </si>
  <si>
    <t>Thực tế hoàn thành</t>
  </si>
  <si>
    <t>Quy đổi</t>
  </si>
  <si>
    <t>Nhập tỷ lệ % mức độ đáp ứng</t>
  </si>
  <si>
    <t xml:space="preserve">Trục (1) Thực hiện mục tiêu phát triển Kinh tế - xã hội và nhiệm vụ chính trị được giao </t>
  </si>
  <si>
    <t>Phụ lục VI
(Kèm theo Quyết định số:      /QĐ-CĐKT ngày   tháng   năm 2026
của Hiệu trưởng Trường Cao đẳng Kon Tum)</t>
  </si>
  <si>
    <t>MẪU BẢN TỰ ĐÁNH GIÁ, XẾP LOẠI CÁ NHÂN QUÝ …. NĂM 2026</t>
  </si>
  <si>
    <t>ĐỐI VỚI GIÁO VỤ KHOA CỦA TRƯỜNG CAO ĐẲNG KON TUM</t>
  </si>
  <si>
    <t>UBND TỈNH QUẢNG NGÃI</t>
  </si>
  <si>
    <t>CỘNG HÒA XÃ HỘI CHỦ NGHĨA VIỆT NAM</t>
  </si>
  <si>
    <t>TRƯỜNG CAO ĐẲNG KON TUM</t>
  </si>
  <si>
    <t>Độc lập - Tự do - Hạnh Phúc</t>
  </si>
  <si>
    <t>BẢNG TỰ ĐÁNH GIÁ, XẾP LOẠI CÁ NHÂN</t>
  </si>
  <si>
    <t>Quý: …. Năm: ….</t>
  </si>
  <si>
    <t>Họ và tên:…………………................................................. Ngày sinh: ……………….........................</t>
  </si>
  <si>
    <t>Chức vụ Đảng: ………………………….……………….………….............................................……….</t>
  </si>
  <si>
    <t>Chức vụ chính quyền: ………………..………………..……………..………………………………...............</t>
  </si>
  <si>
    <t>Chức vụ đoàn thể: ……………………..…………………………………………………………………………</t>
  </si>
  <si>
    <t>Đơn vị công tác: ………………………...………………………………………………………….………………</t>
  </si>
  <si>
    <t>I. Tự đánh giá kết quả thực hiện nhiệm vụ
Trên cơ sở nhiệm vụ được giao, cá nhân tự đánh giá về kết quả thực hiện nhiệm vụ theo quý như sau:</t>
  </si>
  <si>
    <t>NHÓM TIÊU CHÍ CHUNG (30 ĐIỂM)</t>
  </si>
  <si>
    <t>TT</t>
  </si>
  <si>
    <t>TIÊU CHÍ ĐÁNH GIÁ</t>
  </si>
  <si>
    <t>Điểm tối đa</t>
  </si>
  <si>
    <t>Điểm chấm
(theo 4 mức)</t>
  </si>
  <si>
    <t>Phẩm chất chính trị, phẩm chất đạo đức và ý thức kỷ luật, kỷ cương trong thực thi nhiệm vụ</t>
  </si>
  <si>
    <t>a)</t>
  </si>
  <si>
    <t>Chấp hành đường lối, chủ trương của Đảng, chính sách, pháp luật của Nhà nước và quy định của cơ quan, tổ chức, đơn vị.</t>
  </si>
  <si>
    <t>Hướng dẫn chấm:
Mức 1 (Gương mẫu, không hạn chế): 90%-100% điểm tối đa
Mức 2 (Đáp ứng đầy đủ, hạn chế nhỏ): 70%-dưới 90% 
Mức 3 (Có hạn chế, thiếu sót): 50%-dưới 70% 
Mức 4 (Hạn chế/vi phạm nghiêm trọng): dưới 50%, kể cả 0 điểm</t>
  </si>
  <si>
    <t>b)</t>
  </si>
  <si>
    <t>Có lập trường chính trị vững vàng; giữ gìn phẩm chất đạo đức, lối sống lành mạnh; không có biểu hiện suy thoái về tư tưởng chính trị, đạo đức, lối sống.</t>
  </si>
  <si>
    <t>c)</t>
  </si>
  <si>
    <t>Thực hiện đúng chuẩn mực đạo đức nghề nghiệp; trung thực, khách quan, công bằng trong thực hiện nhiệm vụ chuyên môn.</t>
  </si>
  <si>
    <t>d)</t>
  </si>
  <si>
    <t>Không tham nhũng, tiêu cực, lãng phí; không lợi dụng vị trí công tác để vụ lợi; không để người thân, người quen lợi dụng vị trí công tác của mình để trục lợi.</t>
  </si>
  <si>
    <t>đ)</t>
  </si>
  <si>
    <t>Có tinh thần đoàn kết, hợp tác trong công tác; tích cực tham gia các hoạt động tập thể, xây dựng môi trường làm việc chuyên nghiệp.</t>
  </si>
  <si>
    <t>e)</t>
  </si>
  <si>
    <t>Có tinh thần tự phê bình và phê bình; chủ động nhận diện hạn chế, khuyết điểm của bản thân và có biện pháp khắc phục.</t>
  </si>
  <si>
    <t>g)</t>
  </si>
  <si>
    <t>Chấp hành sự phân công của tổ chức; thực hiện đầy đủ chức trách, nhiệm vụ được giao.</t>
  </si>
  <si>
    <t>h)</t>
  </si>
  <si>
    <t>Thực hiện các quy định, quy chế, nội quy của cơ quan, tổ chức, đơn vị nơi công tác; phát huy trách nhiệm của cá nhân trong xây dựng tập thể cơ quan, tổ chức, đơn vị.</t>
  </si>
  <si>
    <t>i)</t>
  </si>
  <si>
    <t>Thực hiện việc kê khai và công khai tài sản, thu nhập theo quy định.</t>
  </si>
  <si>
    <t>k)</t>
  </si>
  <si>
    <t>Báo cáo đầy đủ, trung thực, cung cấp thông tin chính xác, khách quan về những nội dung liên quan đến việc thực hiện chức trách, nhiệm vụ được giao và hoạt động của cơ quan, tổ chức, đơn vị với cấp trên khi được yêu cầu.</t>
  </si>
  <si>
    <t>Năng lực chuyên môn, nghiệp vụ theo yêu cầu của vị trí việc làm; tinh thần trách nhiệm trong thực thi nhiệm vụ; thái độ phục vụ người học, doanh nghiệp, đối tác; khả năng phối hợp trong công tác</t>
  </si>
  <si>
    <t>Năng lực chuyên môn, nghiệp vụ theo yêu cầu của vị trí việc làm: Có kiến thức chuyên sâu, toàn diện về lĩnh vực công tác được phân công; hiểu biết đầy đủ về quy định pháp luật, quy trình nghiệp vụ có liên quan đến vị trí việc làm. Thường xuyên cập nhật kiến thức mới, có khả năng nghiên cứu, phân tích, tổng hợp và vận dụng sáng tạo vào công việc; đáp ứng yêu cầu đổi mới, cải cách hành chính. Có kỹ năng xử lý công việc độc lập, làm việc nhóm hiệu quả; sử dụng thành thạo công nghệ thông tin và các công cụ hỗ trợ phục vụ chuyên môn, nghiệp vụ.</t>
  </si>
  <si>
    <t>Khả năng đáp ứng yêu cầu thực thi nhiệm vụ được giao thường xuyên, đột xuất: Nhiệm vụ thường xuyên - Có khả năng vận dụng thành thạo kiến thức chuyên môn, nghiệp vụ để xử lý công việc chuyên môn theo kế hoạch định kỳ; duy trì ổn định chất lượng chuyên môn. Nhiệm vụ đột xuất - Chủ động đề xuất giải pháp, thực hiện hiệu quả các công việc phát sinh có tính chất chuyên môn cao; có khả năng phản ứng nhanh, chính xác với yêu cầu mới.</t>
  </si>
  <si>
    <t>Tinh thần trách nhiệm trong thực hiện nhiệm vụ: Có tinh thần trách nhiệm trong việc nghiên cứu, đề xuất, tham mưu nội dung chuyên môn; chủ động tiếp cận thông tin, kịp thời điều chỉnh cách làm để phù hợp với yêu cầu mới. Tích cực cập nhật, ứng dụng kiến thức, công nghệ mới trong công việc chuyên môn; có tinh thần cầu thị, phối hợp tốt trong các hoạt động liên quan đến chuyên môn.</t>
  </si>
  <si>
    <t>Thái độ phục vụ người sử dụng dịch vụ sự nghiệp công (người học) và các tổ chức, cá nhân có liên quan; khả năng phối hợp với đồng nghiệp: Có thái độ chuẩn mực, chuyên nghiệp trong cung cấp dịch vụ sự nghiệp công; bảo đảm công bằng, minh bạch, đúng quy định trong quá trình thực hiện nhiệm vụ. Có tinh thần hợp tác, phối hợp với đồng nghiệp và các đơn vị có liên quan trong thực hiện nhiệm vụ.</t>
  </si>
  <si>
    <t>Năng lực đổi mới, sáng tạo; dám nghĩ, dám làm, dám chịu trách nhiệm vì lợi ích chung trong thực hiện nhiệm vụ</t>
  </si>
  <si>
    <t>Có sản phẩm, giải pháp đột phá, sáng tạo đem lại giá trị, hiệu quả thiết thực, tác động tích cực đến kết quả thực hiện nhiệm vụ của tổ chức, đơn vị.</t>
  </si>
  <si>
    <t>Có tinh thần chịu trách nhiệm trước kết quả công việc; chủ động nhận trách nhiệm khi có sai sót và có biện pháp khắc phục rõ ràng, cụ thể.</t>
  </si>
  <si>
    <t>Chủ động đưa ra quyết định trong phạm vi thẩm quyền, không né tránh; có tinh thần tiên phong trong thực hiện những nhiệm vụ mới.</t>
  </si>
  <si>
    <t>Tổng điểm nhóm A</t>
  </si>
  <si>
    <t>KẾT QUẢ THỰC HIỆN NHIỆM VỤ ĐƯỢC GIAO (70 ĐIỂM)</t>
  </si>
  <si>
    <t>Tiêu chí/Nội dung</t>
  </si>
  <si>
    <t>Mục tiêu, nhiệm vụ đề ra</t>
  </si>
  <si>
    <t>Kết quả sản phẩm thực tế</t>
  </si>
  <si>
    <t>Điểm KPI (%)</t>
  </si>
  <si>
    <t>Điểm đạt (= Điểm KPI x Điểm tối đa)</t>
  </si>
  <si>
    <t>Thực hiện nhiệm vụ giảng dạy theo kế hoạch; bảo đảm hồ sơ nhà giáo theo quy định (nếu có)</t>
  </si>
  <si>
    <t>Thực hiện công tác giáo vụ khoa: Tham mưu xây dựng kế hoạch đào tạo; theo dõi tiến độ chương trình đào tạo; phân công giảng dạy; xây dựng thời khóa biểu; quản lý lớp học; theo dõi giờ giảng, giờ chuẩn; quản lý học vụ; xét miễn giảm học phần, học lại, học bù, bảo lưu; rà soát điều kiện tốt nghiệp; quản lý thực hành, thực tập; phối hợp tuyển sinh, tư vấn nghề nghiệp; quản lý công tác HSSV thuộc phạm vi khoa; hỗ trợ công tác bảo đảm chất lượng, tự đánh giá và kiểm định chương trình đào tạo;...; thực hiện các nhiệm vụ hành chính khác do nhà trường, Trưởng khoa giao.</t>
  </si>
  <si>
    <t>Hướng dẫn thực tập, thực hành, thi tay nghề; giáo dục, quản lý và hỗ trợ học sinh, sinh viên (nếu có)</t>
  </si>
  <si>
    <t>Thực hiện các nhiệm vụ chuyên môn và nhiệm vụ khác được giao.</t>
  </si>
  <si>
    <t>Tham gia thực hành, thực tập tại cơ quan chuyên môn, doanh nghiệp, nâng cao kỹ năng thực hành và tiếp cận công nghệ mới (nếu có); phối hợp kết nối doanh nghiệp trong nước hỗ trợ thực tập, thực hành nghề cho HSSV.</t>
  </si>
  <si>
    <t xml:space="preserve">Tham gia xây dựng, góp ý, tổng hợp góp ý các dự thảo văn bản của nhà trường, phòng, khoa,... </t>
  </si>
  <si>
    <t>Tham gia các Hội đồng: Giám khảo, đánh giá chương trình đào tạo,...; tham gia công tác kiểm tra hồ sơ chuyên môn, dự giờ, hội giảng; chuẩn bị hồ sơ phục vụ công tác kiểm tra, giám sát...</t>
  </si>
  <si>
    <t>Trục (3) - Thúc đẩy phát triển khoa học, công nghệ, đổi mới sáng tạo và chuyển đổi số.</t>
  </si>
  <si>
    <t>Cập nhật, quản lý dữ liệu đào tạo trên phần mềm; thực hiện nghiên cứu khoa học, sáng kiến kinh nghiệm; ứng dụng công nghệ thông tin, AI trong công tác giáo vụ, số hóa hồ sơ đào tạo; thiết kế, cải tiến thiết bị đào tạo và đồ dùng dạy học (nếu có); tham gia xây dựng phòng học chuyên môn; hội thi thiết bị đào tạo tự làm, hội thi sáng tạo kỹ thuật; tham gia các hoạt động đổi mới sáng tạo; đề xuất giải pháp cải tiến quy trình hoặc chuyển đổi số,...</t>
  </si>
  <si>
    <t>Tham mưu tổ chức, hỗ trợ HSSV tham gia khởi nghiệp; báo cáo chuyên đề tại các hội nghị, hội thảo khoa học; …</t>
  </si>
  <si>
    <t>Trục (4) - Xây dựng đảng và hệ thống chính trị trong sạch, vững mạnh; giữ gìn đoàn kết, thống nhất nội bộ; phòng, chống tham nhũng, lãng phí, tiêu cực.</t>
  </si>
  <si>
    <t>Chấp hành chủ trương của Đảng, chính sách pháp luật của Nhà nước; tham gia/báo cáo sinh hoạt chuyên đề, sinh hoạt Đảng (nếu có); thực hiện đạo đức nghề nghiệp; giữ gìn đoàn kết nội bộ; thực hành tiết kiệm, chống lãng phí; chấp hành kỷ luật, kỷ cương hành chính; góp ý hoàn thiện văn bản các cấp về phòng, chống tham nhũng, lãng phí, tiêu cực;...</t>
  </si>
  <si>
    <t>Trục (5) - Phát triển văn hóa, con người, bảo đảm an sinh xã hội, nâng cao đời sống Nhân dân</t>
  </si>
  <si>
    <t>Tham gia xây dựng môi trường văn hóa công sở lành mạnh, thân thiện; tham gia các hoạt động văn hóa, văn nghệ, thể dục thể thao, đền ơn đáp nghĩa, thiện nguyện và phong trào đoàn thể. Mức độ hài lòng của nhà giáo, HSSV đối với công tác giáo vụ khoa.</t>
  </si>
  <si>
    <t>Tham gia lực lượng tự vệ cơ quan (nếu có); thực hiện giữ vững an ninh trật tự; tham gia công tác phòng cháy, chữa cháy; chủ động đấu tranh với những luận điệu sai trái, xuyên tạc; tham gia các hoạt động đối ngoại, hội nhập quốc tế (hội thảo, kết nối chuyên môn quốc tế) khi được phân công.</t>
  </si>
  <si>
    <t>Tổng điểm nhóm B</t>
  </si>
  <si>
    <t>Tổng điểm A + B</t>
  </si>
  <si>
    <t>II.</t>
  </si>
  <si>
    <t>Điều kiện bắt buộc kèm theo mức xếp loại</t>
  </si>
  <si>
    <t>Điều kiện bắt buộc</t>
  </si>
  <si>
    <t>Kết quả (Đạt/Không đạt)</t>
  </si>
  <si>
    <t>Bảng kiểm thực hiện nhiệm vụ bảo đảm sĩ số học sinh, sinh viên từ đầu đến cuối khoá học - Quý …</t>
  </si>
  <si>
    <t>III. Tự đề xuất mức xếp loại chất lượng: ……</t>
  </si>
  <si>
    <t>(Theo 04 mức: - Hoàn thành xuất sắc nhiệm vụ, 2- Hoàn thành tốt nhiệm vụ, 3- Hoàn thành nhiệm vụ và 4- Không hoàn thành nhiệm vụ)
+ Hoàn thành xuất sắc nhiệm vụ: ≥ 90 điểm; bảng kiểm sĩ số HSSV "Đạt" trong quý nếu đánh giá quý và "Đạt" mọi quý nếu đánh giá năm
+ Hoàn thành tốt nhiệm vụ: Từ 70–&lt;90 điểm; bảng kiểm sĩ số HSSV "Đạt" trong quý nếu đánh giá quý và "Đạt" mọi quý nếu đánh giá năm
+ Hoàn thành nhiệm vụ: Từ 50–&lt;70 điểm; bảng kiểm sĩ số HSSV "Đạt" trong quý nếu đánh giá quý và "Đạt" mọi quý nếu đánh giá năm
+ Không hoàn thành nhiệm vụ: Dưới 50 điểm hoặc bảng kiểm sĩ số HSSV "Không Đạt"</t>
  </si>
  <si>
    <t>TRƯỞNG PHÒNG/KHOA…</t>
  </si>
  <si>
    <t>CÁ NHÂN TỰ ĐÁNH GIÁ</t>
  </si>
  <si>
    <t>(Ký, ghi rõ họ tên)</t>
  </si>
  <si>
    <t>IV.</t>
  </si>
  <si>
    <t>Nhận xét, đánh giá của Lãnh đạo đơn vị</t>
  </si>
  <si>
    <t>-</t>
  </si>
  <si>
    <t>Chấm điểm: ….. điểm</t>
  </si>
  <si>
    <t>Đề xuất xếp loại: ….</t>
  </si>
  <si>
    <t>Quảng Ngãi, ngày ….. tháng …. năm 2026</t>
  </si>
  <si>
    <t>XÁC NHẬN CỦA TẬP THỂ LÃNH ĐẠO TRƯỜNG</t>
  </si>
  <si>
    <t>HIỆU TRƯỞNG</t>
  </si>
  <si>
    <t>(Ký, ghi rõ họ tên và đóng dấu)</t>
  </si>
  <si>
    <t>KẾ HOẠCH THỰC HIỆN NHIỆM VỤ CÔNG TÁC QUÝ III NĂM 2026 VÀ DANH MỤC SẢN PHẨM/ CÔNG VIỆC CỦA CÁ NHÂN VIÊN CHỨC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</si>
</sst>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Tháng &quot;m/yyyy"/>
    <numFmt numFmtId="165" formatCode="0.##"/>
  </numFmts>
  <fonts count="30" x14ac:knownFonts="1">
    <font>
      <sz val="11"/>
      <name val="Calibri"/>
      <charset val="1"/>
    </font>
    <font>
      <b/>
      <sz val="12"/>
      <name val="Times New Roman"/>
      <family val="1"/>
      <charset val="1"/>
    </font>
    <font>
      <b/>
      <sz val="14"/>
      <name val="Times New Roman"/>
      <family val="1"/>
      <charset val="1"/>
    </font>
    <font>
      <sz val="14"/>
      <name val="Times New Roman"/>
      <family val="1"/>
      <charset val="1"/>
    </font>
    <font>
      <sz val="12"/>
      <name val="Times New Roman"/>
      <family val="1"/>
      <charset val="1"/>
    </font>
    <font>
      <sz val="11"/>
      <name val="Times New Roman"/>
      <family val="1"/>
      <charset val="1"/>
    </font>
    <font>
      <sz val="11"/>
      <name val="Calibri"/>
      <family val="2"/>
      <charset val="1"/>
    </font>
    <font>
      <sz val="10"/>
      <name val="Times New Roman"/>
      <family val="1"/>
      <charset val="1"/>
    </font>
    <font>
      <i/>
      <sz val="14"/>
      <name val="Times New Roman"/>
      <family val="1"/>
      <charset val="1"/>
    </font>
    <font>
      <b/>
      <sz val="13"/>
      <name val="Times New Roman"/>
      <family val="1"/>
      <charset val="1"/>
    </font>
    <font>
      <sz val="13"/>
      <name val="Calibri"/>
      <family val="2"/>
      <charset val="1"/>
    </font>
    <font>
      <sz val="9"/>
      <color rgb="FFFF0000"/>
      <name val="Times New Roman"/>
      <family val="1"/>
      <charset val="1"/>
    </font>
    <font>
      <sz val="13"/>
      <color rgb="FFFF0000"/>
      <name val="Times New Roman"/>
      <family val="1"/>
      <charset val="1"/>
    </font>
    <font>
      <sz val="10"/>
      <color rgb="FFFF0000"/>
      <name val="Times New Roman"/>
      <family val="1"/>
      <charset val="1"/>
    </font>
    <font>
      <sz val="13"/>
      <name val="Times New Roman"/>
      <family val="1"/>
      <charset val="1"/>
    </font>
    <font>
      <b/>
      <sz val="13"/>
      <name val="Calibri"/>
      <family val="2"/>
      <charset val="1"/>
    </font>
    <font>
      <b/>
      <sz val="13"/>
      <color rgb="FFFF0000"/>
      <name val="Times New Roman"/>
      <family val="1"/>
      <charset val="1"/>
    </font>
    <font>
      <b/>
      <sz val="14"/>
      <color theme="1"/>
      <name val="Times New Roman"/>
      <family val="1"/>
      <charset val="1"/>
    </font>
    <font>
      <b/>
      <sz val="13"/>
      <color theme="1"/>
      <name val="Times New Roman"/>
      <family val="1"/>
      <charset val="1"/>
    </font>
    <font>
      <sz val="13"/>
      <color rgb="FF000000"/>
      <name val="Times New Roman"/>
      <family val="1"/>
      <charset val="1"/>
    </font>
    <font>
      <b/>
      <sz val="13"/>
      <color rgb="FF000000"/>
      <name val="Times New Roman"/>
      <family val="1"/>
      <charset val="1"/>
    </font>
    <font>
      <b/>
      <sz val="14"/>
      <color rgb="FF000000"/>
      <name val="Times New Roman"/>
      <family val="1"/>
      <charset val="1"/>
    </font>
    <font>
      <sz val="11"/>
      <color theme="1"/>
      <name val="Calibri"/>
      <family val="2"/>
      <charset val="1"/>
    </font>
    <font>
      <b/>
      <i/>
      <sz val="12"/>
      <name val="Times New Roman"/>
      <family val="1"/>
      <charset val="1"/>
    </font>
    <font>
      <sz val="12"/>
      <color theme="1"/>
      <name val="Times New Roman"/>
      <family val="1"/>
      <charset val="1"/>
    </font>
    <font>
      <i/>
      <sz val="12"/>
      <name val="Times New Roman"/>
      <family val="1"/>
      <charset val="1"/>
    </font>
    <font>
      <sz val="11"/>
      <color theme="1"/>
      <name val="Times New Roman"/>
      <family val="1"/>
      <charset val="1"/>
    </font>
    <font>
      <b/>
      <sz val="12"/>
      <color theme="1"/>
      <name val="Times New Roman"/>
      <family val="1"/>
      <charset val="1"/>
    </font>
    <font>
      <sz val="10"/>
      <color theme="1"/>
      <name val="Times New Roman"/>
      <family val="1"/>
      <charset val="1"/>
    </font>
    <font>
      <i/>
      <sz val="12"/>
      <color theme="1"/>
      <name val="Times New Roman"/>
      <family val="1"/>
      <charset val="1"/>
    </font>
  </fonts>
  <fills count="4">
    <fill>
      <patternFill patternType="none"/>
    </fill>
    <fill>
      <patternFill patternType="gray125"/>
    </fill>
    <fill>
      <patternFill patternType="solid">
        <fgColor rgb="FF92D050"/>
        <bgColor rgb="FFC0C0C0"/>
      </patternFill>
    </fill>
    <fill>
      <patternFill patternType="solid">
        <fgColor rgb="FFFFFF00"/>
        <bgColor rgb="FFFFFF00"/>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thin">
        <color auto="1"/>
      </left>
      <right style="thin">
        <color auto="1"/>
      </right>
      <top/>
      <bottom/>
      <diagonal/>
    </border>
    <border>
      <left/>
      <right style="thin">
        <color auto="1"/>
      </right>
      <top/>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196">
    <xf numFmtId="0" fontId="0" fillId="0" borderId="0" xfId="0"/>
    <xf numFmtId="0" fontId="2" fillId="0" borderId="0" xfId="0" applyFont="1" applyAlignment="1">
      <alignment horizontal="center" vertical="center"/>
    </xf>
    <xf numFmtId="0" fontId="3" fillId="0" borderId="0" xfId="0" applyFont="1" applyAlignment="1">
      <alignment horizontal="left" vertical="center"/>
    </xf>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vertical="center"/>
    </xf>
    <xf numFmtId="0" fontId="4" fillId="0" borderId="1" xfId="0" applyFont="1" applyBorder="1" applyAlignment="1">
      <alignment horizontal="center" vertical="center"/>
    </xf>
    <xf numFmtId="0" fontId="4" fillId="0" borderId="1" xfId="0" applyFont="1" applyBorder="1" applyAlignment="1">
      <alignment horizontal="left" vertical="center" wrapText="1"/>
    </xf>
    <xf numFmtId="0" fontId="4" fillId="0" borderId="1" xfId="0" applyFont="1" applyBorder="1" applyAlignment="1">
      <alignment horizontal="center" vertical="center" wrapText="1"/>
    </xf>
    <xf numFmtId="164" fontId="4" fillId="0" borderId="1" xfId="0" applyNumberFormat="1" applyFont="1" applyBorder="1" applyAlignment="1">
      <alignment horizontal="center" vertical="center" wrapText="1"/>
    </xf>
    <xf numFmtId="0" fontId="5" fillId="0" borderId="1" xfId="0" applyFont="1" applyBorder="1" applyAlignment="1">
      <alignment horizontal="center" vertical="center"/>
    </xf>
    <xf numFmtId="0" fontId="4" fillId="0" borderId="1" xfId="0" applyFont="1" applyBorder="1"/>
    <xf numFmtId="0" fontId="4" fillId="0" borderId="1" xfId="0" applyFont="1" applyBorder="1" applyAlignment="1">
      <alignment horizontal="left" vertical="center"/>
    </xf>
    <xf numFmtId="0" fontId="4" fillId="0" borderId="2" xfId="0" applyFont="1" applyBorder="1" applyAlignment="1">
      <alignment horizontal="left" vertical="center" wrapText="1"/>
    </xf>
    <xf numFmtId="0" fontId="4" fillId="0" borderId="3" xfId="0" applyFont="1" applyBorder="1" applyAlignment="1">
      <alignment horizontal="center" vertical="center"/>
    </xf>
    <xf numFmtId="0" fontId="6" fillId="0" borderId="1" xfId="0" applyFont="1" applyBorder="1"/>
    <xf numFmtId="0" fontId="4" fillId="0" borderId="4" xfId="0" applyFont="1" applyBorder="1" applyAlignment="1">
      <alignment horizontal="center" vertical="center" wrapText="1"/>
    </xf>
    <xf numFmtId="0" fontId="4" fillId="0" borderId="1" xfId="0" applyFont="1" applyBorder="1" applyAlignment="1">
      <alignment wrapText="1"/>
    </xf>
    <xf numFmtId="0" fontId="5" fillId="0" borderId="1" xfId="0" applyFont="1" applyBorder="1"/>
    <xf numFmtId="0" fontId="7" fillId="0" borderId="1" xfId="0" applyFont="1" applyBorder="1" applyAlignment="1">
      <alignment horizontal="center" vertical="center" wrapText="1"/>
    </xf>
    <xf numFmtId="0" fontId="4" fillId="0" borderId="1" xfId="0" applyFont="1" applyBorder="1" applyAlignment="1">
      <alignment vertical="center" wrapText="1"/>
    </xf>
    <xf numFmtId="0" fontId="1" fillId="0" borderId="0" xfId="0" applyFont="1" applyAlignment="1">
      <alignment horizontal="center" vertical="center" wrapText="1"/>
    </xf>
    <xf numFmtId="0" fontId="1" fillId="0" borderId="0" xfId="0" applyFont="1" applyAlignment="1">
      <alignment vertical="center" wrapText="1"/>
    </xf>
    <xf numFmtId="0" fontId="4" fillId="0" borderId="0" xfId="0" applyFont="1"/>
    <xf numFmtId="0" fontId="5" fillId="0" borderId="0" xfId="0" applyFont="1"/>
    <xf numFmtId="0" fontId="6" fillId="0" borderId="0" xfId="0" applyFont="1"/>
    <xf numFmtId="0" fontId="9" fillId="0" borderId="1" xfId="0" applyFont="1" applyBorder="1" applyAlignment="1">
      <alignment horizontal="center" vertical="center" wrapText="1"/>
    </xf>
    <xf numFmtId="2" fontId="9" fillId="0" borderId="1" xfId="0" applyNumberFormat="1" applyFont="1" applyBorder="1" applyAlignment="1">
      <alignment horizontal="center" vertical="center" wrapText="1"/>
    </xf>
    <xf numFmtId="2" fontId="9" fillId="2" borderId="1" xfId="0" applyNumberFormat="1" applyFont="1" applyFill="1" applyBorder="1" applyAlignment="1">
      <alignment horizontal="center" vertical="center" wrapText="1"/>
    </xf>
    <xf numFmtId="2" fontId="9" fillId="2" borderId="2" xfId="0" applyNumberFormat="1" applyFont="1" applyFill="1" applyBorder="1" applyAlignment="1">
      <alignment horizontal="center" vertical="center" wrapText="1"/>
    </xf>
    <xf numFmtId="0" fontId="9" fillId="0" borderId="2" xfId="0" applyFont="1" applyBorder="1" applyAlignment="1">
      <alignment horizontal="center" vertical="center" wrapText="1"/>
    </xf>
    <xf numFmtId="0" fontId="10" fillId="0" borderId="0" xfId="0" applyFont="1"/>
    <xf numFmtId="0" fontId="10" fillId="0" borderId="5" xfId="0" applyFont="1" applyBorder="1" applyAlignment="1">
      <alignment wrapText="1"/>
    </xf>
    <xf numFmtId="0" fontId="10" fillId="0" borderId="5" xfId="0" applyFont="1" applyBorder="1"/>
    <xf numFmtId="0" fontId="10" fillId="0" borderId="6" xfId="0" applyFont="1" applyBorder="1"/>
    <xf numFmtId="0" fontId="11" fillId="0" borderId="7" xfId="0" applyFont="1" applyBorder="1" applyAlignment="1">
      <alignment horizontal="center" vertical="top" wrapText="1"/>
    </xf>
    <xf numFmtId="0" fontId="12" fillId="0" borderId="6" xfId="0" applyFont="1" applyBorder="1" applyAlignment="1">
      <alignment wrapText="1"/>
    </xf>
    <xf numFmtId="0" fontId="10" fillId="0" borderId="1" xfId="0" applyFont="1" applyBorder="1" applyAlignment="1">
      <alignment wrapText="1"/>
    </xf>
    <xf numFmtId="0" fontId="9" fillId="0" borderId="1" xfId="0" applyFont="1" applyBorder="1" applyAlignment="1">
      <alignment vertical="center" wrapText="1"/>
    </xf>
    <xf numFmtId="0" fontId="10" fillId="0" borderId="6" xfId="0" applyFont="1" applyBorder="1" applyAlignment="1">
      <alignment wrapText="1"/>
    </xf>
    <xf numFmtId="0" fontId="9" fillId="3" borderId="0" xfId="0" applyFont="1" applyFill="1" applyAlignment="1">
      <alignment horizontal="center" vertical="center" wrapText="1"/>
    </xf>
    <xf numFmtId="0" fontId="9" fillId="3" borderId="1" xfId="0" applyFont="1" applyFill="1" applyBorder="1" applyAlignment="1">
      <alignment vertical="center" wrapText="1"/>
    </xf>
    <xf numFmtId="0" fontId="14" fillId="3" borderId="0" xfId="0" applyFont="1" applyFill="1"/>
    <xf numFmtId="0" fontId="10" fillId="3" borderId="5" xfId="0" applyFont="1" applyFill="1" applyBorder="1"/>
    <xf numFmtId="0" fontId="10" fillId="3" borderId="5" xfId="0" applyFont="1" applyFill="1" applyBorder="1" applyAlignment="1">
      <alignment wrapText="1"/>
    </xf>
    <xf numFmtId="0" fontId="15" fillId="3" borderId="5" xfId="0" applyFont="1" applyFill="1" applyBorder="1" applyAlignment="1">
      <alignment horizontal="center" vertical="center"/>
    </xf>
    <xf numFmtId="0" fontId="15" fillId="3" borderId="5" xfId="0" applyFont="1" applyFill="1" applyBorder="1" applyAlignment="1">
      <alignment horizontal="center" vertical="center"/>
    </xf>
    <xf numFmtId="2" fontId="15" fillId="3" borderId="5" xfId="0" applyNumberFormat="1" applyFont="1" applyFill="1" applyBorder="1" applyAlignment="1">
      <alignment horizontal="center" vertical="center"/>
    </xf>
    <xf numFmtId="0" fontId="14" fillId="0" borderId="1" xfId="0" applyFont="1" applyBorder="1" applyAlignment="1">
      <alignment horizontal="center" vertical="center"/>
    </xf>
    <xf numFmtId="49" fontId="4" fillId="0" borderId="1" xfId="0" applyNumberFormat="1" applyFont="1" applyBorder="1" applyAlignment="1">
      <alignment horizontal="left" vertical="center" wrapText="1"/>
    </xf>
    <xf numFmtId="0" fontId="14" fillId="0" borderId="1" xfId="0" applyFont="1" applyBorder="1" applyAlignment="1">
      <alignment horizontal="center" vertical="center" wrapText="1"/>
    </xf>
    <xf numFmtId="0" fontId="12" fillId="0" borderId="1" xfId="0" applyFont="1" applyBorder="1" applyAlignment="1">
      <alignment horizontal="center" vertical="center"/>
    </xf>
    <xf numFmtId="2" fontId="14" fillId="2" borderId="5" xfId="0" applyNumberFormat="1" applyFont="1" applyFill="1" applyBorder="1" applyAlignment="1">
      <alignment horizontal="center" vertical="center" wrapText="1"/>
    </xf>
    <xf numFmtId="2" fontId="12" fillId="0" borderId="6" xfId="0" applyNumberFormat="1" applyFont="1" applyBorder="1" applyAlignment="1">
      <alignment horizontal="center" vertical="center" wrapText="1"/>
    </xf>
    <xf numFmtId="2" fontId="12" fillId="0" borderId="1" xfId="0" applyNumberFormat="1" applyFont="1" applyBorder="1" applyAlignment="1">
      <alignment horizontal="center" vertical="center" wrapText="1"/>
    </xf>
    <xf numFmtId="2" fontId="14" fillId="2" borderId="1" xfId="0" applyNumberFormat="1" applyFont="1" applyFill="1" applyBorder="1" applyAlignment="1">
      <alignment horizontal="center" vertical="center" wrapText="1"/>
    </xf>
    <xf numFmtId="0" fontId="14" fillId="0" borderId="2" xfId="0" applyFont="1" applyBorder="1" applyAlignment="1">
      <alignment horizontal="center" vertical="center" wrapText="1"/>
    </xf>
    <xf numFmtId="0" fontId="14" fillId="0" borderId="1" xfId="0" applyFont="1" applyBorder="1" applyAlignment="1">
      <alignment wrapText="1"/>
    </xf>
    <xf numFmtId="2" fontId="12" fillId="0" borderId="3" xfId="0" applyNumberFormat="1" applyFont="1" applyBorder="1" applyAlignment="1">
      <alignment horizontal="center" vertical="center" wrapText="1"/>
    </xf>
    <xf numFmtId="0" fontId="14" fillId="0" borderId="2" xfId="0" applyFont="1" applyBorder="1" applyAlignment="1">
      <alignment horizontal="center"/>
    </xf>
    <xf numFmtId="0" fontId="14" fillId="0" borderId="3" xfId="0" applyFont="1" applyBorder="1" applyAlignment="1">
      <alignment horizontal="center" vertical="center" wrapText="1"/>
    </xf>
    <xf numFmtId="0" fontId="14" fillId="0" borderId="1" xfId="0" applyFont="1" applyBorder="1" applyAlignment="1">
      <alignment horizontal="center"/>
    </xf>
    <xf numFmtId="0" fontId="14" fillId="0" borderId="1" xfId="0" applyFont="1" applyBorder="1" applyAlignment="1">
      <alignment horizontal="center" wrapText="1"/>
    </xf>
    <xf numFmtId="0" fontId="14" fillId="0" borderId="5" xfId="0" applyFont="1" applyBorder="1" applyAlignment="1">
      <alignment wrapText="1"/>
    </xf>
    <xf numFmtId="0" fontId="12" fillId="0" borderId="1" xfId="0" applyFont="1" applyBorder="1" applyAlignment="1">
      <alignment horizontal="center" vertical="center" wrapText="1"/>
    </xf>
    <xf numFmtId="0" fontId="9" fillId="3" borderId="1" xfId="0" applyFont="1" applyFill="1" applyBorder="1" applyAlignment="1">
      <alignment horizontal="center" vertical="center" wrapText="1"/>
    </xf>
    <xf numFmtId="0" fontId="9" fillId="3" borderId="2" xfId="0" applyFont="1" applyFill="1" applyBorder="1" applyAlignment="1">
      <alignment vertical="center" wrapText="1"/>
    </xf>
    <xf numFmtId="0" fontId="14" fillId="3" borderId="8" xfId="0" applyFont="1" applyFill="1" applyBorder="1" applyAlignment="1">
      <alignment horizontal="center" vertical="center" wrapText="1"/>
    </xf>
    <xf numFmtId="0" fontId="14" fillId="3" borderId="2" xfId="0" applyFont="1" applyFill="1" applyBorder="1" applyAlignment="1">
      <alignment horizontal="center" vertical="center" wrapText="1"/>
    </xf>
    <xf numFmtId="164" fontId="14" fillId="3" borderId="2" xfId="0" applyNumberFormat="1" applyFont="1" applyFill="1" applyBorder="1" applyAlignment="1">
      <alignment horizontal="center" vertical="center" wrapText="1"/>
    </xf>
    <xf numFmtId="0" fontId="9" fillId="3" borderId="1" xfId="0" applyFont="1" applyFill="1" applyBorder="1" applyAlignment="1">
      <alignment horizontal="center" vertical="center"/>
    </xf>
    <xf numFmtId="2" fontId="9" fillId="3" borderId="1" xfId="0" applyNumberFormat="1" applyFont="1" applyFill="1" applyBorder="1" applyAlignment="1">
      <alignment horizontal="center" vertical="center"/>
    </xf>
    <xf numFmtId="0" fontId="9" fillId="3" borderId="1" xfId="0" applyFont="1" applyFill="1" applyBorder="1" applyAlignment="1">
      <alignment horizontal="center" vertical="center"/>
    </xf>
    <xf numFmtId="0" fontId="14" fillId="0" borderId="1" xfId="0" applyFont="1" applyBorder="1" applyAlignment="1">
      <alignment horizontal="left" vertical="center" wrapText="1"/>
    </xf>
    <xf numFmtId="2" fontId="12" fillId="0" borderId="5" xfId="0" applyNumberFormat="1" applyFont="1" applyBorder="1" applyAlignment="1">
      <alignment horizontal="center" vertical="center" wrapText="1"/>
    </xf>
    <xf numFmtId="2" fontId="12" fillId="0" borderId="1" xfId="0" applyNumberFormat="1" applyFont="1" applyBorder="1" applyAlignment="1">
      <alignment horizontal="left" vertical="center" wrapText="1"/>
    </xf>
    <xf numFmtId="0" fontId="14" fillId="0" borderId="3" xfId="0" applyFont="1" applyBorder="1" applyAlignment="1">
      <alignment horizontal="left" vertical="center" wrapText="1"/>
    </xf>
    <xf numFmtId="0" fontId="14" fillId="3" borderId="1" xfId="0" applyFont="1" applyFill="1" applyBorder="1" applyAlignment="1">
      <alignment horizontal="center" vertical="center" wrapText="1"/>
    </xf>
    <xf numFmtId="164" fontId="14" fillId="3" borderId="1" xfId="0" applyNumberFormat="1"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2" xfId="0" applyFont="1" applyFill="1" applyBorder="1" applyAlignment="1">
      <alignment horizontal="center" vertical="center"/>
    </xf>
    <xf numFmtId="0" fontId="9" fillId="0" borderId="1" xfId="0" applyFont="1" applyBorder="1" applyAlignment="1">
      <alignment horizontal="center" vertical="center"/>
    </xf>
    <xf numFmtId="0" fontId="16" fillId="0" borderId="1" xfId="0" applyFont="1" applyBorder="1" applyAlignment="1">
      <alignment horizontal="center" vertical="center"/>
    </xf>
    <xf numFmtId="2" fontId="12" fillId="0" borderId="1" xfId="0" applyNumberFormat="1" applyFont="1" applyBorder="1" applyAlignment="1">
      <alignment horizontal="center" vertical="center"/>
    </xf>
    <xf numFmtId="0" fontId="14" fillId="0" borderId="1" xfId="0" applyFont="1" applyBorder="1" applyAlignment="1">
      <alignment vertical="center" wrapText="1"/>
    </xf>
    <xf numFmtId="0" fontId="9" fillId="3" borderId="8" xfId="0" applyFont="1" applyFill="1" applyBorder="1" applyAlignment="1">
      <alignment horizontal="center" vertical="center" wrapText="1"/>
    </xf>
    <xf numFmtId="0" fontId="9" fillId="3" borderId="8" xfId="0" applyFont="1" applyFill="1" applyBorder="1" applyAlignment="1">
      <alignment vertical="center" wrapText="1"/>
    </xf>
    <xf numFmtId="164" fontId="14" fillId="3" borderId="8" xfId="0" applyNumberFormat="1" applyFont="1" applyFill="1" applyBorder="1" applyAlignment="1">
      <alignment horizontal="center" vertical="center" wrapText="1"/>
    </xf>
    <xf numFmtId="0" fontId="9" fillId="3" borderId="8" xfId="0" applyFont="1" applyFill="1" applyBorder="1" applyAlignment="1">
      <alignment horizontal="center" vertical="center"/>
    </xf>
    <xf numFmtId="0" fontId="9" fillId="3" borderId="8" xfId="0" applyFont="1" applyFill="1" applyBorder="1" applyAlignment="1">
      <alignment horizontal="center" vertical="center"/>
    </xf>
    <xf numFmtId="0" fontId="9" fillId="3" borderId="5" xfId="0" applyFont="1" applyFill="1" applyBorder="1" applyAlignment="1">
      <alignment horizontal="center" vertical="center" wrapText="1"/>
    </xf>
    <xf numFmtId="0" fontId="9" fillId="3" borderId="5" xfId="0" applyFont="1" applyFill="1" applyBorder="1" applyAlignment="1">
      <alignment vertical="center" wrapText="1"/>
    </xf>
    <xf numFmtId="0" fontId="14" fillId="3" borderId="9" xfId="0" applyFont="1" applyFill="1" applyBorder="1" applyAlignment="1">
      <alignment horizontal="center" vertical="center" wrapText="1"/>
    </xf>
    <xf numFmtId="0" fontId="14" fillId="3" borderId="5" xfId="0" applyFont="1" applyFill="1" applyBorder="1" applyAlignment="1">
      <alignment horizontal="center" vertical="center" wrapText="1"/>
    </xf>
    <xf numFmtId="164" fontId="14" fillId="3" borderId="5" xfId="0" applyNumberFormat="1" applyFont="1" applyFill="1" applyBorder="1" applyAlignment="1">
      <alignment horizontal="center" vertical="center" wrapText="1"/>
    </xf>
    <xf numFmtId="0" fontId="9" fillId="3" borderId="5" xfId="0" applyFont="1" applyFill="1" applyBorder="1" applyAlignment="1">
      <alignment horizontal="center" vertical="center"/>
    </xf>
    <xf numFmtId="0" fontId="9" fillId="3" borderId="5" xfId="0" applyFont="1" applyFill="1" applyBorder="1" applyAlignment="1">
      <alignment horizontal="center" vertical="center"/>
    </xf>
    <xf numFmtId="164" fontId="4" fillId="0" borderId="2" xfId="0" applyNumberFormat="1" applyFont="1" applyBorder="1" applyAlignment="1">
      <alignment horizontal="center" vertical="center" wrapText="1"/>
    </xf>
    <xf numFmtId="0" fontId="14" fillId="0" borderId="2" xfId="0" applyFont="1" applyBorder="1" applyAlignment="1">
      <alignment horizontal="center" vertical="center"/>
    </xf>
    <xf numFmtId="1" fontId="12" fillId="0" borderId="10" xfId="0" applyNumberFormat="1" applyFont="1" applyBorder="1" applyAlignment="1">
      <alignment horizontal="center" vertical="center" wrapText="1"/>
    </xf>
    <xf numFmtId="0" fontId="9" fillId="0" borderId="11" xfId="0" applyFont="1" applyBorder="1" applyAlignment="1">
      <alignment vertical="center" wrapText="1"/>
    </xf>
    <xf numFmtId="1" fontId="12" fillId="0" borderId="3" xfId="0" applyNumberFormat="1" applyFont="1" applyBorder="1" applyAlignment="1">
      <alignment horizontal="center" vertical="center" wrapText="1"/>
    </xf>
    <xf numFmtId="0" fontId="9" fillId="0" borderId="4" xfId="0" applyFont="1" applyBorder="1" applyAlignment="1">
      <alignment vertical="center" wrapText="1"/>
    </xf>
    <xf numFmtId="1" fontId="12" fillId="0" borderId="1" xfId="0" applyNumberFormat="1" applyFont="1" applyBorder="1" applyAlignment="1">
      <alignment horizontal="center" vertical="center" wrapText="1"/>
    </xf>
    <xf numFmtId="0" fontId="19" fillId="0" borderId="0" xfId="0" applyFont="1" applyAlignment="1">
      <alignment horizontal="center" vertical="center" wrapText="1"/>
    </xf>
    <xf numFmtId="0" fontId="20" fillId="0" borderId="0" xfId="0" applyFont="1" applyAlignment="1">
      <alignment horizontal="center" vertical="center" wrapText="1"/>
    </xf>
    <xf numFmtId="0" fontId="21" fillId="0" borderId="0" xfId="0" applyFont="1" applyAlignment="1">
      <alignment horizontal="center" vertical="center" wrapText="1"/>
    </xf>
    <xf numFmtId="0" fontId="4" fillId="0" borderId="0" xfId="0" applyFont="1" applyAlignment="1">
      <alignment horizontal="left" vertical="center"/>
    </xf>
    <xf numFmtId="0" fontId="1" fillId="0" borderId="1" xfId="0" applyFont="1" applyBorder="1" applyAlignment="1">
      <alignment horizontal="justify" vertical="center" wrapText="1"/>
    </xf>
    <xf numFmtId="0" fontId="1" fillId="0" borderId="1" xfId="0" applyFont="1" applyBorder="1" applyAlignment="1" applyProtection="1">
      <alignment horizontal="center" vertical="center"/>
      <protection hidden="1"/>
    </xf>
    <xf numFmtId="2" fontId="1" fillId="0" borderId="1" xfId="0" applyNumberFormat="1" applyFont="1" applyBorder="1" applyAlignment="1">
      <alignment horizontal="center" vertical="center" wrapText="1"/>
    </xf>
    <xf numFmtId="0" fontId="4" fillId="0" borderId="1" xfId="0" applyFont="1" applyBorder="1" applyAlignment="1" applyProtection="1">
      <alignment horizontal="center" vertical="center"/>
      <protection hidden="1"/>
    </xf>
    <xf numFmtId="165" fontId="4" fillId="0" borderId="1" xfId="0" applyNumberFormat="1" applyFont="1" applyBorder="1" applyAlignment="1">
      <alignment horizontal="center" vertical="center" wrapText="1"/>
    </xf>
    <xf numFmtId="0" fontId="22" fillId="0" borderId="0" xfId="0" applyFont="1" applyAlignment="1">
      <alignment wrapText="1"/>
    </xf>
    <xf numFmtId="0" fontId="23" fillId="0" borderId="1" xfId="0" applyFont="1" applyBorder="1" applyAlignment="1">
      <alignment horizontal="center" vertical="center" wrapText="1"/>
    </xf>
    <xf numFmtId="0" fontId="24" fillId="0" borderId="1" xfId="0" applyFont="1" applyBorder="1" applyAlignment="1">
      <alignment wrapText="1"/>
    </xf>
    <xf numFmtId="0" fontId="25" fillId="0" borderId="1" xfId="0" applyFont="1" applyBorder="1" applyAlignment="1">
      <alignment vertical="center" wrapText="1"/>
    </xf>
    <xf numFmtId="0" fontId="4" fillId="0" borderId="1" xfId="0" applyFont="1" applyBorder="1" applyAlignment="1">
      <alignment horizontal="justify" vertical="center" wrapText="1"/>
    </xf>
    <xf numFmtId="0" fontId="24" fillId="0" borderId="1" xfId="0" applyFont="1" applyBorder="1" applyAlignment="1">
      <alignment horizontal="justify" vertical="center" wrapText="1"/>
    </xf>
    <xf numFmtId="0" fontId="24" fillId="0" borderId="1" xfId="0" applyFont="1" applyBorder="1" applyAlignment="1">
      <alignment horizontal="justify" wrapText="1"/>
    </xf>
    <xf numFmtId="0" fontId="1" fillId="0" borderId="1" xfId="0" applyFont="1" applyBorder="1" applyAlignment="1">
      <alignment vertical="center" wrapText="1"/>
    </xf>
    <xf numFmtId="0" fontId="23" fillId="0" borderId="1" xfId="0" applyFont="1" applyBorder="1" applyAlignment="1">
      <alignment vertical="center" wrapText="1"/>
    </xf>
    <xf numFmtId="0" fontId="26" fillId="0" borderId="1" xfId="0" applyFont="1" applyBorder="1" applyAlignment="1">
      <alignment horizontal="justify" wrapText="1"/>
    </xf>
    <xf numFmtId="0" fontId="4" fillId="0" borderId="1" xfId="0" applyFont="1" applyBorder="1" applyAlignment="1">
      <alignment vertical="top" wrapText="1"/>
    </xf>
    <xf numFmtId="0" fontId="27" fillId="0" borderId="0" xfId="0" applyFont="1" applyAlignment="1">
      <alignment horizontal="center"/>
    </xf>
    <xf numFmtId="0" fontId="28" fillId="0" borderId="0" xfId="0" applyFont="1" applyAlignment="1">
      <alignment horizontal="center" wrapText="1"/>
    </xf>
    <xf numFmtId="0" fontId="1" fillId="0" borderId="1" xfId="0" applyFont="1" applyBorder="1"/>
    <xf numFmtId="0" fontId="1" fillId="0" borderId="1" xfId="0" applyFont="1" applyBorder="1" applyAlignment="1">
      <alignment vertical="center"/>
    </xf>
    <xf numFmtId="0" fontId="1" fillId="0" borderId="0" xfId="0" applyFont="1" applyAlignment="1">
      <alignment vertical="center"/>
    </xf>
    <xf numFmtId="0" fontId="1" fillId="0" borderId="0" xfId="0" applyFont="1"/>
    <xf numFmtId="2" fontId="1" fillId="0" borderId="0" xfId="0" applyNumberFormat="1" applyFont="1" applyAlignment="1">
      <alignment horizontal="center" vertical="center" wrapText="1"/>
    </xf>
    <xf numFmtId="0" fontId="1" fillId="0" borderId="0" xfId="0" applyFont="1" applyAlignment="1">
      <alignment wrapText="1"/>
    </xf>
    <xf numFmtId="0" fontId="5" fillId="0" borderId="1" xfId="0" applyFont="1" applyBorder="1" applyAlignment="1">
      <alignment horizontal="center" vertical="top" wrapText="1"/>
    </xf>
    <xf numFmtId="0" fontId="25" fillId="0" borderId="0" xfId="0" applyFont="1" applyAlignment="1">
      <alignment vertical="center"/>
    </xf>
    <xf numFmtId="0" fontId="25" fillId="0" borderId="0" xfId="0" applyFont="1" applyAlignment="1">
      <alignment horizontal="left" vertical="center" wrapText="1"/>
    </xf>
    <xf numFmtId="0" fontId="25" fillId="0" borderId="0" xfId="0" applyFont="1" applyAlignment="1">
      <alignment horizontal="center" vertical="center" wrapText="1"/>
    </xf>
    <xf numFmtId="0" fontId="27" fillId="0" borderId="0" xfId="0" applyFont="1" applyAlignment="1">
      <alignment horizontal="center" vertical="center"/>
    </xf>
    <xf numFmtId="0" fontId="2" fillId="0" borderId="0" xfId="0" applyFont="1" applyAlignment="1">
      <alignment vertical="center" wrapText="1"/>
    </xf>
    <xf numFmtId="0" fontId="29" fillId="0" borderId="0" xfId="0" applyFont="1" applyAlignment="1">
      <alignment horizontal="center" vertical="center"/>
    </xf>
    <xf numFmtId="0" fontId="8" fillId="0" borderId="0" xfId="0" applyFont="1" applyAlignment="1">
      <alignment vertical="center"/>
    </xf>
    <xf numFmtId="0" fontId="3" fillId="0" borderId="0" xfId="0" applyFont="1"/>
    <xf numFmtId="0" fontId="2" fillId="0" borderId="0" xfId="0" applyFont="1"/>
    <xf numFmtId="0" fontId="1"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vertical="center"/>
    </xf>
    <xf numFmtId="0" fontId="23" fillId="0" borderId="0" xfId="0" applyFont="1" applyAlignment="1">
      <alignment vertical="center"/>
    </xf>
    <xf numFmtId="0" fontId="1" fillId="0" borderId="0" xfId="0" applyFont="1" applyAlignment="1">
      <alignment horizontal="center"/>
    </xf>
    <xf numFmtId="0" fontId="25" fillId="0" borderId="0" xfId="0" applyFont="1" applyAlignment="1">
      <alignment horizontal="center"/>
    </xf>
    <xf numFmtId="0" fontId="4" fillId="0" borderId="0" xfId="0" applyFont="1" applyAlignment="1">
      <alignment horizontal="center"/>
    </xf>
    <xf numFmtId="0" fontId="1" fillId="0" borderId="0" xfId="0" applyFont="1" applyBorder="1" applyAlignment="1">
      <alignment horizontal="center" wrapText="1"/>
    </xf>
    <xf numFmtId="0" fontId="2" fillId="0" borderId="0" xfId="0" applyFont="1" applyBorder="1" applyAlignment="1">
      <alignment horizontal="center" vertical="center" wrapText="1"/>
    </xf>
    <xf numFmtId="0" fontId="3" fillId="0" borderId="0" xfId="0" applyFont="1" applyBorder="1" applyAlignment="1">
      <alignment horizontal="left" vertical="center" wrapText="1"/>
    </xf>
    <xf numFmtId="0" fontId="3" fillId="0" borderId="0" xfId="0" applyFont="1" applyBorder="1" applyAlignment="1">
      <alignment horizontal="left" vertical="center"/>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1" fillId="0" borderId="5" xfId="0" applyFont="1" applyBorder="1" applyAlignment="1">
      <alignment horizontal="left" vertical="center" wrapText="1"/>
    </xf>
    <xf numFmtId="0" fontId="8" fillId="0" borderId="0" xfId="0" applyFont="1" applyBorder="1" applyAlignment="1">
      <alignment horizontal="center" vertical="center"/>
    </xf>
    <xf numFmtId="0" fontId="2" fillId="0" borderId="0" xfId="0" applyFont="1" applyBorder="1" applyAlignment="1">
      <alignment horizontal="center" vertical="top" wrapText="1"/>
    </xf>
    <xf numFmtId="0" fontId="8" fillId="0" borderId="0" xfId="0" applyFont="1" applyBorder="1" applyAlignment="1">
      <alignment horizontal="center" vertical="center" wrapText="1"/>
    </xf>
    <xf numFmtId="0" fontId="8" fillId="0" borderId="0" xfId="0" applyFont="1" applyBorder="1" applyAlignment="1">
      <alignment horizontal="center" vertical="top" wrapText="1"/>
    </xf>
    <xf numFmtId="0" fontId="5" fillId="0" borderId="0" xfId="0" applyFont="1" applyBorder="1" applyAlignment="1">
      <alignment horizontal="center" wrapText="1"/>
    </xf>
    <xf numFmtId="0" fontId="2" fillId="0" borderId="0" xfId="0" applyFont="1" applyBorder="1" applyAlignment="1">
      <alignment horizontal="center" vertical="center"/>
    </xf>
    <xf numFmtId="0" fontId="5" fillId="0" borderId="0" xfId="0" applyFont="1" applyBorder="1" applyAlignment="1">
      <alignment horizontal="left" vertical="top" wrapText="1"/>
    </xf>
    <xf numFmtId="0" fontId="9" fillId="0" borderId="0" xfId="0" applyFont="1" applyBorder="1" applyAlignment="1">
      <alignment horizontal="center" wrapText="1"/>
    </xf>
    <xf numFmtId="0" fontId="9" fillId="0" borderId="0" xfId="0" applyFont="1" applyBorder="1" applyAlignment="1">
      <alignment horizontal="center" vertical="center" wrapText="1"/>
    </xf>
    <xf numFmtId="0" fontId="9" fillId="0" borderId="1" xfId="0" applyFont="1" applyBorder="1" applyAlignment="1">
      <alignment horizontal="center" vertical="center" wrapText="1"/>
    </xf>
    <xf numFmtId="2" fontId="9" fillId="0" borderId="1" xfId="0" applyNumberFormat="1" applyFont="1" applyBorder="1" applyAlignment="1">
      <alignment horizontal="center" vertical="center" wrapText="1"/>
    </xf>
    <xf numFmtId="0" fontId="13" fillId="0" borderId="1" xfId="0" applyFont="1" applyBorder="1" applyAlignment="1">
      <alignment horizontal="center" vertical="top" wrapText="1"/>
    </xf>
    <xf numFmtId="0" fontId="17" fillId="0" borderId="0" xfId="0" applyFont="1" applyBorder="1" applyAlignment="1">
      <alignment horizontal="center" vertical="center" wrapText="1"/>
    </xf>
    <xf numFmtId="0" fontId="18" fillId="0" borderId="0" xfId="0" applyFont="1" applyBorder="1" applyAlignment="1">
      <alignment horizontal="center" vertical="center"/>
    </xf>
    <xf numFmtId="0" fontId="19" fillId="0" borderId="0" xfId="0" applyFont="1" applyBorder="1" applyAlignment="1">
      <alignment horizontal="center" vertical="center" wrapText="1"/>
    </xf>
    <xf numFmtId="0" fontId="20" fillId="0" borderId="0" xfId="0" applyFont="1" applyBorder="1" applyAlignment="1">
      <alignment horizontal="center" vertical="center" wrapText="1"/>
    </xf>
    <xf numFmtId="0" fontId="21" fillId="0" borderId="0" xfId="0" applyFont="1" applyBorder="1" applyAlignment="1">
      <alignment horizontal="center" vertical="center" wrapText="1"/>
    </xf>
    <xf numFmtId="0" fontId="21" fillId="0" borderId="0" xfId="0" applyFont="1" applyBorder="1" applyAlignment="1">
      <alignment horizontal="center" vertical="center"/>
    </xf>
    <xf numFmtId="0" fontId="4" fillId="0" borderId="0" xfId="0" applyFont="1" applyBorder="1" applyAlignment="1">
      <alignment horizontal="left" vertical="center" wrapText="1"/>
    </xf>
    <xf numFmtId="0" fontId="4" fillId="0" borderId="0" xfId="0" applyFont="1" applyBorder="1" applyAlignment="1">
      <alignment horizontal="left" vertical="center"/>
    </xf>
    <xf numFmtId="0" fontId="4" fillId="0" borderId="1" xfId="0" applyFont="1" applyBorder="1" applyAlignment="1">
      <alignment horizontal="left" vertical="center" wrapText="1"/>
    </xf>
    <xf numFmtId="0" fontId="1" fillId="0" borderId="1" xfId="0" applyFont="1" applyBorder="1" applyAlignment="1">
      <alignment horizontal="justify" vertical="center" wrapText="1"/>
    </xf>
    <xf numFmtId="49" fontId="1" fillId="0" borderId="1" xfId="0" applyNumberFormat="1" applyFont="1" applyBorder="1" applyAlignment="1" applyProtection="1">
      <alignment horizontal="center" vertical="center"/>
      <protection hidden="1"/>
    </xf>
    <xf numFmtId="0" fontId="1" fillId="0" borderId="1" xfId="0" applyFont="1" applyBorder="1" applyAlignment="1">
      <alignment horizontal="center" vertical="center" wrapText="1"/>
    </xf>
    <xf numFmtId="0" fontId="1" fillId="0" borderId="1" xfId="0" applyFont="1" applyBorder="1" applyAlignment="1" applyProtection="1">
      <alignment horizontal="left" vertical="center" wrapText="1"/>
      <protection hidden="1"/>
    </xf>
    <xf numFmtId="0" fontId="4" fillId="0" borderId="1" xfId="0" applyFont="1" applyBorder="1" applyAlignment="1" applyProtection="1">
      <alignment horizontal="left" vertical="center" wrapText="1"/>
      <protection hidden="1"/>
    </xf>
    <xf numFmtId="0" fontId="4" fillId="0" borderId="1" xfId="0" applyFont="1" applyBorder="1" applyAlignment="1" applyProtection="1">
      <alignment vertical="top" wrapText="1"/>
      <protection hidden="1"/>
    </xf>
    <xf numFmtId="0" fontId="4" fillId="0" borderId="1" xfId="0" applyFont="1" applyBorder="1" applyAlignment="1" applyProtection="1">
      <alignment horizontal="left" vertical="top" wrapText="1"/>
      <protection locked="0" hidden="1"/>
    </xf>
    <xf numFmtId="0" fontId="1" fillId="0" borderId="3" xfId="0" applyFont="1" applyBorder="1" applyAlignment="1" applyProtection="1">
      <alignment horizontal="left" vertical="center" wrapText="1"/>
      <protection hidden="1"/>
    </xf>
    <xf numFmtId="0" fontId="4" fillId="0" borderId="1" xfId="0" applyFont="1" applyBorder="1" applyAlignment="1" applyProtection="1">
      <alignment horizontal="left" vertical="center" wrapText="1"/>
      <protection locked="0" hidden="1"/>
    </xf>
    <xf numFmtId="0" fontId="1" fillId="0" borderId="7" xfId="0" applyFont="1" applyBorder="1" applyAlignment="1">
      <alignment horizontal="left" wrapText="1"/>
    </xf>
    <xf numFmtId="0" fontId="5" fillId="0" borderId="1" xfId="0" applyFont="1" applyBorder="1" applyAlignment="1">
      <alignment horizontal="center" vertical="top" wrapText="1"/>
    </xf>
    <xf numFmtId="0" fontId="27" fillId="0" borderId="0" xfId="0" applyFont="1" applyBorder="1" applyAlignment="1">
      <alignment horizontal="left" vertical="center" wrapText="1"/>
    </xf>
    <xf numFmtId="0" fontId="25" fillId="0" borderId="0" xfId="0" applyFont="1" applyBorder="1" applyAlignment="1">
      <alignment horizontal="left" vertical="center" wrapText="1"/>
    </xf>
    <xf numFmtId="0" fontId="25" fillId="0" borderId="0" xfId="0" applyFont="1" applyBorder="1" applyAlignment="1">
      <alignment horizontal="center"/>
    </xf>
    <xf numFmtId="0" fontId="1" fillId="0" borderId="0" xfId="0" applyFont="1" applyBorder="1" applyAlignment="1">
      <alignment horizontal="center" vertical="center"/>
    </xf>
    <xf numFmtId="0" fontId="1" fillId="0" borderId="0" xfId="0" applyFont="1" applyBorder="1" applyAlignment="1">
      <alignment horizontal="center" vertical="center" wrapText="1"/>
    </xf>
    <xf numFmtId="0" fontId="25" fillId="0" borderId="0" xfId="0" applyFont="1" applyBorder="1" applyAlignment="1">
      <alignment horizontal="center" vertical="center"/>
    </xf>
    <xf numFmtId="0" fontId="1"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2D05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Theme">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9"/>
  <sheetViews>
    <sheetView zoomScaleNormal="100" workbookViewId="0">
      <selection activeCell="A2" sqref="A2:J2"/>
    </sheetView>
  </sheetViews>
  <sheetFormatPr defaultColWidth="14.42578125" defaultRowHeight="15" x14ac:dyDescent="0.25"/>
  <cols>
    <col min="1" max="1" width="5.28515625" customWidth="1"/>
    <col min="2" max="2" width="33" customWidth="1"/>
    <col min="3" max="3" width="13.7109375" customWidth="1"/>
    <col min="4" max="4" width="20.7109375" customWidth="1"/>
    <col min="5" max="5" width="13" customWidth="1"/>
    <col min="6" max="6" width="11.85546875" customWidth="1"/>
    <col min="7" max="7" width="15.85546875" customWidth="1"/>
    <col min="8" max="8" width="9.7109375" customWidth="1"/>
    <col min="9" max="9" width="7.5703125" customWidth="1"/>
    <col min="10" max="10" width="6.5703125" customWidth="1"/>
  </cols>
  <sheetData>
    <row r="1" spans="1:10" ht="14.25" customHeight="1" x14ac:dyDescent="0.25">
      <c r="A1" s="150" t="s">
        <v>0</v>
      </c>
      <c r="B1" s="150"/>
      <c r="C1" s="150"/>
      <c r="D1" s="150"/>
      <c r="E1" s="150"/>
      <c r="F1" s="150"/>
      <c r="G1" s="150"/>
      <c r="H1" s="150"/>
      <c r="I1" s="150"/>
      <c r="J1" s="150"/>
    </row>
    <row r="2" spans="1:10" ht="45" customHeight="1" x14ac:dyDescent="0.25">
      <c r="A2" s="151" t="s">
        <v>184</v>
      </c>
      <c r="B2" s="151"/>
      <c r="C2" s="151"/>
      <c r="D2" s="151"/>
      <c r="E2" s="151"/>
      <c r="F2" s="151"/>
      <c r="G2" s="151"/>
      <c r="H2" s="151"/>
      <c r="I2" s="151"/>
      <c r="J2" s="151"/>
    </row>
    <row r="3" spans="1:10" ht="13.5" customHeight="1" x14ac:dyDescent="0.25">
      <c r="A3" s="1"/>
      <c r="B3" s="1"/>
      <c r="C3" s="1"/>
      <c r="D3" s="1"/>
      <c r="E3" s="1"/>
      <c r="F3" s="1"/>
      <c r="G3" s="1"/>
      <c r="H3" s="1"/>
      <c r="I3" s="1"/>
      <c r="J3" s="1"/>
    </row>
    <row r="4" spans="1:10" ht="25.5" customHeight="1" x14ac:dyDescent="0.25">
      <c r="A4" s="1"/>
      <c r="B4" s="152" t="s">
        <v>1</v>
      </c>
      <c r="C4" s="152"/>
      <c r="D4" s="152"/>
      <c r="E4" s="152"/>
      <c r="F4" s="152"/>
      <c r="G4" s="152"/>
      <c r="H4" s="152"/>
      <c r="I4" s="152"/>
      <c r="J4" s="152"/>
    </row>
    <row r="5" spans="1:10" ht="24" customHeight="1" x14ac:dyDescent="0.25">
      <c r="A5" s="1"/>
      <c r="B5" s="152" t="s">
        <v>2</v>
      </c>
      <c r="C5" s="152"/>
      <c r="D5" s="152"/>
      <c r="E5" s="152"/>
      <c r="F5" s="152"/>
      <c r="G5" s="152"/>
      <c r="H5" s="152"/>
      <c r="I5" s="152"/>
      <c r="J5" s="152"/>
    </row>
    <row r="6" spans="1:10" ht="24" customHeight="1" x14ac:dyDescent="0.25">
      <c r="A6" s="1"/>
      <c r="B6" s="152" t="s">
        <v>3</v>
      </c>
      <c r="C6" s="152"/>
      <c r="D6" s="152"/>
      <c r="E6" s="152"/>
      <c r="F6" s="152"/>
      <c r="G6" s="152"/>
      <c r="H6" s="152"/>
      <c r="I6" s="152"/>
      <c r="J6" s="152"/>
    </row>
    <row r="7" spans="1:10" ht="24.75" customHeight="1" x14ac:dyDescent="0.25">
      <c r="A7" s="1"/>
      <c r="B7" s="152" t="s">
        <v>4</v>
      </c>
      <c r="C7" s="152"/>
      <c r="D7" s="152"/>
      <c r="E7" s="152"/>
      <c r="F7" s="152"/>
      <c r="G7" s="152"/>
      <c r="H7" s="152"/>
      <c r="I7" s="152"/>
      <c r="J7" s="152"/>
    </row>
    <row r="8" spans="1:10" ht="22.5" customHeight="1" x14ac:dyDescent="0.25">
      <c r="A8" s="1"/>
      <c r="B8" s="153" t="s">
        <v>5</v>
      </c>
      <c r="C8" s="153"/>
      <c r="D8" s="153"/>
      <c r="E8" s="153"/>
      <c r="F8" s="153"/>
      <c r="G8" s="153"/>
      <c r="H8" s="153"/>
      <c r="I8" s="153"/>
      <c r="J8" s="153"/>
    </row>
    <row r="9" spans="1:10" ht="16.5" customHeight="1" x14ac:dyDescent="0.25">
      <c r="A9" s="1"/>
      <c r="B9" s="2"/>
      <c r="C9" s="2"/>
      <c r="D9" s="2"/>
      <c r="E9" s="2"/>
      <c r="F9" s="2"/>
      <c r="G9" s="2"/>
      <c r="H9" s="2"/>
      <c r="I9" s="2"/>
      <c r="J9" s="2"/>
    </row>
    <row r="10" spans="1:10" ht="63" customHeight="1" x14ac:dyDescent="0.25">
      <c r="A10" s="3" t="s">
        <v>6</v>
      </c>
      <c r="B10" s="3" t="s">
        <v>7</v>
      </c>
      <c r="C10" s="3" t="s">
        <v>8</v>
      </c>
      <c r="D10" s="3" t="s">
        <v>9</v>
      </c>
      <c r="E10" s="3" t="s">
        <v>10</v>
      </c>
      <c r="F10" s="3" t="s">
        <v>11</v>
      </c>
      <c r="G10" s="3" t="s">
        <v>12</v>
      </c>
      <c r="H10" s="3" t="s">
        <v>13</v>
      </c>
      <c r="I10" s="3" t="s">
        <v>14</v>
      </c>
      <c r="J10" s="3" t="s">
        <v>15</v>
      </c>
    </row>
    <row r="11" spans="1:10" ht="23.25" customHeight="1" x14ac:dyDescent="0.25">
      <c r="A11" s="3" t="s">
        <v>16</v>
      </c>
      <c r="B11" s="3" t="s">
        <v>17</v>
      </c>
      <c r="C11" s="3" t="s">
        <v>18</v>
      </c>
      <c r="D11" s="3" t="s">
        <v>19</v>
      </c>
      <c r="E11" s="3" t="s">
        <v>20</v>
      </c>
      <c r="F11" s="3" t="s">
        <v>21</v>
      </c>
      <c r="G11" s="3" t="s">
        <v>22</v>
      </c>
      <c r="H11" s="3" t="s">
        <v>23</v>
      </c>
      <c r="I11" s="3" t="s">
        <v>24</v>
      </c>
      <c r="J11" s="3" t="s">
        <v>25</v>
      </c>
    </row>
    <row r="12" spans="1:10" ht="22.5" customHeight="1" x14ac:dyDescent="0.25">
      <c r="A12" s="3" t="s">
        <v>26</v>
      </c>
      <c r="B12" s="154" t="s">
        <v>27</v>
      </c>
      <c r="C12" s="154"/>
      <c r="D12" s="154"/>
      <c r="E12" s="154"/>
      <c r="F12" s="154"/>
      <c r="G12" s="154"/>
      <c r="H12" s="154"/>
      <c r="I12" s="154"/>
      <c r="J12" s="154"/>
    </row>
    <row r="13" spans="1:10" ht="27" customHeight="1" x14ac:dyDescent="0.25">
      <c r="A13" s="5" t="s">
        <v>28</v>
      </c>
      <c r="B13" s="154" t="s">
        <v>29</v>
      </c>
      <c r="C13" s="154"/>
      <c r="D13" s="154"/>
      <c r="E13" s="154"/>
      <c r="F13" s="154"/>
      <c r="G13" s="154"/>
      <c r="H13" s="154"/>
      <c r="I13" s="154"/>
      <c r="J13" s="154"/>
    </row>
    <row r="14" spans="1:10" ht="75" customHeight="1" x14ac:dyDescent="0.25">
      <c r="A14" s="6" t="s">
        <v>30</v>
      </c>
      <c r="B14" s="7" t="s">
        <v>31</v>
      </c>
      <c r="C14" s="8" t="s">
        <v>32</v>
      </c>
      <c r="D14" s="8" t="s">
        <v>33</v>
      </c>
      <c r="E14" s="8" t="s">
        <v>34</v>
      </c>
      <c r="F14" s="6">
        <v>5</v>
      </c>
      <c r="G14" s="9">
        <v>46266</v>
      </c>
      <c r="H14" s="10">
        <v>100</v>
      </c>
      <c r="I14" s="8">
        <v>1</v>
      </c>
      <c r="J14" s="11"/>
    </row>
    <row r="15" spans="1:10" ht="19.5" customHeight="1" x14ac:dyDescent="0.25">
      <c r="A15" s="6" t="s">
        <v>35</v>
      </c>
      <c r="B15" s="7"/>
      <c r="C15" s="8"/>
      <c r="D15" s="8"/>
      <c r="E15" s="8"/>
      <c r="F15" s="6"/>
      <c r="G15" s="9"/>
      <c r="H15" s="10"/>
      <c r="I15" s="8"/>
      <c r="J15" s="11"/>
    </row>
    <row r="16" spans="1:10" ht="19.5" customHeight="1" x14ac:dyDescent="0.25">
      <c r="A16" s="6" t="s">
        <v>36</v>
      </c>
      <c r="B16" s="7"/>
      <c r="C16" s="8"/>
      <c r="D16" s="8"/>
      <c r="E16" s="8"/>
      <c r="F16" s="6"/>
      <c r="G16" s="6"/>
      <c r="H16" s="6"/>
      <c r="I16" s="6"/>
      <c r="J16" s="11"/>
    </row>
    <row r="17" spans="1:10" ht="19.5" customHeight="1" x14ac:dyDescent="0.25">
      <c r="A17" s="6" t="s">
        <v>37</v>
      </c>
      <c r="B17" s="7"/>
      <c r="C17" s="8"/>
      <c r="D17" s="8"/>
      <c r="E17" s="8"/>
      <c r="F17" s="6"/>
      <c r="G17" s="6"/>
      <c r="H17" s="6"/>
      <c r="I17" s="6"/>
      <c r="J17" s="11"/>
    </row>
    <row r="18" spans="1:10" ht="19.5" customHeight="1" x14ac:dyDescent="0.25">
      <c r="A18" s="6" t="s">
        <v>38</v>
      </c>
      <c r="B18" s="7"/>
      <c r="C18" s="8"/>
      <c r="D18" s="8"/>
      <c r="E18" s="8"/>
      <c r="F18" s="6"/>
      <c r="G18" s="6"/>
      <c r="H18" s="6"/>
      <c r="I18" s="6"/>
      <c r="J18" s="11"/>
    </row>
    <row r="19" spans="1:10" ht="19.5" customHeight="1" x14ac:dyDescent="0.25">
      <c r="A19" s="6" t="s">
        <v>39</v>
      </c>
      <c r="B19" s="7"/>
      <c r="C19" s="8"/>
      <c r="D19" s="8"/>
      <c r="E19" s="8"/>
      <c r="F19" s="6"/>
      <c r="G19" s="6"/>
      <c r="H19" s="6"/>
      <c r="I19" s="6"/>
      <c r="J19" s="11"/>
    </row>
    <row r="20" spans="1:10" ht="19.5" customHeight="1" x14ac:dyDescent="0.25">
      <c r="A20" s="6" t="s">
        <v>40</v>
      </c>
      <c r="B20" s="7"/>
      <c r="C20" s="8"/>
      <c r="D20" s="8"/>
      <c r="E20" s="8"/>
      <c r="F20" s="6"/>
      <c r="G20" s="6"/>
      <c r="H20" s="6"/>
      <c r="I20" s="6"/>
      <c r="J20" s="11"/>
    </row>
    <row r="21" spans="1:10" ht="19.5" customHeight="1" x14ac:dyDescent="0.25">
      <c r="A21" s="6" t="s">
        <v>41</v>
      </c>
      <c r="B21" s="7"/>
      <c r="C21" s="8"/>
      <c r="D21" s="8"/>
      <c r="E21" s="8"/>
      <c r="F21" s="6"/>
      <c r="G21" s="6"/>
      <c r="H21" s="6"/>
      <c r="I21" s="6"/>
      <c r="J21" s="11"/>
    </row>
    <row r="22" spans="1:10" ht="19.5" customHeight="1" x14ac:dyDescent="0.25">
      <c r="A22" s="6" t="s">
        <v>42</v>
      </c>
      <c r="B22" s="7"/>
      <c r="C22" s="8"/>
      <c r="D22" s="8"/>
      <c r="E22" s="8"/>
      <c r="F22" s="6"/>
      <c r="G22" s="6"/>
      <c r="H22" s="6"/>
      <c r="I22" s="6"/>
      <c r="J22" s="11"/>
    </row>
    <row r="23" spans="1:10" ht="19.5" customHeight="1" x14ac:dyDescent="0.25">
      <c r="A23" s="6" t="s">
        <v>43</v>
      </c>
      <c r="B23" s="7"/>
      <c r="C23" s="8"/>
      <c r="D23" s="8"/>
      <c r="E23" s="8"/>
      <c r="F23" s="6"/>
      <c r="G23" s="6"/>
      <c r="H23" s="6"/>
      <c r="I23" s="6"/>
      <c r="J23" s="11"/>
    </row>
    <row r="24" spans="1:10" ht="19.5" customHeight="1" x14ac:dyDescent="0.25">
      <c r="A24" s="6" t="s">
        <v>44</v>
      </c>
      <c r="B24" s="7"/>
      <c r="C24" s="8"/>
      <c r="D24" s="8"/>
      <c r="E24" s="8"/>
      <c r="F24" s="6"/>
      <c r="G24" s="6"/>
      <c r="H24" s="6"/>
      <c r="I24" s="6"/>
      <c r="J24" s="11"/>
    </row>
    <row r="25" spans="1:10" ht="19.5" customHeight="1" x14ac:dyDescent="0.25">
      <c r="A25" s="6" t="s">
        <v>45</v>
      </c>
      <c r="B25" s="7"/>
      <c r="C25" s="8"/>
      <c r="D25" s="8"/>
      <c r="E25" s="8"/>
      <c r="F25" s="6"/>
      <c r="G25" s="6"/>
      <c r="H25" s="6"/>
      <c r="I25" s="6"/>
      <c r="J25" s="11"/>
    </row>
    <row r="26" spans="1:10" ht="19.5" customHeight="1" x14ac:dyDescent="0.25">
      <c r="A26" s="6" t="s">
        <v>46</v>
      </c>
      <c r="B26" s="7"/>
      <c r="C26" s="8"/>
      <c r="D26" s="8"/>
      <c r="E26" s="8"/>
      <c r="F26" s="6"/>
      <c r="G26" s="6"/>
      <c r="H26" s="6"/>
      <c r="I26" s="6"/>
      <c r="J26" s="11"/>
    </row>
    <row r="27" spans="1:10" ht="19.5" customHeight="1" x14ac:dyDescent="0.25">
      <c r="A27" s="6" t="s">
        <v>47</v>
      </c>
      <c r="B27" s="7"/>
      <c r="C27" s="8"/>
      <c r="D27" s="8"/>
      <c r="E27" s="8"/>
      <c r="F27" s="6"/>
      <c r="G27" s="6"/>
      <c r="H27" s="6"/>
      <c r="I27" s="6"/>
      <c r="J27" s="11"/>
    </row>
    <row r="28" spans="1:10" ht="19.5" customHeight="1" x14ac:dyDescent="0.25">
      <c r="A28" s="6" t="s">
        <v>48</v>
      </c>
      <c r="B28" s="7"/>
      <c r="C28" s="8"/>
      <c r="D28" s="8"/>
      <c r="E28" s="8"/>
      <c r="F28" s="6"/>
      <c r="G28" s="6"/>
      <c r="H28" s="6"/>
      <c r="I28" s="6"/>
      <c r="J28" s="11"/>
    </row>
    <row r="29" spans="1:10" ht="19.5" customHeight="1" x14ac:dyDescent="0.25">
      <c r="A29" s="6" t="s">
        <v>49</v>
      </c>
      <c r="B29" s="7"/>
      <c r="C29" s="8"/>
      <c r="D29" s="8"/>
      <c r="E29" s="8"/>
      <c r="F29" s="6"/>
      <c r="G29" s="6"/>
      <c r="H29" s="6"/>
      <c r="I29" s="6"/>
      <c r="J29" s="11"/>
    </row>
    <row r="30" spans="1:10" ht="19.5" customHeight="1" x14ac:dyDescent="0.25">
      <c r="A30" s="6" t="s">
        <v>50</v>
      </c>
      <c r="B30" s="7"/>
      <c r="C30" s="8"/>
      <c r="D30" s="8"/>
      <c r="E30" s="8"/>
      <c r="F30" s="6"/>
      <c r="G30" s="6"/>
      <c r="H30" s="6"/>
      <c r="I30" s="6"/>
      <c r="J30" s="11"/>
    </row>
    <row r="31" spans="1:10" ht="19.5" customHeight="1" x14ac:dyDescent="0.25">
      <c r="A31" s="6" t="s">
        <v>51</v>
      </c>
      <c r="B31" s="7"/>
      <c r="C31" s="8"/>
      <c r="D31" s="8"/>
      <c r="E31" s="8"/>
      <c r="F31" s="6"/>
      <c r="G31" s="6"/>
      <c r="H31" s="6"/>
      <c r="I31" s="6"/>
      <c r="J31" s="11"/>
    </row>
    <row r="32" spans="1:10" ht="19.5" customHeight="1" x14ac:dyDescent="0.25">
      <c r="A32" s="6" t="s">
        <v>52</v>
      </c>
      <c r="B32" s="7"/>
      <c r="C32" s="8"/>
      <c r="D32" s="8"/>
      <c r="E32" s="8"/>
      <c r="F32" s="6"/>
      <c r="G32" s="6"/>
      <c r="H32" s="6"/>
      <c r="I32" s="6"/>
      <c r="J32" s="11"/>
    </row>
    <row r="33" spans="1:10" ht="19.5" customHeight="1" x14ac:dyDescent="0.25">
      <c r="A33" s="6" t="s">
        <v>53</v>
      </c>
      <c r="B33" s="7"/>
      <c r="C33" s="8"/>
      <c r="D33" s="8"/>
      <c r="E33" s="8"/>
      <c r="F33" s="6"/>
      <c r="G33" s="6"/>
      <c r="H33" s="6"/>
      <c r="I33" s="6"/>
      <c r="J33" s="11"/>
    </row>
    <row r="34" spans="1:10" ht="31.5" customHeight="1" x14ac:dyDescent="0.25">
      <c r="A34" s="5" t="s">
        <v>54</v>
      </c>
      <c r="B34" s="155" t="s">
        <v>55</v>
      </c>
      <c r="C34" s="155"/>
      <c r="D34" s="155"/>
      <c r="E34" s="155"/>
      <c r="F34" s="155"/>
      <c r="G34" s="155"/>
      <c r="H34" s="155"/>
      <c r="I34" s="155"/>
      <c r="J34" s="155"/>
    </row>
    <row r="35" spans="1:10" ht="19.5" customHeight="1" x14ac:dyDescent="0.25">
      <c r="A35" s="6" t="s">
        <v>30</v>
      </c>
      <c r="B35" s="12"/>
      <c r="C35" s="8"/>
      <c r="D35" s="8"/>
      <c r="E35" s="6"/>
      <c r="F35" s="6"/>
      <c r="G35" s="6"/>
      <c r="H35" s="8"/>
      <c r="I35" s="8"/>
      <c r="J35" s="11"/>
    </row>
    <row r="36" spans="1:10" ht="19.5" customHeight="1" x14ac:dyDescent="0.25">
      <c r="A36" s="6" t="s">
        <v>35</v>
      </c>
      <c r="B36" s="13"/>
      <c r="C36" s="8"/>
      <c r="D36" s="8"/>
      <c r="E36" s="6"/>
      <c r="F36" s="6"/>
      <c r="G36" s="6"/>
      <c r="H36" s="8"/>
      <c r="I36" s="8"/>
      <c r="J36" s="11"/>
    </row>
    <row r="37" spans="1:10" ht="19.5" customHeight="1" x14ac:dyDescent="0.25">
      <c r="A37" s="14" t="s">
        <v>36</v>
      </c>
      <c r="B37" s="15"/>
      <c r="C37" s="16"/>
      <c r="D37" s="8"/>
      <c r="E37" s="6"/>
      <c r="F37" s="6"/>
      <c r="G37" s="6"/>
      <c r="H37" s="8"/>
      <c r="I37" s="8"/>
      <c r="J37" s="11"/>
    </row>
    <row r="38" spans="1:10" ht="19.5" customHeight="1" x14ac:dyDescent="0.25">
      <c r="A38" s="14" t="s">
        <v>37</v>
      </c>
      <c r="B38" s="15"/>
      <c r="C38" s="16"/>
      <c r="D38" s="8"/>
      <c r="E38" s="6"/>
      <c r="F38" s="6"/>
      <c r="G38" s="6"/>
      <c r="H38" s="8"/>
      <c r="I38" s="8"/>
      <c r="J38" s="11"/>
    </row>
    <row r="39" spans="1:10" ht="19.5" customHeight="1" x14ac:dyDescent="0.25">
      <c r="A39" s="14" t="s">
        <v>38</v>
      </c>
      <c r="B39" s="15"/>
      <c r="C39" s="16"/>
      <c r="D39" s="8"/>
      <c r="E39" s="6"/>
      <c r="F39" s="6"/>
      <c r="G39" s="6"/>
      <c r="H39" s="8"/>
      <c r="I39" s="8"/>
      <c r="J39" s="11"/>
    </row>
    <row r="40" spans="1:10" ht="19.5" customHeight="1" x14ac:dyDescent="0.25">
      <c r="A40" s="14" t="s">
        <v>39</v>
      </c>
      <c r="B40" s="15"/>
      <c r="C40" s="16"/>
      <c r="D40" s="8"/>
      <c r="E40" s="6"/>
      <c r="F40" s="6"/>
      <c r="G40" s="6"/>
      <c r="H40" s="8"/>
      <c r="I40" s="8"/>
      <c r="J40" s="11"/>
    </row>
    <row r="41" spans="1:10" ht="19.5" customHeight="1" x14ac:dyDescent="0.25">
      <c r="A41" s="14" t="s">
        <v>40</v>
      </c>
      <c r="B41" s="15"/>
      <c r="C41" s="16"/>
      <c r="D41" s="8"/>
      <c r="E41" s="6"/>
      <c r="F41" s="6"/>
      <c r="G41" s="6"/>
      <c r="H41" s="8"/>
      <c r="I41" s="8"/>
      <c r="J41" s="11"/>
    </row>
    <row r="42" spans="1:10" ht="19.5" customHeight="1" x14ac:dyDescent="0.25">
      <c r="A42" s="14" t="s">
        <v>41</v>
      </c>
      <c r="B42" s="15"/>
      <c r="C42" s="16"/>
      <c r="D42" s="8"/>
      <c r="E42" s="6"/>
      <c r="F42" s="6"/>
      <c r="G42" s="6"/>
      <c r="H42" s="8"/>
      <c r="I42" s="8"/>
      <c r="J42" s="11"/>
    </row>
    <row r="43" spans="1:10" ht="19.5" customHeight="1" x14ac:dyDescent="0.25">
      <c r="A43" s="14" t="s">
        <v>42</v>
      </c>
      <c r="B43" s="15"/>
      <c r="C43" s="16"/>
      <c r="D43" s="8"/>
      <c r="E43" s="6"/>
      <c r="F43" s="6"/>
      <c r="G43" s="6"/>
      <c r="H43" s="8"/>
      <c r="I43" s="8"/>
      <c r="J43" s="11"/>
    </row>
    <row r="44" spans="1:10" ht="19.5" customHeight="1" x14ac:dyDescent="0.25">
      <c r="A44" s="14" t="s">
        <v>43</v>
      </c>
      <c r="B44" s="15"/>
      <c r="C44" s="16"/>
      <c r="D44" s="8"/>
      <c r="E44" s="6"/>
      <c r="F44" s="6"/>
      <c r="G44" s="6"/>
      <c r="H44" s="8"/>
      <c r="I44" s="8"/>
      <c r="J44" s="11"/>
    </row>
    <row r="45" spans="1:10" ht="19.5" customHeight="1" x14ac:dyDescent="0.25">
      <c r="A45" s="14" t="s">
        <v>44</v>
      </c>
      <c r="B45" s="15"/>
      <c r="C45" s="16"/>
      <c r="D45" s="8"/>
      <c r="E45" s="6"/>
      <c r="F45" s="6"/>
      <c r="G45" s="6"/>
      <c r="H45" s="8"/>
      <c r="I45" s="8"/>
      <c r="J45" s="11"/>
    </row>
    <row r="46" spans="1:10" ht="19.5" customHeight="1" x14ac:dyDescent="0.25">
      <c r="A46" s="14" t="s">
        <v>45</v>
      </c>
      <c r="B46" s="15"/>
      <c r="C46" s="16"/>
      <c r="D46" s="8"/>
      <c r="E46" s="6"/>
      <c r="F46" s="6"/>
      <c r="G46" s="6"/>
      <c r="H46" s="8"/>
      <c r="I46" s="8"/>
      <c r="J46" s="11"/>
    </row>
    <row r="47" spans="1:10" ht="19.5" customHeight="1" x14ac:dyDescent="0.25">
      <c r="A47" s="14" t="s">
        <v>46</v>
      </c>
      <c r="B47" s="15"/>
      <c r="C47" s="16"/>
      <c r="D47" s="8"/>
      <c r="E47" s="6"/>
      <c r="F47" s="6"/>
      <c r="G47" s="6"/>
      <c r="H47" s="8"/>
      <c r="I47" s="8"/>
      <c r="J47" s="11"/>
    </row>
    <row r="48" spans="1:10" ht="19.5" customHeight="1" x14ac:dyDescent="0.25">
      <c r="A48" s="14" t="s">
        <v>47</v>
      </c>
      <c r="B48" s="15"/>
      <c r="C48" s="16"/>
      <c r="D48" s="8"/>
      <c r="E48" s="6"/>
      <c r="F48" s="6"/>
      <c r="G48" s="6"/>
      <c r="H48" s="8"/>
      <c r="I48" s="8"/>
      <c r="J48" s="11"/>
    </row>
    <row r="49" spans="1:10" ht="19.5" customHeight="1" x14ac:dyDescent="0.25">
      <c r="A49" s="14" t="s">
        <v>48</v>
      </c>
      <c r="B49" s="15"/>
      <c r="C49" s="16"/>
      <c r="D49" s="8"/>
      <c r="E49" s="6"/>
      <c r="F49" s="6"/>
      <c r="G49" s="6"/>
      <c r="H49" s="8"/>
      <c r="I49" s="8"/>
      <c r="J49" s="11"/>
    </row>
    <row r="50" spans="1:10" ht="19.5" customHeight="1" x14ac:dyDescent="0.25">
      <c r="A50" s="14" t="s">
        <v>49</v>
      </c>
      <c r="B50" s="15"/>
      <c r="C50" s="16"/>
      <c r="D50" s="8"/>
      <c r="E50" s="6"/>
      <c r="F50" s="6"/>
      <c r="G50" s="6"/>
      <c r="H50" s="8"/>
      <c r="I50" s="8"/>
      <c r="J50" s="11"/>
    </row>
    <row r="51" spans="1:10" ht="19.5" customHeight="1" x14ac:dyDescent="0.25">
      <c r="A51" s="14" t="s">
        <v>50</v>
      </c>
      <c r="B51" s="15"/>
      <c r="C51" s="16"/>
      <c r="D51" s="8"/>
      <c r="E51" s="6"/>
      <c r="F51" s="6"/>
      <c r="G51" s="6"/>
      <c r="H51" s="8"/>
      <c r="I51" s="8"/>
      <c r="J51" s="11"/>
    </row>
    <row r="52" spans="1:10" ht="19.5" customHeight="1" x14ac:dyDescent="0.25">
      <c r="A52" s="14" t="s">
        <v>51</v>
      </c>
      <c r="B52" s="15"/>
      <c r="C52" s="16"/>
      <c r="D52" s="8"/>
      <c r="E52" s="6"/>
      <c r="F52" s="6"/>
      <c r="G52" s="6"/>
      <c r="H52" s="8"/>
      <c r="I52" s="8"/>
      <c r="J52" s="11"/>
    </row>
    <row r="53" spans="1:10" ht="19.5" customHeight="1" x14ac:dyDescent="0.25">
      <c r="A53" s="14" t="s">
        <v>52</v>
      </c>
      <c r="B53" s="15"/>
      <c r="C53" s="16"/>
      <c r="D53" s="8"/>
      <c r="E53" s="6"/>
      <c r="F53" s="6"/>
      <c r="G53" s="6"/>
      <c r="H53" s="8"/>
      <c r="I53" s="8"/>
      <c r="J53" s="11"/>
    </row>
    <row r="54" spans="1:10" ht="19.5" customHeight="1" x14ac:dyDescent="0.25">
      <c r="A54" s="14" t="s">
        <v>53</v>
      </c>
      <c r="B54" s="15"/>
      <c r="C54" s="16"/>
      <c r="D54" s="8"/>
      <c r="E54" s="8"/>
      <c r="F54" s="6"/>
      <c r="G54" s="6"/>
      <c r="H54" s="6"/>
      <c r="I54" s="6"/>
      <c r="J54" s="17"/>
    </row>
    <row r="55" spans="1:10" ht="33.75" customHeight="1" x14ac:dyDescent="0.25">
      <c r="A55" s="5" t="s">
        <v>56</v>
      </c>
      <c r="B55" s="156" t="s">
        <v>57</v>
      </c>
      <c r="C55" s="156"/>
      <c r="D55" s="156"/>
      <c r="E55" s="156"/>
      <c r="F55" s="156"/>
      <c r="G55" s="156"/>
      <c r="H55" s="156"/>
      <c r="I55" s="156"/>
      <c r="J55" s="156"/>
    </row>
    <row r="56" spans="1:10" ht="19.5" customHeight="1" x14ac:dyDescent="0.25">
      <c r="A56" s="6" t="s">
        <v>30</v>
      </c>
      <c r="B56" s="7"/>
      <c r="C56" s="8"/>
      <c r="D56" s="8"/>
      <c r="E56" s="6"/>
      <c r="F56" s="6"/>
      <c r="G56" s="6"/>
      <c r="H56" s="8"/>
      <c r="I56" s="8"/>
      <c r="J56" s="11"/>
    </row>
    <row r="57" spans="1:10" ht="19.5" customHeight="1" x14ac:dyDescent="0.25">
      <c r="A57" s="6" t="s">
        <v>35</v>
      </c>
      <c r="B57" s="7"/>
      <c r="C57" s="8"/>
      <c r="D57" s="8"/>
      <c r="E57" s="6"/>
      <c r="F57" s="6"/>
      <c r="G57" s="6"/>
      <c r="H57" s="8"/>
      <c r="I57" s="8"/>
      <c r="J57" s="11"/>
    </row>
    <row r="58" spans="1:10" ht="19.5" customHeight="1" x14ac:dyDescent="0.25">
      <c r="A58" s="6" t="s">
        <v>36</v>
      </c>
      <c r="B58" s="7"/>
      <c r="C58" s="8"/>
      <c r="D58" s="8"/>
      <c r="E58" s="6"/>
      <c r="F58" s="6"/>
      <c r="G58" s="6"/>
      <c r="H58" s="8"/>
      <c r="I58" s="8"/>
      <c r="J58" s="11"/>
    </row>
    <row r="59" spans="1:10" ht="19.5" customHeight="1" x14ac:dyDescent="0.25">
      <c r="A59" s="6" t="s">
        <v>37</v>
      </c>
      <c r="B59" s="7"/>
      <c r="C59" s="8"/>
      <c r="D59" s="8"/>
      <c r="E59" s="6"/>
      <c r="F59" s="6"/>
      <c r="G59" s="6"/>
      <c r="H59" s="8"/>
      <c r="I59" s="8"/>
      <c r="J59" s="11"/>
    </row>
    <row r="60" spans="1:10" ht="19.5" customHeight="1" x14ac:dyDescent="0.25">
      <c r="A60" s="6" t="s">
        <v>38</v>
      </c>
      <c r="B60" s="7"/>
      <c r="C60" s="8"/>
      <c r="D60" s="8"/>
      <c r="E60" s="6"/>
      <c r="F60" s="6"/>
      <c r="G60" s="6"/>
      <c r="H60" s="8"/>
      <c r="I60" s="8"/>
      <c r="J60" s="11"/>
    </row>
    <row r="61" spans="1:10" ht="19.5" customHeight="1" x14ac:dyDescent="0.25">
      <c r="A61" s="6" t="s">
        <v>39</v>
      </c>
      <c r="B61" s="7"/>
      <c r="C61" s="8"/>
      <c r="D61" s="8"/>
      <c r="E61" s="6"/>
      <c r="F61" s="6"/>
      <c r="G61" s="6"/>
      <c r="H61" s="8"/>
      <c r="I61" s="8"/>
      <c r="J61" s="11"/>
    </row>
    <row r="62" spans="1:10" ht="19.5" customHeight="1" x14ac:dyDescent="0.25">
      <c r="A62" s="6" t="s">
        <v>40</v>
      </c>
      <c r="B62" s="7"/>
      <c r="C62" s="8"/>
      <c r="D62" s="8"/>
      <c r="E62" s="6"/>
      <c r="F62" s="6"/>
      <c r="G62" s="6"/>
      <c r="H62" s="8"/>
      <c r="I62" s="8"/>
      <c r="J62" s="11"/>
    </row>
    <row r="63" spans="1:10" ht="19.5" customHeight="1" x14ac:dyDescent="0.25">
      <c r="A63" s="6" t="s">
        <v>41</v>
      </c>
      <c r="B63" s="7"/>
      <c r="C63" s="8"/>
      <c r="D63" s="8"/>
      <c r="E63" s="6"/>
      <c r="F63" s="6"/>
      <c r="G63" s="6"/>
      <c r="H63" s="8"/>
      <c r="I63" s="8"/>
      <c r="J63" s="11"/>
    </row>
    <row r="64" spans="1:10" ht="19.5" customHeight="1" x14ac:dyDescent="0.25">
      <c r="A64" s="6" t="s">
        <v>42</v>
      </c>
      <c r="B64" s="7"/>
      <c r="C64" s="8"/>
      <c r="D64" s="8"/>
      <c r="E64" s="6"/>
      <c r="F64" s="6"/>
      <c r="G64" s="6"/>
      <c r="H64" s="8"/>
      <c r="I64" s="8"/>
      <c r="J64" s="11"/>
    </row>
    <row r="65" spans="1:10" ht="19.5" customHeight="1" x14ac:dyDescent="0.25">
      <c r="A65" s="6" t="s">
        <v>43</v>
      </c>
      <c r="B65" s="7"/>
      <c r="C65" s="8"/>
      <c r="D65" s="8"/>
      <c r="E65" s="6"/>
      <c r="F65" s="6"/>
      <c r="G65" s="6"/>
      <c r="H65" s="8"/>
      <c r="I65" s="8"/>
      <c r="J65" s="11"/>
    </row>
    <row r="66" spans="1:10" ht="19.5" customHeight="1" x14ac:dyDescent="0.25">
      <c r="A66" s="6" t="s">
        <v>44</v>
      </c>
      <c r="B66" s="7"/>
      <c r="C66" s="8"/>
      <c r="D66" s="8"/>
      <c r="E66" s="6"/>
      <c r="F66" s="6"/>
      <c r="G66" s="6"/>
      <c r="H66" s="8"/>
      <c r="I66" s="8"/>
      <c r="J66" s="11"/>
    </row>
    <row r="67" spans="1:10" ht="19.5" customHeight="1" x14ac:dyDescent="0.25">
      <c r="A67" s="6" t="s">
        <v>45</v>
      </c>
      <c r="B67" s="7"/>
      <c r="C67" s="8"/>
      <c r="D67" s="8"/>
      <c r="E67" s="6"/>
      <c r="F67" s="6"/>
      <c r="G67" s="6"/>
      <c r="H67" s="8"/>
      <c r="I67" s="8"/>
      <c r="J67" s="11"/>
    </row>
    <row r="68" spans="1:10" ht="19.5" customHeight="1" x14ac:dyDescent="0.25">
      <c r="A68" s="6" t="s">
        <v>46</v>
      </c>
      <c r="B68" s="7"/>
      <c r="C68" s="8"/>
      <c r="D68" s="8"/>
      <c r="E68" s="6"/>
      <c r="F68" s="6"/>
      <c r="G68" s="6"/>
      <c r="H68" s="8"/>
      <c r="I68" s="8"/>
      <c r="J68" s="11"/>
    </row>
    <row r="69" spans="1:10" ht="19.5" customHeight="1" x14ac:dyDescent="0.25">
      <c r="A69" s="6" t="s">
        <v>47</v>
      </c>
      <c r="B69" s="7"/>
      <c r="C69" s="8"/>
      <c r="D69" s="8"/>
      <c r="E69" s="6"/>
      <c r="F69" s="6"/>
      <c r="G69" s="6"/>
      <c r="H69" s="8"/>
      <c r="I69" s="8"/>
      <c r="J69" s="11"/>
    </row>
    <row r="70" spans="1:10" ht="19.5" customHeight="1" x14ac:dyDescent="0.25">
      <c r="A70" s="6" t="s">
        <v>48</v>
      </c>
      <c r="B70" s="7"/>
      <c r="C70" s="8"/>
      <c r="D70" s="8"/>
      <c r="E70" s="6"/>
      <c r="F70" s="6"/>
      <c r="G70" s="6"/>
      <c r="H70" s="8"/>
      <c r="I70" s="8"/>
      <c r="J70" s="11"/>
    </row>
    <row r="71" spans="1:10" ht="19.5" customHeight="1" x14ac:dyDescent="0.25">
      <c r="A71" s="6" t="s">
        <v>49</v>
      </c>
      <c r="B71" s="7"/>
      <c r="C71" s="8"/>
      <c r="D71" s="8"/>
      <c r="E71" s="6"/>
      <c r="F71" s="6"/>
      <c r="G71" s="6"/>
      <c r="H71" s="8"/>
      <c r="I71" s="8"/>
      <c r="J71" s="11"/>
    </row>
    <row r="72" spans="1:10" ht="19.5" customHeight="1" x14ac:dyDescent="0.25">
      <c r="A72" s="6" t="s">
        <v>50</v>
      </c>
      <c r="B72" s="7"/>
      <c r="C72" s="8"/>
      <c r="D72" s="8"/>
      <c r="E72" s="6"/>
      <c r="F72" s="6"/>
      <c r="G72" s="6"/>
      <c r="H72" s="8"/>
      <c r="I72" s="8"/>
      <c r="J72" s="11"/>
    </row>
    <row r="73" spans="1:10" ht="19.5" customHeight="1" x14ac:dyDescent="0.25">
      <c r="A73" s="6" t="s">
        <v>51</v>
      </c>
      <c r="B73" s="7"/>
      <c r="C73" s="8"/>
      <c r="D73" s="8"/>
      <c r="E73" s="6"/>
      <c r="F73" s="6"/>
      <c r="G73" s="6"/>
      <c r="H73" s="8"/>
      <c r="I73" s="8"/>
      <c r="J73" s="11"/>
    </row>
    <row r="74" spans="1:10" ht="19.5" customHeight="1" x14ac:dyDescent="0.25">
      <c r="A74" s="6" t="s">
        <v>52</v>
      </c>
      <c r="B74" s="7"/>
      <c r="C74" s="8"/>
      <c r="D74" s="8"/>
      <c r="E74" s="6"/>
      <c r="F74" s="6"/>
      <c r="G74" s="6"/>
      <c r="H74" s="8"/>
      <c r="I74" s="8"/>
      <c r="J74" s="11"/>
    </row>
    <row r="75" spans="1:10" ht="19.5" customHeight="1" x14ac:dyDescent="0.25">
      <c r="A75" s="6" t="s">
        <v>53</v>
      </c>
      <c r="B75" s="7"/>
      <c r="C75" s="8"/>
      <c r="D75" s="8"/>
      <c r="E75" s="6"/>
      <c r="F75" s="6"/>
      <c r="G75" s="6"/>
      <c r="H75" s="8"/>
      <c r="I75" s="8"/>
      <c r="J75" s="11"/>
    </row>
    <row r="76" spans="1:10" ht="52.5" customHeight="1" x14ac:dyDescent="0.25">
      <c r="A76" s="5" t="s">
        <v>58</v>
      </c>
      <c r="B76" s="154" t="s">
        <v>59</v>
      </c>
      <c r="C76" s="154"/>
      <c r="D76" s="154"/>
      <c r="E76" s="154"/>
      <c r="F76" s="154"/>
      <c r="G76" s="154"/>
      <c r="H76" s="154"/>
      <c r="I76" s="154"/>
      <c r="J76" s="154"/>
    </row>
    <row r="77" spans="1:10" ht="19.5" customHeight="1" x14ac:dyDescent="0.25">
      <c r="A77" s="6" t="s">
        <v>30</v>
      </c>
      <c r="B77" s="7"/>
      <c r="C77" s="8"/>
      <c r="D77" s="8"/>
      <c r="E77" s="8"/>
      <c r="F77" s="6"/>
      <c r="G77" s="6"/>
      <c r="H77" s="8"/>
      <c r="I77" s="8"/>
      <c r="J77" s="11"/>
    </row>
    <row r="78" spans="1:10" ht="19.5" customHeight="1" x14ac:dyDescent="0.25">
      <c r="A78" s="6" t="s">
        <v>35</v>
      </c>
      <c r="B78" s="7"/>
      <c r="C78" s="8"/>
      <c r="D78" s="8"/>
      <c r="E78" s="8"/>
      <c r="F78" s="6"/>
      <c r="G78" s="6"/>
      <c r="H78" s="8"/>
      <c r="I78" s="8"/>
      <c r="J78" s="11"/>
    </row>
    <row r="79" spans="1:10" ht="19.5" customHeight="1" x14ac:dyDescent="0.25">
      <c r="A79" s="6" t="s">
        <v>36</v>
      </c>
      <c r="B79" s="7"/>
      <c r="C79" s="8"/>
      <c r="D79" s="8"/>
      <c r="E79" s="8"/>
      <c r="F79" s="6"/>
      <c r="G79" s="6"/>
      <c r="H79" s="8"/>
      <c r="I79" s="8"/>
      <c r="J79" s="11"/>
    </row>
    <row r="80" spans="1:10" ht="19.5" customHeight="1" x14ac:dyDescent="0.25">
      <c r="A80" s="6" t="s">
        <v>37</v>
      </c>
      <c r="B80" s="7"/>
      <c r="C80" s="8"/>
      <c r="D80" s="8"/>
      <c r="E80" s="8"/>
      <c r="F80" s="6"/>
      <c r="G80" s="6"/>
      <c r="H80" s="8"/>
      <c r="I80" s="8"/>
      <c r="J80" s="11"/>
    </row>
    <row r="81" spans="1:10" ht="19.5" customHeight="1" x14ac:dyDescent="0.25">
      <c r="A81" s="6" t="s">
        <v>38</v>
      </c>
      <c r="B81" s="7"/>
      <c r="C81" s="8"/>
      <c r="D81" s="8"/>
      <c r="E81" s="8"/>
      <c r="F81" s="6"/>
      <c r="G81" s="6"/>
      <c r="H81" s="8"/>
      <c r="I81" s="8"/>
      <c r="J81" s="11"/>
    </row>
    <row r="82" spans="1:10" ht="19.5" customHeight="1" x14ac:dyDescent="0.25">
      <c r="A82" s="6" t="s">
        <v>39</v>
      </c>
      <c r="B82" s="7"/>
      <c r="C82" s="8"/>
      <c r="D82" s="8"/>
      <c r="E82" s="8"/>
      <c r="F82" s="6"/>
      <c r="G82" s="6"/>
      <c r="H82" s="8"/>
      <c r="I82" s="8"/>
      <c r="J82" s="11"/>
    </row>
    <row r="83" spans="1:10" ht="19.5" customHeight="1" x14ac:dyDescent="0.25">
      <c r="A83" s="6" t="s">
        <v>40</v>
      </c>
      <c r="B83" s="7"/>
      <c r="C83" s="8"/>
      <c r="D83" s="8"/>
      <c r="E83" s="8"/>
      <c r="F83" s="6"/>
      <c r="G83" s="6"/>
      <c r="H83" s="8"/>
      <c r="I83" s="8"/>
      <c r="J83" s="11"/>
    </row>
    <row r="84" spans="1:10" ht="19.5" customHeight="1" x14ac:dyDescent="0.25">
      <c r="A84" s="6" t="s">
        <v>41</v>
      </c>
      <c r="B84" s="7"/>
      <c r="C84" s="8"/>
      <c r="D84" s="8"/>
      <c r="E84" s="8"/>
      <c r="F84" s="6"/>
      <c r="G84" s="6"/>
      <c r="H84" s="8"/>
      <c r="I84" s="8"/>
      <c r="J84" s="11"/>
    </row>
    <row r="85" spans="1:10" ht="19.5" customHeight="1" x14ac:dyDescent="0.25">
      <c r="A85" s="6" t="s">
        <v>42</v>
      </c>
      <c r="B85" s="7"/>
      <c r="C85" s="8"/>
      <c r="D85" s="8"/>
      <c r="E85" s="8"/>
      <c r="F85" s="6"/>
      <c r="G85" s="6"/>
      <c r="H85" s="8"/>
      <c r="I85" s="8"/>
      <c r="J85" s="11"/>
    </row>
    <row r="86" spans="1:10" ht="19.5" customHeight="1" x14ac:dyDescent="0.25">
      <c r="A86" s="6" t="s">
        <v>43</v>
      </c>
      <c r="B86" s="7"/>
      <c r="C86" s="8"/>
      <c r="D86" s="8"/>
      <c r="E86" s="8"/>
      <c r="F86" s="6"/>
      <c r="G86" s="6"/>
      <c r="H86" s="8"/>
      <c r="I86" s="8"/>
      <c r="J86" s="11"/>
    </row>
    <row r="87" spans="1:10" ht="19.5" customHeight="1" x14ac:dyDescent="0.25">
      <c r="A87" s="6" t="s">
        <v>44</v>
      </c>
      <c r="B87" s="7"/>
      <c r="C87" s="8"/>
      <c r="D87" s="8"/>
      <c r="E87" s="8"/>
      <c r="F87" s="6"/>
      <c r="G87" s="6"/>
      <c r="H87" s="8"/>
      <c r="I87" s="8"/>
      <c r="J87" s="11"/>
    </row>
    <row r="88" spans="1:10" ht="19.5" customHeight="1" x14ac:dyDescent="0.25">
      <c r="A88" s="6" t="s">
        <v>45</v>
      </c>
      <c r="B88" s="7"/>
      <c r="C88" s="8"/>
      <c r="D88" s="8"/>
      <c r="E88" s="8"/>
      <c r="F88" s="6"/>
      <c r="G88" s="6"/>
      <c r="H88" s="8"/>
      <c r="I88" s="8"/>
      <c r="J88" s="11"/>
    </row>
    <row r="89" spans="1:10" ht="19.5" customHeight="1" x14ac:dyDescent="0.25">
      <c r="A89" s="6" t="s">
        <v>46</v>
      </c>
      <c r="B89" s="7"/>
      <c r="C89" s="8"/>
      <c r="D89" s="8"/>
      <c r="E89" s="8"/>
      <c r="F89" s="6"/>
      <c r="G89" s="6"/>
      <c r="H89" s="8"/>
      <c r="I89" s="8"/>
      <c r="J89" s="11"/>
    </row>
    <row r="90" spans="1:10" ht="19.5" customHeight="1" x14ac:dyDescent="0.25">
      <c r="A90" s="6" t="s">
        <v>47</v>
      </c>
      <c r="B90" s="7"/>
      <c r="C90" s="8"/>
      <c r="D90" s="8"/>
      <c r="E90" s="8"/>
      <c r="F90" s="6"/>
      <c r="G90" s="6"/>
      <c r="H90" s="8"/>
      <c r="I90" s="8"/>
      <c r="J90" s="11"/>
    </row>
    <row r="91" spans="1:10" ht="19.5" customHeight="1" x14ac:dyDescent="0.25">
      <c r="A91" s="6" t="s">
        <v>48</v>
      </c>
      <c r="B91" s="7"/>
      <c r="C91" s="8"/>
      <c r="D91" s="8"/>
      <c r="E91" s="8"/>
      <c r="F91" s="6"/>
      <c r="G91" s="6"/>
      <c r="H91" s="8"/>
      <c r="I91" s="8"/>
      <c r="J91" s="11"/>
    </row>
    <row r="92" spans="1:10" ht="19.5" customHeight="1" x14ac:dyDescent="0.25">
      <c r="A92" s="6" t="s">
        <v>49</v>
      </c>
      <c r="B92" s="7"/>
      <c r="C92" s="8"/>
      <c r="D92" s="8"/>
      <c r="E92" s="8"/>
      <c r="F92" s="6"/>
      <c r="G92" s="6"/>
      <c r="H92" s="8"/>
      <c r="I92" s="8"/>
      <c r="J92" s="11"/>
    </row>
    <row r="93" spans="1:10" ht="19.5" customHeight="1" x14ac:dyDescent="0.25">
      <c r="A93" s="6" t="s">
        <v>50</v>
      </c>
      <c r="B93" s="7"/>
      <c r="C93" s="8"/>
      <c r="D93" s="8"/>
      <c r="E93" s="8"/>
      <c r="F93" s="6"/>
      <c r="G93" s="6"/>
      <c r="H93" s="8"/>
      <c r="I93" s="8"/>
      <c r="J93" s="11"/>
    </row>
    <row r="94" spans="1:10" ht="19.5" customHeight="1" x14ac:dyDescent="0.25">
      <c r="A94" s="6" t="s">
        <v>51</v>
      </c>
      <c r="B94" s="7"/>
      <c r="C94" s="8"/>
      <c r="D94" s="8"/>
      <c r="E94" s="8"/>
      <c r="F94" s="6"/>
      <c r="G94" s="6"/>
      <c r="H94" s="8"/>
      <c r="I94" s="8"/>
      <c r="J94" s="11"/>
    </row>
    <row r="95" spans="1:10" ht="19.5" customHeight="1" x14ac:dyDescent="0.25">
      <c r="A95" s="6" t="s">
        <v>52</v>
      </c>
      <c r="B95" s="7"/>
      <c r="C95" s="8"/>
      <c r="D95" s="8"/>
      <c r="E95" s="8"/>
      <c r="F95" s="6"/>
      <c r="G95" s="6"/>
      <c r="H95" s="8"/>
      <c r="I95" s="8"/>
      <c r="J95" s="11"/>
    </row>
    <row r="96" spans="1:10" ht="19.5" customHeight="1" x14ac:dyDescent="0.25">
      <c r="A96" s="6" t="s">
        <v>53</v>
      </c>
      <c r="B96" s="7"/>
      <c r="C96" s="8"/>
      <c r="D96" s="8"/>
      <c r="E96" s="8"/>
      <c r="F96" s="6"/>
      <c r="G96" s="6"/>
      <c r="H96" s="8"/>
      <c r="I96" s="8"/>
      <c r="J96" s="11"/>
    </row>
    <row r="97" spans="1:10" ht="34.5" customHeight="1" x14ac:dyDescent="0.25">
      <c r="A97" s="5" t="s">
        <v>60</v>
      </c>
      <c r="B97" s="154" t="s">
        <v>61</v>
      </c>
      <c r="C97" s="154"/>
      <c r="D97" s="154"/>
      <c r="E97" s="154"/>
      <c r="F97" s="154"/>
      <c r="G97" s="154"/>
      <c r="H97" s="154"/>
      <c r="I97" s="154"/>
      <c r="J97" s="154"/>
    </row>
    <row r="98" spans="1:10" ht="19.5" customHeight="1" x14ac:dyDescent="0.25">
      <c r="A98" s="6" t="s">
        <v>30</v>
      </c>
      <c r="B98" s="7"/>
      <c r="C98" s="8"/>
      <c r="D98" s="8"/>
      <c r="E98" s="8"/>
      <c r="F98" s="6"/>
      <c r="G98" s="6"/>
      <c r="H98" s="8"/>
      <c r="I98" s="8"/>
      <c r="J98" s="11"/>
    </row>
    <row r="99" spans="1:10" ht="19.5" customHeight="1" x14ac:dyDescent="0.25">
      <c r="A99" s="6" t="s">
        <v>35</v>
      </c>
      <c r="B99" s="7"/>
      <c r="C99" s="8"/>
      <c r="D99" s="8"/>
      <c r="E99" s="8"/>
      <c r="F99" s="6"/>
      <c r="G99" s="6"/>
      <c r="H99" s="8"/>
      <c r="I99" s="8"/>
      <c r="J99" s="11"/>
    </row>
    <row r="100" spans="1:10" ht="19.5" customHeight="1" x14ac:dyDescent="0.25">
      <c r="A100" s="6" t="s">
        <v>36</v>
      </c>
      <c r="B100" s="7"/>
      <c r="C100" s="8"/>
      <c r="D100" s="8"/>
      <c r="E100" s="8"/>
      <c r="F100" s="6"/>
      <c r="G100" s="6"/>
      <c r="H100" s="8"/>
      <c r="I100" s="8"/>
      <c r="J100" s="11"/>
    </row>
    <row r="101" spans="1:10" ht="19.5" customHeight="1" x14ac:dyDescent="0.25">
      <c r="A101" s="6" t="s">
        <v>37</v>
      </c>
      <c r="B101" s="7"/>
      <c r="C101" s="8"/>
      <c r="D101" s="8"/>
      <c r="E101" s="8"/>
      <c r="F101" s="6"/>
      <c r="G101" s="6"/>
      <c r="H101" s="8"/>
      <c r="I101" s="8"/>
      <c r="J101" s="11"/>
    </row>
    <row r="102" spans="1:10" ht="19.5" customHeight="1" x14ac:dyDescent="0.25">
      <c r="A102" s="6" t="s">
        <v>38</v>
      </c>
      <c r="B102" s="7"/>
      <c r="C102" s="8"/>
      <c r="D102" s="8"/>
      <c r="E102" s="8"/>
      <c r="F102" s="6"/>
      <c r="G102" s="6"/>
      <c r="H102" s="8"/>
      <c r="I102" s="8"/>
      <c r="J102" s="11"/>
    </row>
    <row r="103" spans="1:10" ht="19.5" customHeight="1" x14ac:dyDescent="0.25">
      <c r="A103" s="6" t="s">
        <v>39</v>
      </c>
      <c r="B103" s="7"/>
      <c r="C103" s="8"/>
      <c r="D103" s="8"/>
      <c r="E103" s="8"/>
      <c r="F103" s="6"/>
      <c r="G103" s="6"/>
      <c r="H103" s="8"/>
      <c r="I103" s="8"/>
      <c r="J103" s="11"/>
    </row>
    <row r="104" spans="1:10" ht="19.5" customHeight="1" x14ac:dyDescent="0.25">
      <c r="A104" s="6" t="s">
        <v>40</v>
      </c>
      <c r="B104" s="7"/>
      <c r="C104" s="8"/>
      <c r="D104" s="8"/>
      <c r="E104" s="8"/>
      <c r="F104" s="6"/>
      <c r="G104" s="6"/>
      <c r="H104" s="8"/>
      <c r="I104" s="8"/>
      <c r="J104" s="11"/>
    </row>
    <row r="105" spans="1:10" ht="19.5" customHeight="1" x14ac:dyDescent="0.25">
      <c r="A105" s="6" t="s">
        <v>41</v>
      </c>
      <c r="B105" s="7"/>
      <c r="C105" s="8"/>
      <c r="D105" s="8"/>
      <c r="E105" s="8"/>
      <c r="F105" s="6"/>
      <c r="G105" s="6"/>
      <c r="H105" s="8"/>
      <c r="I105" s="8"/>
      <c r="J105" s="11"/>
    </row>
    <row r="106" spans="1:10" ht="19.5" customHeight="1" x14ac:dyDescent="0.25">
      <c r="A106" s="6" t="s">
        <v>42</v>
      </c>
      <c r="B106" s="7"/>
      <c r="C106" s="8"/>
      <c r="D106" s="8"/>
      <c r="E106" s="8"/>
      <c r="F106" s="6"/>
      <c r="G106" s="6"/>
      <c r="H106" s="8"/>
      <c r="I106" s="8"/>
      <c r="J106" s="11"/>
    </row>
    <row r="107" spans="1:10" ht="19.5" customHeight="1" x14ac:dyDescent="0.25">
      <c r="A107" s="6" t="s">
        <v>43</v>
      </c>
      <c r="B107" s="7"/>
      <c r="C107" s="8"/>
      <c r="D107" s="8"/>
      <c r="E107" s="8"/>
      <c r="F107" s="6"/>
      <c r="G107" s="6"/>
      <c r="H107" s="8"/>
      <c r="I107" s="8"/>
      <c r="J107" s="11"/>
    </row>
    <row r="108" spans="1:10" ht="19.5" customHeight="1" x14ac:dyDescent="0.25">
      <c r="A108" s="6" t="s">
        <v>44</v>
      </c>
      <c r="B108" s="7"/>
      <c r="C108" s="8"/>
      <c r="D108" s="8"/>
      <c r="E108" s="8"/>
      <c r="F108" s="6"/>
      <c r="G108" s="6"/>
      <c r="H108" s="8"/>
      <c r="I108" s="8"/>
      <c r="J108" s="11"/>
    </row>
    <row r="109" spans="1:10" ht="19.5" customHeight="1" x14ac:dyDescent="0.25">
      <c r="A109" s="6" t="s">
        <v>45</v>
      </c>
      <c r="B109" s="7"/>
      <c r="C109" s="8"/>
      <c r="D109" s="8"/>
      <c r="E109" s="8"/>
      <c r="F109" s="6"/>
      <c r="G109" s="6"/>
      <c r="H109" s="8"/>
      <c r="I109" s="8"/>
      <c r="J109" s="11"/>
    </row>
    <row r="110" spans="1:10" ht="19.5" customHeight="1" x14ac:dyDescent="0.25">
      <c r="A110" s="6" t="s">
        <v>46</v>
      </c>
      <c r="B110" s="7"/>
      <c r="C110" s="8"/>
      <c r="D110" s="8"/>
      <c r="E110" s="8"/>
      <c r="F110" s="6"/>
      <c r="G110" s="6"/>
      <c r="H110" s="8"/>
      <c r="I110" s="8"/>
      <c r="J110" s="11"/>
    </row>
    <row r="111" spans="1:10" ht="19.5" customHeight="1" x14ac:dyDescent="0.25">
      <c r="A111" s="6" t="s">
        <v>47</v>
      </c>
      <c r="B111" s="7"/>
      <c r="C111" s="8"/>
      <c r="D111" s="8"/>
      <c r="E111" s="8"/>
      <c r="F111" s="6"/>
      <c r="G111" s="6"/>
      <c r="H111" s="8"/>
      <c r="I111" s="8"/>
      <c r="J111" s="11"/>
    </row>
    <row r="112" spans="1:10" ht="19.5" customHeight="1" x14ac:dyDescent="0.25">
      <c r="A112" s="6" t="s">
        <v>48</v>
      </c>
      <c r="B112" s="7"/>
      <c r="C112" s="8"/>
      <c r="D112" s="8"/>
      <c r="E112" s="8"/>
      <c r="F112" s="6"/>
      <c r="G112" s="6"/>
      <c r="H112" s="8"/>
      <c r="I112" s="8"/>
      <c r="J112" s="11"/>
    </row>
    <row r="113" spans="1:10" ht="19.5" customHeight="1" x14ac:dyDescent="0.25">
      <c r="A113" s="6" t="s">
        <v>49</v>
      </c>
      <c r="B113" s="7"/>
      <c r="C113" s="8"/>
      <c r="D113" s="8"/>
      <c r="E113" s="8"/>
      <c r="F113" s="6"/>
      <c r="G113" s="6"/>
      <c r="H113" s="8"/>
      <c r="I113" s="8"/>
      <c r="J113" s="11"/>
    </row>
    <row r="114" spans="1:10" ht="19.5" customHeight="1" x14ac:dyDescent="0.25">
      <c r="A114" s="6" t="s">
        <v>50</v>
      </c>
      <c r="B114" s="7"/>
      <c r="C114" s="8"/>
      <c r="D114" s="8"/>
      <c r="E114" s="8"/>
      <c r="F114" s="6"/>
      <c r="G114" s="6"/>
      <c r="H114" s="8"/>
      <c r="I114" s="8"/>
      <c r="J114" s="11"/>
    </row>
    <row r="115" spans="1:10" ht="19.5" customHeight="1" x14ac:dyDescent="0.25">
      <c r="A115" s="6" t="s">
        <v>51</v>
      </c>
      <c r="B115" s="7"/>
      <c r="C115" s="4"/>
      <c r="D115" s="4"/>
      <c r="E115" s="4"/>
      <c r="F115" s="4"/>
      <c r="G115" s="6"/>
      <c r="H115" s="4"/>
      <c r="I115" s="4"/>
      <c r="J115" s="4"/>
    </row>
    <row r="116" spans="1:10" ht="19.5" customHeight="1" x14ac:dyDescent="0.25">
      <c r="A116" s="6" t="s">
        <v>52</v>
      </c>
      <c r="B116" s="7"/>
      <c r="C116" s="4"/>
      <c r="D116" s="4"/>
      <c r="E116" s="4"/>
      <c r="F116" s="4"/>
      <c r="G116" s="6"/>
      <c r="H116" s="4"/>
      <c r="I116" s="4"/>
      <c r="J116" s="4"/>
    </row>
    <row r="117" spans="1:10" ht="19.5" customHeight="1" x14ac:dyDescent="0.25">
      <c r="A117" s="6" t="s">
        <v>53</v>
      </c>
      <c r="B117" s="7"/>
      <c r="C117" s="18"/>
      <c r="D117" s="18"/>
      <c r="E117" s="18"/>
      <c r="F117" s="18"/>
      <c r="G117" s="6"/>
      <c r="H117" s="18"/>
      <c r="I117" s="18"/>
      <c r="J117" s="18"/>
    </row>
    <row r="118" spans="1:10" ht="36" customHeight="1" x14ac:dyDescent="0.25">
      <c r="A118" s="5" t="s">
        <v>62</v>
      </c>
      <c r="B118" s="154" t="s">
        <v>63</v>
      </c>
      <c r="C118" s="154"/>
      <c r="D118" s="154"/>
      <c r="E118" s="154"/>
      <c r="F118" s="154"/>
      <c r="G118" s="154"/>
      <c r="H118" s="154"/>
      <c r="I118" s="154"/>
      <c r="J118" s="154"/>
    </row>
    <row r="119" spans="1:10" ht="19.5" customHeight="1" x14ac:dyDescent="0.25">
      <c r="A119" s="6" t="s">
        <v>30</v>
      </c>
      <c r="B119" s="6"/>
      <c r="C119" s="6"/>
      <c r="D119" s="6"/>
      <c r="E119" s="6"/>
      <c r="F119" s="6"/>
      <c r="G119" s="6"/>
      <c r="H119" s="6"/>
      <c r="I119" s="6"/>
      <c r="J119" s="6"/>
    </row>
    <row r="120" spans="1:10" ht="19.5" customHeight="1" x14ac:dyDescent="0.25">
      <c r="A120" s="6" t="s">
        <v>35</v>
      </c>
      <c r="B120" s="6"/>
      <c r="C120" s="6"/>
      <c r="D120" s="6"/>
      <c r="E120" s="6"/>
      <c r="F120" s="6"/>
      <c r="G120" s="6"/>
      <c r="H120" s="6"/>
      <c r="J120" s="6"/>
    </row>
    <row r="121" spans="1:10" ht="19.5" customHeight="1" x14ac:dyDescent="0.25">
      <c r="A121" s="6" t="s">
        <v>36</v>
      </c>
      <c r="B121" s="6"/>
      <c r="C121" s="6"/>
      <c r="D121" s="6"/>
      <c r="E121" s="6"/>
      <c r="F121" s="6"/>
      <c r="G121" s="6"/>
      <c r="H121" s="6"/>
      <c r="I121" s="6"/>
      <c r="J121" s="6"/>
    </row>
    <row r="122" spans="1:10" ht="19.5" customHeight="1" x14ac:dyDescent="0.25">
      <c r="A122" s="6" t="s">
        <v>37</v>
      </c>
      <c r="B122" s="6"/>
      <c r="C122" s="6"/>
      <c r="D122" s="6"/>
      <c r="E122" s="6"/>
      <c r="F122" s="6"/>
      <c r="G122" s="6"/>
      <c r="H122" s="6"/>
      <c r="I122" s="6"/>
      <c r="J122" s="6"/>
    </row>
    <row r="123" spans="1:10" ht="19.5" customHeight="1" x14ac:dyDescent="0.25">
      <c r="A123" s="6" t="s">
        <v>38</v>
      </c>
      <c r="B123" s="6"/>
      <c r="C123" s="6"/>
      <c r="D123" s="6"/>
      <c r="E123" s="6"/>
      <c r="F123" s="6"/>
      <c r="G123" s="6"/>
      <c r="H123" s="6"/>
      <c r="I123" s="6"/>
      <c r="J123" s="6"/>
    </row>
    <row r="124" spans="1:10" ht="19.5" customHeight="1" x14ac:dyDescent="0.25">
      <c r="A124" s="6" t="s">
        <v>39</v>
      </c>
      <c r="B124" s="6"/>
      <c r="C124" s="6"/>
      <c r="D124" s="6"/>
      <c r="E124" s="6"/>
      <c r="F124" s="6"/>
      <c r="G124" s="6"/>
      <c r="H124" s="6"/>
      <c r="I124" s="6"/>
      <c r="J124" s="6"/>
    </row>
    <row r="125" spans="1:10" ht="19.5" customHeight="1" x14ac:dyDescent="0.25">
      <c r="A125" s="6" t="s">
        <v>40</v>
      </c>
      <c r="B125" s="6"/>
      <c r="C125" s="6"/>
      <c r="D125" s="6"/>
      <c r="E125" s="6"/>
      <c r="F125" s="6"/>
      <c r="G125" s="6"/>
      <c r="H125" s="6"/>
      <c r="I125" s="6"/>
      <c r="J125" s="6"/>
    </row>
    <row r="126" spans="1:10" ht="19.5" customHeight="1" x14ac:dyDescent="0.25">
      <c r="A126" s="6" t="s">
        <v>41</v>
      </c>
      <c r="B126" s="6"/>
      <c r="C126" s="6"/>
      <c r="D126" s="6"/>
      <c r="E126" s="6"/>
      <c r="F126" s="6"/>
      <c r="G126" s="6"/>
      <c r="H126" s="6"/>
      <c r="I126" s="6"/>
      <c r="J126" s="6"/>
    </row>
    <row r="127" spans="1:10" ht="19.5" customHeight="1" x14ac:dyDescent="0.25">
      <c r="A127" s="6" t="s">
        <v>42</v>
      </c>
      <c r="B127" s="6"/>
      <c r="C127" s="6"/>
      <c r="D127" s="6"/>
      <c r="E127" s="6"/>
      <c r="F127" s="6"/>
      <c r="G127" s="6"/>
      <c r="H127" s="6"/>
      <c r="I127" s="6"/>
      <c r="J127" s="6"/>
    </row>
    <row r="128" spans="1:10" ht="19.5" customHeight="1" x14ac:dyDescent="0.25">
      <c r="A128" s="6" t="s">
        <v>43</v>
      </c>
      <c r="B128" s="6"/>
      <c r="C128" s="6"/>
      <c r="D128" s="6"/>
      <c r="E128" s="6"/>
      <c r="F128" s="6"/>
      <c r="G128" s="6"/>
      <c r="H128" s="6"/>
      <c r="I128" s="6"/>
      <c r="J128" s="6"/>
    </row>
    <row r="129" spans="1:10" ht="19.5" customHeight="1" x14ac:dyDescent="0.25">
      <c r="A129" s="6" t="s">
        <v>44</v>
      </c>
      <c r="B129" s="6"/>
      <c r="C129" s="6"/>
      <c r="D129" s="6"/>
      <c r="E129" s="6"/>
      <c r="F129" s="6"/>
      <c r="G129" s="6"/>
      <c r="H129" s="6"/>
      <c r="I129" s="6"/>
      <c r="J129" s="6"/>
    </row>
    <row r="130" spans="1:10" ht="19.5" customHeight="1" x14ac:dyDescent="0.25">
      <c r="A130" s="6" t="s">
        <v>45</v>
      </c>
      <c r="B130" s="6"/>
      <c r="C130" s="6"/>
      <c r="D130" s="6"/>
      <c r="E130" s="6"/>
      <c r="F130" s="6"/>
      <c r="G130" s="6"/>
      <c r="H130" s="6"/>
      <c r="I130" s="6"/>
      <c r="J130" s="6"/>
    </row>
    <row r="131" spans="1:10" ht="19.5" customHeight="1" x14ac:dyDescent="0.25">
      <c r="A131" s="6" t="s">
        <v>46</v>
      </c>
      <c r="B131" s="6"/>
      <c r="C131" s="6"/>
      <c r="D131" s="6"/>
      <c r="E131" s="6"/>
      <c r="F131" s="6"/>
      <c r="G131" s="6"/>
      <c r="H131" s="6"/>
      <c r="I131" s="6"/>
      <c r="J131" s="6"/>
    </row>
    <row r="132" spans="1:10" ht="19.5" customHeight="1" x14ac:dyDescent="0.25">
      <c r="A132" s="6" t="s">
        <v>47</v>
      </c>
      <c r="B132" s="6"/>
      <c r="C132" s="6"/>
      <c r="D132" s="6"/>
      <c r="E132" s="6"/>
      <c r="F132" s="6"/>
      <c r="G132" s="6"/>
      <c r="H132" s="6"/>
      <c r="I132" s="6"/>
      <c r="J132" s="6"/>
    </row>
    <row r="133" spans="1:10" ht="19.5" customHeight="1" x14ac:dyDescent="0.25">
      <c r="A133" s="6" t="s">
        <v>48</v>
      </c>
      <c r="B133" s="6"/>
      <c r="C133" s="6"/>
      <c r="D133" s="6"/>
      <c r="E133" s="6"/>
      <c r="F133" s="6"/>
      <c r="G133" s="6"/>
      <c r="H133" s="6"/>
      <c r="I133" s="6"/>
      <c r="J133" s="6"/>
    </row>
    <row r="134" spans="1:10" ht="19.5" customHeight="1" x14ac:dyDescent="0.25">
      <c r="A134" s="6" t="s">
        <v>49</v>
      </c>
      <c r="B134" s="6"/>
      <c r="C134" s="6"/>
      <c r="D134" s="6"/>
      <c r="E134" s="6"/>
      <c r="F134" s="6"/>
      <c r="G134" s="6"/>
      <c r="H134" s="6"/>
      <c r="I134" s="6"/>
      <c r="J134" s="6"/>
    </row>
    <row r="135" spans="1:10" ht="19.5" customHeight="1" x14ac:dyDescent="0.25">
      <c r="A135" s="6" t="s">
        <v>50</v>
      </c>
      <c r="B135" s="6"/>
      <c r="C135" s="6"/>
      <c r="D135" s="6"/>
      <c r="E135" s="6"/>
      <c r="F135" s="6"/>
      <c r="G135" s="6"/>
      <c r="H135" s="6"/>
      <c r="I135" s="6"/>
      <c r="J135" s="6"/>
    </row>
    <row r="136" spans="1:10" ht="19.5" customHeight="1" x14ac:dyDescent="0.25">
      <c r="A136" s="6" t="s">
        <v>51</v>
      </c>
      <c r="B136" s="6"/>
      <c r="C136" s="6"/>
      <c r="D136" s="6"/>
      <c r="E136" s="6"/>
      <c r="F136" s="6"/>
      <c r="G136" s="6"/>
      <c r="H136" s="6"/>
      <c r="I136" s="6"/>
      <c r="J136" s="6"/>
    </row>
    <row r="137" spans="1:10" ht="19.5" customHeight="1" x14ac:dyDescent="0.25">
      <c r="A137" s="6" t="s">
        <v>52</v>
      </c>
      <c r="B137" s="6"/>
      <c r="C137" s="6"/>
      <c r="D137" s="6"/>
      <c r="E137" s="6"/>
      <c r="F137" s="6"/>
      <c r="G137" s="6"/>
      <c r="H137" s="6"/>
      <c r="I137" s="6"/>
      <c r="J137" s="6"/>
    </row>
    <row r="138" spans="1:10" ht="19.5" customHeight="1" x14ac:dyDescent="0.25">
      <c r="A138" s="6" t="s">
        <v>53</v>
      </c>
      <c r="B138" s="6"/>
      <c r="C138" s="8"/>
      <c r="D138" s="8"/>
      <c r="E138" s="8"/>
      <c r="F138" s="6"/>
      <c r="G138" s="6"/>
      <c r="H138" s="6"/>
      <c r="I138" s="6"/>
      <c r="J138" s="11"/>
    </row>
    <row r="139" spans="1:10" ht="33" customHeight="1" x14ac:dyDescent="0.25">
      <c r="A139" s="3" t="s">
        <v>64</v>
      </c>
      <c r="B139" s="154" t="s">
        <v>65</v>
      </c>
      <c r="C139" s="154"/>
      <c r="D139" s="154"/>
      <c r="E139" s="154"/>
      <c r="F139" s="154"/>
      <c r="G139" s="154"/>
      <c r="H139" s="154"/>
      <c r="I139" s="154"/>
      <c r="J139" s="154"/>
    </row>
    <row r="140" spans="1:10" ht="35.25" customHeight="1" x14ac:dyDescent="0.25">
      <c r="A140" s="3" t="s">
        <v>66</v>
      </c>
      <c r="B140" s="154" t="s">
        <v>67</v>
      </c>
      <c r="C140" s="154"/>
      <c r="D140" s="154"/>
      <c r="E140" s="154"/>
      <c r="F140" s="154"/>
      <c r="G140" s="154"/>
      <c r="H140" s="154"/>
      <c r="I140" s="154"/>
      <c r="J140" s="154"/>
    </row>
    <row r="141" spans="1:10" ht="15.75" customHeight="1" x14ac:dyDescent="0.25">
      <c r="A141" s="8">
        <v>1</v>
      </c>
      <c r="B141" s="7"/>
      <c r="C141" s="8"/>
      <c r="D141" s="8"/>
      <c r="E141" s="8"/>
      <c r="F141" s="8"/>
      <c r="G141" s="8"/>
      <c r="H141" s="10"/>
      <c r="I141" s="8"/>
      <c r="J141" s="19"/>
    </row>
    <row r="142" spans="1:10" ht="15.75" customHeight="1" x14ac:dyDescent="0.25">
      <c r="A142" s="8">
        <v>2</v>
      </c>
      <c r="B142" s="20"/>
      <c r="C142" s="8"/>
      <c r="D142" s="8"/>
      <c r="E142" s="6"/>
      <c r="F142" s="6"/>
      <c r="G142" s="9"/>
      <c r="H142" s="8"/>
      <c r="I142" s="8"/>
      <c r="J142" s="11"/>
    </row>
    <row r="143" spans="1:10" ht="15.75" customHeight="1" x14ac:dyDescent="0.25">
      <c r="A143" s="21"/>
      <c r="B143" s="22"/>
      <c r="C143" s="22"/>
      <c r="D143" s="22"/>
      <c r="E143" s="22"/>
      <c r="F143" s="22"/>
      <c r="G143" s="22"/>
      <c r="H143" s="23"/>
      <c r="I143" s="23"/>
      <c r="J143" s="23"/>
    </row>
    <row r="144" spans="1:10" ht="15.75" customHeight="1" x14ac:dyDescent="0.25">
      <c r="A144" s="24"/>
      <c r="B144" s="24"/>
      <c r="C144" s="24"/>
      <c r="D144" s="24"/>
      <c r="E144" s="157" t="s">
        <v>68</v>
      </c>
      <c r="F144" s="157"/>
      <c r="G144" s="157"/>
      <c r="H144" s="157"/>
      <c r="I144" s="157"/>
      <c r="J144" s="157"/>
    </row>
    <row r="145" spans="1:10" ht="15.75" customHeight="1" x14ac:dyDescent="0.25">
      <c r="A145" s="151" t="s">
        <v>69</v>
      </c>
      <c r="B145" s="151"/>
      <c r="C145" s="151"/>
      <c r="D145" s="151"/>
      <c r="E145" s="158" t="s">
        <v>70</v>
      </c>
      <c r="F145" s="158"/>
      <c r="G145" s="158"/>
      <c r="H145" s="158"/>
      <c r="I145" s="158"/>
      <c r="J145" s="158"/>
    </row>
    <row r="146" spans="1:10" ht="20.25" customHeight="1" x14ac:dyDescent="0.25">
      <c r="A146" s="159" t="s">
        <v>71</v>
      </c>
      <c r="B146" s="159"/>
      <c r="C146" s="159"/>
      <c r="D146" s="159"/>
      <c r="E146" s="160" t="s">
        <v>71</v>
      </c>
      <c r="F146" s="160"/>
      <c r="G146" s="160"/>
      <c r="H146" s="160"/>
      <c r="I146" s="160"/>
      <c r="J146" s="160"/>
    </row>
    <row r="147" spans="1:10" ht="15.75" customHeight="1" x14ac:dyDescent="0.25">
      <c r="A147" s="151"/>
      <c r="B147" s="151"/>
      <c r="C147" s="151"/>
      <c r="D147" s="151"/>
      <c r="E147" s="161"/>
      <c r="F147" s="161"/>
      <c r="G147" s="161"/>
      <c r="H147" s="161"/>
      <c r="I147" s="161"/>
      <c r="J147" s="161"/>
    </row>
    <row r="148" spans="1:10" ht="29.25" customHeight="1" x14ac:dyDescent="0.25">
      <c r="A148" s="162"/>
      <c r="B148" s="162"/>
      <c r="C148" s="162"/>
      <c r="D148" s="162"/>
      <c r="E148" s="162"/>
      <c r="F148" s="162"/>
      <c r="G148" s="162"/>
      <c r="H148" s="162"/>
      <c r="I148" s="162"/>
      <c r="J148" s="162"/>
    </row>
    <row r="149" spans="1:10" ht="15.75" customHeight="1" x14ac:dyDescent="0.25">
      <c r="A149" s="21"/>
      <c r="B149" s="22"/>
      <c r="C149" s="22"/>
      <c r="D149" s="22"/>
      <c r="E149" s="22"/>
      <c r="F149" s="22"/>
      <c r="G149" s="22"/>
      <c r="H149" s="23"/>
      <c r="I149" s="23"/>
      <c r="J149" s="23"/>
    </row>
    <row r="150" spans="1:10" ht="96" customHeight="1" x14ac:dyDescent="0.25">
      <c r="A150" s="163" t="s">
        <v>72</v>
      </c>
      <c r="B150" s="163"/>
      <c r="C150" s="163"/>
      <c r="D150" s="163"/>
      <c r="E150" s="163"/>
      <c r="F150" s="163"/>
      <c r="G150" s="163"/>
      <c r="H150" s="163"/>
      <c r="I150" s="163"/>
      <c r="J150" s="24"/>
    </row>
    <row r="151" spans="1:10" ht="15.75" customHeight="1" x14ac:dyDescent="0.25">
      <c r="A151" s="24"/>
      <c r="B151" s="24"/>
      <c r="C151" s="24"/>
      <c r="D151" s="24"/>
      <c r="E151" s="24"/>
      <c r="F151" s="24"/>
      <c r="G151" s="24"/>
      <c r="H151" s="24"/>
      <c r="I151" s="24"/>
      <c r="J151" s="24"/>
    </row>
    <row r="152" spans="1:10" ht="15.75" hidden="1" customHeight="1" x14ac:dyDescent="0.25">
      <c r="A152" s="24"/>
      <c r="B152" s="24"/>
      <c r="C152" s="24"/>
      <c r="D152" s="24"/>
      <c r="E152" s="24"/>
      <c r="F152" s="24"/>
      <c r="G152" s="24"/>
      <c r="H152" s="24"/>
      <c r="I152" s="24"/>
      <c r="J152" s="24"/>
    </row>
    <row r="153" spans="1:10" ht="15.75" hidden="1" customHeight="1" x14ac:dyDescent="0.25">
      <c r="A153" s="24"/>
      <c r="B153" s="24"/>
      <c r="C153" s="24"/>
      <c r="D153" s="24"/>
      <c r="E153" s="24"/>
      <c r="F153" s="24"/>
      <c r="G153" s="24"/>
      <c r="H153" s="24"/>
      <c r="I153" s="24"/>
      <c r="J153" s="24"/>
    </row>
    <row r="154" spans="1:10" ht="15.75" customHeight="1" x14ac:dyDescent="0.25">
      <c r="A154" s="24"/>
      <c r="B154" s="24"/>
      <c r="C154" s="24"/>
      <c r="D154" s="24"/>
      <c r="E154" s="24"/>
      <c r="F154" s="24"/>
      <c r="G154" s="24"/>
      <c r="H154" s="24"/>
      <c r="I154" s="24"/>
      <c r="J154" s="24"/>
    </row>
    <row r="155" spans="1:10" ht="15.75" customHeight="1" x14ac:dyDescent="0.25">
      <c r="A155" s="24"/>
      <c r="B155" s="24"/>
      <c r="C155" s="24"/>
      <c r="D155" s="24"/>
      <c r="E155" s="24"/>
      <c r="F155" s="24"/>
      <c r="G155" s="24"/>
      <c r="H155" s="24"/>
      <c r="I155" s="24"/>
      <c r="J155" s="24"/>
    </row>
    <row r="156" spans="1:10" ht="15.75" customHeight="1" x14ac:dyDescent="0.25">
      <c r="A156" s="24"/>
      <c r="B156" s="24"/>
      <c r="C156" s="24"/>
      <c r="D156" s="24"/>
      <c r="E156" s="24"/>
      <c r="F156" s="24"/>
      <c r="G156" s="24"/>
      <c r="H156" s="24"/>
      <c r="I156" s="24"/>
      <c r="J156" s="24"/>
    </row>
    <row r="157" spans="1:10" ht="15.75" customHeight="1" x14ac:dyDescent="0.25">
      <c r="A157" s="24"/>
      <c r="B157" s="24"/>
      <c r="C157" s="24"/>
      <c r="D157" s="24"/>
      <c r="E157" s="24"/>
      <c r="F157" s="24"/>
      <c r="G157" s="24"/>
      <c r="H157" s="24"/>
      <c r="I157" s="24"/>
      <c r="J157" s="24"/>
    </row>
    <row r="158" spans="1:10" ht="15.75" customHeight="1" x14ac:dyDescent="0.25">
      <c r="A158" s="24"/>
      <c r="B158" s="24"/>
      <c r="C158" s="24"/>
      <c r="D158" s="24"/>
      <c r="E158" s="24"/>
      <c r="F158" s="24"/>
      <c r="G158" s="24"/>
      <c r="H158" s="24"/>
      <c r="I158" s="24"/>
      <c r="J158" s="24"/>
    </row>
    <row r="159" spans="1:10" ht="15.75" customHeight="1" x14ac:dyDescent="0.25">
      <c r="A159" s="24"/>
      <c r="B159" s="24"/>
      <c r="C159" s="24"/>
      <c r="D159" s="24"/>
      <c r="E159" s="24"/>
      <c r="F159" s="24"/>
      <c r="G159" s="24"/>
      <c r="H159" s="24"/>
      <c r="I159" s="24"/>
      <c r="J159" s="24"/>
    </row>
    <row r="160" spans="1:10" ht="15.75" customHeight="1" x14ac:dyDescent="0.25">
      <c r="A160" s="24"/>
      <c r="B160" s="24"/>
      <c r="C160" s="24"/>
      <c r="D160" s="24"/>
      <c r="E160" s="24"/>
      <c r="F160" s="24"/>
      <c r="G160" s="24"/>
      <c r="H160" s="24"/>
      <c r="I160" s="24"/>
      <c r="J160" s="24"/>
    </row>
    <row r="161" spans="1:10" ht="15.75" customHeight="1" x14ac:dyDescent="0.25">
      <c r="A161" s="24"/>
      <c r="B161" s="24"/>
      <c r="C161" s="24"/>
      <c r="D161" s="24"/>
      <c r="E161" s="24"/>
      <c r="F161" s="24"/>
      <c r="G161" s="24"/>
      <c r="H161" s="24"/>
      <c r="I161" s="24"/>
      <c r="J161" s="24"/>
    </row>
    <row r="162" spans="1:10" ht="15.75" customHeight="1" x14ac:dyDescent="0.25">
      <c r="A162" s="24"/>
      <c r="B162" s="24"/>
      <c r="C162" s="24"/>
      <c r="D162" s="24"/>
      <c r="E162" s="24"/>
      <c r="F162" s="24"/>
      <c r="G162" s="24"/>
      <c r="H162" s="24"/>
      <c r="I162" s="24"/>
      <c r="J162" s="24"/>
    </row>
    <row r="163" spans="1:10" ht="15.75" customHeight="1" x14ac:dyDescent="0.25">
      <c r="A163" s="24"/>
      <c r="B163" s="24"/>
      <c r="C163" s="24"/>
      <c r="D163" s="24"/>
      <c r="E163" s="24"/>
      <c r="F163" s="24"/>
      <c r="G163" s="24"/>
      <c r="H163" s="24"/>
      <c r="I163" s="24"/>
      <c r="J163" s="24"/>
    </row>
    <row r="164" spans="1:10" ht="15.75" customHeight="1" x14ac:dyDescent="0.25">
      <c r="A164" s="24"/>
      <c r="B164" s="24"/>
      <c r="C164" s="24"/>
      <c r="D164" s="24"/>
      <c r="E164" s="24"/>
      <c r="F164" s="24"/>
      <c r="G164" s="24"/>
      <c r="H164" s="24"/>
      <c r="I164" s="24"/>
      <c r="J164" s="24"/>
    </row>
    <row r="165" spans="1:10" ht="15.75" customHeight="1" x14ac:dyDescent="0.25">
      <c r="A165" s="24"/>
      <c r="B165" s="24"/>
      <c r="C165" s="24"/>
      <c r="D165" s="24"/>
      <c r="E165" s="24"/>
      <c r="F165" s="24"/>
      <c r="G165" s="24"/>
      <c r="H165" s="24"/>
      <c r="I165" s="24"/>
      <c r="J165" s="24"/>
    </row>
    <row r="166" spans="1:10" ht="15.75" customHeight="1" x14ac:dyDescent="0.25">
      <c r="A166" s="24"/>
      <c r="B166" s="24"/>
      <c r="C166" s="24"/>
      <c r="D166" s="24"/>
      <c r="E166" s="24"/>
      <c r="F166" s="24"/>
      <c r="G166" s="24"/>
      <c r="H166" s="24"/>
      <c r="I166" s="24"/>
      <c r="J166" s="24"/>
    </row>
    <row r="167" spans="1:10" ht="15.75" customHeight="1" x14ac:dyDescent="0.25">
      <c r="A167" s="24"/>
      <c r="B167" s="24"/>
      <c r="C167" s="24"/>
      <c r="D167" s="24"/>
      <c r="E167" s="24"/>
      <c r="F167" s="24"/>
      <c r="G167" s="24"/>
      <c r="H167" s="24"/>
      <c r="I167" s="24"/>
      <c r="J167" s="24"/>
    </row>
    <row r="168" spans="1:10" ht="15.75" customHeight="1" x14ac:dyDescent="0.25">
      <c r="A168" s="24"/>
      <c r="B168" s="24"/>
      <c r="C168" s="24"/>
      <c r="D168" s="24"/>
      <c r="E168" s="24"/>
      <c r="F168" s="24"/>
      <c r="G168" s="24"/>
      <c r="H168" s="24"/>
      <c r="I168" s="24"/>
      <c r="J168" s="24"/>
    </row>
    <row r="169" spans="1:10" ht="15.75" customHeight="1" x14ac:dyDescent="0.25">
      <c r="A169" s="24"/>
      <c r="B169" s="24"/>
      <c r="C169" s="24"/>
      <c r="D169" s="24"/>
      <c r="E169" s="24"/>
      <c r="F169" s="24"/>
      <c r="G169" s="24"/>
      <c r="H169" s="24"/>
      <c r="I169" s="24"/>
      <c r="J169" s="24"/>
    </row>
    <row r="170" spans="1:10" ht="15.75" customHeight="1" x14ac:dyDescent="0.25">
      <c r="A170" s="24"/>
      <c r="B170" s="24"/>
      <c r="C170" s="24"/>
      <c r="D170" s="24"/>
      <c r="E170" s="24"/>
      <c r="F170" s="24"/>
      <c r="G170" s="24"/>
      <c r="H170" s="24"/>
      <c r="I170" s="24"/>
      <c r="J170" s="24"/>
    </row>
    <row r="171" spans="1:10" ht="15.75" customHeight="1" x14ac:dyDescent="0.25">
      <c r="A171" s="24"/>
      <c r="B171" s="24"/>
      <c r="C171" s="24"/>
      <c r="D171" s="24"/>
      <c r="E171" s="24"/>
      <c r="F171" s="24"/>
      <c r="G171" s="24"/>
      <c r="H171" s="24"/>
      <c r="I171" s="24"/>
      <c r="J171" s="24"/>
    </row>
    <row r="172" spans="1:10" ht="15.75" customHeight="1" x14ac:dyDescent="0.25">
      <c r="A172" s="24"/>
      <c r="B172" s="24"/>
      <c r="C172" s="24"/>
      <c r="D172" s="24"/>
      <c r="E172" s="24"/>
      <c r="F172" s="24"/>
      <c r="G172" s="24"/>
      <c r="H172" s="24"/>
      <c r="I172" s="24"/>
      <c r="J172" s="24"/>
    </row>
    <row r="173" spans="1:10" ht="15.75" customHeight="1" x14ac:dyDescent="0.25">
      <c r="A173" s="24"/>
      <c r="B173" s="24"/>
      <c r="C173" s="24"/>
      <c r="D173" s="24"/>
      <c r="E173" s="24"/>
      <c r="F173" s="24"/>
      <c r="G173" s="24"/>
      <c r="H173" s="24"/>
      <c r="I173" s="24"/>
      <c r="J173" s="24"/>
    </row>
    <row r="174" spans="1:10" ht="15.75" customHeight="1" x14ac:dyDescent="0.25">
      <c r="A174" s="24"/>
      <c r="B174" s="24"/>
      <c r="C174" s="24"/>
      <c r="D174" s="24"/>
      <c r="E174" s="24"/>
      <c r="F174" s="24"/>
      <c r="G174" s="24"/>
      <c r="H174" s="24"/>
      <c r="I174" s="24"/>
      <c r="J174" s="24"/>
    </row>
    <row r="175" spans="1:10" ht="15.75" customHeight="1" x14ac:dyDescent="0.25">
      <c r="A175" s="24"/>
      <c r="B175" s="24"/>
      <c r="C175" s="24"/>
      <c r="D175" s="24"/>
      <c r="E175" s="24"/>
      <c r="F175" s="24"/>
      <c r="G175" s="24"/>
      <c r="H175" s="24"/>
      <c r="I175" s="24"/>
      <c r="J175" s="24"/>
    </row>
    <row r="176" spans="1:10" ht="15.75" customHeight="1" x14ac:dyDescent="0.25">
      <c r="A176" s="24"/>
      <c r="B176" s="24"/>
      <c r="C176" s="24"/>
      <c r="D176" s="24"/>
      <c r="E176" s="24"/>
      <c r="F176" s="24"/>
      <c r="G176" s="24"/>
      <c r="H176" s="24"/>
      <c r="I176" s="24"/>
      <c r="J176" s="24"/>
    </row>
    <row r="177" spans="1:10" ht="15.75" customHeight="1" x14ac:dyDescent="0.25">
      <c r="A177" s="24"/>
      <c r="B177" s="24"/>
      <c r="C177" s="24"/>
      <c r="D177" s="24"/>
      <c r="E177" s="24"/>
      <c r="F177" s="24"/>
      <c r="G177" s="24"/>
      <c r="H177" s="24"/>
      <c r="I177" s="24"/>
      <c r="J177" s="24"/>
    </row>
    <row r="178" spans="1:10" ht="15.75" customHeight="1" x14ac:dyDescent="0.25">
      <c r="A178" s="24"/>
      <c r="B178" s="24"/>
      <c r="C178" s="24"/>
      <c r="D178" s="24"/>
      <c r="E178" s="24"/>
      <c r="F178" s="24"/>
      <c r="G178" s="24"/>
      <c r="H178" s="24"/>
      <c r="I178" s="24"/>
      <c r="J178" s="24"/>
    </row>
    <row r="179" spans="1:10" ht="15.75" customHeight="1" x14ac:dyDescent="0.25">
      <c r="A179" s="24"/>
      <c r="B179" s="24"/>
      <c r="C179" s="24"/>
      <c r="D179" s="24"/>
      <c r="E179" s="24"/>
      <c r="F179" s="24"/>
      <c r="G179" s="24"/>
      <c r="H179" s="24"/>
      <c r="I179" s="24"/>
      <c r="J179" s="24"/>
    </row>
  </sheetData>
  <mergeCells count="26">
    <mergeCell ref="A147:D147"/>
    <mergeCell ref="E147:J147"/>
    <mergeCell ref="A148:D148"/>
    <mergeCell ref="E148:J148"/>
    <mergeCell ref="A150:I150"/>
    <mergeCell ref="B140:J140"/>
    <mergeCell ref="E144:J144"/>
    <mergeCell ref="A145:D145"/>
    <mergeCell ref="E145:J145"/>
    <mergeCell ref="A146:D146"/>
    <mergeCell ref="E146:J146"/>
    <mergeCell ref="B55:J55"/>
    <mergeCell ref="B76:J76"/>
    <mergeCell ref="B97:J97"/>
    <mergeCell ref="B118:J118"/>
    <mergeCell ref="B139:J139"/>
    <mergeCell ref="B7:J7"/>
    <mergeCell ref="B8:J8"/>
    <mergeCell ref="B12:J12"/>
    <mergeCell ref="B13:J13"/>
    <mergeCell ref="B34:J34"/>
    <mergeCell ref="A1:J1"/>
    <mergeCell ref="A2:J2"/>
    <mergeCell ref="B4:J4"/>
    <mergeCell ref="B5:J5"/>
    <mergeCell ref="B6:J6"/>
  </mergeCells>
  <dataValidations count="1">
    <dataValidation type="list" allowBlank="1" showErrorMessage="1" sqref="E14:E15" xr:uid="{00000000-0002-0000-00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s>
  <pageMargins left="0.51180555555555596" right="0.4" top="1" bottom="0.5" header="0" footer="0.511811023622047"/>
  <pageSetup paperSize="9" orientation="landscape" horizontalDpi="300" verticalDpi="300"/>
  <headerFooter>
    <oddHeader>&amp;C&amp;P</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178"/>
  <sheetViews>
    <sheetView tabSelected="1" zoomScaleNormal="100" workbookViewId="0">
      <selection activeCell="Q30" sqref="Q30:Q49"/>
    </sheetView>
  </sheetViews>
  <sheetFormatPr defaultColWidth="14.42578125" defaultRowHeight="15" x14ac:dyDescent="0.25"/>
  <cols>
    <col min="1" max="1" width="8.7109375" customWidth="1"/>
    <col min="2" max="2" width="32.28515625" customWidth="1"/>
    <col min="3" max="6" width="8.7109375" customWidth="1"/>
    <col min="7" max="7" width="9.5703125" customWidth="1"/>
    <col min="8" max="8" width="16.7109375" customWidth="1"/>
    <col min="9" max="14" width="8.7109375" customWidth="1"/>
    <col min="15" max="15" width="11.28515625" customWidth="1"/>
    <col min="16" max="16" width="8.7109375" customWidth="1"/>
    <col min="17" max="17" width="11.28515625" customWidth="1"/>
    <col min="18" max="18" width="8.7109375" customWidth="1"/>
    <col min="19" max="24" width="30" customWidth="1"/>
  </cols>
  <sheetData>
    <row r="1" spans="1:24" ht="15.75" customHeight="1" x14ac:dyDescent="0.25">
      <c r="A1" s="164" t="s">
        <v>73</v>
      </c>
      <c r="B1" s="164"/>
      <c r="C1" s="164"/>
      <c r="D1" s="164"/>
      <c r="E1" s="164"/>
      <c r="F1" s="164"/>
      <c r="G1" s="164"/>
      <c r="H1" s="164"/>
      <c r="I1" s="164"/>
      <c r="J1" s="164"/>
      <c r="K1" s="164"/>
      <c r="L1" s="164"/>
      <c r="M1" s="164"/>
      <c r="N1" s="164"/>
      <c r="O1" s="164"/>
      <c r="P1" s="164"/>
      <c r="Q1" s="164"/>
      <c r="R1" s="164"/>
      <c r="S1" s="25"/>
      <c r="T1" s="25"/>
      <c r="U1" s="25"/>
      <c r="V1" s="25"/>
      <c r="W1" s="25"/>
      <c r="X1" s="25"/>
    </row>
    <row r="2" spans="1:24" ht="29.25" customHeight="1" x14ac:dyDescent="0.25">
      <c r="A2" s="165" t="s">
        <v>74</v>
      </c>
      <c r="B2" s="165"/>
      <c r="C2" s="165"/>
      <c r="D2" s="165"/>
      <c r="E2" s="165"/>
      <c r="F2" s="165"/>
      <c r="G2" s="165"/>
      <c r="H2" s="165"/>
      <c r="I2" s="165"/>
      <c r="J2" s="165"/>
      <c r="K2" s="165"/>
      <c r="L2" s="165"/>
      <c r="M2" s="165"/>
      <c r="N2" s="165"/>
      <c r="O2" s="165"/>
      <c r="P2" s="165"/>
      <c r="Q2" s="165"/>
      <c r="R2" s="165"/>
      <c r="S2" s="25"/>
      <c r="T2" s="25"/>
      <c r="U2" s="25"/>
      <c r="V2" s="25"/>
      <c r="W2" s="25"/>
      <c r="X2" s="25"/>
    </row>
    <row r="3" spans="1:24" ht="15.75" customHeight="1" x14ac:dyDescent="0.25">
      <c r="A3" s="166" t="s">
        <v>6</v>
      </c>
      <c r="B3" s="166" t="s">
        <v>75</v>
      </c>
      <c r="C3" s="166"/>
      <c r="D3" s="166"/>
      <c r="E3" s="166"/>
      <c r="F3" s="166"/>
      <c r="G3" s="166"/>
      <c r="H3" s="166"/>
      <c r="I3" s="166"/>
      <c r="J3" s="166"/>
      <c r="K3" s="166" t="s">
        <v>76</v>
      </c>
      <c r="L3" s="166"/>
      <c r="M3" s="166"/>
      <c r="N3" s="166"/>
      <c r="O3" s="166"/>
      <c r="P3" s="166"/>
      <c r="Q3" s="166"/>
      <c r="R3" s="166" t="s">
        <v>15</v>
      </c>
      <c r="S3" s="25"/>
      <c r="T3" s="25"/>
      <c r="U3" s="25"/>
      <c r="V3" s="25"/>
      <c r="W3" s="25"/>
      <c r="X3" s="25"/>
    </row>
    <row r="4" spans="1:24" ht="15.75" customHeight="1" x14ac:dyDescent="0.25">
      <c r="A4" s="166"/>
      <c r="B4" s="166" t="s">
        <v>77</v>
      </c>
      <c r="C4" s="166" t="s">
        <v>78</v>
      </c>
      <c r="D4" s="166" t="s">
        <v>79</v>
      </c>
      <c r="E4" s="166" t="s">
        <v>80</v>
      </c>
      <c r="F4" s="166" t="s">
        <v>81</v>
      </c>
      <c r="G4" s="166" t="s">
        <v>11</v>
      </c>
      <c r="H4" s="166" t="s">
        <v>12</v>
      </c>
      <c r="I4" s="166" t="s">
        <v>14</v>
      </c>
      <c r="J4" s="166" t="s">
        <v>82</v>
      </c>
      <c r="K4" s="166" t="s">
        <v>10</v>
      </c>
      <c r="L4" s="167" t="s">
        <v>83</v>
      </c>
      <c r="M4" s="167"/>
      <c r="N4" s="167" t="s">
        <v>84</v>
      </c>
      <c r="O4" s="167"/>
      <c r="P4" s="167" t="s">
        <v>85</v>
      </c>
      <c r="Q4" s="167"/>
      <c r="R4" s="166"/>
      <c r="S4" s="25"/>
      <c r="T4" s="25"/>
      <c r="U4" s="25"/>
      <c r="V4" s="25"/>
      <c r="W4" s="25"/>
      <c r="X4" s="25"/>
    </row>
    <row r="5" spans="1:24" ht="66" customHeight="1" x14ac:dyDescent="0.25">
      <c r="A5" s="166"/>
      <c r="B5" s="166"/>
      <c r="C5" s="166"/>
      <c r="D5" s="166"/>
      <c r="E5" s="166"/>
      <c r="F5" s="166"/>
      <c r="G5" s="166"/>
      <c r="H5" s="166"/>
      <c r="I5" s="166"/>
      <c r="J5" s="166"/>
      <c r="K5" s="166"/>
      <c r="L5" s="27" t="s">
        <v>86</v>
      </c>
      <c r="M5" s="28" t="s">
        <v>87</v>
      </c>
      <c r="N5" s="27" t="s">
        <v>86</v>
      </c>
      <c r="O5" s="28" t="s">
        <v>87</v>
      </c>
      <c r="P5" s="27" t="s">
        <v>86</v>
      </c>
      <c r="Q5" s="29" t="s">
        <v>87</v>
      </c>
      <c r="R5" s="30"/>
      <c r="S5" s="25"/>
      <c r="T5" s="25"/>
      <c r="U5" s="25"/>
      <c r="V5" s="25"/>
      <c r="W5" s="25"/>
      <c r="X5" s="25"/>
    </row>
    <row r="6" spans="1:24" ht="36" customHeight="1" x14ac:dyDescent="0.3">
      <c r="A6" s="31"/>
      <c r="B6" s="31"/>
      <c r="C6" s="32"/>
      <c r="D6" s="33"/>
      <c r="E6" s="32"/>
      <c r="F6" s="33"/>
      <c r="G6" s="33"/>
      <c r="H6" s="33"/>
      <c r="I6" s="33"/>
      <c r="J6" s="34"/>
      <c r="K6" s="15"/>
      <c r="L6" s="35"/>
      <c r="M6" s="36"/>
      <c r="N6" s="168" t="s">
        <v>88</v>
      </c>
      <c r="O6" s="168"/>
      <c r="P6" s="168" t="s">
        <v>88</v>
      </c>
      <c r="Q6" s="168"/>
      <c r="R6" s="37"/>
      <c r="S6" s="25"/>
      <c r="T6" s="25"/>
      <c r="U6" s="25"/>
      <c r="V6" s="25"/>
      <c r="W6" s="25"/>
      <c r="X6" s="25"/>
    </row>
    <row r="7" spans="1:24" ht="49.5" customHeight="1" x14ac:dyDescent="0.3">
      <c r="A7" s="26" t="s">
        <v>26</v>
      </c>
      <c r="B7" s="38" t="s">
        <v>27</v>
      </c>
      <c r="C7" s="32"/>
      <c r="D7" s="33"/>
      <c r="E7" s="32"/>
      <c r="F7" s="33"/>
      <c r="G7" s="33"/>
      <c r="H7" s="33"/>
      <c r="I7" s="33"/>
      <c r="J7" s="33"/>
      <c r="K7" s="39"/>
      <c r="L7" s="39"/>
      <c r="M7" s="39"/>
      <c r="N7" s="39"/>
      <c r="O7" s="39"/>
      <c r="P7" s="39"/>
      <c r="Q7" s="39"/>
      <c r="R7" s="37"/>
      <c r="S7" s="25"/>
      <c r="T7" s="25"/>
      <c r="U7" s="25"/>
      <c r="V7" s="25"/>
      <c r="W7" s="25"/>
      <c r="X7" s="25"/>
    </row>
    <row r="8" spans="1:24" ht="49.5" customHeight="1" x14ac:dyDescent="0.3">
      <c r="A8" s="40" t="s">
        <v>28</v>
      </c>
      <c r="B8" s="41" t="s">
        <v>89</v>
      </c>
      <c r="C8" s="42"/>
      <c r="D8" s="43"/>
      <c r="E8" s="44"/>
      <c r="F8" s="43"/>
      <c r="G8" s="43"/>
      <c r="H8" s="43"/>
      <c r="I8" s="43"/>
      <c r="J8" s="45">
        <f>SUM(J9:J28)</f>
        <v>5</v>
      </c>
      <c r="K8" s="45"/>
      <c r="L8" s="45"/>
      <c r="M8" s="45">
        <f>SUM(M9:M28)</f>
        <v>4</v>
      </c>
      <c r="N8" s="46"/>
      <c r="O8" s="45">
        <f>SUM(O9:O28)</f>
        <v>4</v>
      </c>
      <c r="P8" s="46"/>
      <c r="Q8" s="45">
        <f>SUM(Q9:Q28)</f>
        <v>4</v>
      </c>
      <c r="R8" s="47">
        <f>(M8+O8+Q8)/3</f>
        <v>4</v>
      </c>
      <c r="S8" s="25"/>
      <c r="T8" s="25"/>
      <c r="U8" s="25"/>
      <c r="V8" s="25"/>
      <c r="W8" s="25"/>
      <c r="X8" s="25"/>
    </row>
    <row r="9" spans="1:24" ht="47.25" customHeight="1" x14ac:dyDescent="0.25">
      <c r="A9" s="48" t="s">
        <v>30</v>
      </c>
      <c r="B9" s="49" t="str">
        <f>'Ke Hoach'!B14</f>
        <v>Tổ chức thi và hoàn thiện hồ sơ lớp bồi dưỡng tiếng dân tộc thiểu số Bahnar khoá 1 năm 2026.</v>
      </c>
      <c r="C9" s="50"/>
      <c r="D9" s="50"/>
      <c r="E9" s="50"/>
      <c r="F9" s="50"/>
      <c r="G9" s="6">
        <f>'Ke Hoach'!F14</f>
        <v>5</v>
      </c>
      <c r="H9" s="9">
        <f>'Ke Hoach'!G14</f>
        <v>46266</v>
      </c>
      <c r="I9" s="50">
        <f>'Ke Hoach'!I14</f>
        <v>1</v>
      </c>
      <c r="J9" s="48">
        <f t="shared" ref="J9:J28" si="0">G9*I9</f>
        <v>5</v>
      </c>
      <c r="K9" s="50"/>
      <c r="L9" s="51">
        <v>4</v>
      </c>
      <c r="M9" s="52">
        <f t="shared" ref="M9:M28" si="1">IF(G9=0,0,MIN(L9,G9)*I9)</f>
        <v>4</v>
      </c>
      <c r="N9" s="53">
        <v>100</v>
      </c>
      <c r="O9" s="52">
        <f t="shared" ref="O9:O28" si="2">I9*L9*N9/100</f>
        <v>4</v>
      </c>
      <c r="P9" s="54">
        <v>100</v>
      </c>
      <c r="Q9" s="55">
        <f t="shared" ref="Q9:Q28" si="3">I9*L9*P9/100</f>
        <v>4</v>
      </c>
      <c r="R9" s="56"/>
      <c r="S9" s="25"/>
      <c r="T9" s="25"/>
      <c r="U9" s="25"/>
      <c r="V9" s="25"/>
      <c r="W9" s="25"/>
      <c r="X9" s="25"/>
    </row>
    <row r="10" spans="1:24" ht="31.5" customHeight="1" x14ac:dyDescent="0.25">
      <c r="A10" s="48" t="s">
        <v>35</v>
      </c>
      <c r="B10" s="49">
        <f>'Ke Hoach'!B15</f>
        <v>0</v>
      </c>
      <c r="C10" s="50"/>
      <c r="D10" s="50"/>
      <c r="E10" s="50"/>
      <c r="F10" s="50"/>
      <c r="G10" s="6">
        <f>'Ke Hoach'!F15</f>
        <v>0</v>
      </c>
      <c r="H10" s="9">
        <f>'Ke Hoach'!G15</f>
        <v>0</v>
      </c>
      <c r="I10" s="50">
        <f>'Ke Hoach'!I15</f>
        <v>0</v>
      </c>
      <c r="J10" s="48">
        <f t="shared" si="0"/>
        <v>0</v>
      </c>
      <c r="K10" s="50"/>
      <c r="L10" s="51"/>
      <c r="M10" s="52">
        <f t="shared" si="1"/>
        <v>0</v>
      </c>
      <c r="N10" s="53"/>
      <c r="O10" s="52">
        <f t="shared" si="2"/>
        <v>0</v>
      </c>
      <c r="P10" s="54"/>
      <c r="Q10" s="55">
        <f t="shared" si="3"/>
        <v>0</v>
      </c>
      <c r="R10" s="57"/>
      <c r="S10" s="25"/>
      <c r="T10" s="25"/>
      <c r="U10" s="25"/>
      <c r="V10" s="25"/>
      <c r="W10" s="25"/>
      <c r="X10" s="25"/>
    </row>
    <row r="11" spans="1:24" ht="31.5" customHeight="1" x14ac:dyDescent="0.25">
      <c r="A11" s="48" t="s">
        <v>36</v>
      </c>
      <c r="B11" s="49">
        <f>'Ke Hoach'!B16</f>
        <v>0</v>
      </c>
      <c r="C11" s="50"/>
      <c r="D11" s="50"/>
      <c r="E11" s="50"/>
      <c r="F11" s="50"/>
      <c r="G11" s="6">
        <f>'Ke Hoach'!F16</f>
        <v>0</v>
      </c>
      <c r="H11" s="9">
        <f>'Ke Hoach'!G16</f>
        <v>0</v>
      </c>
      <c r="I11" s="50">
        <f>'Ke Hoach'!I16</f>
        <v>0</v>
      </c>
      <c r="J11" s="48">
        <f t="shared" si="0"/>
        <v>0</v>
      </c>
      <c r="K11" s="50"/>
      <c r="L11" s="51"/>
      <c r="M11" s="52">
        <f t="shared" si="1"/>
        <v>0</v>
      </c>
      <c r="N11" s="58"/>
      <c r="O11" s="52">
        <f t="shared" si="2"/>
        <v>0</v>
      </c>
      <c r="P11" s="54"/>
      <c r="Q11" s="55">
        <f t="shared" si="3"/>
        <v>0</v>
      </c>
      <c r="R11" s="57"/>
      <c r="S11" s="25"/>
      <c r="T11" s="25"/>
      <c r="U11" s="25"/>
      <c r="V11" s="25"/>
      <c r="W11" s="25"/>
      <c r="X11" s="25"/>
    </row>
    <row r="12" spans="1:24" ht="16.5" customHeight="1" x14ac:dyDescent="0.25">
      <c r="A12" s="48" t="s">
        <v>37</v>
      </c>
      <c r="B12" s="49">
        <f>'Ke Hoach'!B17</f>
        <v>0</v>
      </c>
      <c r="C12" s="50"/>
      <c r="D12" s="50"/>
      <c r="E12" s="50"/>
      <c r="F12" s="50"/>
      <c r="G12" s="6">
        <f>'Ke Hoach'!F17</f>
        <v>0</v>
      </c>
      <c r="H12" s="9">
        <f>'Ke Hoach'!G17</f>
        <v>0</v>
      </c>
      <c r="I12" s="50">
        <f>'Ke Hoach'!I17</f>
        <v>0</v>
      </c>
      <c r="J12" s="48">
        <f t="shared" si="0"/>
        <v>0</v>
      </c>
      <c r="K12" s="50"/>
      <c r="L12" s="51"/>
      <c r="M12" s="52">
        <f t="shared" si="1"/>
        <v>0</v>
      </c>
      <c r="N12" s="58"/>
      <c r="O12" s="52">
        <f t="shared" si="2"/>
        <v>0</v>
      </c>
      <c r="P12" s="54"/>
      <c r="Q12" s="55">
        <f t="shared" si="3"/>
        <v>0</v>
      </c>
      <c r="R12" s="57"/>
      <c r="S12" s="25"/>
      <c r="T12" s="25"/>
      <c r="U12" s="25"/>
      <c r="V12" s="25"/>
      <c r="W12" s="25"/>
      <c r="X12" s="25"/>
    </row>
    <row r="13" spans="1:24" ht="16.5" customHeight="1" x14ac:dyDescent="0.25">
      <c r="A13" s="48" t="s">
        <v>38</v>
      </c>
      <c r="B13" s="49">
        <f>'Ke Hoach'!B18</f>
        <v>0</v>
      </c>
      <c r="C13" s="50"/>
      <c r="D13" s="50"/>
      <c r="E13" s="50"/>
      <c r="F13" s="50"/>
      <c r="G13" s="6">
        <f>'Ke Hoach'!F18</f>
        <v>0</v>
      </c>
      <c r="H13" s="9">
        <f>'Ke Hoach'!G18</f>
        <v>0</v>
      </c>
      <c r="I13" s="50">
        <f>'Ke Hoach'!I18</f>
        <v>0</v>
      </c>
      <c r="J13" s="48">
        <f t="shared" si="0"/>
        <v>0</v>
      </c>
      <c r="K13" s="50"/>
      <c r="L13" s="51"/>
      <c r="M13" s="52">
        <f t="shared" si="1"/>
        <v>0</v>
      </c>
      <c r="N13" s="58"/>
      <c r="O13" s="52">
        <f t="shared" si="2"/>
        <v>0</v>
      </c>
      <c r="P13" s="54"/>
      <c r="Q13" s="55">
        <f t="shared" si="3"/>
        <v>0</v>
      </c>
      <c r="R13" s="57"/>
      <c r="S13" s="25"/>
      <c r="T13" s="25"/>
      <c r="U13" s="25"/>
      <c r="V13" s="25"/>
      <c r="W13" s="25"/>
      <c r="X13" s="25"/>
    </row>
    <row r="14" spans="1:24" ht="16.5" customHeight="1" x14ac:dyDescent="0.25">
      <c r="A14" s="48" t="s">
        <v>39</v>
      </c>
      <c r="B14" s="49">
        <f>'Ke Hoach'!B19</f>
        <v>0</v>
      </c>
      <c r="C14" s="50"/>
      <c r="D14" s="50"/>
      <c r="E14" s="50"/>
      <c r="F14" s="50"/>
      <c r="G14" s="6">
        <f>'Ke Hoach'!F19</f>
        <v>0</v>
      </c>
      <c r="H14" s="9">
        <f>'Ke Hoach'!G19</f>
        <v>0</v>
      </c>
      <c r="I14" s="50">
        <f>'Ke Hoach'!I19</f>
        <v>0</v>
      </c>
      <c r="J14" s="48">
        <f t="shared" si="0"/>
        <v>0</v>
      </c>
      <c r="K14" s="50"/>
      <c r="L14" s="51"/>
      <c r="M14" s="52">
        <f t="shared" si="1"/>
        <v>0</v>
      </c>
      <c r="N14" s="58"/>
      <c r="O14" s="52">
        <f t="shared" si="2"/>
        <v>0</v>
      </c>
      <c r="P14" s="54"/>
      <c r="Q14" s="55">
        <f t="shared" si="3"/>
        <v>0</v>
      </c>
      <c r="R14" s="57"/>
      <c r="S14" s="25"/>
      <c r="T14" s="25"/>
      <c r="U14" s="25"/>
      <c r="V14" s="25"/>
      <c r="W14" s="25"/>
      <c r="X14" s="25"/>
    </row>
    <row r="15" spans="1:24" ht="16.5" customHeight="1" x14ac:dyDescent="0.25">
      <c r="A15" s="48" t="s">
        <v>40</v>
      </c>
      <c r="B15" s="49">
        <f>'Ke Hoach'!B20</f>
        <v>0</v>
      </c>
      <c r="C15" s="50"/>
      <c r="D15" s="50"/>
      <c r="E15" s="50"/>
      <c r="F15" s="50"/>
      <c r="G15" s="6">
        <f>'Ke Hoach'!F20</f>
        <v>0</v>
      </c>
      <c r="H15" s="9">
        <f>'Ke Hoach'!G20</f>
        <v>0</v>
      </c>
      <c r="I15" s="50">
        <f>'Ke Hoach'!I20</f>
        <v>0</v>
      </c>
      <c r="J15" s="48">
        <f t="shared" si="0"/>
        <v>0</v>
      </c>
      <c r="K15" s="50"/>
      <c r="L15" s="51"/>
      <c r="M15" s="52">
        <f t="shared" si="1"/>
        <v>0</v>
      </c>
      <c r="N15" s="58"/>
      <c r="O15" s="52">
        <f t="shared" si="2"/>
        <v>0</v>
      </c>
      <c r="P15" s="54"/>
      <c r="Q15" s="55">
        <f t="shared" si="3"/>
        <v>0</v>
      </c>
      <c r="R15" s="57"/>
      <c r="S15" s="25"/>
      <c r="T15" s="25"/>
      <c r="U15" s="25"/>
      <c r="V15" s="25"/>
      <c r="W15" s="25"/>
      <c r="X15" s="25"/>
    </row>
    <row r="16" spans="1:24" ht="16.5" customHeight="1" x14ac:dyDescent="0.25">
      <c r="A16" s="48" t="s">
        <v>41</v>
      </c>
      <c r="B16" s="49">
        <f>'Ke Hoach'!B21</f>
        <v>0</v>
      </c>
      <c r="C16" s="50"/>
      <c r="D16" s="50"/>
      <c r="E16" s="50"/>
      <c r="F16" s="50"/>
      <c r="G16" s="6">
        <f>'Ke Hoach'!F21</f>
        <v>0</v>
      </c>
      <c r="H16" s="9">
        <f>'Ke Hoach'!G21</f>
        <v>0</v>
      </c>
      <c r="I16" s="50">
        <f>'Ke Hoach'!I21</f>
        <v>0</v>
      </c>
      <c r="J16" s="48">
        <f t="shared" si="0"/>
        <v>0</v>
      </c>
      <c r="K16" s="50"/>
      <c r="L16" s="51"/>
      <c r="M16" s="52">
        <f t="shared" si="1"/>
        <v>0</v>
      </c>
      <c r="N16" s="58"/>
      <c r="O16" s="52">
        <f t="shared" si="2"/>
        <v>0</v>
      </c>
      <c r="P16" s="54"/>
      <c r="Q16" s="55">
        <f t="shared" si="3"/>
        <v>0</v>
      </c>
      <c r="R16" s="57"/>
      <c r="S16" s="25"/>
      <c r="T16" s="25"/>
      <c r="U16" s="25"/>
      <c r="V16" s="25"/>
      <c r="W16" s="25"/>
      <c r="X16" s="25"/>
    </row>
    <row r="17" spans="1:24" ht="16.5" customHeight="1" x14ac:dyDescent="0.25">
      <c r="A17" s="48" t="s">
        <v>42</v>
      </c>
      <c r="B17" s="49">
        <f>'Ke Hoach'!B22</f>
        <v>0</v>
      </c>
      <c r="C17" s="50"/>
      <c r="D17" s="59"/>
      <c r="E17" s="56"/>
      <c r="F17" s="50"/>
      <c r="G17" s="6">
        <f>'Ke Hoach'!F22</f>
        <v>0</v>
      </c>
      <c r="H17" s="9">
        <f>'Ke Hoach'!G22</f>
        <v>0</v>
      </c>
      <c r="I17" s="50">
        <f>'Ke Hoach'!I22</f>
        <v>0</v>
      </c>
      <c r="J17" s="48">
        <f t="shared" si="0"/>
        <v>0</v>
      </c>
      <c r="K17" s="50"/>
      <c r="L17" s="51"/>
      <c r="M17" s="52">
        <f t="shared" si="1"/>
        <v>0</v>
      </c>
      <c r="N17" s="54"/>
      <c r="O17" s="52">
        <f t="shared" si="2"/>
        <v>0</v>
      </c>
      <c r="P17" s="54"/>
      <c r="Q17" s="55">
        <f t="shared" si="3"/>
        <v>0</v>
      </c>
      <c r="R17" s="57"/>
      <c r="S17" s="25"/>
      <c r="T17" s="25"/>
      <c r="U17" s="25"/>
      <c r="V17" s="25"/>
      <c r="W17" s="25"/>
      <c r="X17" s="25"/>
    </row>
    <row r="18" spans="1:24" ht="16.5" customHeight="1" x14ac:dyDescent="0.25">
      <c r="A18" s="48" t="s">
        <v>43</v>
      </c>
      <c r="B18" s="49">
        <f>'Ke Hoach'!B23</f>
        <v>0</v>
      </c>
      <c r="C18" s="60"/>
      <c r="D18" s="61"/>
      <c r="E18" s="50"/>
      <c r="F18" s="50"/>
      <c r="G18" s="6">
        <f>'Ke Hoach'!F23</f>
        <v>0</v>
      </c>
      <c r="H18" s="9">
        <f>'Ke Hoach'!G23</f>
        <v>0</v>
      </c>
      <c r="I18" s="50">
        <f>'Ke Hoach'!I23</f>
        <v>0</v>
      </c>
      <c r="J18" s="48">
        <f t="shared" si="0"/>
        <v>0</v>
      </c>
      <c r="K18" s="50"/>
      <c r="L18" s="51"/>
      <c r="M18" s="52">
        <f t="shared" si="1"/>
        <v>0</v>
      </c>
      <c r="N18" s="54"/>
      <c r="O18" s="52">
        <f t="shared" si="2"/>
        <v>0</v>
      </c>
      <c r="P18" s="54"/>
      <c r="Q18" s="55">
        <f t="shared" si="3"/>
        <v>0</v>
      </c>
      <c r="R18" s="57"/>
      <c r="S18" s="25"/>
      <c r="T18" s="25"/>
      <c r="U18" s="25"/>
      <c r="V18" s="25"/>
      <c r="W18" s="25"/>
      <c r="X18" s="25"/>
    </row>
    <row r="19" spans="1:24" ht="16.5" customHeight="1" x14ac:dyDescent="0.25">
      <c r="A19" s="48" t="s">
        <v>44</v>
      </c>
      <c r="B19" s="49">
        <f>'Ke Hoach'!B24</f>
        <v>0</v>
      </c>
      <c r="C19" s="60"/>
      <c r="D19" s="61"/>
      <c r="E19" s="50"/>
      <c r="F19" s="50"/>
      <c r="G19" s="6">
        <f>'Ke Hoach'!F24</f>
        <v>0</v>
      </c>
      <c r="H19" s="9">
        <f>'Ke Hoach'!G24</f>
        <v>0</v>
      </c>
      <c r="I19" s="50">
        <f>'Ke Hoach'!I24</f>
        <v>0</v>
      </c>
      <c r="J19" s="48">
        <f t="shared" si="0"/>
        <v>0</v>
      </c>
      <c r="K19" s="50"/>
      <c r="L19" s="51"/>
      <c r="M19" s="52">
        <f t="shared" si="1"/>
        <v>0</v>
      </c>
      <c r="N19" s="54"/>
      <c r="O19" s="52">
        <f t="shared" si="2"/>
        <v>0</v>
      </c>
      <c r="P19" s="54"/>
      <c r="Q19" s="55">
        <f t="shared" si="3"/>
        <v>0</v>
      </c>
      <c r="R19" s="57"/>
      <c r="S19" s="25"/>
      <c r="T19" s="25"/>
      <c r="U19" s="25"/>
      <c r="V19" s="25"/>
      <c r="W19" s="25"/>
      <c r="X19" s="25"/>
    </row>
    <row r="20" spans="1:24" ht="16.5" customHeight="1" x14ac:dyDescent="0.25">
      <c r="A20" s="48" t="s">
        <v>45</v>
      </c>
      <c r="B20" s="49">
        <f>'Ke Hoach'!B25</f>
        <v>0</v>
      </c>
      <c r="C20" s="60"/>
      <c r="D20" s="61"/>
      <c r="E20" s="50"/>
      <c r="F20" s="50"/>
      <c r="G20" s="6">
        <f>'Ke Hoach'!F25</f>
        <v>0</v>
      </c>
      <c r="H20" s="9">
        <f>'Ke Hoach'!G25</f>
        <v>0</v>
      </c>
      <c r="I20" s="50">
        <f>'Ke Hoach'!I25</f>
        <v>0</v>
      </c>
      <c r="J20" s="48">
        <f t="shared" si="0"/>
        <v>0</v>
      </c>
      <c r="K20" s="50"/>
      <c r="L20" s="51"/>
      <c r="M20" s="52">
        <f t="shared" si="1"/>
        <v>0</v>
      </c>
      <c r="N20" s="54"/>
      <c r="O20" s="52">
        <f t="shared" si="2"/>
        <v>0</v>
      </c>
      <c r="P20" s="54"/>
      <c r="Q20" s="55">
        <f t="shared" si="3"/>
        <v>0</v>
      </c>
      <c r="R20" s="57"/>
      <c r="S20" s="25"/>
      <c r="T20" s="25"/>
      <c r="U20" s="25"/>
      <c r="V20" s="25"/>
      <c r="W20" s="25"/>
      <c r="X20" s="25"/>
    </row>
    <row r="21" spans="1:24" ht="16.5" customHeight="1" x14ac:dyDescent="0.25">
      <c r="A21" s="48" t="s">
        <v>46</v>
      </c>
      <c r="B21" s="49">
        <f>'Ke Hoach'!B26</f>
        <v>0</v>
      </c>
      <c r="C21" s="60"/>
      <c r="D21" s="61"/>
      <c r="E21" s="50"/>
      <c r="F21" s="50"/>
      <c r="G21" s="6">
        <f>'Ke Hoach'!F26</f>
        <v>0</v>
      </c>
      <c r="H21" s="9">
        <f>'Ke Hoach'!G26</f>
        <v>0</v>
      </c>
      <c r="I21" s="50">
        <f>'Ke Hoach'!I26</f>
        <v>0</v>
      </c>
      <c r="J21" s="48">
        <f t="shared" si="0"/>
        <v>0</v>
      </c>
      <c r="K21" s="50"/>
      <c r="L21" s="51"/>
      <c r="M21" s="52">
        <f t="shared" si="1"/>
        <v>0</v>
      </c>
      <c r="N21" s="54"/>
      <c r="O21" s="52">
        <f t="shared" si="2"/>
        <v>0</v>
      </c>
      <c r="P21" s="54"/>
      <c r="Q21" s="55">
        <f t="shared" si="3"/>
        <v>0</v>
      </c>
      <c r="R21" s="57"/>
      <c r="S21" s="25"/>
      <c r="T21" s="25"/>
      <c r="U21" s="25"/>
      <c r="V21" s="25"/>
      <c r="W21" s="25"/>
      <c r="X21" s="25"/>
    </row>
    <row r="22" spans="1:24" ht="16.5" customHeight="1" x14ac:dyDescent="0.25">
      <c r="A22" s="48" t="s">
        <v>47</v>
      </c>
      <c r="B22" s="49">
        <f>'Ke Hoach'!B27</f>
        <v>0</v>
      </c>
      <c r="C22" s="60"/>
      <c r="D22" s="61"/>
      <c r="E22" s="50"/>
      <c r="F22" s="50"/>
      <c r="G22" s="6">
        <f>'Ke Hoach'!F27</f>
        <v>0</v>
      </c>
      <c r="H22" s="9">
        <f>'Ke Hoach'!G27</f>
        <v>0</v>
      </c>
      <c r="I22" s="50">
        <f>'Ke Hoach'!I27</f>
        <v>0</v>
      </c>
      <c r="J22" s="48">
        <f t="shared" si="0"/>
        <v>0</v>
      </c>
      <c r="K22" s="50"/>
      <c r="L22" s="51"/>
      <c r="M22" s="52">
        <f t="shared" si="1"/>
        <v>0</v>
      </c>
      <c r="N22" s="54"/>
      <c r="O22" s="52">
        <f t="shared" si="2"/>
        <v>0</v>
      </c>
      <c r="P22" s="54"/>
      <c r="Q22" s="55">
        <f t="shared" si="3"/>
        <v>0</v>
      </c>
      <c r="R22" s="57"/>
      <c r="S22" s="25"/>
      <c r="T22" s="25"/>
      <c r="U22" s="25"/>
      <c r="V22" s="25"/>
      <c r="W22" s="25"/>
      <c r="X22" s="25"/>
    </row>
    <row r="23" spans="1:24" ht="16.5" customHeight="1" x14ac:dyDescent="0.25">
      <c r="A23" s="48" t="s">
        <v>48</v>
      </c>
      <c r="B23" s="49">
        <f>'Ke Hoach'!B28</f>
        <v>0</v>
      </c>
      <c r="C23" s="60"/>
      <c r="D23" s="61"/>
      <c r="E23" s="50"/>
      <c r="F23" s="50"/>
      <c r="G23" s="6">
        <f>'Ke Hoach'!F28</f>
        <v>0</v>
      </c>
      <c r="H23" s="9">
        <f>'Ke Hoach'!G28</f>
        <v>0</v>
      </c>
      <c r="I23" s="50">
        <f>'Ke Hoach'!I28</f>
        <v>0</v>
      </c>
      <c r="J23" s="48">
        <f t="shared" si="0"/>
        <v>0</v>
      </c>
      <c r="K23" s="50"/>
      <c r="L23" s="51"/>
      <c r="M23" s="52">
        <f t="shared" si="1"/>
        <v>0</v>
      </c>
      <c r="N23" s="54"/>
      <c r="O23" s="52">
        <f t="shared" si="2"/>
        <v>0</v>
      </c>
      <c r="P23" s="54"/>
      <c r="Q23" s="55">
        <f t="shared" si="3"/>
        <v>0</v>
      </c>
      <c r="R23" s="57"/>
      <c r="S23" s="25"/>
      <c r="T23" s="25"/>
      <c r="U23" s="25"/>
      <c r="V23" s="25"/>
      <c r="W23" s="25"/>
      <c r="X23" s="25"/>
    </row>
    <row r="24" spans="1:24" ht="16.5" customHeight="1" x14ac:dyDescent="0.25">
      <c r="A24" s="48" t="s">
        <v>49</v>
      </c>
      <c r="B24" s="49">
        <f>'Ke Hoach'!B29</f>
        <v>0</v>
      </c>
      <c r="C24" s="60"/>
      <c r="D24" s="62"/>
      <c r="E24" s="50"/>
      <c r="F24" s="50"/>
      <c r="G24" s="6">
        <f>'Ke Hoach'!F29</f>
        <v>0</v>
      </c>
      <c r="H24" s="9">
        <f>'Ke Hoach'!G29</f>
        <v>0</v>
      </c>
      <c r="I24" s="50">
        <f>'Ke Hoach'!I29</f>
        <v>0</v>
      </c>
      <c r="J24" s="48">
        <f t="shared" si="0"/>
        <v>0</v>
      </c>
      <c r="K24" s="50"/>
      <c r="L24" s="51"/>
      <c r="M24" s="52">
        <f t="shared" si="1"/>
        <v>0</v>
      </c>
      <c r="N24" s="54"/>
      <c r="O24" s="52">
        <f t="shared" si="2"/>
        <v>0</v>
      </c>
      <c r="P24" s="54"/>
      <c r="Q24" s="55">
        <f t="shared" si="3"/>
        <v>0</v>
      </c>
      <c r="R24" s="57"/>
      <c r="S24" s="25"/>
      <c r="T24" s="25"/>
      <c r="U24" s="25"/>
      <c r="V24" s="25"/>
      <c r="W24" s="25"/>
      <c r="X24" s="25"/>
    </row>
    <row r="25" spans="1:24" ht="16.5" customHeight="1" x14ac:dyDescent="0.25">
      <c r="A25" s="48" t="s">
        <v>50</v>
      </c>
      <c r="B25" s="49">
        <f>'Ke Hoach'!B30</f>
        <v>0</v>
      </c>
      <c r="C25" s="60"/>
      <c r="D25" s="62"/>
      <c r="E25" s="50"/>
      <c r="F25" s="50"/>
      <c r="G25" s="6">
        <f>'Ke Hoach'!F30</f>
        <v>0</v>
      </c>
      <c r="H25" s="9">
        <f>'Ke Hoach'!G30</f>
        <v>0</v>
      </c>
      <c r="I25" s="50">
        <f>'Ke Hoach'!I30</f>
        <v>0</v>
      </c>
      <c r="J25" s="48">
        <f t="shared" si="0"/>
        <v>0</v>
      </c>
      <c r="K25" s="50"/>
      <c r="L25" s="51"/>
      <c r="M25" s="52">
        <f t="shared" si="1"/>
        <v>0</v>
      </c>
      <c r="N25" s="54"/>
      <c r="O25" s="52">
        <f t="shared" si="2"/>
        <v>0</v>
      </c>
      <c r="P25" s="54"/>
      <c r="Q25" s="55">
        <f t="shared" si="3"/>
        <v>0</v>
      </c>
      <c r="R25" s="63"/>
      <c r="S25" s="25"/>
      <c r="T25" s="25"/>
      <c r="U25" s="25"/>
      <c r="V25" s="25"/>
      <c r="W25" s="25"/>
      <c r="X25" s="25"/>
    </row>
    <row r="26" spans="1:24" ht="15.75" customHeight="1" x14ac:dyDescent="0.25">
      <c r="A26" s="48" t="s">
        <v>51</v>
      </c>
      <c r="B26" s="49">
        <f>'Ke Hoach'!B31</f>
        <v>0</v>
      </c>
      <c r="C26" s="60"/>
      <c r="D26" s="62"/>
      <c r="E26" s="50"/>
      <c r="F26" s="50"/>
      <c r="G26" s="6">
        <f>'Ke Hoach'!F31</f>
        <v>0</v>
      </c>
      <c r="H26" s="9">
        <f>'Ke Hoach'!G31</f>
        <v>0</v>
      </c>
      <c r="I26" s="50">
        <f>'Ke Hoach'!I31</f>
        <v>0</v>
      </c>
      <c r="J26" s="48">
        <f t="shared" si="0"/>
        <v>0</v>
      </c>
      <c r="K26" s="50"/>
      <c r="L26" s="51"/>
      <c r="M26" s="52">
        <f t="shared" si="1"/>
        <v>0</v>
      </c>
      <c r="N26" s="54"/>
      <c r="O26" s="52">
        <f t="shared" si="2"/>
        <v>0</v>
      </c>
      <c r="P26" s="54"/>
      <c r="Q26" s="55">
        <f t="shared" si="3"/>
        <v>0</v>
      </c>
      <c r="R26" s="57"/>
      <c r="S26" s="25"/>
      <c r="T26" s="25"/>
      <c r="U26" s="25"/>
      <c r="V26" s="25"/>
      <c r="W26" s="25"/>
      <c r="X26" s="25"/>
    </row>
    <row r="27" spans="1:24" ht="15.75" customHeight="1" x14ac:dyDescent="0.25">
      <c r="A27" s="48" t="s">
        <v>52</v>
      </c>
      <c r="B27" s="49">
        <f>'Ke Hoach'!B32</f>
        <v>0</v>
      </c>
      <c r="C27" s="60"/>
      <c r="D27" s="62"/>
      <c r="E27" s="50"/>
      <c r="F27" s="50"/>
      <c r="G27" s="6">
        <f>'Ke Hoach'!F32</f>
        <v>0</v>
      </c>
      <c r="H27" s="9">
        <f>'Ke Hoach'!G32</f>
        <v>0</v>
      </c>
      <c r="I27" s="50">
        <f>'Ke Hoach'!I32</f>
        <v>0</v>
      </c>
      <c r="J27" s="48">
        <f t="shared" si="0"/>
        <v>0</v>
      </c>
      <c r="K27" s="50"/>
      <c r="L27" s="51"/>
      <c r="M27" s="52">
        <f t="shared" si="1"/>
        <v>0</v>
      </c>
      <c r="N27" s="54"/>
      <c r="O27" s="52">
        <f t="shared" si="2"/>
        <v>0</v>
      </c>
      <c r="P27" s="54"/>
      <c r="Q27" s="55">
        <f t="shared" si="3"/>
        <v>0</v>
      </c>
      <c r="R27" s="57"/>
      <c r="S27" s="25"/>
      <c r="T27" s="25"/>
      <c r="U27" s="25"/>
      <c r="V27" s="25"/>
      <c r="W27" s="25"/>
      <c r="X27" s="25"/>
    </row>
    <row r="28" spans="1:24" ht="15.75" customHeight="1" x14ac:dyDescent="0.25">
      <c r="A28" s="48" t="s">
        <v>53</v>
      </c>
      <c r="B28" s="49">
        <f>'Ke Hoach'!B33</f>
        <v>0</v>
      </c>
      <c r="C28" s="60"/>
      <c r="D28" s="62"/>
      <c r="E28" s="50"/>
      <c r="F28" s="50"/>
      <c r="G28" s="6">
        <f>'Ke Hoach'!F33</f>
        <v>0</v>
      </c>
      <c r="H28" s="9">
        <f>'Ke Hoach'!G33</f>
        <v>0</v>
      </c>
      <c r="I28" s="50">
        <f>'Ke Hoach'!I33</f>
        <v>0</v>
      </c>
      <c r="J28" s="48">
        <f t="shared" si="0"/>
        <v>0</v>
      </c>
      <c r="K28" s="50"/>
      <c r="L28" s="64"/>
      <c r="M28" s="52">
        <f t="shared" si="1"/>
        <v>0</v>
      </c>
      <c r="N28" s="54"/>
      <c r="O28" s="52">
        <f t="shared" si="2"/>
        <v>0</v>
      </c>
      <c r="P28" s="54"/>
      <c r="Q28" s="55">
        <f t="shared" si="3"/>
        <v>0</v>
      </c>
      <c r="R28" s="57"/>
      <c r="S28" s="25"/>
      <c r="T28" s="25"/>
      <c r="U28" s="25"/>
      <c r="V28" s="25"/>
      <c r="W28" s="25"/>
      <c r="X28" s="25"/>
    </row>
    <row r="29" spans="1:24" ht="15.75" customHeight="1" x14ac:dyDescent="0.25">
      <c r="A29" s="65" t="s">
        <v>54</v>
      </c>
      <c r="B29" s="66" t="s">
        <v>55</v>
      </c>
      <c r="C29" s="67"/>
      <c r="D29" s="67"/>
      <c r="E29" s="67"/>
      <c r="F29" s="68"/>
      <c r="G29" s="68"/>
      <c r="H29" s="69"/>
      <c r="I29" s="68"/>
      <c r="J29" s="70">
        <f>SUM(J30:J49)</f>
        <v>0</v>
      </c>
      <c r="K29" s="70"/>
      <c r="L29" s="70"/>
      <c r="M29" s="71">
        <f>SUM(M30:M49)</f>
        <v>0</v>
      </c>
      <c r="N29" s="72"/>
      <c r="O29" s="71">
        <f>SUM(O30:O49)</f>
        <v>0</v>
      </c>
      <c r="P29" s="72"/>
      <c r="Q29" s="70">
        <f>SUM(Q30:Q49)</f>
        <v>0</v>
      </c>
      <c r="R29" s="47">
        <f>(M29+O29+Q29)/3</f>
        <v>0</v>
      </c>
      <c r="S29" s="25"/>
      <c r="T29" s="25"/>
      <c r="U29" s="25"/>
      <c r="V29" s="25"/>
      <c r="W29" s="25"/>
      <c r="X29" s="25"/>
    </row>
    <row r="30" spans="1:24" ht="57.75" customHeight="1" x14ac:dyDescent="0.25">
      <c r="A30" s="60" t="s">
        <v>30</v>
      </c>
      <c r="B30" s="73">
        <f>'Ke Hoach'!B35</f>
        <v>0</v>
      </c>
      <c r="C30" s="73"/>
      <c r="D30" s="73"/>
      <c r="E30" s="73"/>
      <c r="F30" s="73"/>
      <c r="G30" s="50">
        <f>'Ke Hoach'!F35</f>
        <v>0</v>
      </c>
      <c r="H30" s="9">
        <f>'Ke Hoach'!G35</f>
        <v>0</v>
      </c>
      <c r="I30" s="50">
        <f>'Ke Hoach'!I35</f>
        <v>0</v>
      </c>
      <c r="J30" s="48">
        <f t="shared" ref="J30:J49" si="4">G30*I30</f>
        <v>0</v>
      </c>
      <c r="K30" s="73"/>
      <c r="L30" s="64"/>
      <c r="M30" s="52">
        <f t="shared" ref="M30:M49" si="5">IF(G30=0,0,MIN(L30,G30)*I30)</f>
        <v>0</v>
      </c>
      <c r="N30" s="53"/>
      <c r="O30" s="52">
        <f t="shared" ref="O30:O49" si="6">I30*L30*N30/100</f>
        <v>0</v>
      </c>
      <c r="P30" s="74"/>
      <c r="Q30" s="55">
        <f>I30*L30*P30/100</f>
        <v>0</v>
      </c>
      <c r="R30" s="73"/>
      <c r="S30" s="25"/>
      <c r="T30" s="25"/>
      <c r="U30" s="25"/>
      <c r="V30" s="25"/>
      <c r="W30" s="25"/>
      <c r="X30" s="25"/>
    </row>
    <row r="31" spans="1:24" ht="15.75" customHeight="1" x14ac:dyDescent="0.25">
      <c r="A31" s="60" t="s">
        <v>35</v>
      </c>
      <c r="B31" s="73">
        <f>'Ke Hoach'!B36</f>
        <v>0</v>
      </c>
      <c r="C31" s="73"/>
      <c r="D31" s="73"/>
      <c r="E31" s="73"/>
      <c r="F31" s="73"/>
      <c r="G31" s="50">
        <f>'Ke Hoach'!F36</f>
        <v>0</v>
      </c>
      <c r="H31" s="9">
        <f>'Ke Hoach'!G36</f>
        <v>0</v>
      </c>
      <c r="I31" s="50">
        <f>'Ke Hoach'!I36</f>
        <v>0</v>
      </c>
      <c r="J31" s="48">
        <f t="shared" si="4"/>
        <v>0</v>
      </c>
      <c r="K31" s="73"/>
      <c r="L31" s="64"/>
      <c r="M31" s="52">
        <f t="shared" si="5"/>
        <v>0</v>
      </c>
      <c r="N31" s="53"/>
      <c r="O31" s="52">
        <f t="shared" si="6"/>
        <v>0</v>
      </c>
      <c r="P31" s="54"/>
      <c r="Q31" s="55">
        <f t="shared" ref="Q31:Q49" si="7">I31*L31*P31/100</f>
        <v>0</v>
      </c>
      <c r="R31" s="73"/>
      <c r="S31" s="25"/>
      <c r="T31" s="25"/>
      <c r="U31" s="25"/>
      <c r="V31" s="25"/>
      <c r="W31" s="25"/>
      <c r="X31" s="25"/>
    </row>
    <row r="32" spans="1:24" ht="15.75" customHeight="1" x14ac:dyDescent="0.25">
      <c r="A32" s="60" t="s">
        <v>36</v>
      </c>
      <c r="B32" s="73">
        <f>'Ke Hoach'!B37</f>
        <v>0</v>
      </c>
      <c r="C32" s="73"/>
      <c r="D32" s="73"/>
      <c r="E32" s="73"/>
      <c r="F32" s="73"/>
      <c r="G32" s="50">
        <f>'Ke Hoach'!F37</f>
        <v>0</v>
      </c>
      <c r="H32" s="9">
        <f>'Ke Hoach'!G37</f>
        <v>0</v>
      </c>
      <c r="I32" s="50">
        <f>'Ke Hoach'!I37</f>
        <v>0</v>
      </c>
      <c r="J32" s="48">
        <f t="shared" si="4"/>
        <v>0</v>
      </c>
      <c r="K32" s="73"/>
      <c r="L32" s="64"/>
      <c r="M32" s="52">
        <f t="shared" si="5"/>
        <v>0</v>
      </c>
      <c r="N32" s="53"/>
      <c r="O32" s="52">
        <f t="shared" si="6"/>
        <v>0</v>
      </c>
      <c r="P32" s="58"/>
      <c r="Q32" s="55">
        <f t="shared" si="7"/>
        <v>0</v>
      </c>
      <c r="R32" s="73"/>
      <c r="S32" s="25"/>
      <c r="T32" s="25"/>
      <c r="U32" s="25"/>
      <c r="V32" s="25"/>
      <c r="W32" s="25"/>
      <c r="X32" s="25"/>
    </row>
    <row r="33" spans="1:24" ht="15.75" customHeight="1" x14ac:dyDescent="0.25">
      <c r="A33" s="60" t="s">
        <v>37</v>
      </c>
      <c r="B33" s="73">
        <f>'Ke Hoach'!B38</f>
        <v>0</v>
      </c>
      <c r="C33" s="73"/>
      <c r="D33" s="73"/>
      <c r="E33" s="73"/>
      <c r="F33" s="73"/>
      <c r="G33" s="50">
        <f>'Ke Hoach'!F38</f>
        <v>0</v>
      </c>
      <c r="H33" s="9">
        <f>'Ke Hoach'!G38</f>
        <v>0</v>
      </c>
      <c r="I33" s="50">
        <f>'Ke Hoach'!I38</f>
        <v>0</v>
      </c>
      <c r="J33" s="48">
        <f t="shared" si="4"/>
        <v>0</v>
      </c>
      <c r="K33" s="73"/>
      <c r="L33" s="64"/>
      <c r="M33" s="52">
        <f t="shared" si="5"/>
        <v>0</v>
      </c>
      <c r="N33" s="53"/>
      <c r="O33" s="52">
        <f t="shared" si="6"/>
        <v>0</v>
      </c>
      <c r="P33" s="58"/>
      <c r="Q33" s="55">
        <f t="shared" si="7"/>
        <v>0</v>
      </c>
      <c r="R33" s="73"/>
      <c r="S33" s="25"/>
      <c r="T33" s="25"/>
      <c r="U33" s="25"/>
      <c r="V33" s="25"/>
      <c r="W33" s="25"/>
      <c r="X33" s="25"/>
    </row>
    <row r="34" spans="1:24" ht="15.75" customHeight="1" x14ac:dyDescent="0.25">
      <c r="A34" s="60" t="s">
        <v>38</v>
      </c>
      <c r="B34" s="73">
        <f>'Ke Hoach'!B39</f>
        <v>0</v>
      </c>
      <c r="C34" s="73"/>
      <c r="D34" s="73"/>
      <c r="E34" s="73"/>
      <c r="F34" s="73"/>
      <c r="G34" s="50">
        <f>'Ke Hoach'!F39</f>
        <v>0</v>
      </c>
      <c r="H34" s="9">
        <f>'Ke Hoach'!G39</f>
        <v>0</v>
      </c>
      <c r="I34" s="50">
        <f>'Ke Hoach'!I39</f>
        <v>0</v>
      </c>
      <c r="J34" s="48">
        <f t="shared" si="4"/>
        <v>0</v>
      </c>
      <c r="K34" s="73"/>
      <c r="L34" s="64"/>
      <c r="M34" s="52">
        <f t="shared" si="5"/>
        <v>0</v>
      </c>
      <c r="N34" s="53"/>
      <c r="O34" s="52">
        <f t="shared" si="6"/>
        <v>0</v>
      </c>
      <c r="P34" s="58"/>
      <c r="Q34" s="55">
        <f t="shared" si="7"/>
        <v>0</v>
      </c>
      <c r="R34" s="73"/>
      <c r="S34" s="25"/>
      <c r="T34" s="25"/>
      <c r="U34" s="25"/>
      <c r="V34" s="25"/>
      <c r="W34" s="25"/>
      <c r="X34" s="25"/>
    </row>
    <row r="35" spans="1:24" ht="15.75" customHeight="1" x14ac:dyDescent="0.25">
      <c r="A35" s="60" t="s">
        <v>39</v>
      </c>
      <c r="B35" s="73">
        <f>'Ke Hoach'!B40</f>
        <v>0</v>
      </c>
      <c r="C35" s="73"/>
      <c r="D35" s="73"/>
      <c r="E35" s="73"/>
      <c r="F35" s="73"/>
      <c r="G35" s="50">
        <f>'Ke Hoach'!F40</f>
        <v>0</v>
      </c>
      <c r="H35" s="9">
        <f>'Ke Hoach'!G40</f>
        <v>0</v>
      </c>
      <c r="I35" s="50">
        <f>'Ke Hoach'!I40</f>
        <v>0</v>
      </c>
      <c r="J35" s="48">
        <f t="shared" si="4"/>
        <v>0</v>
      </c>
      <c r="K35" s="73"/>
      <c r="L35" s="64"/>
      <c r="M35" s="52">
        <f t="shared" si="5"/>
        <v>0</v>
      </c>
      <c r="N35" s="53"/>
      <c r="O35" s="52">
        <f t="shared" si="6"/>
        <v>0</v>
      </c>
      <c r="P35" s="58"/>
      <c r="Q35" s="55">
        <f t="shared" si="7"/>
        <v>0</v>
      </c>
      <c r="R35" s="73"/>
      <c r="S35" s="25"/>
      <c r="T35" s="25"/>
      <c r="U35" s="25"/>
      <c r="V35" s="25"/>
      <c r="W35" s="25"/>
      <c r="X35" s="25"/>
    </row>
    <row r="36" spans="1:24" ht="15.75" customHeight="1" x14ac:dyDescent="0.25">
      <c r="A36" s="60" t="s">
        <v>40</v>
      </c>
      <c r="B36" s="73">
        <f>'Ke Hoach'!B41</f>
        <v>0</v>
      </c>
      <c r="C36" s="73"/>
      <c r="D36" s="73"/>
      <c r="E36" s="73"/>
      <c r="F36" s="73"/>
      <c r="G36" s="50">
        <f>'Ke Hoach'!F41</f>
        <v>0</v>
      </c>
      <c r="H36" s="9">
        <f>'Ke Hoach'!G41</f>
        <v>0</v>
      </c>
      <c r="I36" s="50">
        <f>'Ke Hoach'!I41</f>
        <v>0</v>
      </c>
      <c r="J36" s="48">
        <f t="shared" si="4"/>
        <v>0</v>
      </c>
      <c r="K36" s="73"/>
      <c r="L36" s="64"/>
      <c r="M36" s="52">
        <f t="shared" si="5"/>
        <v>0</v>
      </c>
      <c r="N36" s="53"/>
      <c r="O36" s="52">
        <f t="shared" si="6"/>
        <v>0</v>
      </c>
      <c r="P36" s="58"/>
      <c r="Q36" s="55">
        <f t="shared" si="7"/>
        <v>0</v>
      </c>
      <c r="R36" s="73"/>
      <c r="S36" s="25"/>
      <c r="T36" s="25"/>
      <c r="U36" s="25"/>
      <c r="V36" s="25"/>
      <c r="W36" s="25"/>
      <c r="X36" s="25"/>
    </row>
    <row r="37" spans="1:24" ht="15.75" customHeight="1" x14ac:dyDescent="0.25">
      <c r="A37" s="60" t="s">
        <v>41</v>
      </c>
      <c r="B37" s="73">
        <f>'Ke Hoach'!B42</f>
        <v>0</v>
      </c>
      <c r="C37" s="73"/>
      <c r="D37" s="73"/>
      <c r="E37" s="73"/>
      <c r="F37" s="73"/>
      <c r="G37" s="50">
        <f>'Ke Hoach'!F42</f>
        <v>0</v>
      </c>
      <c r="H37" s="9">
        <f>'Ke Hoach'!G42</f>
        <v>0</v>
      </c>
      <c r="I37" s="50">
        <f>'Ke Hoach'!I42</f>
        <v>0</v>
      </c>
      <c r="J37" s="48">
        <f t="shared" si="4"/>
        <v>0</v>
      </c>
      <c r="K37" s="73"/>
      <c r="L37" s="64"/>
      <c r="M37" s="52">
        <f t="shared" si="5"/>
        <v>0</v>
      </c>
      <c r="N37" s="53"/>
      <c r="O37" s="52">
        <f t="shared" si="6"/>
        <v>0</v>
      </c>
      <c r="P37" s="58"/>
      <c r="Q37" s="55">
        <f t="shared" si="7"/>
        <v>0</v>
      </c>
      <c r="R37" s="73"/>
      <c r="S37" s="25"/>
      <c r="T37" s="25"/>
      <c r="U37" s="25"/>
      <c r="V37" s="25"/>
      <c r="W37" s="25"/>
      <c r="X37" s="25"/>
    </row>
    <row r="38" spans="1:24" ht="15.75" customHeight="1" x14ac:dyDescent="0.25">
      <c r="A38" s="60" t="s">
        <v>42</v>
      </c>
      <c r="B38" s="73">
        <f>'Ke Hoach'!B43</f>
        <v>0</v>
      </c>
      <c r="C38" s="73"/>
      <c r="D38" s="73"/>
      <c r="E38" s="73"/>
      <c r="F38" s="73"/>
      <c r="G38" s="50">
        <f>'Ke Hoach'!F43</f>
        <v>0</v>
      </c>
      <c r="H38" s="9">
        <f>'Ke Hoach'!G43</f>
        <v>0</v>
      </c>
      <c r="I38" s="50">
        <f>'Ke Hoach'!I43</f>
        <v>0</v>
      </c>
      <c r="J38" s="48">
        <f t="shared" si="4"/>
        <v>0</v>
      </c>
      <c r="K38" s="73"/>
      <c r="L38" s="64"/>
      <c r="M38" s="52">
        <f t="shared" si="5"/>
        <v>0</v>
      </c>
      <c r="N38" s="53"/>
      <c r="O38" s="52">
        <f t="shared" si="6"/>
        <v>0</v>
      </c>
      <c r="P38" s="58"/>
      <c r="Q38" s="55">
        <f t="shared" si="7"/>
        <v>0</v>
      </c>
      <c r="R38" s="73"/>
      <c r="S38" s="25"/>
      <c r="T38" s="25"/>
      <c r="U38" s="25"/>
      <c r="V38" s="25"/>
      <c r="W38" s="25"/>
      <c r="X38" s="25"/>
    </row>
    <row r="39" spans="1:24" ht="15.75" customHeight="1" x14ac:dyDescent="0.25">
      <c r="A39" s="60" t="s">
        <v>43</v>
      </c>
      <c r="B39" s="73">
        <f>'Ke Hoach'!B44</f>
        <v>0</v>
      </c>
      <c r="C39" s="73"/>
      <c r="D39" s="73"/>
      <c r="E39" s="73"/>
      <c r="F39" s="73"/>
      <c r="G39" s="50">
        <f>'Ke Hoach'!F44</f>
        <v>0</v>
      </c>
      <c r="H39" s="9">
        <f>'Ke Hoach'!G44</f>
        <v>0</v>
      </c>
      <c r="I39" s="50">
        <f>'Ke Hoach'!I44</f>
        <v>0</v>
      </c>
      <c r="J39" s="48">
        <f t="shared" si="4"/>
        <v>0</v>
      </c>
      <c r="K39" s="73"/>
      <c r="L39" s="64"/>
      <c r="M39" s="52">
        <f t="shared" si="5"/>
        <v>0</v>
      </c>
      <c r="N39" s="53"/>
      <c r="O39" s="52">
        <f t="shared" si="6"/>
        <v>0</v>
      </c>
      <c r="P39" s="58"/>
      <c r="Q39" s="55">
        <f t="shared" si="7"/>
        <v>0</v>
      </c>
      <c r="R39" s="73"/>
      <c r="S39" s="25"/>
      <c r="T39" s="25"/>
      <c r="U39" s="25"/>
      <c r="V39" s="25"/>
      <c r="W39" s="25"/>
      <c r="X39" s="25"/>
    </row>
    <row r="40" spans="1:24" ht="15.75" customHeight="1" x14ac:dyDescent="0.25">
      <c r="A40" s="60" t="s">
        <v>44</v>
      </c>
      <c r="B40" s="73">
        <f>'Ke Hoach'!B45</f>
        <v>0</v>
      </c>
      <c r="C40" s="73"/>
      <c r="D40" s="73"/>
      <c r="E40" s="73"/>
      <c r="F40" s="73"/>
      <c r="G40" s="50">
        <f>'Ke Hoach'!F45</f>
        <v>0</v>
      </c>
      <c r="H40" s="9">
        <f>'Ke Hoach'!G45</f>
        <v>0</v>
      </c>
      <c r="I40" s="50">
        <f>'Ke Hoach'!I45</f>
        <v>0</v>
      </c>
      <c r="J40" s="48">
        <f t="shared" si="4"/>
        <v>0</v>
      </c>
      <c r="K40" s="73"/>
      <c r="L40" s="64"/>
      <c r="M40" s="52">
        <f t="shared" si="5"/>
        <v>0</v>
      </c>
      <c r="N40" s="53"/>
      <c r="O40" s="52">
        <f t="shared" si="6"/>
        <v>0</v>
      </c>
      <c r="P40" s="58"/>
      <c r="Q40" s="55">
        <f t="shared" si="7"/>
        <v>0</v>
      </c>
      <c r="R40" s="73"/>
      <c r="S40" s="25"/>
      <c r="T40" s="25"/>
      <c r="U40" s="25"/>
      <c r="V40" s="25"/>
      <c r="W40" s="25"/>
      <c r="X40" s="25"/>
    </row>
    <row r="41" spans="1:24" ht="15.75" customHeight="1" x14ac:dyDescent="0.25">
      <c r="A41" s="60" t="s">
        <v>45</v>
      </c>
      <c r="B41" s="73">
        <f>'Ke Hoach'!B46</f>
        <v>0</v>
      </c>
      <c r="C41" s="73"/>
      <c r="D41" s="73"/>
      <c r="E41" s="73"/>
      <c r="F41" s="73"/>
      <c r="G41" s="50">
        <f>'Ke Hoach'!F46</f>
        <v>0</v>
      </c>
      <c r="H41" s="9">
        <f>'Ke Hoach'!G46</f>
        <v>0</v>
      </c>
      <c r="I41" s="50">
        <f>'Ke Hoach'!I46</f>
        <v>0</v>
      </c>
      <c r="J41" s="48">
        <f t="shared" si="4"/>
        <v>0</v>
      </c>
      <c r="K41" s="73"/>
      <c r="L41" s="64"/>
      <c r="M41" s="52">
        <f t="shared" si="5"/>
        <v>0</v>
      </c>
      <c r="N41" s="53"/>
      <c r="O41" s="52">
        <f t="shared" si="6"/>
        <v>0</v>
      </c>
      <c r="P41" s="58"/>
      <c r="Q41" s="55">
        <f t="shared" si="7"/>
        <v>0</v>
      </c>
      <c r="R41" s="73"/>
      <c r="S41" s="25"/>
      <c r="T41" s="25"/>
      <c r="U41" s="25"/>
      <c r="V41" s="25"/>
      <c r="W41" s="25"/>
      <c r="X41" s="25"/>
    </row>
    <row r="42" spans="1:24" ht="15.75" customHeight="1" x14ac:dyDescent="0.25">
      <c r="A42" s="60" t="s">
        <v>46</v>
      </c>
      <c r="B42" s="73">
        <f>'Ke Hoach'!B47</f>
        <v>0</v>
      </c>
      <c r="C42" s="73"/>
      <c r="D42" s="73"/>
      <c r="E42" s="73"/>
      <c r="F42" s="73"/>
      <c r="G42" s="50">
        <f>'Ke Hoach'!F47</f>
        <v>0</v>
      </c>
      <c r="H42" s="9">
        <f>'Ke Hoach'!G47</f>
        <v>0</v>
      </c>
      <c r="I42" s="50">
        <f>'Ke Hoach'!I47</f>
        <v>0</v>
      </c>
      <c r="J42" s="48">
        <f t="shared" si="4"/>
        <v>0</v>
      </c>
      <c r="K42" s="73"/>
      <c r="L42" s="64"/>
      <c r="M42" s="52">
        <f t="shared" si="5"/>
        <v>0</v>
      </c>
      <c r="N42" s="53"/>
      <c r="O42" s="52">
        <f t="shared" si="6"/>
        <v>0</v>
      </c>
      <c r="P42" s="58"/>
      <c r="Q42" s="55">
        <f t="shared" si="7"/>
        <v>0</v>
      </c>
      <c r="R42" s="73"/>
      <c r="S42" s="25"/>
      <c r="T42" s="25"/>
      <c r="U42" s="25"/>
      <c r="V42" s="25"/>
      <c r="W42" s="25"/>
      <c r="X42" s="25"/>
    </row>
    <row r="43" spans="1:24" ht="15.75" customHeight="1" x14ac:dyDescent="0.25">
      <c r="A43" s="60" t="s">
        <v>47</v>
      </c>
      <c r="B43" s="73">
        <f>'Ke Hoach'!B48</f>
        <v>0</v>
      </c>
      <c r="C43" s="73"/>
      <c r="D43" s="73"/>
      <c r="E43" s="73"/>
      <c r="F43" s="73"/>
      <c r="G43" s="50">
        <f>'Ke Hoach'!F48</f>
        <v>0</v>
      </c>
      <c r="H43" s="9">
        <f>'Ke Hoach'!G48</f>
        <v>0</v>
      </c>
      <c r="I43" s="50">
        <f>'Ke Hoach'!I48</f>
        <v>0</v>
      </c>
      <c r="J43" s="48">
        <f t="shared" si="4"/>
        <v>0</v>
      </c>
      <c r="K43" s="73"/>
      <c r="L43" s="64"/>
      <c r="M43" s="52">
        <f t="shared" si="5"/>
        <v>0</v>
      </c>
      <c r="N43" s="53"/>
      <c r="O43" s="52">
        <f t="shared" si="6"/>
        <v>0</v>
      </c>
      <c r="P43" s="58"/>
      <c r="Q43" s="55">
        <f t="shared" si="7"/>
        <v>0</v>
      </c>
      <c r="R43" s="73"/>
      <c r="S43" s="25"/>
      <c r="T43" s="25"/>
      <c r="U43" s="25"/>
      <c r="V43" s="25"/>
      <c r="W43" s="25"/>
      <c r="X43" s="25"/>
    </row>
    <row r="44" spans="1:24" ht="15.75" customHeight="1" x14ac:dyDescent="0.25">
      <c r="A44" s="60" t="s">
        <v>48</v>
      </c>
      <c r="B44" s="73">
        <f>'Ke Hoach'!B49</f>
        <v>0</v>
      </c>
      <c r="C44" s="73"/>
      <c r="D44" s="73"/>
      <c r="E44" s="73"/>
      <c r="F44" s="73"/>
      <c r="G44" s="50">
        <f>'Ke Hoach'!F49</f>
        <v>0</v>
      </c>
      <c r="H44" s="9">
        <f>'Ke Hoach'!G49</f>
        <v>0</v>
      </c>
      <c r="I44" s="50">
        <f>'Ke Hoach'!I49</f>
        <v>0</v>
      </c>
      <c r="J44" s="48">
        <f t="shared" si="4"/>
        <v>0</v>
      </c>
      <c r="K44" s="73"/>
      <c r="L44" s="64"/>
      <c r="M44" s="52">
        <f t="shared" si="5"/>
        <v>0</v>
      </c>
      <c r="N44" s="58"/>
      <c r="O44" s="52">
        <f t="shared" si="6"/>
        <v>0</v>
      </c>
      <c r="P44" s="58"/>
      <c r="Q44" s="55">
        <f t="shared" si="7"/>
        <v>0</v>
      </c>
      <c r="R44" s="73"/>
      <c r="S44" s="25"/>
      <c r="T44" s="25"/>
      <c r="U44" s="25"/>
      <c r="V44" s="25"/>
      <c r="W44" s="25"/>
      <c r="X44" s="25"/>
    </row>
    <row r="45" spans="1:24" ht="15.75" customHeight="1" x14ac:dyDescent="0.25">
      <c r="A45" s="60" t="s">
        <v>49</v>
      </c>
      <c r="B45" s="73">
        <f>'Ke Hoach'!B50</f>
        <v>0</v>
      </c>
      <c r="C45" s="73"/>
      <c r="D45" s="73"/>
      <c r="E45" s="73"/>
      <c r="F45" s="73"/>
      <c r="G45" s="50">
        <f>'Ke Hoach'!F50</f>
        <v>0</v>
      </c>
      <c r="H45" s="9">
        <f>'Ke Hoach'!G50</f>
        <v>0</v>
      </c>
      <c r="I45" s="50">
        <f>'Ke Hoach'!I50</f>
        <v>0</v>
      </c>
      <c r="J45" s="48">
        <f t="shared" si="4"/>
        <v>0</v>
      </c>
      <c r="K45" s="73"/>
      <c r="L45" s="64"/>
      <c r="M45" s="52">
        <f t="shared" si="5"/>
        <v>0</v>
      </c>
      <c r="N45" s="75"/>
      <c r="O45" s="52">
        <f t="shared" si="6"/>
        <v>0</v>
      </c>
      <c r="P45" s="75"/>
      <c r="Q45" s="55">
        <f t="shared" si="7"/>
        <v>0</v>
      </c>
      <c r="R45" s="73"/>
      <c r="S45" s="25"/>
      <c r="T45" s="25"/>
      <c r="U45" s="25"/>
      <c r="V45" s="25"/>
      <c r="W45" s="25"/>
      <c r="X45" s="25"/>
    </row>
    <row r="46" spans="1:24" ht="15.75" customHeight="1" x14ac:dyDescent="0.25">
      <c r="A46" s="60" t="s">
        <v>50</v>
      </c>
      <c r="B46" s="73">
        <f>'Ke Hoach'!B51</f>
        <v>0</v>
      </c>
      <c r="C46" s="76"/>
      <c r="D46" s="76"/>
      <c r="E46" s="76"/>
      <c r="F46" s="76"/>
      <c r="G46" s="50">
        <f>'Ke Hoach'!F51</f>
        <v>0</v>
      </c>
      <c r="H46" s="9">
        <f>'Ke Hoach'!G51</f>
        <v>0</v>
      </c>
      <c r="I46" s="50">
        <f>'Ke Hoach'!I51</f>
        <v>0</v>
      </c>
      <c r="J46" s="48">
        <f t="shared" si="4"/>
        <v>0</v>
      </c>
      <c r="K46" s="76"/>
      <c r="L46" s="64"/>
      <c r="M46" s="52">
        <f t="shared" si="5"/>
        <v>0</v>
      </c>
      <c r="N46" s="75"/>
      <c r="O46" s="52">
        <f t="shared" si="6"/>
        <v>0</v>
      </c>
      <c r="P46" s="75"/>
      <c r="Q46" s="55">
        <f t="shared" si="7"/>
        <v>0</v>
      </c>
      <c r="R46" s="73"/>
      <c r="S46" s="25"/>
      <c r="T46" s="25"/>
      <c r="U46" s="25"/>
      <c r="V46" s="25"/>
      <c r="W46" s="25"/>
      <c r="X46" s="25"/>
    </row>
    <row r="47" spans="1:24" ht="15.75" customHeight="1" x14ac:dyDescent="0.25">
      <c r="A47" s="60" t="s">
        <v>51</v>
      </c>
      <c r="B47" s="73">
        <f>'Ke Hoach'!B52</f>
        <v>0</v>
      </c>
      <c r="C47" s="76"/>
      <c r="D47" s="76"/>
      <c r="E47" s="76"/>
      <c r="F47" s="76"/>
      <c r="G47" s="50">
        <f>'Ke Hoach'!F52</f>
        <v>0</v>
      </c>
      <c r="H47" s="9">
        <f>'Ke Hoach'!G52</f>
        <v>0</v>
      </c>
      <c r="I47" s="50">
        <f>'Ke Hoach'!I52</f>
        <v>0</v>
      </c>
      <c r="J47" s="48">
        <f t="shared" si="4"/>
        <v>0</v>
      </c>
      <c r="K47" s="76"/>
      <c r="L47" s="64"/>
      <c r="M47" s="52">
        <f t="shared" si="5"/>
        <v>0</v>
      </c>
      <c r="N47" s="75"/>
      <c r="O47" s="52">
        <f t="shared" si="6"/>
        <v>0</v>
      </c>
      <c r="P47" s="75"/>
      <c r="Q47" s="55">
        <f t="shared" si="7"/>
        <v>0</v>
      </c>
      <c r="R47" s="73"/>
      <c r="S47" s="25"/>
      <c r="T47" s="25"/>
      <c r="U47" s="25"/>
      <c r="V47" s="25"/>
      <c r="W47" s="25"/>
      <c r="X47" s="25"/>
    </row>
    <row r="48" spans="1:24" ht="15.75" customHeight="1" x14ac:dyDescent="0.25">
      <c r="A48" s="60" t="s">
        <v>52</v>
      </c>
      <c r="B48" s="73">
        <f>'Ke Hoach'!B53</f>
        <v>0</v>
      </c>
      <c r="C48" s="60"/>
      <c r="D48" s="60"/>
      <c r="E48" s="60"/>
      <c r="F48" s="60"/>
      <c r="G48" s="50">
        <f>'Ke Hoach'!F53</f>
        <v>0</v>
      </c>
      <c r="H48" s="9">
        <f>'Ke Hoach'!G53</f>
        <v>0</v>
      </c>
      <c r="I48" s="50">
        <f>'Ke Hoach'!I53</f>
        <v>0</v>
      </c>
      <c r="J48" s="48">
        <f t="shared" si="4"/>
        <v>0</v>
      </c>
      <c r="K48" s="60"/>
      <c r="L48" s="64"/>
      <c r="M48" s="52">
        <f t="shared" si="5"/>
        <v>0</v>
      </c>
      <c r="N48" s="75"/>
      <c r="O48" s="52">
        <f t="shared" si="6"/>
        <v>0</v>
      </c>
      <c r="P48" s="75"/>
      <c r="Q48" s="55">
        <f t="shared" si="7"/>
        <v>0</v>
      </c>
      <c r="R48" s="73"/>
      <c r="S48" s="25"/>
      <c r="T48" s="25"/>
      <c r="U48" s="25"/>
      <c r="V48" s="25"/>
      <c r="W48" s="25"/>
      <c r="X48" s="25"/>
    </row>
    <row r="49" spans="1:24" ht="15.75" customHeight="1" x14ac:dyDescent="0.25">
      <c r="A49" s="60" t="s">
        <v>53</v>
      </c>
      <c r="B49" s="73">
        <f>'Ke Hoach'!B54</f>
        <v>0</v>
      </c>
      <c r="C49" s="60"/>
      <c r="D49" s="60"/>
      <c r="E49" s="60"/>
      <c r="F49" s="60"/>
      <c r="G49" s="50">
        <f>'Ke Hoach'!F54</f>
        <v>0</v>
      </c>
      <c r="H49" s="9">
        <f>'Ke Hoach'!G54</f>
        <v>0</v>
      </c>
      <c r="I49" s="50">
        <f>'Ke Hoach'!I54</f>
        <v>0</v>
      </c>
      <c r="J49" s="48">
        <f t="shared" si="4"/>
        <v>0</v>
      </c>
      <c r="K49" s="60"/>
      <c r="L49" s="64"/>
      <c r="M49" s="52">
        <f t="shared" si="5"/>
        <v>0</v>
      </c>
      <c r="N49" s="75"/>
      <c r="O49" s="52">
        <f t="shared" si="6"/>
        <v>0</v>
      </c>
      <c r="P49" s="75"/>
      <c r="Q49" s="55">
        <f t="shared" si="7"/>
        <v>0</v>
      </c>
      <c r="R49" s="73"/>
      <c r="S49" s="25"/>
      <c r="T49" s="25"/>
      <c r="U49" s="25"/>
      <c r="V49" s="25"/>
      <c r="W49" s="25"/>
      <c r="X49" s="25"/>
    </row>
    <row r="50" spans="1:24" ht="15.75" customHeight="1" x14ac:dyDescent="0.25">
      <c r="A50" s="65" t="s">
        <v>56</v>
      </c>
      <c r="B50" s="41" t="s">
        <v>57</v>
      </c>
      <c r="C50" s="77"/>
      <c r="D50" s="77"/>
      <c r="E50" s="77"/>
      <c r="F50" s="77"/>
      <c r="G50" s="77"/>
      <c r="H50" s="78"/>
      <c r="I50" s="77"/>
      <c r="J50" s="70">
        <f>SUM(J51:J70)</f>
        <v>0</v>
      </c>
      <c r="K50" s="70"/>
      <c r="L50" s="70"/>
      <c r="M50" s="70">
        <f>SUM(M51:M70)</f>
        <v>0</v>
      </c>
      <c r="N50" s="72"/>
      <c r="O50" s="70">
        <f>SUM(O51:O70)</f>
        <v>0</v>
      </c>
      <c r="P50" s="72"/>
      <c r="Q50" s="70">
        <f>SUM(Q51:Q70)</f>
        <v>0</v>
      </c>
      <c r="R50" s="45">
        <f>(M50+O50+Q50)/3</f>
        <v>0</v>
      </c>
      <c r="S50" s="25"/>
      <c r="T50" s="25"/>
      <c r="U50" s="25"/>
      <c r="V50" s="25"/>
      <c r="W50" s="25"/>
      <c r="X50" s="25"/>
    </row>
    <row r="51" spans="1:24" ht="64.5" customHeight="1" x14ac:dyDescent="0.25">
      <c r="A51" s="50" t="s">
        <v>30</v>
      </c>
      <c r="B51" s="73">
        <f>'Ke Hoach'!B56</f>
        <v>0</v>
      </c>
      <c r="C51" s="73"/>
      <c r="D51" s="73"/>
      <c r="E51" s="73"/>
      <c r="F51" s="73"/>
      <c r="G51" s="50">
        <f>'Ke Hoach'!F56</f>
        <v>0</v>
      </c>
      <c r="H51" s="9">
        <f>'Ke Hoach'!G56</f>
        <v>0</v>
      </c>
      <c r="I51" s="50">
        <f>'Ke Hoach'!I56</f>
        <v>0</v>
      </c>
      <c r="J51" s="48">
        <f t="shared" ref="J51:J70" si="8">G51*I51</f>
        <v>0</v>
      </c>
      <c r="K51" s="73"/>
      <c r="L51" s="64"/>
      <c r="M51" s="52">
        <f t="shared" ref="M51:M70" si="9">IF(G51=0,0,MIN(L51,G51)*I51)</f>
        <v>0</v>
      </c>
      <c r="N51" s="54"/>
      <c r="O51" s="52">
        <f t="shared" ref="O51:O70" si="10">I51*L51*N51/100</f>
        <v>0</v>
      </c>
      <c r="P51" s="54"/>
      <c r="Q51" s="55">
        <f t="shared" ref="Q51:Q70" si="11">I51*L51*P51/100</f>
        <v>0</v>
      </c>
      <c r="R51" s="73"/>
      <c r="S51" s="25"/>
      <c r="T51" s="25"/>
      <c r="U51" s="25"/>
      <c r="V51" s="25"/>
      <c r="W51" s="25"/>
      <c r="X51" s="25"/>
    </row>
    <row r="52" spans="1:24" ht="16.5" customHeight="1" x14ac:dyDescent="0.25">
      <c r="A52" s="50" t="s">
        <v>35</v>
      </c>
      <c r="B52" s="73">
        <f>'Ke Hoach'!B57</f>
        <v>0</v>
      </c>
      <c r="C52" s="73"/>
      <c r="D52" s="73"/>
      <c r="E52" s="73"/>
      <c r="F52" s="73"/>
      <c r="G52" s="50">
        <f>'Ke Hoach'!F57</f>
        <v>0</v>
      </c>
      <c r="H52" s="9">
        <f>'Ke Hoach'!G57</f>
        <v>0</v>
      </c>
      <c r="I52" s="50">
        <f>'Ke Hoach'!I57</f>
        <v>0</v>
      </c>
      <c r="J52" s="48">
        <f t="shared" si="8"/>
        <v>0</v>
      </c>
      <c r="K52" s="73"/>
      <c r="L52" s="64"/>
      <c r="M52" s="52">
        <f t="shared" si="9"/>
        <v>0</v>
      </c>
      <c r="N52" s="54"/>
      <c r="O52" s="52">
        <f t="shared" si="10"/>
        <v>0</v>
      </c>
      <c r="P52" s="54"/>
      <c r="Q52" s="55">
        <f t="shared" si="11"/>
        <v>0</v>
      </c>
      <c r="R52" s="73"/>
      <c r="S52" s="25"/>
      <c r="T52" s="25"/>
      <c r="U52" s="25"/>
      <c r="V52" s="25"/>
      <c r="W52" s="25"/>
      <c r="X52" s="25"/>
    </row>
    <row r="53" spans="1:24" ht="16.5" customHeight="1" x14ac:dyDescent="0.25">
      <c r="A53" s="50" t="s">
        <v>36</v>
      </c>
      <c r="B53" s="73">
        <f>'Ke Hoach'!B58</f>
        <v>0</v>
      </c>
      <c r="C53" s="73"/>
      <c r="D53" s="73"/>
      <c r="E53" s="73"/>
      <c r="F53" s="73"/>
      <c r="G53" s="50">
        <f>'Ke Hoach'!F58</f>
        <v>0</v>
      </c>
      <c r="H53" s="9">
        <f>'Ke Hoach'!G58</f>
        <v>0</v>
      </c>
      <c r="I53" s="50">
        <f>'Ke Hoach'!I58</f>
        <v>0</v>
      </c>
      <c r="J53" s="48">
        <f t="shared" si="8"/>
        <v>0</v>
      </c>
      <c r="K53" s="73"/>
      <c r="L53" s="64"/>
      <c r="M53" s="52">
        <f t="shared" si="9"/>
        <v>0</v>
      </c>
      <c r="N53" s="54"/>
      <c r="O53" s="52">
        <f t="shared" si="10"/>
        <v>0</v>
      </c>
      <c r="P53" s="54"/>
      <c r="Q53" s="55">
        <f t="shared" si="11"/>
        <v>0</v>
      </c>
      <c r="R53" s="73"/>
      <c r="S53" s="25"/>
      <c r="T53" s="25"/>
      <c r="U53" s="25"/>
      <c r="V53" s="25"/>
      <c r="W53" s="25"/>
      <c r="X53" s="25"/>
    </row>
    <row r="54" spans="1:24" ht="16.5" customHeight="1" x14ac:dyDescent="0.25">
      <c r="A54" s="50" t="s">
        <v>37</v>
      </c>
      <c r="B54" s="73">
        <f>'Ke Hoach'!B59</f>
        <v>0</v>
      </c>
      <c r="C54" s="73"/>
      <c r="D54" s="73"/>
      <c r="E54" s="73"/>
      <c r="F54" s="73"/>
      <c r="G54" s="50">
        <f>'Ke Hoach'!F59</f>
        <v>0</v>
      </c>
      <c r="H54" s="9">
        <f>'Ke Hoach'!G59</f>
        <v>0</v>
      </c>
      <c r="I54" s="50">
        <f>'Ke Hoach'!I59</f>
        <v>0</v>
      </c>
      <c r="J54" s="48">
        <f t="shared" si="8"/>
        <v>0</v>
      </c>
      <c r="K54" s="73"/>
      <c r="L54" s="64"/>
      <c r="M54" s="52">
        <f t="shared" si="9"/>
        <v>0</v>
      </c>
      <c r="N54" s="54"/>
      <c r="O54" s="52">
        <f t="shared" si="10"/>
        <v>0</v>
      </c>
      <c r="P54" s="54"/>
      <c r="Q54" s="55">
        <f t="shared" si="11"/>
        <v>0</v>
      </c>
      <c r="R54" s="73"/>
      <c r="S54" s="25"/>
      <c r="T54" s="25"/>
      <c r="U54" s="25"/>
      <c r="V54" s="25"/>
      <c r="W54" s="25"/>
      <c r="X54" s="25"/>
    </row>
    <row r="55" spans="1:24" ht="16.5" customHeight="1" x14ac:dyDescent="0.25">
      <c r="A55" s="50" t="s">
        <v>38</v>
      </c>
      <c r="B55" s="73">
        <f>'Ke Hoach'!B60</f>
        <v>0</v>
      </c>
      <c r="C55" s="73"/>
      <c r="D55" s="73"/>
      <c r="E55" s="73"/>
      <c r="F55" s="73"/>
      <c r="G55" s="50">
        <f>'Ke Hoach'!F60</f>
        <v>0</v>
      </c>
      <c r="H55" s="9">
        <f>'Ke Hoach'!G60</f>
        <v>0</v>
      </c>
      <c r="I55" s="50">
        <f>'Ke Hoach'!I60</f>
        <v>0</v>
      </c>
      <c r="J55" s="48">
        <f t="shared" si="8"/>
        <v>0</v>
      </c>
      <c r="K55" s="73"/>
      <c r="L55" s="64"/>
      <c r="M55" s="52">
        <f t="shared" si="9"/>
        <v>0</v>
      </c>
      <c r="N55" s="54"/>
      <c r="O55" s="52">
        <f t="shared" si="10"/>
        <v>0</v>
      </c>
      <c r="P55" s="54"/>
      <c r="Q55" s="55">
        <f t="shared" si="11"/>
        <v>0</v>
      </c>
      <c r="R55" s="73"/>
      <c r="S55" s="25"/>
      <c r="T55" s="25"/>
      <c r="U55" s="25"/>
      <c r="V55" s="25"/>
      <c r="W55" s="25"/>
      <c r="X55" s="25"/>
    </row>
    <row r="56" spans="1:24" ht="16.5" customHeight="1" x14ac:dyDescent="0.25">
      <c r="A56" s="50" t="s">
        <v>39</v>
      </c>
      <c r="B56" s="73">
        <f>'Ke Hoach'!B61</f>
        <v>0</v>
      </c>
      <c r="C56" s="73"/>
      <c r="D56" s="73"/>
      <c r="E56" s="73"/>
      <c r="F56" s="73"/>
      <c r="G56" s="50">
        <f>'Ke Hoach'!F61</f>
        <v>0</v>
      </c>
      <c r="H56" s="9">
        <f>'Ke Hoach'!G61</f>
        <v>0</v>
      </c>
      <c r="I56" s="50">
        <f>'Ke Hoach'!I61</f>
        <v>0</v>
      </c>
      <c r="J56" s="48">
        <f t="shared" si="8"/>
        <v>0</v>
      </c>
      <c r="K56" s="73"/>
      <c r="L56" s="64"/>
      <c r="M56" s="52">
        <f t="shared" si="9"/>
        <v>0</v>
      </c>
      <c r="N56" s="54"/>
      <c r="O56" s="52">
        <f t="shared" si="10"/>
        <v>0</v>
      </c>
      <c r="P56" s="54"/>
      <c r="Q56" s="55">
        <f t="shared" si="11"/>
        <v>0</v>
      </c>
      <c r="R56" s="73"/>
      <c r="S56" s="25"/>
      <c r="T56" s="25"/>
      <c r="U56" s="25"/>
      <c r="V56" s="25"/>
      <c r="W56" s="25"/>
      <c r="X56" s="25"/>
    </row>
    <row r="57" spans="1:24" ht="16.5" customHeight="1" x14ac:dyDescent="0.25">
      <c r="A57" s="50" t="s">
        <v>40</v>
      </c>
      <c r="B57" s="73">
        <f>'Ke Hoach'!B62</f>
        <v>0</v>
      </c>
      <c r="C57" s="73"/>
      <c r="D57" s="73"/>
      <c r="E57" s="73"/>
      <c r="F57" s="73"/>
      <c r="G57" s="50">
        <f>'Ke Hoach'!F62</f>
        <v>0</v>
      </c>
      <c r="H57" s="9">
        <f>'Ke Hoach'!G62</f>
        <v>0</v>
      </c>
      <c r="I57" s="50">
        <f>'Ke Hoach'!I62</f>
        <v>0</v>
      </c>
      <c r="J57" s="48">
        <f t="shared" si="8"/>
        <v>0</v>
      </c>
      <c r="K57" s="73"/>
      <c r="L57" s="64"/>
      <c r="M57" s="52">
        <f t="shared" si="9"/>
        <v>0</v>
      </c>
      <c r="N57" s="54"/>
      <c r="O57" s="52">
        <f t="shared" si="10"/>
        <v>0</v>
      </c>
      <c r="P57" s="54"/>
      <c r="Q57" s="55">
        <f t="shared" si="11"/>
        <v>0</v>
      </c>
      <c r="R57" s="73"/>
      <c r="S57" s="25"/>
      <c r="T57" s="25"/>
      <c r="U57" s="25"/>
      <c r="V57" s="25"/>
      <c r="W57" s="25"/>
      <c r="X57" s="25"/>
    </row>
    <row r="58" spans="1:24" ht="16.5" customHeight="1" x14ac:dyDescent="0.25">
      <c r="A58" s="50" t="s">
        <v>41</v>
      </c>
      <c r="B58" s="73">
        <f>'Ke Hoach'!B63</f>
        <v>0</v>
      </c>
      <c r="C58" s="73"/>
      <c r="D58" s="73"/>
      <c r="E58" s="73"/>
      <c r="F58" s="73"/>
      <c r="G58" s="50">
        <f>'Ke Hoach'!F63</f>
        <v>0</v>
      </c>
      <c r="H58" s="9">
        <f>'Ke Hoach'!G63</f>
        <v>0</v>
      </c>
      <c r="I58" s="50">
        <f>'Ke Hoach'!I63</f>
        <v>0</v>
      </c>
      <c r="J58" s="48">
        <f t="shared" si="8"/>
        <v>0</v>
      </c>
      <c r="K58" s="73"/>
      <c r="L58" s="64"/>
      <c r="M58" s="52">
        <f t="shared" si="9"/>
        <v>0</v>
      </c>
      <c r="N58" s="54"/>
      <c r="O58" s="52">
        <f t="shared" si="10"/>
        <v>0</v>
      </c>
      <c r="P58" s="54"/>
      <c r="Q58" s="55">
        <f t="shared" si="11"/>
        <v>0</v>
      </c>
      <c r="R58" s="73"/>
      <c r="S58" s="25"/>
      <c r="T58" s="25"/>
      <c r="U58" s="25"/>
      <c r="V58" s="25"/>
      <c r="W58" s="25"/>
      <c r="X58" s="25"/>
    </row>
    <row r="59" spans="1:24" ht="16.5" customHeight="1" x14ac:dyDescent="0.25">
      <c r="A59" s="50" t="s">
        <v>42</v>
      </c>
      <c r="B59" s="73">
        <f>'Ke Hoach'!B64</f>
        <v>0</v>
      </c>
      <c r="C59" s="73"/>
      <c r="D59" s="73"/>
      <c r="E59" s="73"/>
      <c r="F59" s="73"/>
      <c r="G59" s="50">
        <f>'Ke Hoach'!F64</f>
        <v>0</v>
      </c>
      <c r="H59" s="9">
        <f>'Ke Hoach'!G64</f>
        <v>0</v>
      </c>
      <c r="I59" s="50">
        <f>'Ke Hoach'!I64</f>
        <v>0</v>
      </c>
      <c r="J59" s="48">
        <f t="shared" si="8"/>
        <v>0</v>
      </c>
      <c r="K59" s="73"/>
      <c r="L59" s="64"/>
      <c r="M59" s="52">
        <f t="shared" si="9"/>
        <v>0</v>
      </c>
      <c r="N59" s="54"/>
      <c r="O59" s="52">
        <f t="shared" si="10"/>
        <v>0</v>
      </c>
      <c r="P59" s="54"/>
      <c r="Q59" s="55">
        <f t="shared" si="11"/>
        <v>0</v>
      </c>
      <c r="R59" s="73"/>
      <c r="S59" s="25"/>
      <c r="T59" s="25"/>
      <c r="U59" s="25"/>
      <c r="V59" s="25"/>
      <c r="W59" s="25"/>
      <c r="X59" s="25"/>
    </row>
    <row r="60" spans="1:24" ht="16.5" customHeight="1" x14ac:dyDescent="0.25">
      <c r="A60" s="50" t="s">
        <v>43</v>
      </c>
      <c r="B60" s="73">
        <f>'Ke Hoach'!B65</f>
        <v>0</v>
      </c>
      <c r="C60" s="73"/>
      <c r="D60" s="73"/>
      <c r="E60" s="73"/>
      <c r="F60" s="73"/>
      <c r="G60" s="50">
        <f>'Ke Hoach'!F65</f>
        <v>0</v>
      </c>
      <c r="H60" s="9">
        <f>'Ke Hoach'!G65</f>
        <v>0</v>
      </c>
      <c r="I60" s="50">
        <f>'Ke Hoach'!I65</f>
        <v>0</v>
      </c>
      <c r="J60" s="48">
        <f t="shared" si="8"/>
        <v>0</v>
      </c>
      <c r="K60" s="73"/>
      <c r="L60" s="64"/>
      <c r="M60" s="52">
        <f t="shared" si="9"/>
        <v>0</v>
      </c>
      <c r="N60" s="54"/>
      <c r="O60" s="52">
        <f t="shared" si="10"/>
        <v>0</v>
      </c>
      <c r="P60" s="54"/>
      <c r="Q60" s="55">
        <f t="shared" si="11"/>
        <v>0</v>
      </c>
      <c r="R60" s="73"/>
      <c r="S60" s="25"/>
      <c r="T60" s="25"/>
      <c r="U60" s="25"/>
      <c r="V60" s="25"/>
      <c r="W60" s="25"/>
      <c r="X60" s="25"/>
    </row>
    <row r="61" spans="1:24" ht="16.5" customHeight="1" x14ac:dyDescent="0.25">
      <c r="A61" s="50" t="s">
        <v>44</v>
      </c>
      <c r="B61" s="73">
        <f>'Ke Hoach'!B66</f>
        <v>0</v>
      </c>
      <c r="C61" s="73"/>
      <c r="D61" s="73"/>
      <c r="E61" s="73"/>
      <c r="F61" s="73"/>
      <c r="G61" s="50">
        <f>'Ke Hoach'!F66</f>
        <v>0</v>
      </c>
      <c r="H61" s="9">
        <f>'Ke Hoach'!G66</f>
        <v>0</v>
      </c>
      <c r="I61" s="50">
        <f>'Ke Hoach'!I66</f>
        <v>0</v>
      </c>
      <c r="J61" s="48">
        <f t="shared" si="8"/>
        <v>0</v>
      </c>
      <c r="K61" s="73"/>
      <c r="L61" s="64"/>
      <c r="M61" s="52">
        <f t="shared" si="9"/>
        <v>0</v>
      </c>
      <c r="N61" s="54"/>
      <c r="O61" s="52">
        <f t="shared" si="10"/>
        <v>0</v>
      </c>
      <c r="P61" s="54"/>
      <c r="Q61" s="55">
        <f t="shared" si="11"/>
        <v>0</v>
      </c>
      <c r="R61" s="73"/>
      <c r="S61" s="25"/>
      <c r="T61" s="25"/>
      <c r="U61" s="25"/>
      <c r="V61" s="25"/>
      <c r="W61" s="25"/>
      <c r="X61" s="25"/>
    </row>
    <row r="62" spans="1:24" ht="16.5" customHeight="1" x14ac:dyDescent="0.25">
      <c r="A62" s="50" t="s">
        <v>45</v>
      </c>
      <c r="B62" s="73">
        <f>'Ke Hoach'!B67</f>
        <v>0</v>
      </c>
      <c r="C62" s="73"/>
      <c r="D62" s="73"/>
      <c r="E62" s="73"/>
      <c r="F62" s="73"/>
      <c r="G62" s="50">
        <f>'Ke Hoach'!F67</f>
        <v>0</v>
      </c>
      <c r="H62" s="9">
        <f>'Ke Hoach'!G67</f>
        <v>0</v>
      </c>
      <c r="I62" s="50">
        <f>'Ke Hoach'!I67</f>
        <v>0</v>
      </c>
      <c r="J62" s="48">
        <f t="shared" si="8"/>
        <v>0</v>
      </c>
      <c r="K62" s="73"/>
      <c r="L62" s="64"/>
      <c r="M62" s="52">
        <f t="shared" si="9"/>
        <v>0</v>
      </c>
      <c r="N62" s="54"/>
      <c r="O62" s="52">
        <f t="shared" si="10"/>
        <v>0</v>
      </c>
      <c r="P62" s="54"/>
      <c r="Q62" s="55">
        <f t="shared" si="11"/>
        <v>0</v>
      </c>
      <c r="R62" s="73"/>
      <c r="S62" s="25"/>
      <c r="T62" s="25"/>
      <c r="U62" s="25"/>
      <c r="V62" s="25"/>
      <c r="W62" s="25"/>
      <c r="X62" s="25"/>
    </row>
    <row r="63" spans="1:24" ht="16.5" customHeight="1" x14ac:dyDescent="0.25">
      <c r="A63" s="50" t="s">
        <v>46</v>
      </c>
      <c r="B63" s="73">
        <f>'Ke Hoach'!B68</f>
        <v>0</v>
      </c>
      <c r="C63" s="73"/>
      <c r="D63" s="73"/>
      <c r="E63" s="73"/>
      <c r="F63" s="73"/>
      <c r="G63" s="50">
        <f>'Ke Hoach'!F68</f>
        <v>0</v>
      </c>
      <c r="H63" s="9">
        <f>'Ke Hoach'!G68</f>
        <v>0</v>
      </c>
      <c r="I63" s="50">
        <f>'Ke Hoach'!I68</f>
        <v>0</v>
      </c>
      <c r="J63" s="48">
        <f t="shared" si="8"/>
        <v>0</v>
      </c>
      <c r="K63" s="73"/>
      <c r="L63" s="64"/>
      <c r="M63" s="52">
        <f t="shared" si="9"/>
        <v>0</v>
      </c>
      <c r="N63" s="54"/>
      <c r="O63" s="52">
        <f t="shared" si="10"/>
        <v>0</v>
      </c>
      <c r="P63" s="54"/>
      <c r="Q63" s="55">
        <f t="shared" si="11"/>
        <v>0</v>
      </c>
      <c r="R63" s="73"/>
      <c r="S63" s="25"/>
      <c r="T63" s="25"/>
      <c r="U63" s="25"/>
      <c r="V63" s="25"/>
      <c r="W63" s="25"/>
      <c r="X63" s="25"/>
    </row>
    <row r="64" spans="1:24" ht="16.5" customHeight="1" x14ac:dyDescent="0.25">
      <c r="A64" s="50" t="s">
        <v>47</v>
      </c>
      <c r="B64" s="73">
        <f>'Ke Hoach'!B69</f>
        <v>0</v>
      </c>
      <c r="C64" s="73"/>
      <c r="D64" s="73"/>
      <c r="E64" s="73"/>
      <c r="F64" s="73"/>
      <c r="G64" s="50">
        <f>'Ke Hoach'!F69</f>
        <v>0</v>
      </c>
      <c r="H64" s="9">
        <f>'Ke Hoach'!G69</f>
        <v>0</v>
      </c>
      <c r="I64" s="50">
        <f>'Ke Hoach'!I69</f>
        <v>0</v>
      </c>
      <c r="J64" s="48">
        <f t="shared" si="8"/>
        <v>0</v>
      </c>
      <c r="K64" s="73"/>
      <c r="L64" s="64"/>
      <c r="M64" s="52">
        <f t="shared" si="9"/>
        <v>0</v>
      </c>
      <c r="N64" s="54"/>
      <c r="O64" s="52">
        <f t="shared" si="10"/>
        <v>0</v>
      </c>
      <c r="P64" s="54"/>
      <c r="Q64" s="55">
        <f t="shared" si="11"/>
        <v>0</v>
      </c>
      <c r="R64" s="73"/>
      <c r="S64" s="25"/>
      <c r="T64" s="25"/>
      <c r="U64" s="25"/>
      <c r="V64" s="25"/>
      <c r="W64" s="25"/>
      <c r="X64" s="25"/>
    </row>
    <row r="65" spans="1:24" ht="16.5" customHeight="1" x14ac:dyDescent="0.25">
      <c r="A65" s="50" t="s">
        <v>48</v>
      </c>
      <c r="B65" s="73">
        <f>'Ke Hoach'!B70</f>
        <v>0</v>
      </c>
      <c r="C65" s="73"/>
      <c r="D65" s="73"/>
      <c r="E65" s="73"/>
      <c r="F65" s="73"/>
      <c r="G65" s="50">
        <f>'Ke Hoach'!F70</f>
        <v>0</v>
      </c>
      <c r="H65" s="9">
        <f>'Ke Hoach'!G70</f>
        <v>0</v>
      </c>
      <c r="I65" s="50">
        <f>'Ke Hoach'!I70</f>
        <v>0</v>
      </c>
      <c r="J65" s="48">
        <f t="shared" si="8"/>
        <v>0</v>
      </c>
      <c r="K65" s="73"/>
      <c r="L65" s="64"/>
      <c r="M65" s="52">
        <f t="shared" si="9"/>
        <v>0</v>
      </c>
      <c r="N65" s="54"/>
      <c r="O65" s="52">
        <f t="shared" si="10"/>
        <v>0</v>
      </c>
      <c r="P65" s="54"/>
      <c r="Q65" s="55">
        <f t="shared" si="11"/>
        <v>0</v>
      </c>
      <c r="R65" s="73"/>
      <c r="S65" s="25"/>
      <c r="T65" s="25"/>
      <c r="U65" s="25"/>
      <c r="V65" s="25"/>
      <c r="W65" s="25"/>
      <c r="X65" s="25"/>
    </row>
    <row r="66" spans="1:24" ht="16.5" customHeight="1" x14ac:dyDescent="0.25">
      <c r="A66" s="50" t="s">
        <v>49</v>
      </c>
      <c r="B66" s="73">
        <f>'Ke Hoach'!B71</f>
        <v>0</v>
      </c>
      <c r="C66" s="73"/>
      <c r="D66" s="73"/>
      <c r="E66" s="73"/>
      <c r="F66" s="73"/>
      <c r="G66" s="50">
        <f>'Ke Hoach'!F71</f>
        <v>0</v>
      </c>
      <c r="H66" s="9">
        <f>'Ke Hoach'!G71</f>
        <v>0</v>
      </c>
      <c r="I66" s="50">
        <f>'Ke Hoach'!I71</f>
        <v>0</v>
      </c>
      <c r="J66" s="48">
        <f t="shared" si="8"/>
        <v>0</v>
      </c>
      <c r="K66" s="73"/>
      <c r="L66" s="64"/>
      <c r="M66" s="52">
        <f t="shared" si="9"/>
        <v>0</v>
      </c>
      <c r="N66" s="54"/>
      <c r="O66" s="52">
        <f t="shared" si="10"/>
        <v>0</v>
      </c>
      <c r="P66" s="54"/>
      <c r="Q66" s="55">
        <f t="shared" si="11"/>
        <v>0</v>
      </c>
      <c r="R66" s="73"/>
      <c r="S66" s="25"/>
      <c r="T66" s="25"/>
      <c r="U66" s="25"/>
      <c r="V66" s="25"/>
      <c r="W66" s="25"/>
      <c r="X66" s="25"/>
    </row>
    <row r="67" spans="1:24" ht="16.5" customHeight="1" x14ac:dyDescent="0.25">
      <c r="A67" s="50" t="s">
        <v>50</v>
      </c>
      <c r="B67" s="73">
        <f>'Ke Hoach'!B72</f>
        <v>0</v>
      </c>
      <c r="C67" s="73"/>
      <c r="D67" s="73"/>
      <c r="E67" s="73"/>
      <c r="F67" s="73"/>
      <c r="G67" s="50">
        <f>'Ke Hoach'!F72</f>
        <v>0</v>
      </c>
      <c r="H67" s="9">
        <f>'Ke Hoach'!G72</f>
        <v>0</v>
      </c>
      <c r="I67" s="50">
        <f>'Ke Hoach'!I72</f>
        <v>0</v>
      </c>
      <c r="J67" s="48">
        <f t="shared" si="8"/>
        <v>0</v>
      </c>
      <c r="K67" s="73"/>
      <c r="L67" s="64"/>
      <c r="M67" s="52">
        <f t="shared" si="9"/>
        <v>0</v>
      </c>
      <c r="N67" s="54"/>
      <c r="O67" s="52">
        <f t="shared" si="10"/>
        <v>0</v>
      </c>
      <c r="P67" s="54"/>
      <c r="Q67" s="55">
        <f t="shared" si="11"/>
        <v>0</v>
      </c>
      <c r="R67" s="73"/>
      <c r="S67" s="25"/>
      <c r="T67" s="25"/>
      <c r="U67" s="25"/>
      <c r="V67" s="25"/>
      <c r="W67" s="25"/>
      <c r="X67" s="25"/>
    </row>
    <row r="68" spans="1:24" ht="16.5" customHeight="1" x14ac:dyDescent="0.25">
      <c r="A68" s="50" t="s">
        <v>51</v>
      </c>
      <c r="B68" s="73">
        <f>'Ke Hoach'!B73</f>
        <v>0</v>
      </c>
      <c r="C68" s="73"/>
      <c r="D68" s="73"/>
      <c r="E68" s="73"/>
      <c r="F68" s="73"/>
      <c r="G68" s="50">
        <f>'Ke Hoach'!F73</f>
        <v>0</v>
      </c>
      <c r="H68" s="9">
        <f>'Ke Hoach'!G73</f>
        <v>0</v>
      </c>
      <c r="I68" s="50">
        <f>'Ke Hoach'!I73</f>
        <v>0</v>
      </c>
      <c r="J68" s="48">
        <f t="shared" si="8"/>
        <v>0</v>
      </c>
      <c r="K68" s="73"/>
      <c r="L68" s="64"/>
      <c r="M68" s="52">
        <f t="shared" si="9"/>
        <v>0</v>
      </c>
      <c r="N68" s="54"/>
      <c r="O68" s="52">
        <f t="shared" si="10"/>
        <v>0</v>
      </c>
      <c r="P68" s="54"/>
      <c r="Q68" s="55">
        <f t="shared" si="11"/>
        <v>0</v>
      </c>
      <c r="R68" s="73"/>
      <c r="S68" s="25"/>
      <c r="T68" s="25"/>
      <c r="U68" s="25"/>
      <c r="V68" s="25"/>
      <c r="W68" s="25"/>
      <c r="X68" s="25"/>
    </row>
    <row r="69" spans="1:24" ht="16.5" customHeight="1" x14ac:dyDescent="0.25">
      <c r="A69" s="50" t="s">
        <v>52</v>
      </c>
      <c r="B69" s="73">
        <f>'Ke Hoach'!B74</f>
        <v>0</v>
      </c>
      <c r="C69" s="73"/>
      <c r="D69" s="73"/>
      <c r="E69" s="73"/>
      <c r="F69" s="73"/>
      <c r="G69" s="50">
        <f>'Ke Hoach'!F74</f>
        <v>0</v>
      </c>
      <c r="H69" s="9">
        <f>'Ke Hoach'!G74</f>
        <v>0</v>
      </c>
      <c r="I69" s="50">
        <f>'Ke Hoach'!I74</f>
        <v>0</v>
      </c>
      <c r="J69" s="48">
        <f t="shared" si="8"/>
        <v>0</v>
      </c>
      <c r="K69" s="73"/>
      <c r="L69" s="64"/>
      <c r="M69" s="52">
        <f t="shared" si="9"/>
        <v>0</v>
      </c>
      <c r="N69" s="54"/>
      <c r="O69" s="52">
        <f t="shared" si="10"/>
        <v>0</v>
      </c>
      <c r="P69" s="54"/>
      <c r="Q69" s="55">
        <f t="shared" si="11"/>
        <v>0</v>
      </c>
      <c r="R69" s="73"/>
      <c r="S69" s="25"/>
      <c r="T69" s="25"/>
      <c r="U69" s="25"/>
      <c r="V69" s="25"/>
      <c r="W69" s="25"/>
      <c r="X69" s="25"/>
    </row>
    <row r="70" spans="1:24" ht="16.5" customHeight="1" x14ac:dyDescent="0.25">
      <c r="A70" s="50" t="s">
        <v>53</v>
      </c>
      <c r="B70" s="73">
        <f>'Ke Hoach'!B75</f>
        <v>0</v>
      </c>
      <c r="C70" s="73"/>
      <c r="D70" s="73"/>
      <c r="E70" s="73"/>
      <c r="F70" s="73"/>
      <c r="G70" s="50">
        <f>'Ke Hoach'!F75</f>
        <v>0</v>
      </c>
      <c r="H70" s="9">
        <f>'Ke Hoach'!G75</f>
        <v>0</v>
      </c>
      <c r="I70" s="50">
        <f>'Ke Hoach'!I75</f>
        <v>0</v>
      </c>
      <c r="J70" s="48">
        <f t="shared" si="8"/>
        <v>0</v>
      </c>
      <c r="K70" s="73"/>
      <c r="L70" s="64"/>
      <c r="M70" s="52">
        <f t="shared" si="9"/>
        <v>0</v>
      </c>
      <c r="N70" s="54"/>
      <c r="O70" s="52">
        <f t="shared" si="10"/>
        <v>0</v>
      </c>
      <c r="P70" s="54"/>
      <c r="Q70" s="55">
        <f t="shared" si="11"/>
        <v>0</v>
      </c>
      <c r="R70" s="73"/>
      <c r="S70" s="25"/>
      <c r="T70" s="25"/>
      <c r="U70" s="25"/>
      <c r="V70" s="25"/>
      <c r="W70" s="25"/>
      <c r="X70" s="25"/>
    </row>
    <row r="71" spans="1:24" ht="15.75" customHeight="1" x14ac:dyDescent="0.25">
      <c r="A71" s="79" t="s">
        <v>58</v>
      </c>
      <c r="B71" s="66" t="s">
        <v>59</v>
      </c>
      <c r="C71" s="68"/>
      <c r="D71" s="68"/>
      <c r="E71" s="68"/>
      <c r="F71" s="68"/>
      <c r="G71" s="68"/>
      <c r="H71" s="69"/>
      <c r="I71" s="68"/>
      <c r="J71" s="80">
        <f>SUM(J72:J91)</f>
        <v>0</v>
      </c>
      <c r="K71" s="80"/>
      <c r="L71" s="80"/>
      <c r="M71" s="80">
        <f>SUM(M72:M91)</f>
        <v>0</v>
      </c>
      <c r="N71" s="81"/>
      <c r="O71" s="80">
        <f>SUM(O72:O91)</f>
        <v>0</v>
      </c>
      <c r="P71" s="81"/>
      <c r="Q71" s="80">
        <f>SUM(Q72:Q91)</f>
        <v>0</v>
      </c>
      <c r="R71" s="47">
        <f>(M71+O71+Q71)/3</f>
        <v>0</v>
      </c>
      <c r="S71" s="25"/>
      <c r="T71" s="25"/>
      <c r="U71" s="25"/>
      <c r="V71" s="25"/>
      <c r="W71" s="25"/>
      <c r="X71" s="25"/>
    </row>
    <row r="72" spans="1:24" ht="15.75" customHeight="1" x14ac:dyDescent="0.25">
      <c r="A72" s="50" t="s">
        <v>30</v>
      </c>
      <c r="B72" s="38">
        <f>'Ke Hoach'!B77</f>
        <v>0</v>
      </c>
      <c r="C72" s="50"/>
      <c r="D72" s="50"/>
      <c r="E72" s="50"/>
      <c r="F72" s="50"/>
      <c r="G72" s="50">
        <f>'Ke Hoach'!F77</f>
        <v>0</v>
      </c>
      <c r="H72" s="9">
        <f>'Ke Hoach'!G77</f>
        <v>0</v>
      </c>
      <c r="I72" s="50">
        <f>'Ke Hoach'!I77</f>
        <v>0</v>
      </c>
      <c r="J72" s="48">
        <f t="shared" ref="J72:J91" si="12">G72*I72</f>
        <v>0</v>
      </c>
      <c r="K72" s="82"/>
      <c r="L72" s="83"/>
      <c r="M72" s="52">
        <f t="shared" ref="M72:M91" si="13">IF(G72=0,0,MIN(L72,G72)*I72)</f>
        <v>0</v>
      </c>
      <c r="N72" s="84"/>
      <c r="O72" s="52">
        <f t="shared" ref="O72:O91" si="14">I72*L72*N72/100</f>
        <v>0</v>
      </c>
      <c r="P72" s="84"/>
      <c r="Q72" s="55">
        <f t="shared" ref="Q72:Q91" si="15">I72*L72*P72/100</f>
        <v>0</v>
      </c>
      <c r="R72" s="82"/>
      <c r="S72" s="25"/>
      <c r="T72" s="25"/>
      <c r="U72" s="25"/>
      <c r="V72" s="25"/>
      <c r="W72" s="25"/>
      <c r="X72" s="25"/>
    </row>
    <row r="73" spans="1:24" ht="15.75" customHeight="1" x14ac:dyDescent="0.25">
      <c r="A73" s="50" t="s">
        <v>35</v>
      </c>
      <c r="B73" s="38">
        <f>'Ke Hoach'!B78</f>
        <v>0</v>
      </c>
      <c r="C73" s="50"/>
      <c r="D73" s="50"/>
      <c r="E73" s="50"/>
      <c r="F73" s="50"/>
      <c r="G73" s="50">
        <f>'Ke Hoach'!F78</f>
        <v>0</v>
      </c>
      <c r="H73" s="9">
        <f>'Ke Hoach'!G78</f>
        <v>0</v>
      </c>
      <c r="I73" s="50">
        <f>'Ke Hoach'!I78</f>
        <v>0</v>
      </c>
      <c r="J73" s="48">
        <f t="shared" si="12"/>
        <v>0</v>
      </c>
      <c r="K73" s="82"/>
      <c r="L73" s="83"/>
      <c r="M73" s="52">
        <f t="shared" si="13"/>
        <v>0</v>
      </c>
      <c r="N73" s="84"/>
      <c r="O73" s="52">
        <f t="shared" si="14"/>
        <v>0</v>
      </c>
      <c r="P73" s="84"/>
      <c r="Q73" s="55">
        <f t="shared" si="15"/>
        <v>0</v>
      </c>
      <c r="R73" s="82"/>
      <c r="S73" s="25"/>
      <c r="T73" s="25"/>
      <c r="U73" s="25"/>
      <c r="V73" s="25"/>
      <c r="W73" s="25"/>
      <c r="X73" s="25"/>
    </row>
    <row r="74" spans="1:24" ht="15.75" customHeight="1" x14ac:dyDescent="0.25">
      <c r="A74" s="50" t="s">
        <v>36</v>
      </c>
      <c r="B74" s="38">
        <f>'Ke Hoach'!B79</f>
        <v>0</v>
      </c>
      <c r="C74" s="50"/>
      <c r="D74" s="50"/>
      <c r="E74" s="50"/>
      <c r="F74" s="50"/>
      <c r="G74" s="50">
        <f>'Ke Hoach'!F79</f>
        <v>0</v>
      </c>
      <c r="H74" s="9">
        <f>'Ke Hoach'!G79</f>
        <v>0</v>
      </c>
      <c r="I74" s="50">
        <f>'Ke Hoach'!I79</f>
        <v>0</v>
      </c>
      <c r="J74" s="48">
        <f t="shared" si="12"/>
        <v>0</v>
      </c>
      <c r="K74" s="82"/>
      <c r="L74" s="83"/>
      <c r="M74" s="52">
        <f t="shared" si="13"/>
        <v>0</v>
      </c>
      <c r="N74" s="84"/>
      <c r="O74" s="52">
        <f t="shared" si="14"/>
        <v>0</v>
      </c>
      <c r="P74" s="84"/>
      <c r="Q74" s="55">
        <f t="shared" si="15"/>
        <v>0</v>
      </c>
      <c r="R74" s="82"/>
      <c r="S74" s="25"/>
      <c r="T74" s="25"/>
      <c r="U74" s="25"/>
      <c r="V74" s="25"/>
      <c r="W74" s="25"/>
      <c r="X74" s="25"/>
    </row>
    <row r="75" spans="1:24" ht="15.75" customHeight="1" x14ac:dyDescent="0.25">
      <c r="A75" s="50" t="s">
        <v>37</v>
      </c>
      <c r="B75" s="38">
        <f>'Ke Hoach'!B80</f>
        <v>0</v>
      </c>
      <c r="C75" s="50"/>
      <c r="D75" s="50"/>
      <c r="E75" s="50"/>
      <c r="F75" s="50"/>
      <c r="G75" s="50">
        <f>'Ke Hoach'!F80</f>
        <v>0</v>
      </c>
      <c r="H75" s="9">
        <f>'Ke Hoach'!G80</f>
        <v>0</v>
      </c>
      <c r="I75" s="50">
        <f>'Ke Hoach'!I80</f>
        <v>0</v>
      </c>
      <c r="J75" s="48">
        <f t="shared" si="12"/>
        <v>0</v>
      </c>
      <c r="K75" s="82"/>
      <c r="L75" s="83"/>
      <c r="M75" s="52">
        <f t="shared" si="13"/>
        <v>0</v>
      </c>
      <c r="N75" s="84"/>
      <c r="O75" s="52">
        <f t="shared" si="14"/>
        <v>0</v>
      </c>
      <c r="P75" s="84"/>
      <c r="Q75" s="55">
        <f t="shared" si="15"/>
        <v>0</v>
      </c>
      <c r="R75" s="82"/>
      <c r="S75" s="25"/>
      <c r="T75" s="25"/>
      <c r="U75" s="25"/>
      <c r="V75" s="25"/>
      <c r="W75" s="25"/>
      <c r="X75" s="25"/>
    </row>
    <row r="76" spans="1:24" ht="15.75" customHeight="1" x14ac:dyDescent="0.25">
      <c r="A76" s="50" t="s">
        <v>38</v>
      </c>
      <c r="B76" s="38">
        <f>'Ke Hoach'!B81</f>
        <v>0</v>
      </c>
      <c r="C76" s="50"/>
      <c r="D76" s="50"/>
      <c r="E76" s="50"/>
      <c r="F76" s="50"/>
      <c r="G76" s="50">
        <f>'Ke Hoach'!F81</f>
        <v>0</v>
      </c>
      <c r="H76" s="9">
        <f>'Ke Hoach'!G81</f>
        <v>0</v>
      </c>
      <c r="I76" s="50">
        <f>'Ke Hoach'!I81</f>
        <v>0</v>
      </c>
      <c r="J76" s="48">
        <f t="shared" si="12"/>
        <v>0</v>
      </c>
      <c r="K76" s="82"/>
      <c r="L76" s="83"/>
      <c r="M76" s="52">
        <f t="shared" si="13"/>
        <v>0</v>
      </c>
      <c r="N76" s="84"/>
      <c r="O76" s="52">
        <f t="shared" si="14"/>
        <v>0</v>
      </c>
      <c r="P76" s="84"/>
      <c r="Q76" s="55">
        <f t="shared" si="15"/>
        <v>0</v>
      </c>
      <c r="R76" s="82"/>
      <c r="S76" s="25"/>
      <c r="T76" s="25"/>
      <c r="U76" s="25"/>
      <c r="V76" s="25"/>
      <c r="W76" s="25"/>
      <c r="X76" s="25"/>
    </row>
    <row r="77" spans="1:24" ht="15.75" customHeight="1" x14ac:dyDescent="0.25">
      <c r="A77" s="50" t="s">
        <v>39</v>
      </c>
      <c r="B77" s="38">
        <f>'Ke Hoach'!B82</f>
        <v>0</v>
      </c>
      <c r="C77" s="50"/>
      <c r="D77" s="50"/>
      <c r="E77" s="50"/>
      <c r="F77" s="50"/>
      <c r="G77" s="50">
        <f>'Ke Hoach'!F82</f>
        <v>0</v>
      </c>
      <c r="H77" s="9">
        <f>'Ke Hoach'!G82</f>
        <v>0</v>
      </c>
      <c r="I77" s="50">
        <f>'Ke Hoach'!I82</f>
        <v>0</v>
      </c>
      <c r="J77" s="48">
        <f t="shared" si="12"/>
        <v>0</v>
      </c>
      <c r="K77" s="82"/>
      <c r="L77" s="83"/>
      <c r="M77" s="52">
        <f t="shared" si="13"/>
        <v>0</v>
      </c>
      <c r="N77" s="84"/>
      <c r="O77" s="52">
        <f t="shared" si="14"/>
        <v>0</v>
      </c>
      <c r="P77" s="84"/>
      <c r="Q77" s="55">
        <f t="shared" si="15"/>
        <v>0</v>
      </c>
      <c r="R77" s="82"/>
      <c r="S77" s="25"/>
      <c r="T77" s="25"/>
      <c r="U77" s="25"/>
      <c r="V77" s="25"/>
      <c r="W77" s="25"/>
      <c r="X77" s="25"/>
    </row>
    <row r="78" spans="1:24" ht="15.75" customHeight="1" x14ac:dyDescent="0.25">
      <c r="A78" s="50" t="s">
        <v>40</v>
      </c>
      <c r="B78" s="38">
        <f>'Ke Hoach'!B83</f>
        <v>0</v>
      </c>
      <c r="C78" s="50"/>
      <c r="D78" s="50"/>
      <c r="E78" s="50"/>
      <c r="F78" s="50"/>
      <c r="G78" s="50">
        <f>'Ke Hoach'!F83</f>
        <v>0</v>
      </c>
      <c r="H78" s="9">
        <f>'Ke Hoach'!G83</f>
        <v>0</v>
      </c>
      <c r="I78" s="50">
        <f>'Ke Hoach'!I83</f>
        <v>0</v>
      </c>
      <c r="J78" s="48">
        <f t="shared" si="12"/>
        <v>0</v>
      </c>
      <c r="K78" s="82"/>
      <c r="L78" s="83"/>
      <c r="M78" s="52">
        <f t="shared" si="13"/>
        <v>0</v>
      </c>
      <c r="N78" s="84"/>
      <c r="O78" s="52">
        <f t="shared" si="14"/>
        <v>0</v>
      </c>
      <c r="P78" s="84"/>
      <c r="Q78" s="55">
        <f t="shared" si="15"/>
        <v>0</v>
      </c>
      <c r="R78" s="82"/>
      <c r="S78" s="25"/>
      <c r="T78" s="25"/>
      <c r="U78" s="25"/>
      <c r="V78" s="25"/>
      <c r="W78" s="25"/>
      <c r="X78" s="25"/>
    </row>
    <row r="79" spans="1:24" ht="15.75" customHeight="1" x14ac:dyDescent="0.25">
      <c r="A79" s="50" t="s">
        <v>41</v>
      </c>
      <c r="B79" s="38">
        <f>'Ke Hoach'!B84</f>
        <v>0</v>
      </c>
      <c r="C79" s="50"/>
      <c r="D79" s="50"/>
      <c r="E79" s="50"/>
      <c r="F79" s="50"/>
      <c r="G79" s="50">
        <f>'Ke Hoach'!F84</f>
        <v>0</v>
      </c>
      <c r="H79" s="9">
        <f>'Ke Hoach'!G84</f>
        <v>0</v>
      </c>
      <c r="I79" s="50">
        <f>'Ke Hoach'!I84</f>
        <v>0</v>
      </c>
      <c r="J79" s="48">
        <f t="shared" si="12"/>
        <v>0</v>
      </c>
      <c r="K79" s="82"/>
      <c r="L79" s="83"/>
      <c r="M79" s="52">
        <f t="shared" si="13"/>
        <v>0</v>
      </c>
      <c r="N79" s="84"/>
      <c r="O79" s="52">
        <f t="shared" si="14"/>
        <v>0</v>
      </c>
      <c r="P79" s="84"/>
      <c r="Q79" s="55">
        <f t="shared" si="15"/>
        <v>0</v>
      </c>
      <c r="R79" s="82"/>
      <c r="S79" s="25"/>
      <c r="T79" s="25"/>
      <c r="U79" s="25"/>
      <c r="V79" s="25"/>
      <c r="W79" s="25"/>
      <c r="X79" s="25"/>
    </row>
    <row r="80" spans="1:24" ht="15.75" customHeight="1" x14ac:dyDescent="0.25">
      <c r="A80" s="50" t="s">
        <v>42</v>
      </c>
      <c r="B80" s="38">
        <f>'Ke Hoach'!B85</f>
        <v>0</v>
      </c>
      <c r="C80" s="50"/>
      <c r="D80" s="50"/>
      <c r="E80" s="50"/>
      <c r="F80" s="50"/>
      <c r="G80" s="50">
        <f>'Ke Hoach'!F85</f>
        <v>0</v>
      </c>
      <c r="H80" s="9">
        <f>'Ke Hoach'!G85</f>
        <v>0</v>
      </c>
      <c r="I80" s="50">
        <f>'Ke Hoach'!I85</f>
        <v>0</v>
      </c>
      <c r="J80" s="48">
        <f t="shared" si="12"/>
        <v>0</v>
      </c>
      <c r="K80" s="82"/>
      <c r="L80" s="83"/>
      <c r="M80" s="52">
        <f t="shared" si="13"/>
        <v>0</v>
      </c>
      <c r="N80" s="84"/>
      <c r="O80" s="52">
        <f t="shared" si="14"/>
        <v>0</v>
      </c>
      <c r="P80" s="84"/>
      <c r="Q80" s="55">
        <f t="shared" si="15"/>
        <v>0</v>
      </c>
      <c r="R80" s="82"/>
      <c r="S80" s="25"/>
      <c r="T80" s="25"/>
      <c r="U80" s="25"/>
      <c r="V80" s="25"/>
      <c r="W80" s="25"/>
      <c r="X80" s="25"/>
    </row>
    <row r="81" spans="1:24" ht="15.75" customHeight="1" x14ac:dyDescent="0.25">
      <c r="A81" s="50" t="s">
        <v>43</v>
      </c>
      <c r="B81" s="38">
        <f>'Ke Hoach'!B86</f>
        <v>0</v>
      </c>
      <c r="C81" s="50"/>
      <c r="D81" s="50"/>
      <c r="E81" s="50"/>
      <c r="F81" s="50"/>
      <c r="G81" s="50">
        <f>'Ke Hoach'!F86</f>
        <v>0</v>
      </c>
      <c r="H81" s="9">
        <f>'Ke Hoach'!G86</f>
        <v>0</v>
      </c>
      <c r="I81" s="50">
        <f>'Ke Hoach'!I86</f>
        <v>0</v>
      </c>
      <c r="J81" s="48">
        <f t="shared" si="12"/>
        <v>0</v>
      </c>
      <c r="K81" s="82"/>
      <c r="L81" s="83"/>
      <c r="M81" s="52">
        <f t="shared" si="13"/>
        <v>0</v>
      </c>
      <c r="N81" s="84"/>
      <c r="O81" s="52">
        <f t="shared" si="14"/>
        <v>0</v>
      </c>
      <c r="P81" s="84"/>
      <c r="Q81" s="55">
        <f t="shared" si="15"/>
        <v>0</v>
      </c>
      <c r="R81" s="82"/>
      <c r="S81" s="25"/>
      <c r="T81" s="25"/>
      <c r="U81" s="25"/>
      <c r="V81" s="25"/>
      <c r="W81" s="25"/>
      <c r="X81" s="25"/>
    </row>
    <row r="82" spans="1:24" ht="15.75" customHeight="1" x14ac:dyDescent="0.25">
      <c r="A82" s="50" t="s">
        <v>44</v>
      </c>
      <c r="B82" s="38">
        <f>'Ke Hoach'!B87</f>
        <v>0</v>
      </c>
      <c r="C82" s="50"/>
      <c r="D82" s="50"/>
      <c r="E82" s="50"/>
      <c r="F82" s="50"/>
      <c r="G82" s="50">
        <f>'Ke Hoach'!F87</f>
        <v>0</v>
      </c>
      <c r="H82" s="9">
        <f>'Ke Hoach'!G87</f>
        <v>0</v>
      </c>
      <c r="I82" s="50">
        <f>'Ke Hoach'!I87</f>
        <v>0</v>
      </c>
      <c r="J82" s="48">
        <f t="shared" si="12"/>
        <v>0</v>
      </c>
      <c r="K82" s="82"/>
      <c r="L82" s="83"/>
      <c r="M82" s="52">
        <f t="shared" si="13"/>
        <v>0</v>
      </c>
      <c r="N82" s="84"/>
      <c r="O82" s="52">
        <f t="shared" si="14"/>
        <v>0</v>
      </c>
      <c r="P82" s="84"/>
      <c r="Q82" s="55">
        <f t="shared" si="15"/>
        <v>0</v>
      </c>
      <c r="R82" s="82"/>
      <c r="S82" s="25"/>
      <c r="T82" s="25"/>
      <c r="U82" s="25"/>
      <c r="V82" s="25"/>
      <c r="W82" s="25"/>
      <c r="X82" s="25"/>
    </row>
    <row r="83" spans="1:24" ht="15.75" customHeight="1" x14ac:dyDescent="0.25">
      <c r="A83" s="50" t="s">
        <v>45</v>
      </c>
      <c r="B83" s="38">
        <f>'Ke Hoach'!B88</f>
        <v>0</v>
      </c>
      <c r="C83" s="50"/>
      <c r="D83" s="50"/>
      <c r="E83" s="50"/>
      <c r="F83" s="50"/>
      <c r="G83" s="50">
        <f>'Ke Hoach'!F88</f>
        <v>0</v>
      </c>
      <c r="H83" s="9">
        <f>'Ke Hoach'!G88</f>
        <v>0</v>
      </c>
      <c r="I83" s="50">
        <f>'Ke Hoach'!I88</f>
        <v>0</v>
      </c>
      <c r="J83" s="48">
        <f t="shared" si="12"/>
        <v>0</v>
      </c>
      <c r="K83" s="82"/>
      <c r="L83" s="83"/>
      <c r="M83" s="52">
        <f t="shared" si="13"/>
        <v>0</v>
      </c>
      <c r="N83" s="84"/>
      <c r="O83" s="52">
        <f t="shared" si="14"/>
        <v>0</v>
      </c>
      <c r="P83" s="84"/>
      <c r="Q83" s="55">
        <f t="shared" si="15"/>
        <v>0</v>
      </c>
      <c r="R83" s="82"/>
      <c r="S83" s="25"/>
      <c r="T83" s="25"/>
      <c r="U83" s="25"/>
      <c r="V83" s="25"/>
      <c r="W83" s="25"/>
      <c r="X83" s="25"/>
    </row>
    <row r="84" spans="1:24" ht="15.75" customHeight="1" x14ac:dyDescent="0.25">
      <c r="A84" s="50" t="s">
        <v>46</v>
      </c>
      <c r="B84" s="38">
        <f>'Ke Hoach'!B89</f>
        <v>0</v>
      </c>
      <c r="C84" s="50"/>
      <c r="D84" s="50"/>
      <c r="E84" s="50"/>
      <c r="F84" s="50"/>
      <c r="G84" s="50">
        <f>'Ke Hoach'!F89</f>
        <v>0</v>
      </c>
      <c r="H84" s="9">
        <f>'Ke Hoach'!G89</f>
        <v>0</v>
      </c>
      <c r="I84" s="50">
        <f>'Ke Hoach'!I89</f>
        <v>0</v>
      </c>
      <c r="J84" s="48">
        <f t="shared" si="12"/>
        <v>0</v>
      </c>
      <c r="K84" s="82"/>
      <c r="L84" s="83"/>
      <c r="M84" s="52">
        <f t="shared" si="13"/>
        <v>0</v>
      </c>
      <c r="N84" s="84"/>
      <c r="O84" s="52">
        <f t="shared" si="14"/>
        <v>0</v>
      </c>
      <c r="P84" s="84"/>
      <c r="Q84" s="55">
        <f t="shared" si="15"/>
        <v>0</v>
      </c>
      <c r="R84" s="82"/>
      <c r="S84" s="25"/>
      <c r="T84" s="25"/>
      <c r="U84" s="25"/>
      <c r="V84" s="25"/>
      <c r="W84" s="25"/>
      <c r="X84" s="25"/>
    </row>
    <row r="85" spans="1:24" ht="15.75" customHeight="1" x14ac:dyDescent="0.25">
      <c r="A85" s="50" t="s">
        <v>47</v>
      </c>
      <c r="B85" s="38">
        <f>'Ke Hoach'!B90</f>
        <v>0</v>
      </c>
      <c r="C85" s="50"/>
      <c r="D85" s="50"/>
      <c r="E85" s="50"/>
      <c r="F85" s="50"/>
      <c r="G85" s="50">
        <f>'Ke Hoach'!F90</f>
        <v>0</v>
      </c>
      <c r="H85" s="9">
        <f>'Ke Hoach'!G90</f>
        <v>0</v>
      </c>
      <c r="I85" s="50">
        <f>'Ke Hoach'!I90</f>
        <v>0</v>
      </c>
      <c r="J85" s="48">
        <f t="shared" si="12"/>
        <v>0</v>
      </c>
      <c r="K85" s="82"/>
      <c r="L85" s="83"/>
      <c r="M85" s="52">
        <f t="shared" si="13"/>
        <v>0</v>
      </c>
      <c r="N85" s="84"/>
      <c r="O85" s="52">
        <f t="shared" si="14"/>
        <v>0</v>
      </c>
      <c r="P85" s="84"/>
      <c r="Q85" s="55">
        <f t="shared" si="15"/>
        <v>0</v>
      </c>
      <c r="R85" s="82"/>
      <c r="S85" s="25"/>
      <c r="T85" s="25"/>
      <c r="U85" s="25"/>
      <c r="V85" s="25"/>
      <c r="W85" s="25"/>
      <c r="X85" s="25"/>
    </row>
    <row r="86" spans="1:24" ht="15.75" customHeight="1" x14ac:dyDescent="0.25">
      <c r="A86" s="50" t="s">
        <v>48</v>
      </c>
      <c r="B86" s="38">
        <f>'Ke Hoach'!B91</f>
        <v>0</v>
      </c>
      <c r="C86" s="50"/>
      <c r="D86" s="50"/>
      <c r="E86" s="50"/>
      <c r="F86" s="50"/>
      <c r="G86" s="50">
        <f>'Ke Hoach'!F91</f>
        <v>0</v>
      </c>
      <c r="H86" s="9">
        <f>'Ke Hoach'!G91</f>
        <v>0</v>
      </c>
      <c r="I86" s="50">
        <f>'Ke Hoach'!I91</f>
        <v>0</v>
      </c>
      <c r="J86" s="48">
        <f t="shared" si="12"/>
        <v>0</v>
      </c>
      <c r="K86" s="82"/>
      <c r="L86" s="83"/>
      <c r="M86" s="52">
        <f t="shared" si="13"/>
        <v>0</v>
      </c>
      <c r="N86" s="84"/>
      <c r="O86" s="52">
        <f t="shared" si="14"/>
        <v>0</v>
      </c>
      <c r="P86" s="84"/>
      <c r="Q86" s="55">
        <f t="shared" si="15"/>
        <v>0</v>
      </c>
      <c r="R86" s="82"/>
      <c r="S86" s="25"/>
      <c r="T86" s="25"/>
      <c r="U86" s="25"/>
      <c r="V86" s="25"/>
      <c r="W86" s="25"/>
      <c r="X86" s="25"/>
    </row>
    <row r="87" spans="1:24" ht="15.75" customHeight="1" x14ac:dyDescent="0.25">
      <c r="A87" s="50" t="s">
        <v>49</v>
      </c>
      <c r="B87" s="38">
        <f>'Ke Hoach'!B92</f>
        <v>0</v>
      </c>
      <c r="C87" s="50"/>
      <c r="D87" s="50"/>
      <c r="E87" s="50"/>
      <c r="F87" s="50"/>
      <c r="G87" s="50">
        <f>'Ke Hoach'!F92</f>
        <v>0</v>
      </c>
      <c r="H87" s="9">
        <f>'Ke Hoach'!G92</f>
        <v>0</v>
      </c>
      <c r="I87" s="50">
        <f>'Ke Hoach'!I92</f>
        <v>0</v>
      </c>
      <c r="J87" s="48">
        <f t="shared" si="12"/>
        <v>0</v>
      </c>
      <c r="K87" s="82"/>
      <c r="L87" s="83"/>
      <c r="M87" s="52">
        <f t="shared" si="13"/>
        <v>0</v>
      </c>
      <c r="N87" s="84"/>
      <c r="O87" s="52">
        <f t="shared" si="14"/>
        <v>0</v>
      </c>
      <c r="P87" s="84"/>
      <c r="Q87" s="55">
        <f t="shared" si="15"/>
        <v>0</v>
      </c>
      <c r="R87" s="82"/>
      <c r="S87" s="25"/>
      <c r="T87" s="25"/>
      <c r="U87" s="25"/>
      <c r="V87" s="25"/>
      <c r="W87" s="25"/>
      <c r="X87" s="25"/>
    </row>
    <row r="88" spans="1:24" ht="15.75" customHeight="1" x14ac:dyDescent="0.25">
      <c r="A88" s="50" t="s">
        <v>50</v>
      </c>
      <c r="B88" s="38">
        <f>'Ke Hoach'!B93</f>
        <v>0</v>
      </c>
      <c r="C88" s="50"/>
      <c r="D88" s="50"/>
      <c r="E88" s="50"/>
      <c r="F88" s="50"/>
      <c r="G88" s="50">
        <f>'Ke Hoach'!F93</f>
        <v>0</v>
      </c>
      <c r="H88" s="9">
        <f>'Ke Hoach'!G93</f>
        <v>0</v>
      </c>
      <c r="I88" s="50">
        <f>'Ke Hoach'!I93</f>
        <v>0</v>
      </c>
      <c r="J88" s="48">
        <f t="shared" si="12"/>
        <v>0</v>
      </c>
      <c r="K88" s="82"/>
      <c r="L88" s="83"/>
      <c r="M88" s="52">
        <f t="shared" si="13"/>
        <v>0</v>
      </c>
      <c r="N88" s="84"/>
      <c r="O88" s="52">
        <f t="shared" si="14"/>
        <v>0</v>
      </c>
      <c r="P88" s="84"/>
      <c r="Q88" s="55">
        <f t="shared" si="15"/>
        <v>0</v>
      </c>
      <c r="R88" s="82"/>
      <c r="S88" s="25"/>
      <c r="T88" s="25"/>
      <c r="U88" s="25"/>
      <c r="V88" s="25"/>
      <c r="W88" s="25"/>
      <c r="X88" s="25"/>
    </row>
    <row r="89" spans="1:24" ht="15.75" customHeight="1" x14ac:dyDescent="0.25">
      <c r="A89" s="50" t="s">
        <v>51</v>
      </c>
      <c r="B89" s="38">
        <f>'Ke Hoach'!B94</f>
        <v>0</v>
      </c>
      <c r="C89" s="50"/>
      <c r="D89" s="50"/>
      <c r="E89" s="50"/>
      <c r="F89" s="50"/>
      <c r="G89" s="50">
        <f>'Ke Hoach'!F94</f>
        <v>0</v>
      </c>
      <c r="H89" s="9">
        <f>'Ke Hoach'!G94</f>
        <v>0</v>
      </c>
      <c r="I89" s="50">
        <f>'Ke Hoach'!I94</f>
        <v>0</v>
      </c>
      <c r="J89" s="48">
        <f t="shared" si="12"/>
        <v>0</v>
      </c>
      <c r="K89" s="82"/>
      <c r="L89" s="83"/>
      <c r="M89" s="52">
        <f t="shared" si="13"/>
        <v>0</v>
      </c>
      <c r="N89" s="84"/>
      <c r="O89" s="52">
        <f t="shared" si="14"/>
        <v>0</v>
      </c>
      <c r="P89" s="84"/>
      <c r="Q89" s="55">
        <f t="shared" si="15"/>
        <v>0</v>
      </c>
      <c r="R89" s="82"/>
      <c r="S89" s="25"/>
      <c r="T89" s="25"/>
      <c r="U89" s="25"/>
      <c r="V89" s="25"/>
      <c r="W89" s="25"/>
      <c r="X89" s="25"/>
    </row>
    <row r="90" spans="1:24" ht="15.75" customHeight="1" x14ac:dyDescent="0.25">
      <c r="A90" s="50" t="s">
        <v>52</v>
      </c>
      <c r="B90" s="38">
        <f>'Ke Hoach'!B95</f>
        <v>0</v>
      </c>
      <c r="C90" s="50"/>
      <c r="D90" s="50"/>
      <c r="E90" s="50"/>
      <c r="F90" s="50"/>
      <c r="G90" s="50">
        <f>'Ke Hoach'!F95</f>
        <v>0</v>
      </c>
      <c r="H90" s="9">
        <f>'Ke Hoach'!G95</f>
        <v>0</v>
      </c>
      <c r="I90" s="50">
        <f>'Ke Hoach'!I95</f>
        <v>0</v>
      </c>
      <c r="J90" s="48">
        <f t="shared" si="12"/>
        <v>0</v>
      </c>
      <c r="K90" s="82"/>
      <c r="L90" s="83"/>
      <c r="M90" s="52">
        <f t="shared" si="13"/>
        <v>0</v>
      </c>
      <c r="N90" s="84"/>
      <c r="O90" s="52">
        <f t="shared" si="14"/>
        <v>0</v>
      </c>
      <c r="P90" s="84"/>
      <c r="Q90" s="55">
        <f t="shared" si="15"/>
        <v>0</v>
      </c>
      <c r="R90" s="82"/>
      <c r="S90" s="25"/>
      <c r="T90" s="25"/>
      <c r="U90" s="25"/>
      <c r="V90" s="25"/>
      <c r="W90" s="25"/>
      <c r="X90" s="25"/>
    </row>
    <row r="91" spans="1:24" ht="15.75" customHeight="1" x14ac:dyDescent="0.25">
      <c r="A91" s="50" t="s">
        <v>53</v>
      </c>
      <c r="B91" s="38">
        <f>'Ke Hoach'!B96</f>
        <v>0</v>
      </c>
      <c r="C91" s="50"/>
      <c r="D91" s="50"/>
      <c r="E91" s="50"/>
      <c r="F91" s="50"/>
      <c r="G91" s="50">
        <f>'Ke Hoach'!F96</f>
        <v>0</v>
      </c>
      <c r="H91" s="9">
        <f>'Ke Hoach'!G96</f>
        <v>0</v>
      </c>
      <c r="I91" s="50">
        <f>'Ke Hoach'!I96</f>
        <v>0</v>
      </c>
      <c r="J91" s="48">
        <f t="shared" si="12"/>
        <v>0</v>
      </c>
      <c r="K91" s="85"/>
      <c r="L91" s="54"/>
      <c r="M91" s="52">
        <f t="shared" si="13"/>
        <v>0</v>
      </c>
      <c r="N91" s="84"/>
      <c r="O91" s="52">
        <f t="shared" si="14"/>
        <v>0</v>
      </c>
      <c r="P91" s="84"/>
      <c r="Q91" s="55">
        <f t="shared" si="15"/>
        <v>0</v>
      </c>
      <c r="R91" s="38"/>
      <c r="S91" s="25"/>
      <c r="T91" s="25"/>
      <c r="U91" s="25"/>
      <c r="V91" s="25"/>
      <c r="W91" s="25"/>
      <c r="X91" s="25"/>
    </row>
    <row r="92" spans="1:24" ht="15.75" customHeight="1" x14ac:dyDescent="0.25">
      <c r="A92" s="86" t="s">
        <v>60</v>
      </c>
      <c r="B92" s="87" t="s">
        <v>61</v>
      </c>
      <c r="C92" s="67"/>
      <c r="D92" s="67"/>
      <c r="E92" s="67"/>
      <c r="F92" s="67"/>
      <c r="G92" s="67"/>
      <c r="H92" s="88"/>
      <c r="I92" s="67"/>
      <c r="J92" s="89">
        <f>SUM(J93:J112)</f>
        <v>0</v>
      </c>
      <c r="K92" s="89"/>
      <c r="L92" s="89"/>
      <c r="M92" s="89">
        <f>SUM(M93:M112)</f>
        <v>0</v>
      </c>
      <c r="N92" s="90"/>
      <c r="O92" s="89">
        <f>SUM(O93:O112)</f>
        <v>0</v>
      </c>
      <c r="P92" s="90"/>
      <c r="Q92" s="89">
        <f>SUM(Q93:Q112)</f>
        <v>0</v>
      </c>
      <c r="R92" s="45">
        <f>(M92+O92+Q92)/3</f>
        <v>0</v>
      </c>
      <c r="S92" s="25"/>
      <c r="T92" s="25"/>
      <c r="U92" s="25"/>
      <c r="V92" s="25"/>
      <c r="W92" s="25"/>
      <c r="X92" s="25"/>
    </row>
    <row r="93" spans="1:24" ht="58.5" customHeight="1" x14ac:dyDescent="0.25">
      <c r="A93" s="50" t="s">
        <v>30</v>
      </c>
      <c r="B93" s="85">
        <f>'Ke Hoach'!B98</f>
        <v>0</v>
      </c>
      <c r="C93" s="50"/>
      <c r="D93" s="50"/>
      <c r="E93" s="50"/>
      <c r="F93" s="50"/>
      <c r="G93" s="50">
        <f>'Ke Hoach'!F98</f>
        <v>0</v>
      </c>
      <c r="H93" s="9">
        <f>'Ke Hoach'!G98</f>
        <v>0</v>
      </c>
      <c r="I93" s="50">
        <f>'Ke Hoach'!I98</f>
        <v>0</v>
      </c>
      <c r="J93" s="48">
        <f t="shared" ref="J93:J112" si="16">G93*I93</f>
        <v>0</v>
      </c>
      <c r="K93" s="82"/>
      <c r="L93" s="51"/>
      <c r="M93" s="52">
        <f t="shared" ref="M93:M112" si="17">IF(G93=0,0,MIN(L93,G93)*I93)</f>
        <v>0</v>
      </c>
      <c r="N93" s="84"/>
      <c r="O93" s="52">
        <f t="shared" ref="O93:O112" si="18">I93*L93*N93/100</f>
        <v>0</v>
      </c>
      <c r="P93" s="84"/>
      <c r="Q93" s="55">
        <f t="shared" ref="Q93:Q112" si="19">I93*L93*P93/100</f>
        <v>0</v>
      </c>
      <c r="R93" s="38"/>
      <c r="S93" s="25"/>
      <c r="T93" s="25"/>
      <c r="U93" s="25"/>
      <c r="V93" s="25"/>
      <c r="W93" s="25"/>
      <c r="X93" s="25"/>
    </row>
    <row r="94" spans="1:24" ht="16.5" customHeight="1" x14ac:dyDescent="0.25">
      <c r="A94" s="50" t="s">
        <v>35</v>
      </c>
      <c r="B94" s="85">
        <f>'Ke Hoach'!B99</f>
        <v>0</v>
      </c>
      <c r="C94" s="50"/>
      <c r="D94" s="50"/>
      <c r="E94" s="50"/>
      <c r="F94" s="50"/>
      <c r="G94" s="50">
        <f>'Ke Hoach'!F99</f>
        <v>0</v>
      </c>
      <c r="H94" s="9">
        <f>'Ke Hoach'!G99</f>
        <v>0</v>
      </c>
      <c r="I94" s="50">
        <f>'Ke Hoach'!I99</f>
        <v>0</v>
      </c>
      <c r="J94" s="48">
        <f t="shared" si="16"/>
        <v>0</v>
      </c>
      <c r="K94" s="82"/>
      <c r="L94" s="51"/>
      <c r="M94" s="52">
        <f t="shared" si="17"/>
        <v>0</v>
      </c>
      <c r="N94" s="84"/>
      <c r="O94" s="52">
        <f t="shared" si="18"/>
        <v>0</v>
      </c>
      <c r="P94" s="84"/>
      <c r="Q94" s="55">
        <f t="shared" si="19"/>
        <v>0</v>
      </c>
      <c r="R94" s="38"/>
      <c r="S94" s="25"/>
      <c r="T94" s="25"/>
      <c r="U94" s="25"/>
      <c r="V94" s="25"/>
      <c r="W94" s="25"/>
      <c r="X94" s="25"/>
    </row>
    <row r="95" spans="1:24" ht="16.5" customHeight="1" x14ac:dyDescent="0.25">
      <c r="A95" s="50" t="s">
        <v>36</v>
      </c>
      <c r="B95" s="85">
        <f>'Ke Hoach'!B100</f>
        <v>0</v>
      </c>
      <c r="C95" s="50"/>
      <c r="D95" s="50"/>
      <c r="E95" s="50"/>
      <c r="F95" s="50"/>
      <c r="G95" s="50">
        <f>'Ke Hoach'!F100</f>
        <v>0</v>
      </c>
      <c r="H95" s="9">
        <f>'Ke Hoach'!G100</f>
        <v>0</v>
      </c>
      <c r="I95" s="50">
        <f>'Ke Hoach'!I100</f>
        <v>0</v>
      </c>
      <c r="J95" s="48">
        <f t="shared" si="16"/>
        <v>0</v>
      </c>
      <c r="K95" s="82"/>
      <c r="L95" s="51"/>
      <c r="M95" s="52">
        <f t="shared" si="17"/>
        <v>0</v>
      </c>
      <c r="N95" s="84"/>
      <c r="O95" s="52">
        <f t="shared" si="18"/>
        <v>0</v>
      </c>
      <c r="P95" s="84"/>
      <c r="Q95" s="55">
        <f t="shared" si="19"/>
        <v>0</v>
      </c>
      <c r="R95" s="38"/>
      <c r="S95" s="25"/>
      <c r="T95" s="25"/>
      <c r="U95" s="25"/>
      <c r="V95" s="25"/>
      <c r="W95" s="25"/>
      <c r="X95" s="25"/>
    </row>
    <row r="96" spans="1:24" ht="16.5" customHeight="1" x14ac:dyDescent="0.25">
      <c r="A96" s="50" t="s">
        <v>37</v>
      </c>
      <c r="B96" s="85">
        <f>'Ke Hoach'!B101</f>
        <v>0</v>
      </c>
      <c r="C96" s="50"/>
      <c r="D96" s="50"/>
      <c r="E96" s="50"/>
      <c r="F96" s="50"/>
      <c r="G96" s="50">
        <f>'Ke Hoach'!F101</f>
        <v>0</v>
      </c>
      <c r="H96" s="9">
        <f>'Ke Hoach'!G101</f>
        <v>0</v>
      </c>
      <c r="I96" s="50">
        <f>'Ke Hoach'!I101</f>
        <v>0</v>
      </c>
      <c r="J96" s="48">
        <f t="shared" si="16"/>
        <v>0</v>
      </c>
      <c r="K96" s="82"/>
      <c r="L96" s="51"/>
      <c r="M96" s="52">
        <f t="shared" si="17"/>
        <v>0</v>
      </c>
      <c r="N96" s="84"/>
      <c r="O96" s="52">
        <f t="shared" si="18"/>
        <v>0</v>
      </c>
      <c r="P96" s="84"/>
      <c r="Q96" s="55">
        <f t="shared" si="19"/>
        <v>0</v>
      </c>
      <c r="R96" s="38"/>
      <c r="S96" s="25"/>
      <c r="T96" s="25"/>
      <c r="U96" s="25"/>
      <c r="V96" s="25"/>
      <c r="W96" s="25"/>
      <c r="X96" s="25"/>
    </row>
    <row r="97" spans="1:24" ht="16.5" customHeight="1" x14ac:dyDescent="0.25">
      <c r="A97" s="50" t="s">
        <v>38</v>
      </c>
      <c r="B97" s="85">
        <f>'Ke Hoach'!B102</f>
        <v>0</v>
      </c>
      <c r="C97" s="50"/>
      <c r="D97" s="50"/>
      <c r="E97" s="50"/>
      <c r="F97" s="50"/>
      <c r="G97" s="50">
        <f>'Ke Hoach'!F102</f>
        <v>0</v>
      </c>
      <c r="H97" s="9">
        <f>'Ke Hoach'!G102</f>
        <v>0</v>
      </c>
      <c r="I97" s="50">
        <f>'Ke Hoach'!I102</f>
        <v>0</v>
      </c>
      <c r="J97" s="48">
        <f t="shared" si="16"/>
        <v>0</v>
      </c>
      <c r="K97" s="82"/>
      <c r="L97" s="51"/>
      <c r="M97" s="52">
        <f t="shared" si="17"/>
        <v>0</v>
      </c>
      <c r="N97" s="84"/>
      <c r="O97" s="52">
        <f t="shared" si="18"/>
        <v>0</v>
      </c>
      <c r="P97" s="84"/>
      <c r="Q97" s="55">
        <f t="shared" si="19"/>
        <v>0</v>
      </c>
      <c r="R97" s="38"/>
      <c r="S97" s="25"/>
      <c r="T97" s="25"/>
      <c r="U97" s="25"/>
      <c r="V97" s="25"/>
      <c r="W97" s="25"/>
      <c r="X97" s="25"/>
    </row>
    <row r="98" spans="1:24" ht="16.5" customHeight="1" x14ac:dyDescent="0.25">
      <c r="A98" s="50" t="s">
        <v>39</v>
      </c>
      <c r="B98" s="85">
        <f>'Ke Hoach'!B103</f>
        <v>0</v>
      </c>
      <c r="C98" s="50"/>
      <c r="D98" s="50"/>
      <c r="E98" s="50"/>
      <c r="F98" s="50"/>
      <c r="G98" s="50">
        <f>'Ke Hoach'!F103</f>
        <v>0</v>
      </c>
      <c r="H98" s="9">
        <f>'Ke Hoach'!G103</f>
        <v>0</v>
      </c>
      <c r="I98" s="50">
        <f>'Ke Hoach'!I103</f>
        <v>0</v>
      </c>
      <c r="J98" s="48">
        <f t="shared" si="16"/>
        <v>0</v>
      </c>
      <c r="K98" s="82"/>
      <c r="L98" s="51"/>
      <c r="M98" s="52">
        <f t="shared" si="17"/>
        <v>0</v>
      </c>
      <c r="N98" s="84"/>
      <c r="O98" s="52">
        <f t="shared" si="18"/>
        <v>0</v>
      </c>
      <c r="P98" s="84"/>
      <c r="Q98" s="55">
        <f t="shared" si="19"/>
        <v>0</v>
      </c>
      <c r="R98" s="38"/>
      <c r="S98" s="25"/>
      <c r="T98" s="25"/>
      <c r="U98" s="25"/>
      <c r="V98" s="25"/>
      <c r="W98" s="25"/>
      <c r="X98" s="25"/>
    </row>
    <row r="99" spans="1:24" ht="16.5" customHeight="1" x14ac:dyDescent="0.25">
      <c r="A99" s="50" t="s">
        <v>40</v>
      </c>
      <c r="B99" s="85">
        <f>'Ke Hoach'!B104</f>
        <v>0</v>
      </c>
      <c r="C99" s="50"/>
      <c r="D99" s="50"/>
      <c r="E99" s="50"/>
      <c r="F99" s="50"/>
      <c r="G99" s="50">
        <f>'Ke Hoach'!F104</f>
        <v>0</v>
      </c>
      <c r="H99" s="9">
        <f>'Ke Hoach'!G104</f>
        <v>0</v>
      </c>
      <c r="I99" s="50">
        <f>'Ke Hoach'!I104</f>
        <v>0</v>
      </c>
      <c r="J99" s="48">
        <f t="shared" si="16"/>
        <v>0</v>
      </c>
      <c r="K99" s="82"/>
      <c r="L99" s="51"/>
      <c r="M99" s="52">
        <f t="shared" si="17"/>
        <v>0</v>
      </c>
      <c r="N99" s="84"/>
      <c r="O99" s="52">
        <f t="shared" si="18"/>
        <v>0</v>
      </c>
      <c r="P99" s="84"/>
      <c r="Q99" s="55">
        <f t="shared" si="19"/>
        <v>0</v>
      </c>
      <c r="R99" s="38"/>
      <c r="S99" s="25"/>
      <c r="T99" s="25"/>
      <c r="U99" s="25"/>
      <c r="V99" s="25"/>
      <c r="W99" s="25"/>
      <c r="X99" s="25"/>
    </row>
    <row r="100" spans="1:24" ht="16.5" customHeight="1" x14ac:dyDescent="0.25">
      <c r="A100" s="50" t="s">
        <v>41</v>
      </c>
      <c r="B100" s="85">
        <f>'Ke Hoach'!B105</f>
        <v>0</v>
      </c>
      <c r="C100" s="50"/>
      <c r="D100" s="50"/>
      <c r="E100" s="50"/>
      <c r="F100" s="50"/>
      <c r="G100" s="50">
        <f>'Ke Hoach'!F105</f>
        <v>0</v>
      </c>
      <c r="H100" s="9">
        <f>'Ke Hoach'!G105</f>
        <v>0</v>
      </c>
      <c r="I100" s="50">
        <f>'Ke Hoach'!I105</f>
        <v>0</v>
      </c>
      <c r="J100" s="48">
        <f t="shared" si="16"/>
        <v>0</v>
      </c>
      <c r="K100" s="82"/>
      <c r="L100" s="51"/>
      <c r="M100" s="52">
        <f t="shared" si="17"/>
        <v>0</v>
      </c>
      <c r="N100" s="84"/>
      <c r="O100" s="52">
        <f t="shared" si="18"/>
        <v>0</v>
      </c>
      <c r="P100" s="84"/>
      <c r="Q100" s="55">
        <f t="shared" si="19"/>
        <v>0</v>
      </c>
      <c r="R100" s="38"/>
      <c r="S100" s="25"/>
      <c r="T100" s="25"/>
      <c r="U100" s="25"/>
      <c r="V100" s="25"/>
      <c r="W100" s="25"/>
      <c r="X100" s="25"/>
    </row>
    <row r="101" spans="1:24" ht="16.5" customHeight="1" x14ac:dyDescent="0.25">
      <c r="A101" s="50" t="s">
        <v>42</v>
      </c>
      <c r="B101" s="85">
        <f>'Ke Hoach'!B106</f>
        <v>0</v>
      </c>
      <c r="C101" s="50"/>
      <c r="D101" s="50"/>
      <c r="E101" s="50"/>
      <c r="F101" s="50"/>
      <c r="G101" s="50">
        <f>'Ke Hoach'!F106</f>
        <v>0</v>
      </c>
      <c r="H101" s="9">
        <f>'Ke Hoach'!G106</f>
        <v>0</v>
      </c>
      <c r="I101" s="50">
        <f>'Ke Hoach'!I106</f>
        <v>0</v>
      </c>
      <c r="J101" s="48">
        <f t="shared" si="16"/>
        <v>0</v>
      </c>
      <c r="K101" s="82"/>
      <c r="L101" s="51"/>
      <c r="M101" s="52">
        <f t="shared" si="17"/>
        <v>0</v>
      </c>
      <c r="N101" s="84"/>
      <c r="O101" s="52">
        <f t="shared" si="18"/>
        <v>0</v>
      </c>
      <c r="P101" s="84"/>
      <c r="Q101" s="55">
        <f t="shared" si="19"/>
        <v>0</v>
      </c>
      <c r="R101" s="38"/>
      <c r="S101" s="25"/>
      <c r="T101" s="25"/>
      <c r="U101" s="25"/>
      <c r="V101" s="25"/>
      <c r="W101" s="25"/>
      <c r="X101" s="25"/>
    </row>
    <row r="102" spans="1:24" ht="16.5" customHeight="1" x14ac:dyDescent="0.25">
      <c r="A102" s="50" t="s">
        <v>43</v>
      </c>
      <c r="B102" s="85">
        <f>'Ke Hoach'!B107</f>
        <v>0</v>
      </c>
      <c r="C102" s="50"/>
      <c r="D102" s="50"/>
      <c r="E102" s="50"/>
      <c r="F102" s="50"/>
      <c r="G102" s="50">
        <f>'Ke Hoach'!F107</f>
        <v>0</v>
      </c>
      <c r="H102" s="9">
        <f>'Ke Hoach'!G107</f>
        <v>0</v>
      </c>
      <c r="I102" s="50">
        <f>'Ke Hoach'!I107</f>
        <v>0</v>
      </c>
      <c r="J102" s="48">
        <f t="shared" si="16"/>
        <v>0</v>
      </c>
      <c r="K102" s="82"/>
      <c r="L102" s="51"/>
      <c r="M102" s="52">
        <f t="shared" si="17"/>
        <v>0</v>
      </c>
      <c r="N102" s="84"/>
      <c r="O102" s="52">
        <f t="shared" si="18"/>
        <v>0</v>
      </c>
      <c r="P102" s="84"/>
      <c r="Q102" s="55">
        <f t="shared" si="19"/>
        <v>0</v>
      </c>
      <c r="R102" s="38"/>
      <c r="S102" s="25"/>
      <c r="T102" s="25"/>
      <c r="U102" s="25"/>
      <c r="V102" s="25"/>
      <c r="W102" s="25"/>
      <c r="X102" s="25"/>
    </row>
    <row r="103" spans="1:24" ht="16.5" customHeight="1" x14ac:dyDescent="0.25">
      <c r="A103" s="50" t="s">
        <v>44</v>
      </c>
      <c r="B103" s="85">
        <f>'Ke Hoach'!B108</f>
        <v>0</v>
      </c>
      <c r="C103" s="50"/>
      <c r="D103" s="50"/>
      <c r="E103" s="50"/>
      <c r="F103" s="50"/>
      <c r="G103" s="50">
        <f>'Ke Hoach'!F108</f>
        <v>0</v>
      </c>
      <c r="H103" s="9">
        <f>'Ke Hoach'!G108</f>
        <v>0</v>
      </c>
      <c r="I103" s="50">
        <f>'Ke Hoach'!I108</f>
        <v>0</v>
      </c>
      <c r="J103" s="48">
        <f t="shared" si="16"/>
        <v>0</v>
      </c>
      <c r="K103" s="82"/>
      <c r="L103" s="51"/>
      <c r="M103" s="52">
        <f t="shared" si="17"/>
        <v>0</v>
      </c>
      <c r="N103" s="84"/>
      <c r="O103" s="52">
        <f t="shared" si="18"/>
        <v>0</v>
      </c>
      <c r="P103" s="84"/>
      <c r="Q103" s="55">
        <f t="shared" si="19"/>
        <v>0</v>
      </c>
      <c r="R103" s="38"/>
      <c r="S103" s="25"/>
      <c r="T103" s="25"/>
      <c r="U103" s="25"/>
      <c r="V103" s="25"/>
      <c r="W103" s="25"/>
      <c r="X103" s="25"/>
    </row>
    <row r="104" spans="1:24" ht="16.5" customHeight="1" x14ac:dyDescent="0.25">
      <c r="A104" s="50" t="s">
        <v>45</v>
      </c>
      <c r="B104" s="85">
        <f>'Ke Hoach'!B109</f>
        <v>0</v>
      </c>
      <c r="C104" s="50"/>
      <c r="D104" s="50"/>
      <c r="E104" s="50"/>
      <c r="F104" s="50"/>
      <c r="G104" s="50">
        <f>'Ke Hoach'!F109</f>
        <v>0</v>
      </c>
      <c r="H104" s="9">
        <f>'Ke Hoach'!G109</f>
        <v>0</v>
      </c>
      <c r="I104" s="50">
        <f>'Ke Hoach'!I109</f>
        <v>0</v>
      </c>
      <c r="J104" s="48">
        <f t="shared" si="16"/>
        <v>0</v>
      </c>
      <c r="K104" s="82"/>
      <c r="L104" s="51"/>
      <c r="M104" s="52">
        <f t="shared" si="17"/>
        <v>0</v>
      </c>
      <c r="N104" s="84"/>
      <c r="O104" s="52">
        <f t="shared" si="18"/>
        <v>0</v>
      </c>
      <c r="P104" s="84"/>
      <c r="Q104" s="55">
        <f t="shared" si="19"/>
        <v>0</v>
      </c>
      <c r="R104" s="38"/>
      <c r="S104" s="25"/>
      <c r="T104" s="25"/>
      <c r="U104" s="25"/>
      <c r="V104" s="25"/>
      <c r="W104" s="25"/>
      <c r="X104" s="25"/>
    </row>
    <row r="105" spans="1:24" ht="16.5" customHeight="1" x14ac:dyDescent="0.25">
      <c r="A105" s="50" t="s">
        <v>46</v>
      </c>
      <c r="B105" s="85">
        <f>'Ke Hoach'!B110</f>
        <v>0</v>
      </c>
      <c r="C105" s="50"/>
      <c r="D105" s="50"/>
      <c r="E105" s="50"/>
      <c r="F105" s="50"/>
      <c r="G105" s="50">
        <f>'Ke Hoach'!F110</f>
        <v>0</v>
      </c>
      <c r="H105" s="9">
        <f>'Ke Hoach'!G110</f>
        <v>0</v>
      </c>
      <c r="I105" s="50">
        <f>'Ke Hoach'!I110</f>
        <v>0</v>
      </c>
      <c r="J105" s="48">
        <f t="shared" si="16"/>
        <v>0</v>
      </c>
      <c r="K105" s="82"/>
      <c r="L105" s="51"/>
      <c r="M105" s="52">
        <f t="shared" si="17"/>
        <v>0</v>
      </c>
      <c r="N105" s="84"/>
      <c r="O105" s="52">
        <f t="shared" si="18"/>
        <v>0</v>
      </c>
      <c r="P105" s="84"/>
      <c r="Q105" s="55">
        <f t="shared" si="19"/>
        <v>0</v>
      </c>
      <c r="R105" s="38"/>
      <c r="S105" s="25"/>
      <c r="T105" s="25"/>
      <c r="U105" s="25"/>
      <c r="V105" s="25"/>
      <c r="W105" s="25"/>
      <c r="X105" s="25"/>
    </row>
    <row r="106" spans="1:24" ht="16.5" customHeight="1" x14ac:dyDescent="0.25">
      <c r="A106" s="50" t="s">
        <v>47</v>
      </c>
      <c r="B106" s="85">
        <f>'Ke Hoach'!B111</f>
        <v>0</v>
      </c>
      <c r="C106" s="50"/>
      <c r="D106" s="50"/>
      <c r="E106" s="50"/>
      <c r="F106" s="50"/>
      <c r="G106" s="50">
        <f>'Ke Hoach'!F111</f>
        <v>0</v>
      </c>
      <c r="H106" s="9">
        <f>'Ke Hoach'!G111</f>
        <v>0</v>
      </c>
      <c r="I106" s="50">
        <f>'Ke Hoach'!I111</f>
        <v>0</v>
      </c>
      <c r="J106" s="48">
        <f t="shared" si="16"/>
        <v>0</v>
      </c>
      <c r="K106" s="82"/>
      <c r="L106" s="51"/>
      <c r="M106" s="52">
        <f t="shared" si="17"/>
        <v>0</v>
      </c>
      <c r="N106" s="84"/>
      <c r="O106" s="52">
        <f t="shared" si="18"/>
        <v>0</v>
      </c>
      <c r="P106" s="84"/>
      <c r="Q106" s="55">
        <f t="shared" si="19"/>
        <v>0</v>
      </c>
      <c r="R106" s="38"/>
      <c r="S106" s="25"/>
      <c r="T106" s="25"/>
      <c r="U106" s="25"/>
      <c r="V106" s="25"/>
      <c r="W106" s="25"/>
      <c r="X106" s="25"/>
    </row>
    <row r="107" spans="1:24" ht="16.5" customHeight="1" x14ac:dyDescent="0.25">
      <c r="A107" s="50" t="s">
        <v>48</v>
      </c>
      <c r="B107" s="85">
        <f>'Ke Hoach'!B112</f>
        <v>0</v>
      </c>
      <c r="C107" s="50"/>
      <c r="D107" s="50"/>
      <c r="E107" s="50"/>
      <c r="F107" s="50"/>
      <c r="G107" s="50">
        <f>'Ke Hoach'!F112</f>
        <v>0</v>
      </c>
      <c r="H107" s="9">
        <f>'Ke Hoach'!G112</f>
        <v>0</v>
      </c>
      <c r="I107" s="50">
        <f>'Ke Hoach'!I112</f>
        <v>0</v>
      </c>
      <c r="J107" s="48">
        <f t="shared" si="16"/>
        <v>0</v>
      </c>
      <c r="K107" s="82"/>
      <c r="L107" s="51"/>
      <c r="M107" s="52">
        <f t="shared" si="17"/>
        <v>0</v>
      </c>
      <c r="N107" s="84"/>
      <c r="O107" s="52">
        <f t="shared" si="18"/>
        <v>0</v>
      </c>
      <c r="P107" s="84"/>
      <c r="Q107" s="55">
        <f t="shared" si="19"/>
        <v>0</v>
      </c>
      <c r="R107" s="38"/>
      <c r="S107" s="25"/>
      <c r="T107" s="25"/>
      <c r="U107" s="25"/>
      <c r="V107" s="25"/>
      <c r="W107" s="25"/>
      <c r="X107" s="25"/>
    </row>
    <row r="108" spans="1:24" ht="16.5" customHeight="1" x14ac:dyDescent="0.25">
      <c r="A108" s="50" t="s">
        <v>49</v>
      </c>
      <c r="B108" s="85">
        <f>'Ke Hoach'!B113</f>
        <v>0</v>
      </c>
      <c r="C108" s="50"/>
      <c r="D108" s="50"/>
      <c r="E108" s="50"/>
      <c r="F108" s="50"/>
      <c r="G108" s="50">
        <f>'Ke Hoach'!F113</f>
        <v>0</v>
      </c>
      <c r="H108" s="9">
        <f>'Ke Hoach'!G113</f>
        <v>0</v>
      </c>
      <c r="I108" s="50">
        <f>'Ke Hoach'!I113</f>
        <v>0</v>
      </c>
      <c r="J108" s="48">
        <f t="shared" si="16"/>
        <v>0</v>
      </c>
      <c r="K108" s="82"/>
      <c r="L108" s="51"/>
      <c r="M108" s="52">
        <f t="shared" si="17"/>
        <v>0</v>
      </c>
      <c r="N108" s="84"/>
      <c r="O108" s="52">
        <f t="shared" si="18"/>
        <v>0</v>
      </c>
      <c r="P108" s="84"/>
      <c r="Q108" s="55">
        <f t="shared" si="19"/>
        <v>0</v>
      </c>
      <c r="R108" s="38"/>
      <c r="S108" s="25"/>
      <c r="T108" s="25"/>
      <c r="U108" s="25"/>
      <c r="V108" s="25"/>
      <c r="W108" s="25"/>
      <c r="X108" s="25"/>
    </row>
    <row r="109" spans="1:24" ht="16.5" customHeight="1" x14ac:dyDescent="0.25">
      <c r="A109" s="50" t="s">
        <v>50</v>
      </c>
      <c r="B109" s="85">
        <f>'Ke Hoach'!B114</f>
        <v>0</v>
      </c>
      <c r="C109" s="50"/>
      <c r="D109" s="50"/>
      <c r="E109" s="50"/>
      <c r="F109" s="50"/>
      <c r="G109" s="50">
        <f>'Ke Hoach'!F114</f>
        <v>0</v>
      </c>
      <c r="H109" s="9">
        <f>'Ke Hoach'!G114</f>
        <v>0</v>
      </c>
      <c r="I109" s="50">
        <f>'Ke Hoach'!I114</f>
        <v>0</v>
      </c>
      <c r="J109" s="48">
        <f t="shared" si="16"/>
        <v>0</v>
      </c>
      <c r="K109" s="82"/>
      <c r="L109" s="51"/>
      <c r="M109" s="52">
        <f t="shared" si="17"/>
        <v>0</v>
      </c>
      <c r="N109" s="84"/>
      <c r="O109" s="52">
        <f t="shared" si="18"/>
        <v>0</v>
      </c>
      <c r="P109" s="84"/>
      <c r="Q109" s="55">
        <f t="shared" si="19"/>
        <v>0</v>
      </c>
      <c r="R109" s="38"/>
      <c r="S109" s="25"/>
      <c r="T109" s="25"/>
      <c r="U109" s="25"/>
      <c r="V109" s="25"/>
      <c r="W109" s="25"/>
      <c r="X109" s="25"/>
    </row>
    <row r="110" spans="1:24" ht="16.5" customHeight="1" x14ac:dyDescent="0.25">
      <c r="A110" s="50" t="s">
        <v>51</v>
      </c>
      <c r="B110" s="85">
        <f>'Ke Hoach'!B115</f>
        <v>0</v>
      </c>
      <c r="C110" s="50"/>
      <c r="D110" s="50"/>
      <c r="E110" s="50"/>
      <c r="F110" s="50"/>
      <c r="G110" s="50">
        <f>'Ke Hoach'!F115</f>
        <v>0</v>
      </c>
      <c r="H110" s="9">
        <f>'Ke Hoach'!G115</f>
        <v>0</v>
      </c>
      <c r="I110" s="50">
        <f>'Ke Hoach'!I115</f>
        <v>0</v>
      </c>
      <c r="J110" s="48">
        <f t="shared" si="16"/>
        <v>0</v>
      </c>
      <c r="K110" s="82"/>
      <c r="L110" s="51"/>
      <c r="M110" s="52">
        <f t="shared" si="17"/>
        <v>0</v>
      </c>
      <c r="N110" s="84"/>
      <c r="O110" s="52">
        <f t="shared" si="18"/>
        <v>0</v>
      </c>
      <c r="P110" s="84"/>
      <c r="Q110" s="55">
        <f t="shared" si="19"/>
        <v>0</v>
      </c>
      <c r="R110" s="38"/>
      <c r="S110" s="25"/>
      <c r="T110" s="25"/>
      <c r="U110" s="25"/>
      <c r="V110" s="25"/>
      <c r="W110" s="25"/>
      <c r="X110" s="25"/>
    </row>
    <row r="111" spans="1:24" ht="16.5" customHeight="1" x14ac:dyDescent="0.25">
      <c r="A111" s="50" t="s">
        <v>52</v>
      </c>
      <c r="B111" s="85">
        <f>'Ke Hoach'!B116</f>
        <v>0</v>
      </c>
      <c r="C111" s="50"/>
      <c r="D111" s="50"/>
      <c r="E111" s="50"/>
      <c r="F111" s="50"/>
      <c r="G111" s="50">
        <f>'Ke Hoach'!F116</f>
        <v>0</v>
      </c>
      <c r="H111" s="9">
        <f>'Ke Hoach'!G116</f>
        <v>0</v>
      </c>
      <c r="I111" s="50">
        <f>'Ke Hoach'!I116</f>
        <v>0</v>
      </c>
      <c r="J111" s="48">
        <f t="shared" si="16"/>
        <v>0</v>
      </c>
      <c r="K111" s="82"/>
      <c r="L111" s="51"/>
      <c r="M111" s="52">
        <f t="shared" si="17"/>
        <v>0</v>
      </c>
      <c r="N111" s="84"/>
      <c r="O111" s="52">
        <f t="shared" si="18"/>
        <v>0</v>
      </c>
      <c r="P111" s="84"/>
      <c r="Q111" s="55">
        <f t="shared" si="19"/>
        <v>0</v>
      </c>
      <c r="R111" s="38"/>
      <c r="S111" s="25"/>
      <c r="T111" s="25"/>
      <c r="U111" s="25"/>
      <c r="V111" s="25"/>
      <c r="W111" s="25"/>
      <c r="X111" s="25"/>
    </row>
    <row r="112" spans="1:24" ht="16.5" customHeight="1" x14ac:dyDescent="0.25">
      <c r="A112" s="50" t="s">
        <v>53</v>
      </c>
      <c r="B112" s="85">
        <f>'Ke Hoach'!B117</f>
        <v>0</v>
      </c>
      <c r="C112" s="50"/>
      <c r="D112" s="50"/>
      <c r="E112" s="50"/>
      <c r="F112" s="50"/>
      <c r="G112" s="50">
        <f>'Ke Hoach'!F117</f>
        <v>0</v>
      </c>
      <c r="H112" s="9">
        <f>'Ke Hoach'!G117</f>
        <v>0</v>
      </c>
      <c r="I112" s="50">
        <f>'Ke Hoach'!I117</f>
        <v>0</v>
      </c>
      <c r="J112" s="48">
        <f t="shared" si="16"/>
        <v>0</v>
      </c>
      <c r="K112" s="82"/>
      <c r="L112" s="51"/>
      <c r="M112" s="52">
        <f t="shared" si="17"/>
        <v>0</v>
      </c>
      <c r="N112" s="84"/>
      <c r="O112" s="52">
        <f t="shared" si="18"/>
        <v>0</v>
      </c>
      <c r="P112" s="84"/>
      <c r="Q112" s="55">
        <f t="shared" si="19"/>
        <v>0</v>
      </c>
      <c r="R112" s="38"/>
      <c r="S112" s="25"/>
      <c r="T112" s="25"/>
      <c r="U112" s="25"/>
      <c r="V112" s="25"/>
      <c r="W112" s="25"/>
      <c r="X112" s="25"/>
    </row>
    <row r="113" spans="1:24" ht="15.75" customHeight="1" x14ac:dyDescent="0.25">
      <c r="A113" s="91" t="s">
        <v>62</v>
      </c>
      <c r="B113" s="92" t="s">
        <v>63</v>
      </c>
      <c r="C113" s="93"/>
      <c r="D113" s="67"/>
      <c r="E113" s="67"/>
      <c r="F113" s="94"/>
      <c r="G113" s="94"/>
      <c r="H113" s="95"/>
      <c r="I113" s="94"/>
      <c r="J113" s="96">
        <f>SUM(J114:J133)</f>
        <v>0</v>
      </c>
      <c r="K113" s="96"/>
      <c r="L113" s="96"/>
      <c r="M113" s="96">
        <f>SUM(M114:M133)</f>
        <v>0</v>
      </c>
      <c r="N113" s="97"/>
      <c r="O113" s="96">
        <f>SUM(O114:O133)</f>
        <v>0</v>
      </c>
      <c r="P113" s="97"/>
      <c r="Q113" s="96">
        <f>SUM(Q114:Q133)</f>
        <v>0</v>
      </c>
      <c r="R113" s="47">
        <f>(M113+O113+Q113)/3</f>
        <v>0</v>
      </c>
      <c r="S113" s="25"/>
      <c r="T113" s="25"/>
      <c r="U113" s="25"/>
      <c r="V113" s="25"/>
      <c r="W113" s="25"/>
      <c r="X113" s="25"/>
    </row>
    <row r="114" spans="1:24" ht="15.75" customHeight="1" x14ac:dyDescent="0.25">
      <c r="A114" s="56" t="s">
        <v>30</v>
      </c>
      <c r="B114" s="85">
        <f>'Ke Hoach'!B119</f>
        <v>0</v>
      </c>
      <c r="C114" s="50"/>
      <c r="D114" s="50"/>
      <c r="E114" s="50"/>
      <c r="F114" s="56"/>
      <c r="G114" s="56">
        <f>'Ke Hoach'!F119</f>
        <v>0</v>
      </c>
      <c r="H114" s="98">
        <f>'Ke Hoach'!G119</f>
        <v>0</v>
      </c>
      <c r="I114" s="56">
        <f>'Ke Hoach'!I119</f>
        <v>0</v>
      </c>
      <c r="J114" s="99">
        <f t="shared" ref="J114:J133" si="20">G114*I114</f>
        <v>0</v>
      </c>
      <c r="K114" s="56"/>
      <c r="L114" s="100"/>
      <c r="M114" s="52">
        <f t="shared" ref="M114:M133" si="21">IF(G114=0,0,MIN(L114,G114)*I114)</f>
        <v>0</v>
      </c>
      <c r="N114" s="54"/>
      <c r="O114" s="55">
        <f t="shared" ref="O114:O133" si="22">I114*L114*N114/100</f>
        <v>0</v>
      </c>
      <c r="P114" s="54"/>
      <c r="Q114" s="55">
        <f t="shared" ref="Q114:Q133" si="23">I114*L114*P114/100</f>
        <v>0</v>
      </c>
      <c r="R114" s="101"/>
      <c r="S114" s="25"/>
      <c r="T114" s="25"/>
      <c r="U114" s="25"/>
      <c r="V114" s="25"/>
      <c r="W114" s="25"/>
      <c r="X114" s="25"/>
    </row>
    <row r="115" spans="1:24" ht="15.75" customHeight="1" x14ac:dyDescent="0.25">
      <c r="A115" s="56" t="s">
        <v>35</v>
      </c>
      <c r="B115" s="85">
        <f>'Ke Hoach'!B120</f>
        <v>0</v>
      </c>
      <c r="C115" s="50"/>
      <c r="D115" s="50"/>
      <c r="E115" s="50"/>
      <c r="F115" s="56"/>
      <c r="G115" s="56">
        <f>'Ke Hoach'!F120</f>
        <v>0</v>
      </c>
      <c r="H115" s="98">
        <f>'Ke Hoach'!G120</f>
        <v>0</v>
      </c>
      <c r="I115" s="56">
        <f>'Ke Hoach'!I120</f>
        <v>0</v>
      </c>
      <c r="J115" s="99">
        <f t="shared" si="20"/>
        <v>0</v>
      </c>
      <c r="K115" s="56"/>
      <c r="L115" s="100"/>
      <c r="M115" s="52">
        <f t="shared" si="21"/>
        <v>0</v>
      </c>
      <c r="N115" s="54"/>
      <c r="O115" s="55">
        <f t="shared" si="22"/>
        <v>0</v>
      </c>
      <c r="P115" s="54"/>
      <c r="Q115" s="55">
        <f t="shared" si="23"/>
        <v>0</v>
      </c>
      <c r="R115" s="101"/>
      <c r="S115" s="25"/>
      <c r="T115" s="25"/>
      <c r="U115" s="25"/>
      <c r="V115" s="25"/>
      <c r="W115" s="25"/>
      <c r="X115" s="25"/>
    </row>
    <row r="116" spans="1:24" ht="15.75" customHeight="1" x14ac:dyDescent="0.25">
      <c r="A116" s="56" t="s">
        <v>36</v>
      </c>
      <c r="B116" s="85">
        <f>'Ke Hoach'!B121</f>
        <v>0</v>
      </c>
      <c r="C116" s="50"/>
      <c r="D116" s="50"/>
      <c r="E116" s="50"/>
      <c r="F116" s="56"/>
      <c r="G116" s="56">
        <f>'Ke Hoach'!F121</f>
        <v>0</v>
      </c>
      <c r="H116" s="98">
        <f>'Ke Hoach'!G121</f>
        <v>0</v>
      </c>
      <c r="I116" s="56">
        <f>'Ke Hoach'!I121</f>
        <v>0</v>
      </c>
      <c r="J116" s="99">
        <f t="shared" si="20"/>
        <v>0</v>
      </c>
      <c r="K116" s="56"/>
      <c r="L116" s="100"/>
      <c r="M116" s="52">
        <f t="shared" si="21"/>
        <v>0</v>
      </c>
      <c r="N116" s="54"/>
      <c r="O116" s="55">
        <f t="shared" si="22"/>
        <v>0</v>
      </c>
      <c r="P116" s="54"/>
      <c r="Q116" s="55">
        <f t="shared" si="23"/>
        <v>0</v>
      </c>
      <c r="R116" s="101"/>
      <c r="S116" s="25"/>
      <c r="T116" s="25"/>
      <c r="U116" s="25"/>
      <c r="V116" s="25"/>
      <c r="W116" s="25"/>
      <c r="X116" s="25"/>
    </row>
    <row r="117" spans="1:24" ht="15.75" customHeight="1" x14ac:dyDescent="0.25">
      <c r="A117" s="56" t="s">
        <v>37</v>
      </c>
      <c r="B117" s="85">
        <f>'Ke Hoach'!B122</f>
        <v>0</v>
      </c>
      <c r="C117" s="50"/>
      <c r="D117" s="50"/>
      <c r="E117" s="50"/>
      <c r="F117" s="56"/>
      <c r="G117" s="56">
        <f>'Ke Hoach'!F122</f>
        <v>0</v>
      </c>
      <c r="H117" s="98">
        <f>'Ke Hoach'!G122</f>
        <v>0</v>
      </c>
      <c r="I117" s="56">
        <f>'Ke Hoach'!I122</f>
        <v>0</v>
      </c>
      <c r="J117" s="99">
        <f t="shared" si="20"/>
        <v>0</v>
      </c>
      <c r="K117" s="56"/>
      <c r="L117" s="100"/>
      <c r="M117" s="52">
        <f t="shared" si="21"/>
        <v>0</v>
      </c>
      <c r="N117" s="54"/>
      <c r="O117" s="55">
        <f t="shared" si="22"/>
        <v>0</v>
      </c>
      <c r="P117" s="54"/>
      <c r="Q117" s="55">
        <f t="shared" si="23"/>
        <v>0</v>
      </c>
      <c r="R117" s="101"/>
      <c r="S117" s="25"/>
      <c r="T117" s="25"/>
      <c r="U117" s="25"/>
      <c r="V117" s="25"/>
      <c r="W117" s="25"/>
      <c r="X117" s="25"/>
    </row>
    <row r="118" spans="1:24" ht="15.75" customHeight="1" x14ac:dyDescent="0.25">
      <c r="A118" s="56" t="s">
        <v>38</v>
      </c>
      <c r="B118" s="85">
        <f>'Ke Hoach'!B123</f>
        <v>0</v>
      </c>
      <c r="C118" s="50"/>
      <c r="D118" s="50"/>
      <c r="E118" s="50"/>
      <c r="F118" s="56"/>
      <c r="G118" s="56">
        <f>'Ke Hoach'!F123</f>
        <v>0</v>
      </c>
      <c r="H118" s="98">
        <f>'Ke Hoach'!G123</f>
        <v>0</v>
      </c>
      <c r="I118" s="56">
        <f>'Ke Hoach'!I123</f>
        <v>0</v>
      </c>
      <c r="J118" s="99">
        <f t="shared" si="20"/>
        <v>0</v>
      </c>
      <c r="K118" s="56"/>
      <c r="L118" s="100"/>
      <c r="M118" s="52">
        <f t="shared" si="21"/>
        <v>0</v>
      </c>
      <c r="N118" s="54"/>
      <c r="O118" s="55">
        <f t="shared" si="22"/>
        <v>0</v>
      </c>
      <c r="P118" s="54"/>
      <c r="Q118" s="55">
        <f t="shared" si="23"/>
        <v>0</v>
      </c>
      <c r="R118" s="101"/>
      <c r="S118" s="25"/>
      <c r="T118" s="25"/>
      <c r="U118" s="25"/>
      <c r="V118" s="25"/>
      <c r="W118" s="25"/>
      <c r="X118" s="25"/>
    </row>
    <row r="119" spans="1:24" ht="15.75" customHeight="1" x14ac:dyDescent="0.25">
      <c r="A119" s="56" t="s">
        <v>39</v>
      </c>
      <c r="B119" s="85">
        <f>'Ke Hoach'!B124</f>
        <v>0</v>
      </c>
      <c r="C119" s="50"/>
      <c r="D119" s="50"/>
      <c r="E119" s="50"/>
      <c r="F119" s="56"/>
      <c r="G119" s="56">
        <f>'Ke Hoach'!F124</f>
        <v>0</v>
      </c>
      <c r="H119" s="98">
        <f>'Ke Hoach'!G124</f>
        <v>0</v>
      </c>
      <c r="I119" s="56">
        <f>'Ke Hoach'!I124</f>
        <v>0</v>
      </c>
      <c r="J119" s="99">
        <f t="shared" si="20"/>
        <v>0</v>
      </c>
      <c r="K119" s="56"/>
      <c r="L119" s="100"/>
      <c r="M119" s="52">
        <f t="shared" si="21"/>
        <v>0</v>
      </c>
      <c r="N119" s="54"/>
      <c r="O119" s="55">
        <f t="shared" si="22"/>
        <v>0</v>
      </c>
      <c r="P119" s="54"/>
      <c r="Q119" s="55">
        <f t="shared" si="23"/>
        <v>0</v>
      </c>
      <c r="R119" s="101"/>
      <c r="S119" s="25"/>
      <c r="T119" s="25"/>
      <c r="U119" s="25"/>
      <c r="V119" s="25"/>
      <c r="W119" s="25"/>
      <c r="X119" s="25"/>
    </row>
    <row r="120" spans="1:24" ht="15.75" customHeight="1" x14ac:dyDescent="0.25">
      <c r="A120" s="56" t="s">
        <v>40</v>
      </c>
      <c r="B120" s="85">
        <f>'Ke Hoach'!B125</f>
        <v>0</v>
      </c>
      <c r="C120" s="50"/>
      <c r="D120" s="50"/>
      <c r="E120" s="50"/>
      <c r="F120" s="56"/>
      <c r="G120" s="56">
        <f>'Ke Hoach'!F125</f>
        <v>0</v>
      </c>
      <c r="H120" s="98">
        <f>'Ke Hoach'!G125</f>
        <v>0</v>
      </c>
      <c r="I120" s="56">
        <f>'Ke Hoach'!I125</f>
        <v>0</v>
      </c>
      <c r="J120" s="99">
        <f t="shared" si="20"/>
        <v>0</v>
      </c>
      <c r="K120" s="56"/>
      <c r="L120" s="100"/>
      <c r="M120" s="52">
        <f t="shared" si="21"/>
        <v>0</v>
      </c>
      <c r="N120" s="54"/>
      <c r="O120" s="55">
        <f t="shared" si="22"/>
        <v>0</v>
      </c>
      <c r="P120" s="54"/>
      <c r="Q120" s="55">
        <f t="shared" si="23"/>
        <v>0</v>
      </c>
      <c r="R120" s="101"/>
      <c r="S120" s="25"/>
      <c r="T120" s="25"/>
      <c r="U120" s="25"/>
      <c r="V120" s="25"/>
      <c r="W120" s="25"/>
      <c r="X120" s="25"/>
    </row>
    <row r="121" spans="1:24" ht="15.75" customHeight="1" x14ac:dyDescent="0.25">
      <c r="A121" s="56" t="s">
        <v>41</v>
      </c>
      <c r="B121" s="85">
        <f>'Ke Hoach'!B126</f>
        <v>0</v>
      </c>
      <c r="C121" s="50"/>
      <c r="D121" s="50"/>
      <c r="E121" s="50"/>
      <c r="F121" s="56"/>
      <c r="G121" s="56">
        <f>'Ke Hoach'!F126</f>
        <v>0</v>
      </c>
      <c r="H121" s="98">
        <f>'Ke Hoach'!G126</f>
        <v>0</v>
      </c>
      <c r="I121" s="56">
        <f>'Ke Hoach'!I126</f>
        <v>0</v>
      </c>
      <c r="J121" s="99">
        <f t="shared" si="20"/>
        <v>0</v>
      </c>
      <c r="K121" s="56"/>
      <c r="L121" s="100"/>
      <c r="M121" s="52">
        <f t="shared" si="21"/>
        <v>0</v>
      </c>
      <c r="N121" s="54"/>
      <c r="O121" s="55">
        <f t="shared" si="22"/>
        <v>0</v>
      </c>
      <c r="P121" s="54"/>
      <c r="Q121" s="55">
        <f t="shared" si="23"/>
        <v>0</v>
      </c>
      <c r="R121" s="101"/>
      <c r="S121" s="25"/>
      <c r="T121" s="25"/>
      <c r="U121" s="25"/>
      <c r="V121" s="25"/>
      <c r="W121" s="25"/>
      <c r="X121" s="25"/>
    </row>
    <row r="122" spans="1:24" ht="15.75" customHeight="1" x14ac:dyDescent="0.25">
      <c r="A122" s="56" t="s">
        <v>42</v>
      </c>
      <c r="B122" s="85">
        <f>'Ke Hoach'!B127</f>
        <v>0</v>
      </c>
      <c r="C122" s="50"/>
      <c r="D122" s="50"/>
      <c r="E122" s="50"/>
      <c r="F122" s="56"/>
      <c r="G122" s="56">
        <f>'Ke Hoach'!F127</f>
        <v>0</v>
      </c>
      <c r="H122" s="98">
        <f>'Ke Hoach'!G127</f>
        <v>0</v>
      </c>
      <c r="I122" s="56">
        <f>'Ke Hoach'!I127</f>
        <v>0</v>
      </c>
      <c r="J122" s="99">
        <f t="shared" si="20"/>
        <v>0</v>
      </c>
      <c r="K122" s="56"/>
      <c r="L122" s="100"/>
      <c r="M122" s="52">
        <f t="shared" si="21"/>
        <v>0</v>
      </c>
      <c r="N122" s="54"/>
      <c r="O122" s="55">
        <f t="shared" si="22"/>
        <v>0</v>
      </c>
      <c r="P122" s="54"/>
      <c r="Q122" s="55">
        <f t="shared" si="23"/>
        <v>0</v>
      </c>
      <c r="R122" s="101"/>
      <c r="S122" s="25"/>
      <c r="T122" s="25"/>
      <c r="U122" s="25"/>
      <c r="V122" s="25"/>
      <c r="W122" s="25"/>
      <c r="X122" s="25"/>
    </row>
    <row r="123" spans="1:24" ht="15.75" customHeight="1" x14ac:dyDescent="0.25">
      <c r="A123" s="56" t="s">
        <v>43</v>
      </c>
      <c r="B123" s="85">
        <f>'Ke Hoach'!B128</f>
        <v>0</v>
      </c>
      <c r="C123" s="50"/>
      <c r="D123" s="50"/>
      <c r="E123" s="50"/>
      <c r="F123" s="56"/>
      <c r="G123" s="56">
        <f>'Ke Hoach'!F128</f>
        <v>0</v>
      </c>
      <c r="H123" s="98">
        <f>'Ke Hoach'!G128</f>
        <v>0</v>
      </c>
      <c r="I123" s="56">
        <f>'Ke Hoach'!I128</f>
        <v>0</v>
      </c>
      <c r="J123" s="99">
        <f t="shared" si="20"/>
        <v>0</v>
      </c>
      <c r="K123" s="56"/>
      <c r="L123" s="100"/>
      <c r="M123" s="52">
        <f t="shared" si="21"/>
        <v>0</v>
      </c>
      <c r="N123" s="54"/>
      <c r="O123" s="55">
        <f t="shared" si="22"/>
        <v>0</v>
      </c>
      <c r="P123" s="54"/>
      <c r="Q123" s="55">
        <f t="shared" si="23"/>
        <v>0</v>
      </c>
      <c r="R123" s="101"/>
      <c r="S123" s="25"/>
      <c r="T123" s="25"/>
      <c r="U123" s="25"/>
      <c r="V123" s="25"/>
      <c r="W123" s="25"/>
      <c r="X123" s="25"/>
    </row>
    <row r="124" spans="1:24" ht="15.75" customHeight="1" x14ac:dyDescent="0.25">
      <c r="A124" s="56" t="s">
        <v>44</v>
      </c>
      <c r="B124" s="85">
        <f>'Ke Hoach'!B129</f>
        <v>0</v>
      </c>
      <c r="C124" s="50"/>
      <c r="D124" s="50"/>
      <c r="E124" s="50"/>
      <c r="F124" s="56"/>
      <c r="G124" s="56">
        <f>'Ke Hoach'!F129</f>
        <v>0</v>
      </c>
      <c r="H124" s="98">
        <f>'Ke Hoach'!G129</f>
        <v>0</v>
      </c>
      <c r="I124" s="56">
        <f>'Ke Hoach'!I129</f>
        <v>0</v>
      </c>
      <c r="J124" s="99">
        <f t="shared" si="20"/>
        <v>0</v>
      </c>
      <c r="K124" s="56"/>
      <c r="L124" s="100"/>
      <c r="M124" s="52">
        <f t="shared" si="21"/>
        <v>0</v>
      </c>
      <c r="N124" s="54"/>
      <c r="O124" s="55">
        <f t="shared" si="22"/>
        <v>0</v>
      </c>
      <c r="P124" s="54"/>
      <c r="Q124" s="55">
        <f t="shared" si="23"/>
        <v>0</v>
      </c>
      <c r="R124" s="101"/>
      <c r="S124" s="25"/>
      <c r="T124" s="25"/>
      <c r="U124" s="25"/>
      <c r="V124" s="25"/>
      <c r="W124" s="25"/>
      <c r="X124" s="25"/>
    </row>
    <row r="125" spans="1:24" ht="15.75" customHeight="1" x14ac:dyDescent="0.25">
      <c r="A125" s="56" t="s">
        <v>45</v>
      </c>
      <c r="B125" s="85">
        <f>'Ke Hoach'!B130</f>
        <v>0</v>
      </c>
      <c r="C125" s="50"/>
      <c r="D125" s="50"/>
      <c r="E125" s="50"/>
      <c r="F125" s="56"/>
      <c r="G125" s="56">
        <f>'Ke Hoach'!F130</f>
        <v>0</v>
      </c>
      <c r="H125" s="98">
        <f>'Ke Hoach'!G130</f>
        <v>0</v>
      </c>
      <c r="I125" s="56">
        <f>'Ke Hoach'!I130</f>
        <v>0</v>
      </c>
      <c r="J125" s="99">
        <f t="shared" si="20"/>
        <v>0</v>
      </c>
      <c r="K125" s="56"/>
      <c r="L125" s="100"/>
      <c r="M125" s="52">
        <f t="shared" si="21"/>
        <v>0</v>
      </c>
      <c r="N125" s="54"/>
      <c r="O125" s="55">
        <f t="shared" si="22"/>
        <v>0</v>
      </c>
      <c r="P125" s="54"/>
      <c r="Q125" s="55">
        <f t="shared" si="23"/>
        <v>0</v>
      </c>
      <c r="R125" s="101"/>
      <c r="S125" s="25"/>
      <c r="T125" s="25"/>
      <c r="U125" s="25"/>
      <c r="V125" s="25"/>
      <c r="W125" s="25"/>
      <c r="X125" s="25"/>
    </row>
    <row r="126" spans="1:24" ht="15.75" customHeight="1" x14ac:dyDescent="0.25">
      <c r="A126" s="56" t="s">
        <v>46</v>
      </c>
      <c r="B126" s="85">
        <f>'Ke Hoach'!B131</f>
        <v>0</v>
      </c>
      <c r="C126" s="50"/>
      <c r="D126" s="50"/>
      <c r="E126" s="50"/>
      <c r="F126" s="56"/>
      <c r="G126" s="56">
        <f>'Ke Hoach'!F131</f>
        <v>0</v>
      </c>
      <c r="H126" s="98">
        <f>'Ke Hoach'!G131</f>
        <v>0</v>
      </c>
      <c r="I126" s="56">
        <f>'Ke Hoach'!I131</f>
        <v>0</v>
      </c>
      <c r="J126" s="99">
        <f t="shared" si="20"/>
        <v>0</v>
      </c>
      <c r="K126" s="56"/>
      <c r="L126" s="100"/>
      <c r="M126" s="52">
        <f t="shared" si="21"/>
        <v>0</v>
      </c>
      <c r="N126" s="54"/>
      <c r="O126" s="55">
        <f t="shared" si="22"/>
        <v>0</v>
      </c>
      <c r="P126" s="54"/>
      <c r="Q126" s="55">
        <f t="shared" si="23"/>
        <v>0</v>
      </c>
      <c r="R126" s="101"/>
      <c r="S126" s="25"/>
      <c r="T126" s="25"/>
      <c r="U126" s="25"/>
      <c r="V126" s="25"/>
      <c r="W126" s="25"/>
      <c r="X126" s="25"/>
    </row>
    <row r="127" spans="1:24" ht="15.75" customHeight="1" x14ac:dyDescent="0.25">
      <c r="A127" s="56" t="s">
        <v>47</v>
      </c>
      <c r="B127" s="85">
        <f>'Ke Hoach'!B132</f>
        <v>0</v>
      </c>
      <c r="C127" s="50"/>
      <c r="D127" s="50"/>
      <c r="E127" s="50"/>
      <c r="F127" s="56"/>
      <c r="G127" s="56">
        <f>'Ke Hoach'!F132</f>
        <v>0</v>
      </c>
      <c r="H127" s="98">
        <f>'Ke Hoach'!G132</f>
        <v>0</v>
      </c>
      <c r="I127" s="56">
        <f>'Ke Hoach'!I132</f>
        <v>0</v>
      </c>
      <c r="J127" s="99">
        <f t="shared" si="20"/>
        <v>0</v>
      </c>
      <c r="K127" s="56"/>
      <c r="L127" s="100"/>
      <c r="M127" s="52">
        <f t="shared" si="21"/>
        <v>0</v>
      </c>
      <c r="N127" s="54"/>
      <c r="O127" s="55">
        <f t="shared" si="22"/>
        <v>0</v>
      </c>
      <c r="P127" s="54"/>
      <c r="Q127" s="55">
        <f t="shared" si="23"/>
        <v>0</v>
      </c>
      <c r="R127" s="101"/>
      <c r="S127" s="25"/>
      <c r="T127" s="25"/>
      <c r="U127" s="25"/>
      <c r="V127" s="25"/>
      <c r="W127" s="25"/>
      <c r="X127" s="25"/>
    </row>
    <row r="128" spans="1:24" ht="15.75" customHeight="1" x14ac:dyDescent="0.25">
      <c r="A128" s="56" t="s">
        <v>48</v>
      </c>
      <c r="B128" s="85">
        <f>'Ke Hoach'!B133</f>
        <v>0</v>
      </c>
      <c r="C128" s="50"/>
      <c r="D128" s="50"/>
      <c r="E128" s="50"/>
      <c r="F128" s="56"/>
      <c r="G128" s="56">
        <f>'Ke Hoach'!F133</f>
        <v>0</v>
      </c>
      <c r="H128" s="98">
        <f>'Ke Hoach'!G133</f>
        <v>0</v>
      </c>
      <c r="I128" s="56">
        <f>'Ke Hoach'!I133</f>
        <v>0</v>
      </c>
      <c r="J128" s="99">
        <f t="shared" si="20"/>
        <v>0</v>
      </c>
      <c r="K128" s="56"/>
      <c r="L128" s="100"/>
      <c r="M128" s="52">
        <f t="shared" si="21"/>
        <v>0</v>
      </c>
      <c r="N128" s="54"/>
      <c r="O128" s="55">
        <f t="shared" si="22"/>
        <v>0</v>
      </c>
      <c r="P128" s="54"/>
      <c r="Q128" s="55">
        <f t="shared" si="23"/>
        <v>0</v>
      </c>
      <c r="R128" s="101"/>
      <c r="S128" s="25"/>
      <c r="T128" s="25"/>
      <c r="U128" s="25"/>
      <c r="V128" s="25"/>
      <c r="W128" s="25"/>
      <c r="X128" s="25"/>
    </row>
    <row r="129" spans="1:24" ht="15.75" customHeight="1" x14ac:dyDescent="0.25">
      <c r="A129" s="56" t="s">
        <v>49</v>
      </c>
      <c r="B129" s="85">
        <f>'Ke Hoach'!B134</f>
        <v>0</v>
      </c>
      <c r="C129" s="50"/>
      <c r="D129" s="50"/>
      <c r="E129" s="50"/>
      <c r="F129" s="56"/>
      <c r="G129" s="56">
        <f>'Ke Hoach'!F134</f>
        <v>0</v>
      </c>
      <c r="H129" s="98">
        <f>'Ke Hoach'!G134</f>
        <v>0</v>
      </c>
      <c r="I129" s="56">
        <f>'Ke Hoach'!I134</f>
        <v>0</v>
      </c>
      <c r="J129" s="99">
        <f t="shared" si="20"/>
        <v>0</v>
      </c>
      <c r="K129" s="56"/>
      <c r="L129" s="100"/>
      <c r="M129" s="52">
        <f t="shared" si="21"/>
        <v>0</v>
      </c>
      <c r="N129" s="54"/>
      <c r="O129" s="55">
        <f t="shared" si="22"/>
        <v>0</v>
      </c>
      <c r="P129" s="54"/>
      <c r="Q129" s="55">
        <f t="shared" si="23"/>
        <v>0</v>
      </c>
      <c r="R129" s="101"/>
      <c r="S129" s="25"/>
      <c r="T129" s="25"/>
      <c r="U129" s="25"/>
      <c r="V129" s="25"/>
      <c r="W129" s="25"/>
      <c r="X129" s="25"/>
    </row>
    <row r="130" spans="1:24" ht="15.75" customHeight="1" x14ac:dyDescent="0.25">
      <c r="A130" s="56" t="s">
        <v>50</v>
      </c>
      <c r="B130" s="85">
        <f>'Ke Hoach'!B135</f>
        <v>0</v>
      </c>
      <c r="C130" s="50"/>
      <c r="D130" s="50"/>
      <c r="E130" s="50"/>
      <c r="F130" s="56"/>
      <c r="G130" s="56">
        <f>'Ke Hoach'!F135</f>
        <v>0</v>
      </c>
      <c r="H130" s="98">
        <f>'Ke Hoach'!G135</f>
        <v>0</v>
      </c>
      <c r="I130" s="56">
        <f>'Ke Hoach'!I135</f>
        <v>0</v>
      </c>
      <c r="J130" s="99">
        <f t="shared" si="20"/>
        <v>0</v>
      </c>
      <c r="K130" s="56"/>
      <c r="L130" s="100"/>
      <c r="M130" s="52">
        <f t="shared" si="21"/>
        <v>0</v>
      </c>
      <c r="N130" s="54"/>
      <c r="O130" s="55">
        <f t="shared" si="22"/>
        <v>0</v>
      </c>
      <c r="P130" s="54"/>
      <c r="Q130" s="55">
        <f t="shared" si="23"/>
        <v>0</v>
      </c>
      <c r="R130" s="101"/>
      <c r="S130" s="25"/>
      <c r="T130" s="25"/>
      <c r="U130" s="25"/>
      <c r="V130" s="25"/>
      <c r="W130" s="25"/>
      <c r="X130" s="25"/>
    </row>
    <row r="131" spans="1:24" ht="15.75" customHeight="1" x14ac:dyDescent="0.25">
      <c r="A131" s="56" t="s">
        <v>51</v>
      </c>
      <c r="B131" s="85">
        <f>'Ke Hoach'!B136</f>
        <v>0</v>
      </c>
      <c r="C131" s="50"/>
      <c r="D131" s="50"/>
      <c r="E131" s="50"/>
      <c r="F131" s="50"/>
      <c r="G131" s="56">
        <f>'Ke Hoach'!F136</f>
        <v>0</v>
      </c>
      <c r="H131" s="98">
        <f>'Ke Hoach'!G136</f>
        <v>0</v>
      </c>
      <c r="I131" s="56">
        <f>'Ke Hoach'!I136</f>
        <v>0</v>
      </c>
      <c r="J131" s="99">
        <f t="shared" si="20"/>
        <v>0</v>
      </c>
      <c r="K131" s="50"/>
      <c r="L131" s="102"/>
      <c r="M131" s="52">
        <f t="shared" si="21"/>
        <v>0</v>
      </c>
      <c r="N131" s="54"/>
      <c r="O131" s="55">
        <f t="shared" si="22"/>
        <v>0</v>
      </c>
      <c r="P131" s="54"/>
      <c r="Q131" s="55">
        <f t="shared" si="23"/>
        <v>0</v>
      </c>
      <c r="R131" s="103"/>
      <c r="S131" s="25"/>
      <c r="T131" s="25"/>
      <c r="U131" s="25"/>
      <c r="V131" s="25"/>
      <c r="W131" s="25"/>
      <c r="X131" s="25"/>
    </row>
    <row r="132" spans="1:24" ht="15.75" customHeight="1" x14ac:dyDescent="0.25">
      <c r="A132" s="56" t="s">
        <v>52</v>
      </c>
      <c r="B132" s="85">
        <f>'Ke Hoach'!B137</f>
        <v>0</v>
      </c>
      <c r="C132" s="50"/>
      <c r="D132" s="50"/>
      <c r="E132" s="50"/>
      <c r="F132" s="50"/>
      <c r="G132" s="56">
        <f>'Ke Hoach'!F137</f>
        <v>0</v>
      </c>
      <c r="H132" s="98">
        <f>'Ke Hoach'!G137</f>
        <v>0</v>
      </c>
      <c r="I132" s="56">
        <f>'Ke Hoach'!I137</f>
        <v>0</v>
      </c>
      <c r="J132" s="99">
        <f t="shared" si="20"/>
        <v>0</v>
      </c>
      <c r="K132" s="50"/>
      <c r="L132" s="102"/>
      <c r="M132" s="52">
        <f t="shared" si="21"/>
        <v>0</v>
      </c>
      <c r="N132" s="54"/>
      <c r="O132" s="55">
        <f t="shared" si="22"/>
        <v>0</v>
      </c>
      <c r="P132" s="54"/>
      <c r="Q132" s="55">
        <f t="shared" si="23"/>
        <v>0</v>
      </c>
      <c r="R132" s="103"/>
      <c r="S132" s="25"/>
      <c r="T132" s="25"/>
      <c r="U132" s="25"/>
      <c r="V132" s="25"/>
      <c r="W132" s="25"/>
      <c r="X132" s="25"/>
    </row>
    <row r="133" spans="1:24" ht="15.75" customHeight="1" x14ac:dyDescent="0.25">
      <c r="A133" s="56" t="s">
        <v>53</v>
      </c>
      <c r="B133" s="85">
        <f>'Ke Hoach'!B138</f>
        <v>0</v>
      </c>
      <c r="C133" s="50"/>
      <c r="D133" s="50"/>
      <c r="E133" s="50"/>
      <c r="F133" s="50"/>
      <c r="G133" s="50">
        <f>'Ke Hoach'!F138</f>
        <v>0</v>
      </c>
      <c r="H133" s="9">
        <f>'Ke Hoach'!G138</f>
        <v>0</v>
      </c>
      <c r="I133" s="50">
        <f>'Ke Hoach'!I138</f>
        <v>0</v>
      </c>
      <c r="J133" s="48">
        <f t="shared" si="20"/>
        <v>0</v>
      </c>
      <c r="K133" s="50"/>
      <c r="L133" s="104"/>
      <c r="M133" s="55">
        <f t="shared" si="21"/>
        <v>0</v>
      </c>
      <c r="N133" s="54"/>
      <c r="O133" s="55">
        <f t="shared" si="22"/>
        <v>0</v>
      </c>
      <c r="P133" s="54"/>
      <c r="Q133" s="55">
        <f t="shared" si="23"/>
        <v>0</v>
      </c>
      <c r="R133" s="38"/>
      <c r="S133" s="25"/>
      <c r="T133" s="25"/>
      <c r="U133" s="25"/>
      <c r="V133" s="25"/>
      <c r="W133" s="25"/>
      <c r="X133" s="25"/>
    </row>
    <row r="134" spans="1:24" ht="15.75" customHeight="1" x14ac:dyDescent="0.25">
      <c r="S134" s="25"/>
      <c r="T134" s="25"/>
      <c r="U134" s="25"/>
      <c r="V134" s="25"/>
      <c r="W134" s="25"/>
      <c r="X134" s="25"/>
    </row>
    <row r="135" spans="1:24" ht="15.75" customHeight="1" x14ac:dyDescent="0.25">
      <c r="S135" s="25"/>
      <c r="T135" s="25"/>
      <c r="U135" s="25"/>
      <c r="V135" s="25"/>
      <c r="W135" s="25"/>
      <c r="X135" s="25"/>
    </row>
    <row r="136" spans="1:24" ht="15.75" customHeight="1" x14ac:dyDescent="0.25">
      <c r="S136" s="25"/>
      <c r="T136" s="25"/>
      <c r="U136" s="25"/>
      <c r="V136" s="25"/>
      <c r="W136" s="25"/>
      <c r="X136" s="25"/>
    </row>
    <row r="137" spans="1:24" ht="15.75" customHeight="1" x14ac:dyDescent="0.25">
      <c r="S137" s="25"/>
      <c r="T137" s="25"/>
      <c r="U137" s="25"/>
      <c r="V137" s="25"/>
      <c r="W137" s="25"/>
      <c r="X137" s="25"/>
    </row>
    <row r="138" spans="1:24" ht="15.75" customHeight="1" x14ac:dyDescent="0.25">
      <c r="S138" s="25"/>
      <c r="T138" s="25"/>
      <c r="U138" s="25"/>
      <c r="V138" s="25"/>
      <c r="W138" s="25"/>
      <c r="X138" s="25"/>
    </row>
    <row r="139" spans="1:24" ht="15.75" customHeight="1" x14ac:dyDescent="0.25">
      <c r="S139" s="25"/>
      <c r="T139" s="25"/>
      <c r="U139" s="25"/>
      <c r="V139" s="25"/>
      <c r="W139" s="25"/>
      <c r="X139" s="25"/>
    </row>
    <row r="140" spans="1:24" ht="15.75" customHeight="1" x14ac:dyDescent="0.25">
      <c r="S140" s="25"/>
      <c r="T140" s="25"/>
      <c r="U140" s="25"/>
      <c r="V140" s="25"/>
      <c r="W140" s="25"/>
      <c r="X140" s="25"/>
    </row>
    <row r="141" spans="1:24" ht="15.75" customHeight="1" x14ac:dyDescent="0.25">
      <c r="S141" s="25"/>
      <c r="T141" s="25"/>
      <c r="U141" s="25"/>
      <c r="V141" s="25"/>
      <c r="W141" s="25"/>
      <c r="X141" s="25"/>
    </row>
    <row r="142" spans="1:24" ht="15.75" customHeight="1" x14ac:dyDescent="0.25">
      <c r="S142" s="25"/>
      <c r="T142" s="25"/>
      <c r="U142" s="25"/>
      <c r="V142" s="25"/>
      <c r="W142" s="25"/>
      <c r="X142" s="25"/>
    </row>
    <row r="143" spans="1:24" ht="15.75" customHeight="1" x14ac:dyDescent="0.25">
      <c r="S143" s="25"/>
      <c r="T143" s="25"/>
      <c r="U143" s="25"/>
      <c r="V143" s="25"/>
      <c r="W143" s="25"/>
      <c r="X143" s="25"/>
    </row>
    <row r="144" spans="1:24" ht="15.75" customHeight="1" x14ac:dyDescent="0.25">
      <c r="S144" s="25"/>
      <c r="T144" s="25"/>
      <c r="U144" s="25"/>
      <c r="V144" s="25"/>
      <c r="W144" s="25"/>
      <c r="X144" s="25"/>
    </row>
    <row r="145" spans="19:24" ht="15.75" customHeight="1" x14ac:dyDescent="0.25">
      <c r="S145" s="25"/>
      <c r="T145" s="25"/>
      <c r="U145" s="25"/>
      <c r="V145" s="25"/>
      <c r="W145" s="25"/>
      <c r="X145" s="25"/>
    </row>
    <row r="146" spans="19:24" ht="15.75" customHeight="1" x14ac:dyDescent="0.25">
      <c r="S146" s="25"/>
      <c r="T146" s="25"/>
      <c r="U146" s="25"/>
      <c r="V146" s="25"/>
      <c r="W146" s="25"/>
      <c r="X146" s="25"/>
    </row>
    <row r="147" spans="19:24" ht="15.75" customHeight="1" x14ac:dyDescent="0.25">
      <c r="S147" s="25"/>
      <c r="T147" s="25"/>
      <c r="U147" s="25"/>
      <c r="V147" s="25"/>
      <c r="W147" s="25"/>
      <c r="X147" s="25"/>
    </row>
    <row r="148" spans="19:24" ht="15.75" customHeight="1" x14ac:dyDescent="0.25">
      <c r="S148" s="25"/>
      <c r="T148" s="25"/>
      <c r="U148" s="25"/>
      <c r="V148" s="25"/>
      <c r="W148" s="25"/>
      <c r="X148" s="25"/>
    </row>
    <row r="149" spans="19:24" ht="15.75" customHeight="1" x14ac:dyDescent="0.25">
      <c r="S149" s="25"/>
      <c r="T149" s="25"/>
      <c r="U149" s="25"/>
      <c r="V149" s="25"/>
      <c r="W149" s="25"/>
      <c r="X149" s="25"/>
    </row>
    <row r="150" spans="19:24" ht="15.75" customHeight="1" x14ac:dyDescent="0.25">
      <c r="S150" s="25"/>
      <c r="T150" s="25"/>
      <c r="U150" s="25"/>
      <c r="V150" s="25"/>
      <c r="W150" s="25"/>
      <c r="X150" s="25"/>
    </row>
    <row r="151" spans="19:24" ht="15.75" customHeight="1" x14ac:dyDescent="0.25">
      <c r="S151" s="25"/>
      <c r="T151" s="25"/>
      <c r="U151" s="25"/>
      <c r="V151" s="25"/>
      <c r="W151" s="25"/>
      <c r="X151" s="25"/>
    </row>
    <row r="152" spans="19:24" ht="15.75" customHeight="1" x14ac:dyDescent="0.25">
      <c r="S152" s="25"/>
      <c r="T152" s="25"/>
      <c r="U152" s="25"/>
      <c r="V152" s="25"/>
      <c r="W152" s="25"/>
      <c r="X152" s="25"/>
    </row>
    <row r="153" spans="19:24" ht="15.75" customHeight="1" x14ac:dyDescent="0.25">
      <c r="S153" s="25"/>
      <c r="T153" s="25"/>
      <c r="U153" s="25"/>
      <c r="V153" s="25"/>
      <c r="W153" s="25"/>
      <c r="X153" s="25"/>
    </row>
    <row r="154" spans="19:24" ht="15.75" customHeight="1" x14ac:dyDescent="0.25">
      <c r="S154" s="25"/>
      <c r="T154" s="25"/>
      <c r="U154" s="25"/>
      <c r="V154" s="25"/>
      <c r="W154" s="25"/>
      <c r="X154" s="25"/>
    </row>
    <row r="155" spans="19:24" ht="15.75" customHeight="1" x14ac:dyDescent="0.25">
      <c r="S155" s="25"/>
      <c r="T155" s="25"/>
      <c r="U155" s="25"/>
      <c r="V155" s="25"/>
      <c r="W155" s="25"/>
      <c r="X155" s="25"/>
    </row>
    <row r="156" spans="19:24" ht="15.75" customHeight="1" x14ac:dyDescent="0.25">
      <c r="S156" s="25"/>
      <c r="T156" s="25"/>
      <c r="U156" s="25"/>
      <c r="V156" s="25"/>
      <c r="W156" s="25"/>
      <c r="X156" s="25"/>
    </row>
    <row r="157" spans="19:24" ht="15.75" customHeight="1" x14ac:dyDescent="0.25">
      <c r="S157" s="25"/>
      <c r="T157" s="25"/>
      <c r="U157" s="25"/>
      <c r="V157" s="25"/>
      <c r="W157" s="25"/>
      <c r="X157" s="25"/>
    </row>
    <row r="158" spans="19:24" ht="15.75" customHeight="1" x14ac:dyDescent="0.25">
      <c r="S158" s="25"/>
      <c r="T158" s="25"/>
      <c r="U158" s="25"/>
      <c r="V158" s="25"/>
      <c r="W158" s="25"/>
      <c r="X158" s="25"/>
    </row>
    <row r="159" spans="19:24" ht="15.75" customHeight="1" x14ac:dyDescent="0.25">
      <c r="S159" s="25"/>
      <c r="T159" s="25"/>
      <c r="U159" s="25"/>
      <c r="V159" s="25"/>
      <c r="W159" s="25"/>
      <c r="X159" s="25"/>
    </row>
    <row r="160" spans="19:24" ht="15.75" customHeight="1" x14ac:dyDescent="0.25">
      <c r="S160" s="25"/>
      <c r="T160" s="25"/>
      <c r="U160" s="25"/>
      <c r="V160" s="25"/>
      <c r="W160" s="25"/>
      <c r="X160" s="25"/>
    </row>
    <row r="161" spans="19:24" ht="15.75" customHeight="1" x14ac:dyDescent="0.25">
      <c r="S161" s="25"/>
      <c r="T161" s="25"/>
      <c r="U161" s="25"/>
      <c r="V161" s="25"/>
      <c r="W161" s="25"/>
      <c r="X161" s="25"/>
    </row>
    <row r="162" spans="19:24" ht="15.75" customHeight="1" x14ac:dyDescent="0.25">
      <c r="S162" s="25"/>
      <c r="T162" s="25"/>
      <c r="U162" s="25"/>
      <c r="V162" s="25"/>
      <c r="W162" s="25"/>
      <c r="X162" s="25"/>
    </row>
    <row r="163" spans="19:24" ht="15.75" customHeight="1" x14ac:dyDescent="0.25">
      <c r="S163" s="25"/>
      <c r="T163" s="25"/>
      <c r="U163" s="25"/>
      <c r="V163" s="25"/>
      <c r="W163" s="25"/>
      <c r="X163" s="25"/>
    </row>
    <row r="164" spans="19:24" ht="15.75" customHeight="1" x14ac:dyDescent="0.25">
      <c r="S164" s="25"/>
      <c r="T164" s="25"/>
      <c r="U164" s="25"/>
      <c r="V164" s="25"/>
      <c r="W164" s="25"/>
      <c r="X164" s="25"/>
    </row>
    <row r="165" spans="19:24" ht="15.75" customHeight="1" x14ac:dyDescent="0.25">
      <c r="S165" s="25"/>
      <c r="T165" s="25"/>
      <c r="U165" s="25"/>
      <c r="V165" s="25"/>
      <c r="W165" s="25"/>
      <c r="X165" s="25"/>
    </row>
    <row r="166" spans="19:24" ht="15.75" customHeight="1" x14ac:dyDescent="0.25">
      <c r="S166" s="25"/>
      <c r="T166" s="25"/>
      <c r="U166" s="25"/>
      <c r="V166" s="25"/>
      <c r="W166" s="25"/>
      <c r="X166" s="25"/>
    </row>
    <row r="167" spans="19:24" ht="15.75" customHeight="1" x14ac:dyDescent="0.25">
      <c r="S167" s="25"/>
      <c r="T167" s="25"/>
      <c r="U167" s="25"/>
      <c r="V167" s="25"/>
      <c r="W167" s="25"/>
      <c r="X167" s="25"/>
    </row>
    <row r="168" spans="19:24" ht="15.75" customHeight="1" x14ac:dyDescent="0.25">
      <c r="S168" s="25"/>
      <c r="T168" s="25"/>
      <c r="U168" s="25"/>
      <c r="V168" s="25"/>
      <c r="W168" s="25"/>
      <c r="X168" s="25"/>
    </row>
    <row r="169" spans="19:24" ht="15.75" customHeight="1" x14ac:dyDescent="0.25">
      <c r="S169" s="25"/>
      <c r="T169" s="25"/>
      <c r="U169" s="25"/>
      <c r="V169" s="25"/>
      <c r="W169" s="25"/>
      <c r="X169" s="25"/>
    </row>
    <row r="170" spans="19:24" ht="15.75" customHeight="1" x14ac:dyDescent="0.25">
      <c r="S170" s="25"/>
      <c r="T170" s="25"/>
      <c r="U170" s="25"/>
      <c r="V170" s="25"/>
      <c r="W170" s="25"/>
      <c r="X170" s="25"/>
    </row>
    <row r="171" spans="19:24" ht="15.75" customHeight="1" x14ac:dyDescent="0.25">
      <c r="S171" s="25"/>
      <c r="T171" s="25"/>
      <c r="U171" s="25"/>
      <c r="V171" s="25"/>
      <c r="W171" s="25"/>
      <c r="X171" s="25"/>
    </row>
    <row r="172" spans="19:24" ht="15.75" customHeight="1" x14ac:dyDescent="0.25">
      <c r="S172" s="25"/>
      <c r="T172" s="25"/>
      <c r="U172" s="25"/>
      <c r="V172" s="25"/>
      <c r="W172" s="25"/>
      <c r="X172" s="25"/>
    </row>
    <row r="173" spans="19:24" ht="15.75" customHeight="1" x14ac:dyDescent="0.25">
      <c r="S173" s="25"/>
      <c r="T173" s="25"/>
      <c r="U173" s="25"/>
      <c r="V173" s="25"/>
      <c r="W173" s="25"/>
      <c r="X173" s="25"/>
    </row>
    <row r="174" spans="19:24" ht="15.75" customHeight="1" x14ac:dyDescent="0.25">
      <c r="S174" s="25"/>
      <c r="T174" s="25"/>
      <c r="U174" s="25"/>
      <c r="V174" s="25"/>
      <c r="W174" s="25"/>
      <c r="X174" s="25"/>
    </row>
    <row r="175" spans="19:24" ht="15.75" customHeight="1" x14ac:dyDescent="0.25">
      <c r="S175" s="25"/>
      <c r="T175" s="25"/>
      <c r="U175" s="25"/>
      <c r="V175" s="25"/>
      <c r="W175" s="25"/>
      <c r="X175" s="25"/>
    </row>
    <row r="176" spans="19:24" ht="15.75" customHeight="1" x14ac:dyDescent="0.25">
      <c r="S176" s="25"/>
      <c r="T176" s="25"/>
      <c r="U176" s="25"/>
      <c r="V176" s="25"/>
      <c r="W176" s="25"/>
      <c r="X176" s="25"/>
    </row>
    <row r="177" spans="19:24" ht="15.75" customHeight="1" x14ac:dyDescent="0.25">
      <c r="S177" s="25"/>
      <c r="T177" s="25"/>
      <c r="U177" s="25"/>
      <c r="V177" s="25"/>
      <c r="W177" s="25"/>
      <c r="X177" s="25"/>
    </row>
    <row r="178" spans="19:24" ht="15.75" customHeight="1" x14ac:dyDescent="0.25">
      <c r="S178" s="25"/>
      <c r="T178" s="25"/>
      <c r="U178" s="25"/>
      <c r="V178" s="25"/>
      <c r="W178" s="25"/>
      <c r="X178" s="25"/>
    </row>
  </sheetData>
  <mergeCells count="21">
    <mergeCell ref="L4:M4"/>
    <mergeCell ref="N4:O4"/>
    <mergeCell ref="P4:Q4"/>
    <mergeCell ref="N6:O6"/>
    <mergeCell ref="P6:Q6"/>
    <mergeCell ref="A1:R1"/>
    <mergeCell ref="A2:R2"/>
    <mergeCell ref="A3:A5"/>
    <mergeCell ref="B3:J3"/>
    <mergeCell ref="K3:Q3"/>
    <mergeCell ref="R3:R4"/>
    <mergeCell ref="B4:B5"/>
    <mergeCell ref="C4:C5"/>
    <mergeCell ref="D4:D5"/>
    <mergeCell ref="E4:E5"/>
    <mergeCell ref="F4:F5"/>
    <mergeCell ref="G4:G5"/>
    <mergeCell ref="H4:H5"/>
    <mergeCell ref="I4:I5"/>
    <mergeCell ref="J4:J5"/>
    <mergeCell ref="K4:K5"/>
  </mergeCells>
  <dataValidations count="2">
    <dataValidation type="list" allowBlank="1" showErrorMessage="1" sqref="F9" xr:uid="{00000000-0002-0000-0100-000000000000}">
      <formula1>"Báo cáo,Biên bản,Công văn,Hướng dẫn,Kế hoạch,Kết luận,Nghị quyết,Quyết định,Quy định,Quy chế,Phương án,Thông báo,Đề án,Dự án,Tờ trình,Chương trình,Hợp đồng,Báo cáo,Hồ sơ chuyên môn,Bảng thống kê"</formula1>
      <formula2>0</formula2>
    </dataValidation>
    <dataValidation type="list" allowBlank="1" sqref="N7:N178 P7:P178" xr:uid="{00000000-0002-0000-0100-000001000000}">
      <formula1>"100,90,80,70,60,50,40,30,20,10,0"</formula1>
      <formula2>0</formula2>
    </dataValidation>
  </dataValidation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S104"/>
  <sheetViews>
    <sheetView topLeftCell="A3" zoomScaleNormal="100" workbookViewId="0">
      <selection activeCell="L23" sqref="L23"/>
    </sheetView>
  </sheetViews>
  <sheetFormatPr defaultColWidth="8.7109375" defaultRowHeight="15" x14ac:dyDescent="0.25"/>
  <cols>
    <col min="1" max="1" width="4.42578125" customWidth="1"/>
    <col min="2" max="2" width="45.5703125" customWidth="1"/>
    <col min="3" max="3" width="7.5703125" customWidth="1"/>
    <col min="4" max="4" width="8" customWidth="1"/>
    <col min="5" max="5" width="8.42578125" customWidth="1"/>
    <col min="7" max="7" width="14.42578125" customWidth="1"/>
    <col min="8" max="8" width="12.42578125" customWidth="1"/>
  </cols>
  <sheetData>
    <row r="2" spans="1:8" ht="16.5" customHeight="1" x14ac:dyDescent="0.25">
      <c r="A2" s="169" t="s">
        <v>90</v>
      </c>
      <c r="B2" s="169"/>
      <c r="C2" s="169"/>
      <c r="D2" s="169"/>
      <c r="E2" s="169"/>
      <c r="F2" s="169"/>
      <c r="G2" s="169"/>
      <c r="H2" s="169"/>
    </row>
    <row r="3" spans="1:8" ht="16.5" customHeight="1" x14ac:dyDescent="0.25">
      <c r="A3" s="170" t="s">
        <v>91</v>
      </c>
      <c r="B3" s="170"/>
      <c r="C3" s="170"/>
      <c r="D3" s="170"/>
      <c r="E3" s="170"/>
      <c r="F3" s="170"/>
      <c r="G3" s="170"/>
      <c r="H3" s="170"/>
    </row>
    <row r="4" spans="1:8" ht="16.5" customHeight="1" x14ac:dyDescent="0.25">
      <c r="A4" s="170" t="s">
        <v>92</v>
      </c>
      <c r="B4" s="170"/>
      <c r="C4" s="170"/>
      <c r="D4" s="170"/>
      <c r="E4" s="170"/>
      <c r="F4" s="170"/>
      <c r="G4" s="170"/>
      <c r="H4" s="170"/>
    </row>
    <row r="6" spans="1:8" ht="19.5" customHeight="1" x14ac:dyDescent="0.25">
      <c r="A6" s="171" t="s">
        <v>93</v>
      </c>
      <c r="B6" s="171"/>
      <c r="C6" s="105"/>
      <c r="D6" s="170" t="s">
        <v>94</v>
      </c>
      <c r="E6" s="170"/>
      <c r="F6" s="170"/>
      <c r="G6" s="170"/>
      <c r="H6" s="170"/>
    </row>
    <row r="7" spans="1:8" ht="18.75" customHeight="1" x14ac:dyDescent="0.25">
      <c r="A7" s="172" t="s">
        <v>95</v>
      </c>
      <c r="B7" s="172"/>
      <c r="C7" s="106"/>
      <c r="D7" s="170" t="s">
        <v>96</v>
      </c>
      <c r="E7" s="170"/>
      <c r="F7" s="170"/>
      <c r="G7" s="170"/>
      <c r="H7" s="170"/>
    </row>
    <row r="8" spans="1:8" ht="12" customHeight="1" x14ac:dyDescent="0.25">
      <c r="A8" s="173"/>
      <c r="B8" s="173"/>
      <c r="C8" s="107"/>
    </row>
    <row r="9" spans="1:8" ht="21" customHeight="1" x14ac:dyDescent="0.25">
      <c r="A9" s="174" t="s">
        <v>97</v>
      </c>
      <c r="B9" s="174"/>
      <c r="C9" s="174"/>
      <c r="D9" s="174"/>
      <c r="E9" s="174"/>
      <c r="F9" s="174"/>
      <c r="G9" s="174"/>
      <c r="H9" s="174"/>
    </row>
    <row r="10" spans="1:8" ht="23.25" customHeight="1" x14ac:dyDescent="0.25">
      <c r="A10" s="174" t="s">
        <v>98</v>
      </c>
      <c r="B10" s="174"/>
      <c r="C10" s="174"/>
      <c r="D10" s="174"/>
      <c r="E10" s="174"/>
      <c r="F10" s="174"/>
      <c r="G10" s="174"/>
      <c r="H10" s="174"/>
    </row>
    <row r="11" spans="1:8" ht="23.25" customHeight="1" x14ac:dyDescent="0.25">
      <c r="A11" s="175" t="s">
        <v>99</v>
      </c>
      <c r="B11" s="175"/>
      <c r="C11" s="175"/>
      <c r="D11" s="175"/>
      <c r="E11" s="175"/>
      <c r="F11" s="175"/>
      <c r="G11" s="175"/>
      <c r="H11" s="175"/>
    </row>
    <row r="12" spans="1:8" ht="23.25" customHeight="1" x14ac:dyDescent="0.25">
      <c r="A12" s="175" t="s">
        <v>100</v>
      </c>
      <c r="B12" s="175"/>
      <c r="C12" s="175"/>
      <c r="D12" s="175"/>
      <c r="E12" s="175"/>
      <c r="F12" s="175"/>
      <c r="G12" s="175"/>
      <c r="H12" s="175"/>
    </row>
    <row r="13" spans="1:8" ht="23.25" customHeight="1" x14ac:dyDescent="0.25">
      <c r="A13" s="175" t="s">
        <v>101</v>
      </c>
      <c r="B13" s="175"/>
      <c r="C13" s="175"/>
      <c r="D13" s="175"/>
      <c r="E13" s="175"/>
      <c r="F13" s="175"/>
      <c r="G13" s="175"/>
      <c r="H13" s="175"/>
    </row>
    <row r="14" spans="1:8" ht="23.25" customHeight="1" x14ac:dyDescent="0.25">
      <c r="A14" s="175" t="s">
        <v>102</v>
      </c>
      <c r="B14" s="175"/>
      <c r="C14" s="175"/>
      <c r="D14" s="175"/>
      <c r="E14" s="175"/>
      <c r="F14" s="175"/>
      <c r="G14" s="175"/>
      <c r="H14" s="175"/>
    </row>
    <row r="15" spans="1:8" ht="24" customHeight="1" x14ac:dyDescent="0.25">
      <c r="A15" s="176" t="s">
        <v>103</v>
      </c>
      <c r="B15" s="176"/>
      <c r="C15" s="176"/>
      <c r="D15" s="176"/>
      <c r="E15" s="176"/>
      <c r="F15" s="176"/>
      <c r="G15" s="176"/>
      <c r="H15" s="176"/>
    </row>
    <row r="16" spans="1:8" ht="9" customHeight="1" x14ac:dyDescent="0.25">
      <c r="A16" s="108"/>
      <c r="B16" s="108"/>
      <c r="C16" s="108"/>
      <c r="D16" s="108"/>
      <c r="E16" s="108"/>
      <c r="F16" s="108"/>
      <c r="G16" s="108"/>
      <c r="H16" s="108"/>
    </row>
    <row r="17" spans="1:19" ht="42" customHeight="1" x14ac:dyDescent="0.25">
      <c r="A17" s="177" t="s">
        <v>104</v>
      </c>
      <c r="B17" s="177"/>
      <c r="C17" s="177"/>
      <c r="D17" s="177"/>
      <c r="E17" s="177"/>
      <c r="F17" s="177"/>
      <c r="G17" s="177"/>
      <c r="H17" s="177"/>
    </row>
    <row r="18" spans="1:19" ht="24" customHeight="1" x14ac:dyDescent="0.25">
      <c r="A18" s="3" t="s">
        <v>26</v>
      </c>
      <c r="B18" s="178" t="s">
        <v>105</v>
      </c>
      <c r="C18" s="178"/>
      <c r="D18" s="178"/>
      <c r="E18" s="178"/>
      <c r="F18" s="178"/>
      <c r="G18" s="178"/>
      <c r="H18" s="178"/>
    </row>
    <row r="19" spans="1:19" ht="100.5" customHeight="1" x14ac:dyDescent="0.25">
      <c r="A19" s="3" t="s">
        <v>106</v>
      </c>
      <c r="B19" s="179" t="s">
        <v>107</v>
      </c>
      <c r="C19" s="179"/>
      <c r="D19" s="3" t="s">
        <v>108</v>
      </c>
      <c r="E19" s="3" t="s">
        <v>109</v>
      </c>
      <c r="F19" s="180" t="s">
        <v>15</v>
      </c>
      <c r="G19" s="180"/>
      <c r="H19" s="180"/>
    </row>
    <row r="20" spans="1:19" ht="37.5" customHeight="1" x14ac:dyDescent="0.25">
      <c r="A20" s="110">
        <v>1</v>
      </c>
      <c r="B20" s="181" t="s">
        <v>110</v>
      </c>
      <c r="C20" s="181"/>
      <c r="D20" s="3">
        <f>SUM(D21:D30)</f>
        <v>13</v>
      </c>
      <c r="E20" s="111">
        <f>SUM(E21:E30)</f>
        <v>0</v>
      </c>
      <c r="F20" s="182"/>
      <c r="G20" s="182"/>
      <c r="H20" s="182"/>
    </row>
    <row r="21" spans="1:19" ht="56.25" customHeight="1" x14ac:dyDescent="0.25">
      <c r="A21" s="112" t="s">
        <v>111</v>
      </c>
      <c r="B21" s="183" t="s">
        <v>112</v>
      </c>
      <c r="C21" s="183"/>
      <c r="D21" s="113">
        <v>2</v>
      </c>
      <c r="E21" s="113"/>
      <c r="F21" s="184" t="s">
        <v>113</v>
      </c>
      <c r="G21" s="184"/>
      <c r="H21" s="184"/>
    </row>
    <row r="22" spans="1:19" ht="56.25" customHeight="1" x14ac:dyDescent="0.25">
      <c r="A22" s="112" t="s">
        <v>114</v>
      </c>
      <c r="B22" s="183" t="s">
        <v>115</v>
      </c>
      <c r="C22" s="183"/>
      <c r="D22" s="113">
        <v>1</v>
      </c>
      <c r="E22" s="113"/>
      <c r="F22" s="184"/>
      <c r="G22" s="184"/>
      <c r="H22" s="184"/>
    </row>
    <row r="23" spans="1:19" ht="51" customHeight="1" x14ac:dyDescent="0.25">
      <c r="A23" s="112" t="s">
        <v>116</v>
      </c>
      <c r="B23" s="183" t="s">
        <v>117</v>
      </c>
      <c r="C23" s="183"/>
      <c r="D23" s="113">
        <v>2</v>
      </c>
      <c r="E23" s="113"/>
      <c r="F23" s="184"/>
      <c r="G23" s="184"/>
      <c r="H23" s="184"/>
    </row>
    <row r="24" spans="1:19" ht="53.25" customHeight="1" x14ac:dyDescent="0.25">
      <c r="A24" s="112" t="s">
        <v>118</v>
      </c>
      <c r="B24" s="183" t="s">
        <v>119</v>
      </c>
      <c r="C24" s="183"/>
      <c r="D24" s="113">
        <v>1</v>
      </c>
      <c r="E24" s="113"/>
      <c r="F24" s="184"/>
      <c r="G24" s="184"/>
      <c r="H24" s="184"/>
    </row>
    <row r="25" spans="1:19" ht="53.25" customHeight="1" x14ac:dyDescent="0.25">
      <c r="A25" s="112" t="s">
        <v>120</v>
      </c>
      <c r="B25" s="183" t="s">
        <v>121</v>
      </c>
      <c r="C25" s="183"/>
      <c r="D25" s="113">
        <v>1</v>
      </c>
      <c r="E25" s="113"/>
      <c r="F25" s="184"/>
      <c r="G25" s="184"/>
      <c r="H25" s="184"/>
    </row>
    <row r="26" spans="1:19" ht="39.75" customHeight="1" x14ac:dyDescent="0.25">
      <c r="A26" s="112" t="s">
        <v>122</v>
      </c>
      <c r="B26" s="183" t="s">
        <v>123</v>
      </c>
      <c r="C26" s="183"/>
      <c r="D26" s="113">
        <v>1</v>
      </c>
      <c r="E26" s="113"/>
      <c r="F26" s="184"/>
      <c r="G26" s="184"/>
      <c r="H26" s="184"/>
    </row>
    <row r="27" spans="1:19" ht="39" customHeight="1" x14ac:dyDescent="0.25">
      <c r="A27" s="112" t="s">
        <v>124</v>
      </c>
      <c r="B27" s="183" t="s">
        <v>125</v>
      </c>
      <c r="C27" s="183"/>
      <c r="D27" s="113">
        <v>2</v>
      </c>
      <c r="E27" s="113"/>
      <c r="F27" s="184"/>
      <c r="G27" s="184"/>
      <c r="H27" s="184"/>
    </row>
    <row r="28" spans="1:19" ht="53.25" customHeight="1" x14ac:dyDescent="0.25">
      <c r="A28" s="112" t="s">
        <v>126</v>
      </c>
      <c r="B28" s="183" t="s">
        <v>127</v>
      </c>
      <c r="C28" s="183"/>
      <c r="D28" s="113">
        <v>1</v>
      </c>
      <c r="E28" s="113"/>
      <c r="F28" s="184"/>
      <c r="G28" s="184"/>
      <c r="H28" s="184"/>
    </row>
    <row r="29" spans="1:19" ht="35.25" customHeight="1" x14ac:dyDescent="0.25">
      <c r="A29" s="112" t="s">
        <v>128</v>
      </c>
      <c r="B29" s="183" t="s">
        <v>129</v>
      </c>
      <c r="C29" s="183"/>
      <c r="D29" s="113">
        <v>1</v>
      </c>
      <c r="E29" s="113"/>
      <c r="F29" s="184"/>
      <c r="G29" s="184"/>
      <c r="H29" s="184"/>
    </row>
    <row r="30" spans="1:19" ht="33" customHeight="1" x14ac:dyDescent="0.25">
      <c r="A30" s="112" t="s">
        <v>130</v>
      </c>
      <c r="B30" s="183" t="s">
        <v>131</v>
      </c>
      <c r="C30" s="183"/>
      <c r="D30" s="113">
        <v>1</v>
      </c>
      <c r="E30" s="113"/>
      <c r="F30" s="184"/>
      <c r="G30" s="184"/>
      <c r="H30" s="184"/>
    </row>
    <row r="31" spans="1:19" ht="82.5" customHeight="1" x14ac:dyDescent="0.25">
      <c r="A31" s="110">
        <v>2</v>
      </c>
      <c r="B31" s="181" t="s">
        <v>132</v>
      </c>
      <c r="C31" s="181"/>
      <c r="D31" s="3">
        <f>SUM(D32:D35)</f>
        <v>12</v>
      </c>
      <c r="E31" s="111">
        <f>SUM(E32:E35)</f>
        <v>0</v>
      </c>
      <c r="F31" s="184"/>
      <c r="G31" s="184"/>
      <c r="H31" s="184"/>
      <c r="I31" s="114"/>
      <c r="J31" s="114"/>
      <c r="K31" s="114"/>
      <c r="L31" s="114"/>
      <c r="M31" s="114"/>
      <c r="N31" s="114"/>
      <c r="O31" s="114"/>
      <c r="P31" s="114"/>
      <c r="Q31" s="114"/>
      <c r="R31" s="114"/>
      <c r="S31" s="114"/>
    </row>
    <row r="32" spans="1:19" ht="163.5" customHeight="1" x14ac:dyDescent="0.25">
      <c r="A32" s="112" t="s">
        <v>111</v>
      </c>
      <c r="B32" s="183" t="s">
        <v>133</v>
      </c>
      <c r="C32" s="183"/>
      <c r="D32" s="113">
        <v>3</v>
      </c>
      <c r="E32" s="113"/>
      <c r="F32" s="184"/>
      <c r="G32" s="184"/>
      <c r="H32" s="184"/>
    </row>
    <row r="33" spans="1:9" ht="127.5" customHeight="1" x14ac:dyDescent="0.25">
      <c r="A33" s="112" t="s">
        <v>114</v>
      </c>
      <c r="B33" s="183" t="s">
        <v>134</v>
      </c>
      <c r="C33" s="183"/>
      <c r="D33" s="113">
        <v>3</v>
      </c>
      <c r="E33" s="113"/>
      <c r="F33" s="184"/>
      <c r="G33" s="184"/>
      <c r="H33" s="184"/>
    </row>
    <row r="34" spans="1:9" ht="49.5" customHeight="1" x14ac:dyDescent="0.25">
      <c r="A34" s="112" t="s">
        <v>116</v>
      </c>
      <c r="B34" s="183" t="s">
        <v>135</v>
      </c>
      <c r="C34" s="183"/>
      <c r="D34" s="113">
        <v>3</v>
      </c>
      <c r="E34" s="113"/>
      <c r="F34" s="184"/>
      <c r="G34" s="184"/>
      <c r="H34" s="184"/>
    </row>
    <row r="35" spans="1:9" ht="115.5" customHeight="1" x14ac:dyDescent="0.25">
      <c r="A35" s="112" t="s">
        <v>118</v>
      </c>
      <c r="B35" s="183" t="s">
        <v>136</v>
      </c>
      <c r="C35" s="183"/>
      <c r="D35" s="113">
        <v>3</v>
      </c>
      <c r="E35" s="113"/>
      <c r="F35" s="184"/>
      <c r="G35" s="184"/>
      <c r="H35" s="184"/>
    </row>
    <row r="36" spans="1:9" ht="63.75" customHeight="1" x14ac:dyDescent="0.25">
      <c r="A36" s="110">
        <v>3</v>
      </c>
      <c r="B36" s="181" t="s">
        <v>137</v>
      </c>
      <c r="C36" s="181"/>
      <c r="D36" s="3">
        <f>SUM(D37:D39)</f>
        <v>5</v>
      </c>
      <c r="E36" s="111">
        <f>SUM(E37:E39)</f>
        <v>0</v>
      </c>
      <c r="F36" s="184"/>
      <c r="G36" s="184"/>
      <c r="H36" s="184"/>
    </row>
    <row r="37" spans="1:9" ht="54" customHeight="1" x14ac:dyDescent="0.25">
      <c r="A37" s="112" t="s">
        <v>111</v>
      </c>
      <c r="B37" s="183" t="s">
        <v>138</v>
      </c>
      <c r="C37" s="183"/>
      <c r="D37" s="113">
        <v>2</v>
      </c>
      <c r="E37" s="113"/>
      <c r="F37" s="184"/>
      <c r="G37" s="184"/>
      <c r="H37" s="184"/>
    </row>
    <row r="38" spans="1:9" ht="54.75" customHeight="1" x14ac:dyDescent="0.25">
      <c r="A38" s="112" t="s">
        <v>114</v>
      </c>
      <c r="B38" s="183" t="s">
        <v>139</v>
      </c>
      <c r="C38" s="183"/>
      <c r="D38" s="113">
        <v>2</v>
      </c>
      <c r="E38" s="113"/>
      <c r="F38" s="184"/>
      <c r="G38" s="184"/>
      <c r="H38" s="184"/>
    </row>
    <row r="39" spans="1:9" ht="54.75" customHeight="1" x14ac:dyDescent="0.25">
      <c r="A39" s="112" t="s">
        <v>116</v>
      </c>
      <c r="B39" s="183" t="s">
        <v>140</v>
      </c>
      <c r="C39" s="183"/>
      <c r="D39" s="113">
        <v>1</v>
      </c>
      <c r="E39" s="113"/>
      <c r="F39" s="184"/>
      <c r="G39" s="184"/>
      <c r="H39" s="184"/>
    </row>
    <row r="40" spans="1:9" ht="29.25" customHeight="1" x14ac:dyDescent="0.25">
      <c r="A40" s="112"/>
      <c r="B40" s="185" t="s">
        <v>141</v>
      </c>
      <c r="C40" s="185"/>
      <c r="D40" s="3">
        <f>D20+D31+D36</f>
        <v>30</v>
      </c>
      <c r="E40" s="111">
        <f>E20+E31+E36</f>
        <v>0</v>
      </c>
      <c r="F40" s="186"/>
      <c r="G40" s="186"/>
      <c r="H40" s="186"/>
    </row>
    <row r="41" spans="1:9" ht="45" customHeight="1" x14ac:dyDescent="0.25">
      <c r="A41" s="3" t="s">
        <v>64</v>
      </c>
      <c r="B41" s="178" t="s">
        <v>142</v>
      </c>
      <c r="C41" s="178"/>
      <c r="D41" s="178"/>
      <c r="E41" s="178"/>
      <c r="F41" s="178"/>
      <c r="G41" s="178"/>
      <c r="H41" s="178"/>
      <c r="I41" s="114"/>
    </row>
    <row r="42" spans="1:9" ht="85.5" customHeight="1" x14ac:dyDescent="0.25">
      <c r="A42" s="3" t="s">
        <v>106</v>
      </c>
      <c r="B42" s="3" t="s">
        <v>143</v>
      </c>
      <c r="C42" s="3" t="s">
        <v>144</v>
      </c>
      <c r="D42" s="3" t="s">
        <v>145</v>
      </c>
      <c r="E42" s="3" t="s">
        <v>146</v>
      </c>
      <c r="F42" s="3" t="s">
        <v>108</v>
      </c>
      <c r="G42" s="3" t="s">
        <v>147</v>
      </c>
      <c r="H42" s="3" t="s">
        <v>15</v>
      </c>
      <c r="I42" s="114"/>
    </row>
    <row r="43" spans="1:9" ht="38.25" customHeight="1" x14ac:dyDescent="0.25">
      <c r="A43" s="3">
        <v>1</v>
      </c>
      <c r="B43" s="109" t="s">
        <v>29</v>
      </c>
      <c r="C43" s="3">
        <f>KPI!J8</f>
        <v>5</v>
      </c>
      <c r="D43" s="111">
        <f>KPI!R8</f>
        <v>4</v>
      </c>
      <c r="E43" s="3">
        <f>IF(AND(C43&lt;&gt;0,D43&lt;&gt;0),D43*100/C43,0)</f>
        <v>80</v>
      </c>
      <c r="F43" s="3">
        <v>45</v>
      </c>
      <c r="G43" s="115">
        <f>E43%*F43</f>
        <v>36</v>
      </c>
      <c r="H43" s="3"/>
      <c r="I43" s="114"/>
    </row>
    <row r="44" spans="1:9" ht="36.75" customHeight="1" x14ac:dyDescent="0.25">
      <c r="A44" s="8">
        <v>1.1000000000000001</v>
      </c>
      <c r="B44" s="116" t="s">
        <v>148</v>
      </c>
      <c r="C44" s="116"/>
      <c r="D44" s="20"/>
      <c r="E44" s="20"/>
      <c r="F44" s="8"/>
      <c r="G44" s="117"/>
      <c r="H44" s="20"/>
      <c r="I44" s="114"/>
    </row>
    <row r="45" spans="1:9" ht="216" customHeight="1" x14ac:dyDescent="0.25">
      <c r="A45" s="8">
        <v>1.2</v>
      </c>
      <c r="B45" s="118" t="s">
        <v>149</v>
      </c>
      <c r="C45" s="118"/>
      <c r="D45" s="20"/>
      <c r="E45" s="20"/>
      <c r="F45" s="8"/>
      <c r="G45" s="117"/>
      <c r="H45" s="20"/>
      <c r="I45" s="114"/>
    </row>
    <row r="46" spans="1:9" ht="60" customHeight="1" x14ac:dyDescent="0.25">
      <c r="A46" s="8">
        <v>1.3</v>
      </c>
      <c r="B46" s="118" t="s">
        <v>150</v>
      </c>
      <c r="C46" s="118"/>
      <c r="D46" s="20"/>
      <c r="E46" s="20"/>
      <c r="F46" s="8"/>
      <c r="G46" s="117"/>
      <c r="H46" s="20"/>
      <c r="I46" s="114"/>
    </row>
    <row r="47" spans="1:9" ht="48.75" customHeight="1" x14ac:dyDescent="0.25">
      <c r="A47" s="8">
        <v>1.4</v>
      </c>
      <c r="B47" s="118" t="s">
        <v>151</v>
      </c>
      <c r="C47" s="118"/>
      <c r="D47" s="20"/>
      <c r="E47" s="20"/>
      <c r="F47" s="8"/>
      <c r="G47" s="117"/>
      <c r="H47" s="20"/>
      <c r="I47" s="114"/>
    </row>
    <row r="48" spans="1:9" ht="88.5" customHeight="1" x14ac:dyDescent="0.25">
      <c r="A48" s="8">
        <v>1.5</v>
      </c>
      <c r="B48" s="118" t="s">
        <v>152</v>
      </c>
      <c r="C48" s="118"/>
      <c r="D48" s="20"/>
      <c r="E48" s="20"/>
      <c r="F48" s="8"/>
      <c r="G48" s="117"/>
      <c r="H48" s="20"/>
      <c r="I48" s="114"/>
    </row>
    <row r="49" spans="1:13" ht="52.5" customHeight="1" x14ac:dyDescent="0.25">
      <c r="A49" s="3">
        <v>2</v>
      </c>
      <c r="B49" s="109" t="s">
        <v>55</v>
      </c>
      <c r="C49" s="3">
        <f>KPI!J29</f>
        <v>0</v>
      </c>
      <c r="D49" s="111">
        <f>KPI!R29</f>
        <v>0</v>
      </c>
      <c r="E49" s="3">
        <f>IF(AND(C49&lt;&gt;0,D49&lt;&gt;0),D49*100/C49,0)</f>
        <v>0</v>
      </c>
      <c r="F49" s="3">
        <v>7</v>
      </c>
      <c r="G49" s="115">
        <f>E49%*F49</f>
        <v>0</v>
      </c>
      <c r="H49" s="20"/>
      <c r="I49" s="114"/>
    </row>
    <row r="50" spans="1:13" ht="37.5" customHeight="1" x14ac:dyDescent="0.25">
      <c r="A50" s="8">
        <v>2.1</v>
      </c>
      <c r="B50" s="119" t="s">
        <v>153</v>
      </c>
      <c r="C50" s="120"/>
      <c r="D50" s="20"/>
      <c r="E50" s="20"/>
      <c r="F50" s="3"/>
      <c r="G50" s="117"/>
      <c r="H50" s="20"/>
      <c r="I50" s="114"/>
    </row>
    <row r="51" spans="1:13" ht="78" customHeight="1" x14ac:dyDescent="0.25">
      <c r="A51" s="8">
        <v>2.2000000000000002</v>
      </c>
      <c r="B51" s="119" t="s">
        <v>154</v>
      </c>
      <c r="C51" s="120"/>
      <c r="D51" s="20"/>
      <c r="E51" s="20"/>
      <c r="F51" s="8"/>
      <c r="G51" s="117"/>
      <c r="H51" s="20"/>
      <c r="I51" s="114"/>
    </row>
    <row r="52" spans="1:13" ht="30" customHeight="1" x14ac:dyDescent="0.25">
      <c r="A52" s="3">
        <v>3</v>
      </c>
      <c r="B52" s="121" t="s">
        <v>155</v>
      </c>
      <c r="C52" s="3">
        <f>KPI!J50</f>
        <v>0</v>
      </c>
      <c r="D52" s="3">
        <f>KPI!R50</f>
        <v>0</v>
      </c>
      <c r="E52" s="3">
        <f>IF(AND(C52&lt;&gt;0,D52&lt;&gt;0),D52*100/C52,0)</f>
        <v>0</v>
      </c>
      <c r="F52" s="3">
        <v>6</v>
      </c>
      <c r="G52" s="115">
        <f>E52%*F52</f>
        <v>0</v>
      </c>
      <c r="H52" s="3"/>
      <c r="I52" s="114"/>
    </row>
    <row r="53" spans="1:13" ht="162" customHeight="1" x14ac:dyDescent="0.25">
      <c r="A53" s="8">
        <v>3.1</v>
      </c>
      <c r="B53" s="120" t="s">
        <v>156</v>
      </c>
      <c r="C53" s="120"/>
      <c r="D53" s="121"/>
      <c r="E53" s="121"/>
      <c r="F53" s="3"/>
      <c r="G53" s="122"/>
      <c r="H53" s="121"/>
      <c r="I53" s="114"/>
    </row>
    <row r="54" spans="1:13" ht="54.75" customHeight="1" x14ac:dyDescent="0.25">
      <c r="A54" s="8">
        <v>3.2</v>
      </c>
      <c r="B54" s="119" t="s">
        <v>157</v>
      </c>
      <c r="C54" s="120"/>
      <c r="D54" s="20"/>
      <c r="E54" s="20"/>
      <c r="F54" s="8"/>
      <c r="G54" s="117"/>
      <c r="H54" s="121"/>
      <c r="I54" s="114"/>
    </row>
    <row r="55" spans="1:13" ht="72" customHeight="1" x14ac:dyDescent="0.25">
      <c r="A55" s="3">
        <v>4</v>
      </c>
      <c r="B55" s="109" t="s">
        <v>158</v>
      </c>
      <c r="C55" s="3">
        <f>KPI!J71</f>
        <v>0</v>
      </c>
      <c r="D55" s="111">
        <f>KPI!R71</f>
        <v>0</v>
      </c>
      <c r="E55" s="3">
        <f>IF(AND(C55&lt;&gt;0,D55&lt;&gt;0),D55*100/C55,0)</f>
        <v>0</v>
      </c>
      <c r="F55" s="3">
        <v>4</v>
      </c>
      <c r="G55" s="3">
        <f>E55%*F55</f>
        <v>0</v>
      </c>
      <c r="H55" s="3"/>
      <c r="I55" s="114"/>
    </row>
    <row r="56" spans="1:13" ht="134.25" customHeight="1" x14ac:dyDescent="0.25">
      <c r="A56" s="8"/>
      <c r="B56" s="120" t="s">
        <v>159</v>
      </c>
      <c r="C56" s="123"/>
      <c r="D56" s="20"/>
      <c r="E56" s="20"/>
      <c r="F56" s="8"/>
      <c r="G56" s="8"/>
      <c r="H56" s="121"/>
      <c r="I56" s="114"/>
    </row>
    <row r="57" spans="1:13" ht="48.75" customHeight="1" x14ac:dyDescent="0.25">
      <c r="A57" s="8">
        <v>5</v>
      </c>
      <c r="B57" s="109" t="s">
        <v>160</v>
      </c>
      <c r="C57" s="3">
        <f>KPI!J92</f>
        <v>0</v>
      </c>
      <c r="D57" s="3">
        <f>KPI!R92</f>
        <v>0</v>
      </c>
      <c r="E57" s="3">
        <f>IF(AND(C57&lt;&gt;0,D57&lt;&gt;0),D57*100/C57,0)</f>
        <v>0</v>
      </c>
      <c r="F57" s="3">
        <v>4</v>
      </c>
      <c r="G57" s="3">
        <f>E57%*F57</f>
        <v>0</v>
      </c>
      <c r="H57" s="3"/>
      <c r="I57" s="114"/>
    </row>
    <row r="58" spans="1:13" ht="102.75" customHeight="1" x14ac:dyDescent="0.25">
      <c r="A58" s="8"/>
      <c r="B58" s="119" t="s">
        <v>161</v>
      </c>
      <c r="C58" s="120"/>
      <c r="D58" s="20"/>
      <c r="E58" s="20"/>
      <c r="F58" s="8"/>
      <c r="G58" s="124"/>
      <c r="H58" s="121"/>
      <c r="I58" s="114"/>
    </row>
    <row r="59" spans="1:13" ht="56.25" customHeight="1" x14ac:dyDescent="0.25">
      <c r="A59" s="5">
        <v>6</v>
      </c>
      <c r="B59" s="109" t="s">
        <v>63</v>
      </c>
      <c r="C59" s="3">
        <f>KPI!J113</f>
        <v>0</v>
      </c>
      <c r="D59" s="111">
        <f>KPI!R113</f>
        <v>0</v>
      </c>
      <c r="E59" s="3">
        <f>IF(AND(C59&lt;&gt;0,D59&lt;&gt;0),D59*100/C59,0)</f>
        <v>0</v>
      </c>
      <c r="F59" s="3">
        <v>4</v>
      </c>
      <c r="G59" s="115">
        <f>E59%*F59</f>
        <v>0</v>
      </c>
      <c r="H59" s="3"/>
      <c r="I59" s="125"/>
      <c r="J59" s="125"/>
      <c r="K59" s="125"/>
      <c r="L59" s="125"/>
      <c r="M59" s="126"/>
    </row>
    <row r="60" spans="1:13" ht="112.5" customHeight="1" x14ac:dyDescent="0.25">
      <c r="A60" s="6"/>
      <c r="B60" s="120" t="s">
        <v>162</v>
      </c>
      <c r="C60" s="120"/>
      <c r="D60" s="20"/>
      <c r="E60" s="20"/>
      <c r="F60" s="8"/>
      <c r="G60" s="117"/>
      <c r="H60" s="20"/>
      <c r="I60" s="125"/>
      <c r="J60" s="125"/>
      <c r="K60" s="125"/>
      <c r="L60" s="125"/>
      <c r="M60" s="126"/>
    </row>
    <row r="61" spans="1:13" ht="15" customHeight="1" x14ac:dyDescent="0.25">
      <c r="A61" s="11"/>
      <c r="B61" s="109" t="s">
        <v>163</v>
      </c>
      <c r="C61" s="109"/>
      <c r="D61" s="5"/>
      <c r="E61" s="5"/>
      <c r="F61" s="5">
        <f>F59+F57+F55+F52+F49+F43</f>
        <v>70</v>
      </c>
      <c r="G61" s="5">
        <f>G59+G57+G55+G52+G49+G43</f>
        <v>36</v>
      </c>
      <c r="H61" s="127"/>
      <c r="I61" s="125"/>
      <c r="J61" s="125"/>
      <c r="K61" s="125"/>
      <c r="L61" s="125"/>
      <c r="M61" s="126"/>
    </row>
    <row r="62" spans="1:13" ht="15" customHeight="1" x14ac:dyDescent="0.25">
      <c r="A62" s="11"/>
      <c r="B62" s="128" t="s">
        <v>164</v>
      </c>
      <c r="C62" s="128"/>
      <c r="D62" s="127"/>
      <c r="E62" s="127"/>
      <c r="F62" s="3">
        <f>D40+F61</f>
        <v>100</v>
      </c>
      <c r="G62" s="111">
        <f>E40+G61</f>
        <v>36</v>
      </c>
      <c r="H62" s="127"/>
      <c r="I62" s="125"/>
      <c r="J62" s="125"/>
      <c r="K62" s="125"/>
      <c r="L62" s="125"/>
      <c r="M62" s="126"/>
    </row>
    <row r="63" spans="1:13" ht="15" customHeight="1" x14ac:dyDescent="0.25">
      <c r="A63" s="23"/>
      <c r="B63" s="129"/>
      <c r="C63" s="129"/>
      <c r="D63" s="130"/>
      <c r="E63" s="130"/>
      <c r="F63" s="21"/>
      <c r="G63" s="131"/>
      <c r="H63" s="130"/>
      <c r="I63" s="125"/>
      <c r="J63" s="125"/>
      <c r="K63" s="125"/>
      <c r="L63" s="125"/>
      <c r="M63" s="126"/>
    </row>
    <row r="64" spans="1:13" ht="21.75" customHeight="1" x14ac:dyDescent="0.25">
      <c r="A64" s="132" t="s">
        <v>165</v>
      </c>
      <c r="B64" s="187" t="s">
        <v>166</v>
      </c>
      <c r="C64" s="187"/>
      <c r="D64" s="187"/>
      <c r="E64" s="187"/>
      <c r="J64" s="125"/>
      <c r="K64" s="125"/>
      <c r="L64" s="125"/>
      <c r="M64" s="126"/>
    </row>
    <row r="65" spans="1:9" ht="60" customHeight="1" x14ac:dyDescent="0.25">
      <c r="A65" s="3" t="s">
        <v>106</v>
      </c>
      <c r="B65" s="180" t="s">
        <v>167</v>
      </c>
      <c r="C65" s="180"/>
      <c r="D65" s="180" t="s">
        <v>168</v>
      </c>
      <c r="E65" s="180"/>
      <c r="F65" s="180" t="s">
        <v>15</v>
      </c>
      <c r="G65" s="180"/>
      <c r="H65" s="180"/>
    </row>
    <row r="66" spans="1:9" ht="40.5" customHeight="1" x14ac:dyDescent="0.25">
      <c r="A66" s="133">
        <v>1</v>
      </c>
      <c r="B66" s="188" t="s">
        <v>169</v>
      </c>
      <c r="C66" s="188"/>
      <c r="D66" s="188"/>
      <c r="E66" s="188"/>
      <c r="F66" s="188"/>
      <c r="G66" s="188"/>
      <c r="H66" s="188"/>
    </row>
    <row r="67" spans="1:9" ht="18" customHeight="1" x14ac:dyDescent="0.25">
      <c r="B67" s="132"/>
    </row>
    <row r="68" spans="1:9" ht="24" customHeight="1" x14ac:dyDescent="0.25">
      <c r="A68" s="189" t="s">
        <v>170</v>
      </c>
      <c r="B68" s="189"/>
      <c r="C68" s="189"/>
      <c r="D68" s="189"/>
      <c r="E68" s="189"/>
      <c r="F68" s="189"/>
      <c r="G68" s="189"/>
      <c r="H68" s="189"/>
    </row>
    <row r="69" spans="1:9" ht="20.25" customHeight="1" x14ac:dyDescent="0.25"/>
    <row r="70" spans="1:9" ht="149.25" customHeight="1" x14ac:dyDescent="0.25">
      <c r="A70" s="190" t="s">
        <v>171</v>
      </c>
      <c r="B70" s="190"/>
      <c r="C70" s="190"/>
      <c r="D70" s="190"/>
      <c r="E70" s="190"/>
      <c r="F70" s="190"/>
      <c r="G70" s="190"/>
      <c r="H70" s="190"/>
      <c r="I70" s="134"/>
    </row>
    <row r="71" spans="1:9" ht="16.5" customHeight="1" x14ac:dyDescent="0.25">
      <c r="A71" s="135"/>
      <c r="B71" s="135"/>
      <c r="C71" s="135"/>
      <c r="D71" s="135"/>
      <c r="E71" s="135"/>
      <c r="F71" s="135"/>
      <c r="G71" s="135"/>
      <c r="H71" s="135"/>
      <c r="I71" s="134"/>
    </row>
    <row r="72" spans="1:9" ht="18" customHeight="1" x14ac:dyDescent="0.25">
      <c r="A72" s="136"/>
      <c r="B72" s="137" t="s">
        <v>172</v>
      </c>
      <c r="C72" s="23"/>
      <c r="D72" s="23"/>
      <c r="E72" s="193" t="s">
        <v>173</v>
      </c>
      <c r="F72" s="193"/>
      <c r="G72" s="193"/>
      <c r="H72" s="193"/>
      <c r="I72" s="138"/>
    </row>
    <row r="73" spans="1:9" ht="15" customHeight="1" x14ac:dyDescent="0.25">
      <c r="A73" s="23"/>
      <c r="B73" s="139" t="s">
        <v>174</v>
      </c>
      <c r="C73" s="23"/>
      <c r="D73" s="23"/>
      <c r="E73" s="194" t="s">
        <v>174</v>
      </c>
      <c r="F73" s="194"/>
      <c r="G73" s="194"/>
      <c r="H73" s="194"/>
      <c r="I73" s="140"/>
    </row>
    <row r="74" spans="1:9" ht="15" customHeight="1" x14ac:dyDescent="0.3">
      <c r="A74" s="23"/>
      <c r="B74" s="23"/>
      <c r="C74" s="23"/>
      <c r="D74" s="23"/>
      <c r="E74" s="23"/>
      <c r="F74" s="23"/>
      <c r="G74" s="23"/>
      <c r="H74" s="23"/>
      <c r="I74" s="141"/>
    </row>
    <row r="75" spans="1:9" ht="15" customHeight="1" x14ac:dyDescent="0.3">
      <c r="A75" s="23"/>
      <c r="B75" s="23"/>
      <c r="C75" s="23"/>
      <c r="D75" s="23"/>
      <c r="E75" s="23"/>
      <c r="F75" s="23"/>
      <c r="G75" s="23"/>
      <c r="H75" s="23"/>
      <c r="I75" s="141"/>
    </row>
    <row r="76" spans="1:9" ht="15" customHeight="1" x14ac:dyDescent="0.3">
      <c r="A76" s="23"/>
      <c r="B76" s="23"/>
      <c r="C76" s="23"/>
      <c r="D76" s="23"/>
      <c r="E76" s="23"/>
      <c r="F76" s="23"/>
      <c r="G76" s="23"/>
      <c r="H76" s="23"/>
      <c r="I76" s="141"/>
    </row>
    <row r="77" spans="1:9" ht="15" customHeight="1" x14ac:dyDescent="0.3">
      <c r="A77" s="23"/>
      <c r="B77" s="23"/>
      <c r="C77" s="23"/>
      <c r="D77" s="23"/>
      <c r="E77" s="130"/>
      <c r="F77" s="130"/>
      <c r="G77" s="130"/>
      <c r="H77" s="130"/>
      <c r="I77" s="142"/>
    </row>
    <row r="78" spans="1:9" ht="15" customHeight="1" x14ac:dyDescent="0.3">
      <c r="A78" s="23"/>
      <c r="B78" s="23"/>
      <c r="C78" s="23"/>
      <c r="D78" s="23"/>
      <c r="E78" s="23"/>
      <c r="F78" s="23"/>
      <c r="G78" s="23"/>
      <c r="H78" s="23"/>
      <c r="I78" s="141"/>
    </row>
    <row r="79" spans="1:9" ht="15" customHeight="1" x14ac:dyDescent="0.25">
      <c r="A79" s="143" t="s">
        <v>175</v>
      </c>
      <c r="B79" s="129" t="s">
        <v>176</v>
      </c>
      <c r="C79" s="129"/>
      <c r="D79" s="23"/>
      <c r="E79" s="23"/>
      <c r="F79" s="23"/>
      <c r="G79" s="23"/>
      <c r="H79" s="23"/>
      <c r="I79" s="23"/>
    </row>
    <row r="80" spans="1:9" ht="15" customHeight="1" x14ac:dyDescent="0.25">
      <c r="A80" s="144" t="s">
        <v>177</v>
      </c>
      <c r="B80" s="145" t="s">
        <v>178</v>
      </c>
      <c r="C80" s="145"/>
      <c r="D80" s="23"/>
      <c r="E80" s="23"/>
      <c r="F80" s="23"/>
      <c r="G80" s="23"/>
      <c r="H80" s="23"/>
      <c r="I80" s="23"/>
    </row>
    <row r="81" spans="1:9" ht="15" customHeight="1" x14ac:dyDescent="0.25">
      <c r="A81" s="144" t="s">
        <v>177</v>
      </c>
      <c r="B81" s="145" t="s">
        <v>179</v>
      </c>
      <c r="C81" s="145"/>
      <c r="D81" s="23"/>
      <c r="E81" s="23"/>
      <c r="F81" s="23"/>
      <c r="G81" s="23"/>
      <c r="H81" s="23"/>
      <c r="I81" s="23"/>
    </row>
    <row r="82" spans="1:9" ht="18" customHeight="1" x14ac:dyDescent="0.25">
      <c r="A82" s="23"/>
      <c r="B82" s="23"/>
      <c r="C82" s="23"/>
      <c r="D82" s="23"/>
      <c r="E82" s="23"/>
      <c r="F82" s="23"/>
      <c r="G82" s="23"/>
      <c r="H82" s="23"/>
      <c r="I82" s="24"/>
    </row>
    <row r="83" spans="1:9" ht="21" customHeight="1" x14ac:dyDescent="0.25">
      <c r="A83" s="194" t="s">
        <v>180</v>
      </c>
      <c r="B83" s="194"/>
      <c r="C83" s="194"/>
      <c r="D83" s="194"/>
      <c r="E83" s="194"/>
      <c r="F83" s="194"/>
      <c r="G83" s="194"/>
      <c r="H83" s="194"/>
      <c r="I83" s="146"/>
    </row>
    <row r="84" spans="1:9" ht="15" customHeight="1" x14ac:dyDescent="0.25">
      <c r="A84" s="150" t="s">
        <v>181</v>
      </c>
      <c r="B84" s="150"/>
      <c r="C84" s="150"/>
      <c r="D84" s="150"/>
      <c r="E84" s="150"/>
      <c r="F84" s="150"/>
      <c r="G84" s="150"/>
      <c r="H84" s="150"/>
      <c r="I84" s="132"/>
    </row>
    <row r="85" spans="1:9" ht="15" customHeight="1" x14ac:dyDescent="0.25">
      <c r="A85" s="195" t="s">
        <v>182</v>
      </c>
      <c r="B85" s="195"/>
      <c r="C85" s="195"/>
      <c r="D85" s="195"/>
      <c r="E85" s="195"/>
      <c r="F85" s="195"/>
      <c r="G85" s="195"/>
      <c r="H85" s="195"/>
      <c r="I85" s="130"/>
    </row>
    <row r="86" spans="1:9" ht="15" customHeight="1" x14ac:dyDescent="0.25">
      <c r="A86" s="191" t="s">
        <v>183</v>
      </c>
      <c r="B86" s="191"/>
      <c r="C86" s="191"/>
      <c r="D86" s="191"/>
      <c r="E86" s="191"/>
      <c r="F86" s="191"/>
      <c r="G86" s="191"/>
      <c r="H86" s="191"/>
      <c r="I86" s="130"/>
    </row>
    <row r="87" spans="1:9" ht="18" customHeight="1" x14ac:dyDescent="0.25">
      <c r="A87" s="130"/>
      <c r="B87" s="130"/>
      <c r="C87" s="130"/>
      <c r="D87" s="130"/>
      <c r="E87" s="130"/>
      <c r="F87" s="130"/>
      <c r="G87" s="130"/>
      <c r="H87" s="130"/>
      <c r="I87" s="130"/>
    </row>
    <row r="88" spans="1:9" ht="15" customHeight="1" x14ac:dyDescent="0.25">
      <c r="A88" s="23"/>
      <c r="B88" s="23"/>
      <c r="C88" s="23"/>
      <c r="D88" s="23"/>
      <c r="E88" s="23"/>
      <c r="F88" s="23"/>
      <c r="G88" s="23"/>
      <c r="H88" s="23"/>
      <c r="I88" s="23"/>
    </row>
    <row r="89" spans="1:9" ht="15" customHeight="1" x14ac:dyDescent="0.25">
      <c r="A89" s="23"/>
      <c r="B89" s="23"/>
      <c r="C89" s="23"/>
      <c r="D89" s="23"/>
      <c r="E89" s="23"/>
      <c r="F89" s="23"/>
      <c r="G89" s="23"/>
      <c r="H89" s="23"/>
      <c r="I89" s="23"/>
    </row>
    <row r="90" spans="1:9" ht="15" customHeight="1" x14ac:dyDescent="0.25">
      <c r="A90" s="23"/>
      <c r="B90" s="23"/>
      <c r="C90" s="23"/>
      <c r="D90" s="23"/>
      <c r="E90" s="23"/>
      <c r="F90" s="23"/>
      <c r="G90" s="23"/>
      <c r="H90" s="23"/>
      <c r="I90" s="23"/>
    </row>
    <row r="91" spans="1:9" ht="15" customHeight="1" x14ac:dyDescent="0.25">
      <c r="A91" s="23"/>
      <c r="B91" s="23"/>
      <c r="C91" s="23"/>
      <c r="D91" s="23"/>
      <c r="E91" s="23"/>
      <c r="F91" s="23"/>
      <c r="G91" s="23"/>
      <c r="H91" s="23"/>
      <c r="I91" s="23"/>
    </row>
    <row r="92" spans="1:9" ht="14.25" customHeight="1" x14ac:dyDescent="0.25">
      <c r="A92" s="23"/>
      <c r="B92" s="23"/>
      <c r="C92" s="23"/>
      <c r="D92" s="23"/>
      <c r="E92" s="23"/>
      <c r="F92" s="23"/>
      <c r="G92" s="23"/>
      <c r="H92" s="23"/>
      <c r="I92" s="23"/>
    </row>
    <row r="93" spans="1:9" ht="2.25" customHeight="1" x14ac:dyDescent="0.25">
      <c r="A93" s="23"/>
      <c r="B93" s="23"/>
      <c r="C93" s="23"/>
      <c r="D93" s="23"/>
      <c r="E93" s="23"/>
      <c r="F93" s="23"/>
      <c r="G93" s="23"/>
      <c r="H93" s="23"/>
      <c r="I93" s="23"/>
    </row>
    <row r="94" spans="1:9" ht="14.25" customHeight="1" x14ac:dyDescent="0.25">
      <c r="A94" s="192"/>
      <c r="B94" s="192"/>
      <c r="C94" s="192"/>
      <c r="D94" s="192"/>
      <c r="E94" s="192"/>
      <c r="F94" s="192"/>
      <c r="G94" s="192"/>
      <c r="H94" s="192"/>
      <c r="I94" s="192"/>
    </row>
    <row r="95" spans="1:9" ht="14.25" customHeight="1" x14ac:dyDescent="0.25">
      <c r="A95" s="147"/>
      <c r="I95" s="130"/>
    </row>
    <row r="96" spans="1:9" ht="14.25" customHeight="1" x14ac:dyDescent="0.25">
      <c r="A96" s="148"/>
      <c r="I96" s="130"/>
    </row>
    <row r="97" spans="1:1" ht="3" customHeight="1" x14ac:dyDescent="0.25">
      <c r="A97" s="147"/>
    </row>
    <row r="98" spans="1:1" ht="15" customHeight="1" x14ac:dyDescent="0.25">
      <c r="A98" s="149"/>
    </row>
    <row r="104" spans="1:1" ht="15" customHeight="1" x14ac:dyDescent="0.25">
      <c r="A104" s="143"/>
    </row>
  </sheetData>
  <mergeCells count="60">
    <mergeCell ref="A86:H86"/>
    <mergeCell ref="A94:I94"/>
    <mergeCell ref="E72:H72"/>
    <mergeCell ref="E73:H73"/>
    <mergeCell ref="A83:H83"/>
    <mergeCell ref="A84:H84"/>
    <mergeCell ref="A85:H85"/>
    <mergeCell ref="B66:C66"/>
    <mergeCell ref="D66:E66"/>
    <mergeCell ref="F66:H66"/>
    <mergeCell ref="A68:H68"/>
    <mergeCell ref="A70:H70"/>
    <mergeCell ref="F40:H40"/>
    <mergeCell ref="B41:H41"/>
    <mergeCell ref="B64:E64"/>
    <mergeCell ref="B65:C65"/>
    <mergeCell ref="D65:E65"/>
    <mergeCell ref="F65:H65"/>
    <mergeCell ref="B36:C36"/>
    <mergeCell ref="B37:C37"/>
    <mergeCell ref="B38:C38"/>
    <mergeCell ref="B39:C39"/>
    <mergeCell ref="B40:C40"/>
    <mergeCell ref="B21:C21"/>
    <mergeCell ref="F21:H39"/>
    <mergeCell ref="B22:C22"/>
    <mergeCell ref="B23:C23"/>
    <mergeCell ref="B24:C24"/>
    <mergeCell ref="B25:C25"/>
    <mergeCell ref="B26:C26"/>
    <mergeCell ref="B27:C27"/>
    <mergeCell ref="B28:C28"/>
    <mergeCell ref="B29:C29"/>
    <mergeCell ref="B30:C30"/>
    <mergeCell ref="B31:C31"/>
    <mergeCell ref="B32:C32"/>
    <mergeCell ref="B33:C33"/>
    <mergeCell ref="B34:C34"/>
    <mergeCell ref="B35:C35"/>
    <mergeCell ref="A17:H17"/>
    <mergeCell ref="B18:H18"/>
    <mergeCell ref="B19:C19"/>
    <mergeCell ref="F19:H19"/>
    <mergeCell ref="B20:C20"/>
    <mergeCell ref="F20:H20"/>
    <mergeCell ref="A11:H11"/>
    <mergeCell ref="A12:H12"/>
    <mergeCell ref="A13:H13"/>
    <mergeCell ref="A14:H14"/>
    <mergeCell ref="A15:H15"/>
    <mergeCell ref="A7:B7"/>
    <mergeCell ref="D7:H7"/>
    <mergeCell ref="A8:B8"/>
    <mergeCell ref="A9:H9"/>
    <mergeCell ref="A10:H10"/>
    <mergeCell ref="A2:H2"/>
    <mergeCell ref="A3:H3"/>
    <mergeCell ref="A4:H4"/>
    <mergeCell ref="A6:B6"/>
    <mergeCell ref="D6:H6"/>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Ke Hoach</vt:lpstr>
      <vt:lpstr>KPI</vt:lpstr>
      <vt:lpstr>Danh gia</vt:lpstr>
      <vt:lpstr>'Danh gia'!Print_Area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TUAdmin</dc:creator>
  <dc:description/>
  <cp:lastModifiedBy>Administrator</cp:lastModifiedBy>
  <cp:revision>0</cp:revision>
  <cp:lastPrinted>2026-06-19T14:28:38Z</cp:lastPrinted>
  <dcterms:created xsi:type="dcterms:W3CDTF">2026-05-27T07:15:32Z</dcterms:created>
  <dcterms:modified xsi:type="dcterms:W3CDTF">2026-09-07T00:39:10Z</dcterms:modified>
  <dc:language>en-US</dc:language>
</cp:coreProperties>
</file>