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CLAUDE code\KTC-Quan-tri\30-Ket-Qua\2026-10-16\Soan-Thao\"/>
    </mc:Choice>
  </mc:AlternateContent>
  <xr:revisionPtr revIDLastSave="0" documentId="13_ncr:1_{0CCA1513-5E83-41F8-A29C-B93A2911867C}" xr6:coauthVersionLast="47" xr6:coauthVersionMax="47" xr10:uidLastSave="{00000000-0000-0000-0000-000000000000}"/>
  <bookViews>
    <workbookView xWindow="1884" yWindow="1884" windowWidth="10428" windowHeight="10068" tabRatio="700" xr2:uid="{00000000-000D-0000-FFFF-FFFF00000000}"/>
  </bookViews>
  <sheets>
    <sheet name="1.2 Đối ứng NSTW" sheetId="1" r:id="rId1"/>
  </sheets>
  <definedNames>
    <definedName name="_xlnm.Print_Area" localSheetId="0">'1.2 Đối ứng NSTW'!$A$1:$BG$19</definedName>
    <definedName name="_xlnm.Print_Titles" localSheetId="0">'1.2 Đối ứng NSTW'!$7:$11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7" i="1" l="1"/>
  <c r="BF16" i="1"/>
  <c r="BE16" i="1"/>
  <c r="BD16" i="1"/>
  <c r="BD15" i="1" s="1"/>
  <c r="BD14" i="1" s="1"/>
  <c r="BD13" i="1" s="1"/>
  <c r="BD12" i="1" s="1"/>
  <c r="BC16" i="1"/>
  <c r="BB16" i="1"/>
  <c r="BA16" i="1"/>
  <c r="BA15" i="1" s="1"/>
  <c r="BA14" i="1" s="1"/>
  <c r="BA13" i="1" s="1"/>
  <c r="BA12" i="1" s="1"/>
  <c r="AZ16" i="1"/>
  <c r="AY16" i="1"/>
  <c r="AX16" i="1"/>
  <c r="AW16" i="1"/>
  <c r="AW15" i="1" s="1"/>
  <c r="AW14" i="1" s="1"/>
  <c r="AW13" i="1" s="1"/>
  <c r="AW12" i="1" s="1"/>
  <c r="AV16" i="1"/>
  <c r="AU16" i="1"/>
  <c r="AT16" i="1"/>
  <c r="AS16" i="1"/>
  <c r="AR16" i="1"/>
  <c r="AQ16" i="1"/>
  <c r="AP16" i="1"/>
  <c r="AO16" i="1"/>
  <c r="AN16" i="1"/>
  <c r="AM16" i="1"/>
  <c r="AL16" i="1"/>
  <c r="AK16" i="1"/>
  <c r="AJ16" i="1"/>
  <c r="AI16" i="1"/>
  <c r="AH16" i="1"/>
  <c r="AG16" i="1"/>
  <c r="AF16" i="1"/>
  <c r="AE16" i="1"/>
  <c r="AD16" i="1"/>
  <c r="AC16" i="1"/>
  <c r="AB16" i="1"/>
  <c r="AA16" i="1"/>
  <c r="Z16" i="1"/>
  <c r="Y16" i="1"/>
  <c r="X16" i="1"/>
  <c r="W16" i="1"/>
  <c r="V16" i="1"/>
  <c r="U16" i="1"/>
  <c r="T16" i="1"/>
  <c r="S16" i="1"/>
  <c r="R16" i="1"/>
  <c r="Q16" i="1"/>
  <c r="P16" i="1"/>
  <c r="O16" i="1"/>
  <c r="N16" i="1"/>
  <c r="M16" i="1"/>
  <c r="L16" i="1"/>
  <c r="K16" i="1"/>
  <c r="BF15" i="1"/>
  <c r="BE15" i="1"/>
  <c r="BC15" i="1"/>
  <c r="BB15" i="1"/>
  <c r="AZ15" i="1"/>
  <c r="AY15" i="1"/>
  <c r="AX15" i="1"/>
  <c r="AV15" i="1"/>
  <c r="AU15" i="1"/>
  <c r="AT15" i="1"/>
  <c r="AS15" i="1"/>
  <c r="AR15" i="1"/>
  <c r="AQ15" i="1"/>
  <c r="AP15" i="1"/>
  <c r="AO15" i="1"/>
  <c r="AN15" i="1"/>
  <c r="AM15" i="1"/>
  <c r="AL15" i="1"/>
  <c r="AK15" i="1"/>
  <c r="AJ15" i="1"/>
  <c r="AI15" i="1"/>
  <c r="AH15" i="1"/>
  <c r="AG15" i="1"/>
  <c r="AF15" i="1"/>
  <c r="AF14" i="1" s="1"/>
  <c r="AF13" i="1" s="1"/>
  <c r="AF12" i="1" s="1"/>
  <c r="AE15" i="1"/>
  <c r="AD15" i="1"/>
  <c r="AC15" i="1"/>
  <c r="AB15" i="1"/>
  <c r="AA15" i="1"/>
  <c r="Z15" i="1"/>
  <c r="Y15" i="1"/>
  <c r="X15" i="1"/>
  <c r="W15" i="1"/>
  <c r="V15" i="1"/>
  <c r="U15" i="1"/>
  <c r="T15" i="1"/>
  <c r="S15" i="1"/>
  <c r="R15" i="1"/>
  <c r="Q15" i="1"/>
  <c r="P15" i="1"/>
  <c r="O15" i="1"/>
  <c r="N15" i="1"/>
  <c r="M15" i="1"/>
  <c r="L15" i="1"/>
  <c r="K15" i="1"/>
  <c r="BF14" i="1"/>
  <c r="BE14" i="1"/>
  <c r="BC14" i="1"/>
  <c r="BB14" i="1"/>
  <c r="AZ14" i="1"/>
  <c r="AY14" i="1"/>
  <c r="AX14" i="1"/>
  <c r="AV14" i="1"/>
  <c r="AU14" i="1"/>
  <c r="AT14" i="1"/>
  <c r="AS14" i="1"/>
  <c r="AR14" i="1"/>
  <c r="AQ14" i="1"/>
  <c r="AP14" i="1"/>
  <c r="AO14" i="1"/>
  <c r="AN14" i="1"/>
  <c r="AM14" i="1"/>
  <c r="AL14" i="1"/>
  <c r="AK14" i="1"/>
  <c r="AJ14" i="1"/>
  <c r="AI14" i="1"/>
  <c r="AH14" i="1"/>
  <c r="AG14" i="1"/>
  <c r="AE14" i="1"/>
  <c r="AD14" i="1"/>
  <c r="AC14" i="1"/>
  <c r="AB14" i="1"/>
  <c r="AA14" i="1"/>
  <c r="Z14" i="1"/>
  <c r="Y14" i="1"/>
  <c r="X14" i="1"/>
  <c r="W14" i="1"/>
  <c r="V14" i="1"/>
  <c r="U14" i="1"/>
  <c r="T14" i="1"/>
  <c r="S14" i="1"/>
  <c r="R14" i="1"/>
  <c r="Q14" i="1"/>
  <c r="P14" i="1"/>
  <c r="O14" i="1"/>
  <c r="N14" i="1"/>
  <c r="M14" i="1"/>
  <c r="L14" i="1"/>
  <c r="K14" i="1"/>
  <c r="BF13" i="1"/>
  <c r="BE13" i="1"/>
  <c r="BC13" i="1"/>
  <c r="BB13" i="1"/>
  <c r="AZ13" i="1"/>
  <c r="AY13" i="1"/>
  <c r="AX13" i="1"/>
  <c r="AV13" i="1"/>
  <c r="AU13" i="1"/>
  <c r="AT13" i="1"/>
  <c r="AS13" i="1"/>
  <c r="AR13" i="1"/>
  <c r="AQ13" i="1"/>
  <c r="AP13" i="1"/>
  <c r="AO13" i="1"/>
  <c r="AN13" i="1"/>
  <c r="AM13" i="1"/>
  <c r="AL13" i="1"/>
  <c r="AK13" i="1"/>
  <c r="AJ13" i="1"/>
  <c r="AI13" i="1"/>
  <c r="AH13" i="1"/>
  <c r="AG13" i="1"/>
  <c r="AE13" i="1"/>
  <c r="AD13" i="1"/>
  <c r="AC13" i="1"/>
  <c r="AB13" i="1"/>
  <c r="AA13" i="1"/>
  <c r="AA12" i="1" s="1"/>
  <c r="Z13" i="1"/>
  <c r="Y13" i="1"/>
  <c r="X13" i="1"/>
  <c r="W13" i="1"/>
  <c r="V13" i="1"/>
  <c r="U13" i="1"/>
  <c r="T13" i="1"/>
  <c r="S13" i="1"/>
  <c r="R13" i="1"/>
  <c r="Q13" i="1"/>
  <c r="P13" i="1"/>
  <c r="O13" i="1"/>
  <c r="N13" i="1"/>
  <c r="M13" i="1"/>
  <c r="L13" i="1"/>
  <c r="K13" i="1"/>
  <c r="BF12" i="1"/>
  <c r="BE12" i="1"/>
  <c r="BC12" i="1"/>
  <c r="BB12" i="1"/>
  <c r="AZ12" i="1"/>
  <c r="AY12" i="1"/>
  <c r="AX12" i="1"/>
  <c r="AV12" i="1"/>
  <c r="AU12" i="1"/>
  <c r="AT12" i="1"/>
  <c r="AS12" i="1"/>
  <c r="AR12" i="1"/>
  <c r="AQ12" i="1"/>
  <c r="AP12" i="1"/>
  <c r="AO12" i="1"/>
  <c r="AN12" i="1"/>
  <c r="AM12" i="1"/>
  <c r="AL12" i="1"/>
  <c r="AK12" i="1"/>
  <c r="AJ12" i="1"/>
  <c r="AI12" i="1"/>
  <c r="AH12" i="1"/>
  <c r="AG12" i="1"/>
  <c r="AE12" i="1"/>
  <c r="AD12" i="1"/>
  <c r="AC12" i="1"/>
  <c r="AB12" i="1"/>
  <c r="Z12" i="1"/>
  <c r="Y12" i="1"/>
  <c r="X12" i="1"/>
  <c r="W12" i="1"/>
  <c r="V12" i="1"/>
  <c r="U12" i="1"/>
  <c r="T12" i="1"/>
  <c r="S12" i="1"/>
  <c r="R12" i="1"/>
  <c r="Q12" i="1"/>
  <c r="P12" i="1"/>
  <c r="O12" i="1"/>
  <c r="N12" i="1"/>
  <c r="M12" i="1"/>
  <c r="L12" i="1"/>
  <c r="K12" i="1"/>
</calcChain>
</file>

<file path=xl/sharedStrings.xml><?xml version="1.0" encoding="utf-8"?>
<sst xmlns="http://schemas.openxmlformats.org/spreadsheetml/2006/main" count="106" uniqueCount="56">
  <si>
    <t>Phụ lục 1.2</t>
  </si>
  <si>
    <t>ĐỀ NGHỊ ĐIỀU CHỈNH KẾ HOẠCH VỐN NĂM 2026, ĐĂNG KÝ NHU CẦU KẾ HOẠCH VỐN NĂM 2027</t>
  </si>
  <si>
    <t>Vốn ngân sách tỉnh bối trí đối ứng cho các dự án sử dụng vốn ngân sách trung ương</t>
  </si>
  <si>
    <t>ĐVT: Triệu đồng</t>
  </si>
  <si>
    <t>TT</t>
  </si>
  <si>
    <t xml:space="preserve">TÊN DỰ ÁN </t>
  </si>
  <si>
    <t>Đầu mối giao kế hoạch</t>
  </si>
  <si>
    <t>Nhóm dự án</t>
  </si>
  <si>
    <t>Năm đầu tiên bố trí vốn thực hiện</t>
  </si>
  <si>
    <t>Dự kiến thời 
gian
thực 
hiện</t>
  </si>
  <si>
    <t>Địa điểm 
xây dựng</t>
  </si>
  <si>
    <t>Năng lực thiết kế</t>
  </si>
  <si>
    <t>Dự kiến kết quả đạt được của dự án</t>
  </si>
  <si>
    <t>Quyết định Chủ trương đầu tư/Quyết định đầu tư</t>
  </si>
  <si>
    <t>Luỹ kế vốn đã bố trí từ đầu dự án đến hết kế hoạch năm 2025</t>
  </si>
  <si>
    <t>Dự kiến giải ngân từ đầu dự án đến hết 31/01/2026</t>
  </si>
  <si>
    <t>Nhu cầu đề xuất kế hoạch năm 2025 kéo dài sang năm 2026</t>
  </si>
  <si>
    <t>Dự kiến Kế hoạch đầu tư công giai đoạn 2026 - 2030</t>
  </si>
  <si>
    <t xml:space="preserve">Kế hoạch đầu tư công trung hạn giai đoạn
2026 - 2030 </t>
  </si>
  <si>
    <t>Kế hoạch vốn năm 2026 giao đầu năm</t>
  </si>
  <si>
    <t>Điều chỉnh KHV 2026</t>
  </si>
  <si>
    <t>Kế hoạch vốn năm 2026 đã giao</t>
  </si>
  <si>
    <t>Giải ngân đến 15/10/2026</t>
  </si>
  <si>
    <t>Ước giải ngân đến 31/01/2027</t>
  </si>
  <si>
    <t>Đề nghị điều chỉnh KHV 2026</t>
  </si>
  <si>
    <t>Kế hoạch vốn năm 2026 sau điều chỉnh</t>
  </si>
  <si>
    <t>Nhu cầu Kế hoạch vốn năm 2027</t>
  </si>
  <si>
    <t>Ghi chú</t>
  </si>
  <si>
    <t>Số 
Quyết định</t>
  </si>
  <si>
    <t>Tổng mức
đầu tư</t>
  </si>
  <si>
    <t>Trong đó</t>
  </si>
  <si>
    <t>Tổng số</t>
  </si>
  <si>
    <t>NSTW</t>
  </si>
  <si>
    <t>XDCB tập trung</t>
  </si>
  <si>
    <t>Nguồn thu tiền SDĐ</t>
  </si>
  <si>
    <t>XSKT</t>
  </si>
  <si>
    <t>NS tỉnh</t>
  </si>
  <si>
    <t>Giảm</t>
  </si>
  <si>
    <t>Tăng</t>
  </si>
  <si>
    <t>TỔNG CỘNG</t>
  </si>
  <si>
    <t>B</t>
  </si>
  <si>
    <t>Chưa giao đợt này (giao sau khi các dự án đủ điều kiện)</t>
  </si>
  <si>
    <t>I</t>
  </si>
  <si>
    <t>Đối ứng dự án sử dụng vốn NSTW của tỉnh</t>
  </si>
  <si>
    <t>I.2</t>
  </si>
  <si>
    <t>Dự án khởi công mới giai đoạn 2026-2030</t>
  </si>
  <si>
    <t>Giáo dục và Đào tạo</t>
  </si>
  <si>
    <t>Hiện đại hóa, nâng cao quy mô và chất lượng đào tạo nguồn nhân lực tại Trường Cao đẳng Kon Tum giai đoạn 2026-2030 (Dự án thành phần 2 thuộc Chương trình mục tiêu quốc gia hiện đại hóa, nâng cao chất lượng giáo dục và đào tạo giai đoạn 2026-2035, giai đoạn I: từ năm 2026 đến năm 2030)</t>
  </si>
  <si>
    <t>Trường Cao đẳng Kon Tum</t>
  </si>
  <si>
    <t>Chưa xác định</t>
  </si>
  <si>
    <t>2026-2030</t>
  </si>
  <si>
    <t>Trong khuôn viên 05 cơ sở hiện có của Trường Cao đẳng Kon Tum, tỉnh Quảng Ngãi</t>
  </si>
  <si>
    <t>Cải tạo, nâng cấp phòng học, xưởng thực hành, ký túc xá và công trình phụ trợ; mua sắm thiết bị, hạ tầng công nghệ thông tin tại 05 cơ sở, ưu tiên 11 ngành, nghề. Quy mô cụ thể xác định trong Báo cáo nghiên cứu khả thi.</t>
  </si>
  <si>
    <t>Nâng cao năng lực đào tạo nguồn nhân lực có kỹ năng cho tỉnh Quảng Ngãi và khu vực; tạo nền tảng phát triển Trường theo định hướng cơ sở giáo dục nghề nghiệp chất lượng cao.</t>
  </si>
  <si>
    <t>Chưa có quyết định chủ trương đầu tư. Quyết định số 1951/QĐ-CĐKT ngày 07/9/2026 phê duyệt nhiệm vụ, dự toán chuẩn bị đầu tư.</t>
  </si>
  <si>
    <t>Dự án đang chuẩn bị đầu tư, chưa được giao kế hoạch vốn. Tổng mức đầu tư sơ bộ gồm: NSTW 150.000; NSĐP đối ứng 21.428,571; nguồn thu hợp pháp của Trường 21.428,571 (triệu đồng). Số đăng ký: năm 2026 là 71,429; năm 2027 là 2.857,143 (triệu đồng); cơ cấu theo nguồn vốn (XDCB tập trung, thu tiền sử dụng đất, XSKT) đề nghị Sở Tài chính cân đối. Nhóm dự án xác định khi thẩm định chủ trương đầu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</si>
</sst>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5" formatCode="_ * #,##0_ ;_ * \-#,##0_ ;_ * &quot;-&quot;_ ;_ @_ "/>
    <numFmt numFmtId="166" formatCode="00000"/>
    <numFmt numFmtId="169" formatCode="#,##0.0"/>
    <numFmt numFmtId="180" formatCode="_-* #,##0.00_-;\-* #,##0.00_-;_-* &quot;-&quot;??_-;_-@_-"/>
    <numFmt numFmtId="183" formatCode="_-* #,##0.00\ _₫_-;\-* #,##0.00\ _₫_-;_-* &quot;-&quot;??\ _₫_-;_-@_-"/>
    <numFmt numFmtId="184" formatCode="#,##0.000;\-#,##0.000;&quot;-&quot;"/>
  </numFmts>
  <fonts count="33" x14ac:knownFonts="1">
    <font>
      <sz val="11"/>
      <color theme="1"/>
      <name val="Calibri"/>
      <family val="2"/>
      <scheme val="minor"/>
    </font>
    <font>
      <sz val="11"/>
      <color theme="1"/>
      <name val="Calibri"/>
      <family val="2"/>
      <scheme val="minor"/>
    </font>
    <font>
      <sz val="10"/>
      <name val="Arial"/>
      <family val="2"/>
    </font>
    <font>
      <i/>
      <sz val="14"/>
      <name val="Times New Roman"/>
      <family val="1"/>
    </font>
    <font>
      <b/>
      <sz val="14"/>
      <color theme="1"/>
      <name val="Times New Roman"/>
      <family val="1"/>
    </font>
    <font>
      <sz val="14"/>
      <color theme="1"/>
      <name val="Calibri"/>
      <family val="2"/>
      <scheme val="minor"/>
    </font>
    <font>
      <i/>
      <sz val="14"/>
      <color theme="1"/>
      <name val="Times New Roman"/>
      <family val="1"/>
    </font>
    <font>
      <b/>
      <sz val="14"/>
      <color theme="1"/>
      <name val="Calibri"/>
      <family val="2"/>
      <scheme val="minor"/>
    </font>
    <font>
      <sz val="11"/>
      <color indexed="8"/>
      <name val="Calibri"/>
      <family val="2"/>
    </font>
    <font>
      <sz val="11"/>
      <name val="Times New Roman"/>
      <family val="1"/>
    </font>
    <font>
      <sz val="12"/>
      <color theme="1"/>
      <name val="Calibri"/>
      <family val="2"/>
      <scheme val="minor"/>
    </font>
    <font>
      <sz val="12"/>
      <name val="Times New Roman"/>
      <family val="1"/>
    </font>
    <font>
      <b/>
      <sz val="11"/>
      <name val="Times New Roman"/>
      <family val="1"/>
    </font>
    <font>
      <sz val="11"/>
      <color theme="1"/>
      <name val="Calibri"/>
      <family val="2"/>
      <charset val="163"/>
      <scheme val="minor"/>
    </font>
    <font>
      <sz val="10"/>
      <name val="Times New Roman"/>
      <family val="1"/>
    </font>
    <font>
      <b/>
      <i/>
      <sz val="11"/>
      <name val="Times New Roman"/>
      <family val="1"/>
    </font>
    <font>
      <b/>
      <i/>
      <sz val="14"/>
      <color theme="1"/>
      <name val="Calibri"/>
      <family val="2"/>
      <scheme val="minor"/>
    </font>
    <font>
      <i/>
      <sz val="11"/>
      <color theme="1"/>
      <name val="Times New Roman"/>
      <family val="1"/>
    </font>
    <font>
      <b/>
      <sz val="11"/>
      <color rgb="FFFF0000"/>
      <name val="Times New Roman"/>
      <family val="1"/>
    </font>
    <font>
      <i/>
      <sz val="11"/>
      <name val="Times New Roman"/>
      <family val="1"/>
    </font>
    <font>
      <b/>
      <sz val="10"/>
      <name val="Times New Roman"/>
      <family val="1"/>
    </font>
    <font>
      <sz val="11"/>
      <name val="Times New Roman"/>
      <family val="1"/>
      <charset val="163"/>
    </font>
    <font>
      <sz val="10"/>
      <color theme="1"/>
      <name val="Arial Narrow"/>
      <family val="2"/>
    </font>
    <font>
      <i/>
      <sz val="14"/>
      <color theme="1"/>
      <name val="Calibri"/>
      <family val="2"/>
      <scheme val="minor"/>
    </font>
    <font>
      <i/>
      <sz val="14"/>
      <color rgb="FFFF0000"/>
      <name val="Calibri"/>
      <family val="2"/>
      <scheme val="minor"/>
    </font>
    <font>
      <i/>
      <sz val="11"/>
      <color rgb="FFFF0000"/>
      <name val="Calibri"/>
      <family val="2"/>
      <scheme val="minor"/>
    </font>
    <font>
      <b/>
      <i/>
      <sz val="10"/>
      <name val="Times New Roman"/>
      <family val="1"/>
    </font>
    <font>
      <sz val="11"/>
      <color indexed="64"/>
      <name val="Calibri"/>
      <family val="2"/>
      <scheme val="minor"/>
    </font>
    <font>
      <sz val="11"/>
      <color theme="1"/>
      <name val="Arial"/>
      <family val="2"/>
    </font>
    <font>
      <sz val="11"/>
      <color rgb="FF000000"/>
      <name val="Calibri"/>
      <family val="2"/>
      <scheme val="minor"/>
    </font>
    <font>
      <sz val="11"/>
      <color indexed="8"/>
      <name val="Arial"/>
      <family val="2"/>
    </font>
    <font>
      <sz val="12"/>
      <color theme="1"/>
      <name val="Times New Roman"/>
      <family val="2"/>
      <charset val="163"/>
    </font>
    <font>
      <sz val="12"/>
      <color theme="1"/>
      <name val="Times New Roman"/>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s>
  <cellStyleXfs count="34">
    <xf numFmtId="0" fontId="0" fillId="0" borderId="0"/>
    <xf numFmtId="9" fontId="8" fillId="0" borderId="0"/>
    <xf numFmtId="180" fontId="8" fillId="0" borderId="0"/>
    <xf numFmtId="43" fontId="8" fillId="0" borderId="0"/>
    <xf numFmtId="0" fontId="1" fillId="0" borderId="0"/>
    <xf numFmtId="0" fontId="1" fillId="0" borderId="0"/>
    <xf numFmtId="0" fontId="1" fillId="0" borderId="0"/>
    <xf numFmtId="43" fontId="8" fillId="0" borderId="0"/>
    <xf numFmtId="43" fontId="1" fillId="0" borderId="0"/>
    <xf numFmtId="0" fontId="10" fillId="0" borderId="0"/>
    <xf numFmtId="0" fontId="1" fillId="0" borderId="0"/>
    <xf numFmtId="43" fontId="1" fillId="0" borderId="0"/>
    <xf numFmtId="0" fontId="13" fillId="0" borderId="0"/>
    <xf numFmtId="180" fontId="13" fillId="0" borderId="0"/>
    <xf numFmtId="43" fontId="8" fillId="0" borderId="0"/>
    <xf numFmtId="0" fontId="22" fillId="0" borderId="0"/>
    <xf numFmtId="0" fontId="1" fillId="0" borderId="0"/>
    <xf numFmtId="43" fontId="2" fillId="0" borderId="0"/>
    <xf numFmtId="180" fontId="1" fillId="0" borderId="0"/>
    <xf numFmtId="0" fontId="1" fillId="0" borderId="0"/>
    <xf numFmtId="43" fontId="8" fillId="0" borderId="0"/>
    <xf numFmtId="0" fontId="27" fillId="0" borderId="0"/>
    <xf numFmtId="0" fontId="28" fillId="0" borderId="0"/>
    <xf numFmtId="0" fontId="29" fillId="0" borderId="0"/>
    <xf numFmtId="180" fontId="8" fillId="0" borderId="0"/>
    <xf numFmtId="43" fontId="8" fillId="0" borderId="0"/>
    <xf numFmtId="0" fontId="1" fillId="0" borderId="0"/>
    <xf numFmtId="0" fontId="13" fillId="0" borderId="0"/>
    <xf numFmtId="0" fontId="11" fillId="0" borderId="0"/>
    <xf numFmtId="43" fontId="13" fillId="0" borderId="0"/>
    <xf numFmtId="43" fontId="30" fillId="0" borderId="0"/>
    <xf numFmtId="0" fontId="31" fillId="0" borderId="0"/>
    <xf numFmtId="0" fontId="32" fillId="0" borderId="0"/>
    <xf numFmtId="183" fontId="13" fillId="0" borderId="0"/>
  </cellStyleXfs>
  <cellXfs count="67">
    <xf numFmtId="0" fontId="0" fillId="0" borderId="0" xfId="0"/>
    <xf numFmtId="0" fontId="5" fillId="0" borderId="0" xfId="0" applyFont="1" applyAlignment="1">
      <alignment vertical="center"/>
    </xf>
    <xf numFmtId="166" fontId="3" fillId="0" borderId="0" xfId="0" applyNumberFormat="1" applyFont="1" applyAlignment="1">
      <alignment horizontal="center" vertical="center"/>
    </xf>
    <xf numFmtId="0" fontId="5" fillId="0" borderId="0" xfId="0" applyFont="1" applyAlignment="1">
      <alignment vertical="top"/>
    </xf>
    <xf numFmtId="0" fontId="7" fillId="0" borderId="0" xfId="0" applyFont="1" applyAlignment="1">
      <alignment vertical="top"/>
    </xf>
    <xf numFmtId="166" fontId="3" fillId="3" borderId="0" xfId="0" applyNumberFormat="1" applyFont="1" applyFill="1" applyAlignment="1">
      <alignment horizontal="center" vertical="center"/>
    </xf>
    <xf numFmtId="0" fontId="16" fillId="0" borderId="0" xfId="0" applyFont="1" applyAlignment="1">
      <alignment vertical="top"/>
    </xf>
    <xf numFmtId="166" fontId="17" fillId="0" borderId="0" xfId="0" applyNumberFormat="1" applyFont="1" applyAlignment="1">
      <alignment horizontal="center" vertical="center"/>
    </xf>
    <xf numFmtId="0" fontId="9" fillId="0" borderId="3" xfId="0" applyFont="1" applyBorder="1" applyAlignment="1">
      <alignment horizontal="left" vertical="top" wrapText="1"/>
    </xf>
    <xf numFmtId="0" fontId="9" fillId="0" borderId="3" xfId="0" applyFont="1" applyBorder="1" applyAlignment="1">
      <alignment horizontal="center" vertical="top" wrapText="1"/>
    </xf>
    <xf numFmtId="0" fontId="21" fillId="0" borderId="3" xfId="0" applyFont="1" applyBorder="1" applyAlignment="1">
      <alignment horizontal="center" vertical="top" wrapText="1"/>
    </xf>
    <xf numFmtId="0" fontId="14" fillId="0" borderId="3" xfId="0" applyFont="1" applyBorder="1" applyAlignment="1">
      <alignment horizontal="center" vertical="top" wrapText="1"/>
    </xf>
    <xf numFmtId="0" fontId="0" fillId="2" borderId="0" xfId="0" applyFill="1"/>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top"/>
    </xf>
    <xf numFmtId="0" fontId="24" fillId="0" borderId="0" xfId="0" applyFont="1" applyAlignment="1">
      <alignment vertical="top"/>
    </xf>
    <xf numFmtId="0" fontId="0" fillId="2" borderId="0" xfId="0" applyFill="1" applyAlignment="1">
      <alignment vertical="top"/>
    </xf>
    <xf numFmtId="0" fontId="3" fillId="0" borderId="0" xfId="0" applyFont="1" applyAlignment="1" applyProtection="1">
      <alignment horizontal="center" vertical="center"/>
      <protection locked="0"/>
    </xf>
    <xf numFmtId="3" fontId="3" fillId="0" borderId="0" xfId="0" applyNumberFormat="1" applyFont="1" applyAlignment="1" applyProtection="1">
      <alignment horizontal="center" vertical="center"/>
      <protection locked="0"/>
    </xf>
    <xf numFmtId="3" fontId="3" fillId="0" borderId="1" xfId="0" applyNumberFormat="1" applyFont="1" applyBorder="1" applyAlignment="1" applyProtection="1">
      <alignment horizontal="center" vertical="center"/>
      <protection locked="0"/>
    </xf>
    <xf numFmtId="0" fontId="12" fillId="0" borderId="4" xfId="12" applyFont="1" applyBorder="1" applyAlignment="1">
      <alignment horizontal="center" vertical="top" wrapText="1"/>
    </xf>
    <xf numFmtId="0" fontId="12" fillId="0" borderId="4" xfId="12" applyFont="1" applyBorder="1" applyAlignment="1">
      <alignment horizontal="left" vertical="top" wrapText="1"/>
    </xf>
    <xf numFmtId="0" fontId="12" fillId="0" borderId="6" xfId="0" applyFont="1" applyBorder="1" applyAlignment="1" applyProtection="1">
      <alignment vertical="center" wrapText="1"/>
      <protection locked="0"/>
    </xf>
    <xf numFmtId="0" fontId="12" fillId="0" borderId="12" xfId="0" applyFont="1" applyBorder="1" applyAlignment="1" applyProtection="1">
      <alignment vertical="center" wrapText="1"/>
      <protection locked="0"/>
    </xf>
    <xf numFmtId="0" fontId="9" fillId="0" borderId="6" xfId="0" applyFont="1" applyBorder="1" applyAlignment="1" applyProtection="1">
      <alignment horizontal="center" vertical="center" wrapText="1"/>
      <protection locked="0"/>
    </xf>
    <xf numFmtId="0" fontId="9" fillId="0" borderId="2" xfId="0" applyFont="1" applyBorder="1" applyAlignment="1" applyProtection="1">
      <alignment horizontal="center" vertical="top" wrapText="1"/>
      <protection locked="0"/>
    </xf>
    <xf numFmtId="0" fontId="12" fillId="0" borderId="2" xfId="0" applyFont="1" applyBorder="1" applyAlignment="1" applyProtection="1">
      <alignment horizontal="center" vertical="top" wrapText="1"/>
      <protection locked="0"/>
    </xf>
    <xf numFmtId="0" fontId="9" fillId="0" borderId="2" xfId="0" applyFont="1" applyBorder="1" applyAlignment="1">
      <alignment horizontal="center" vertical="top" wrapText="1"/>
    </xf>
    <xf numFmtId="165" fontId="9" fillId="0" borderId="2" xfId="0" applyNumberFormat="1" applyFont="1" applyBorder="1" applyAlignment="1">
      <alignment horizontal="center" vertical="top" wrapText="1"/>
    </xf>
    <xf numFmtId="0" fontId="9" fillId="0" borderId="4" xfId="0" applyFont="1" applyBorder="1" applyAlignment="1" applyProtection="1">
      <alignment horizontal="center" vertical="top" wrapText="1"/>
      <protection locked="0"/>
    </xf>
    <xf numFmtId="0" fontId="9" fillId="0" borderId="4" xfId="0" applyFont="1" applyBorder="1" applyAlignment="1">
      <alignment horizontal="center" vertical="top" wrapText="1"/>
    </xf>
    <xf numFmtId="165" fontId="9" fillId="0" borderId="4" xfId="0" applyNumberFormat="1" applyFont="1" applyBorder="1" applyAlignment="1">
      <alignment horizontal="center" vertical="top" wrapText="1"/>
    </xf>
    <xf numFmtId="0" fontId="12" fillId="0" borderId="4" xfId="0" applyFont="1" applyBorder="1" applyAlignment="1" applyProtection="1">
      <alignment horizontal="center" vertical="top" wrapText="1"/>
      <protection locked="0"/>
    </xf>
    <xf numFmtId="0" fontId="12" fillId="0" borderId="4" xfId="0" applyFont="1" applyBorder="1" applyAlignment="1" applyProtection="1">
      <alignment horizontal="left" vertical="top" wrapText="1"/>
      <protection locked="0"/>
    </xf>
    <xf numFmtId="0" fontId="12" fillId="0" borderId="4" xfId="0" applyFont="1" applyBorder="1" applyAlignment="1">
      <alignment horizontal="center" vertical="top" wrapText="1"/>
    </xf>
    <xf numFmtId="165" fontId="12" fillId="0" borderId="4" xfId="0" applyNumberFormat="1" applyFont="1" applyBorder="1" applyAlignment="1">
      <alignment horizontal="center" vertical="top" wrapText="1"/>
    </xf>
    <xf numFmtId="0" fontId="15" fillId="0" borderId="3" xfId="0" applyFont="1" applyBorder="1" applyAlignment="1" applyProtection="1">
      <alignment horizontal="left" vertical="top" wrapText="1"/>
      <protection locked="0"/>
    </xf>
    <xf numFmtId="0" fontId="9" fillId="0" borderId="3" xfId="0" applyFont="1" applyBorder="1" applyAlignment="1" applyProtection="1">
      <alignment horizontal="left" vertical="top" wrapText="1"/>
      <protection locked="0"/>
    </xf>
    <xf numFmtId="0" fontId="20" fillId="0" borderId="4" xfId="0" applyFont="1" applyBorder="1" applyAlignment="1" applyProtection="1">
      <alignment horizontal="left" vertical="top" wrapText="1"/>
      <protection locked="0"/>
    </xf>
    <xf numFmtId="0" fontId="14" fillId="0" borderId="3" xfId="0" applyFont="1" applyBorder="1" applyAlignment="1" applyProtection="1">
      <alignment horizontal="center" vertical="top" wrapText="1"/>
      <protection locked="0"/>
    </xf>
    <xf numFmtId="0" fontId="19" fillId="0" borderId="0" xfId="0" applyFont="1" applyAlignment="1" applyProtection="1">
      <alignment horizontal="center" vertical="center"/>
      <protection locked="0"/>
    </xf>
    <xf numFmtId="0" fontId="15" fillId="0" borderId="4" xfId="0" applyFont="1" applyBorder="1" applyAlignment="1" applyProtection="1">
      <alignment horizontal="center" vertical="top" wrapText="1"/>
      <protection locked="0"/>
    </xf>
    <xf numFmtId="0" fontId="15" fillId="0" borderId="4" xfId="0" applyFont="1" applyBorder="1" applyAlignment="1" applyProtection="1">
      <alignment horizontal="left" vertical="top" wrapText="1"/>
      <protection locked="0"/>
    </xf>
    <xf numFmtId="0" fontId="26" fillId="0" borderId="4" xfId="0" applyFont="1" applyBorder="1" applyAlignment="1" applyProtection="1">
      <alignment horizontal="left" vertical="top" wrapText="1"/>
      <protection locked="0"/>
    </xf>
    <xf numFmtId="184" fontId="12" fillId="0" borderId="2" xfId="0" applyNumberFormat="1" applyFont="1" applyBorder="1" applyAlignment="1">
      <alignment horizontal="right" vertical="center" wrapText="1"/>
    </xf>
    <xf numFmtId="184" fontId="12" fillId="0" borderId="4" xfId="0" applyNumberFormat="1" applyFont="1" applyBorder="1" applyAlignment="1">
      <alignment horizontal="right" vertical="center" wrapText="1"/>
    </xf>
    <xf numFmtId="184" fontId="12" fillId="0" borderId="4" xfId="0" applyNumberFormat="1" applyFont="1" applyBorder="1" applyAlignment="1" applyProtection="1">
      <alignment horizontal="right" vertical="center" wrapText="1"/>
      <protection locked="0"/>
    </xf>
    <xf numFmtId="184" fontId="12" fillId="0" borderId="3" xfId="2" applyNumberFormat="1" applyFont="1" applyBorder="1" applyAlignment="1">
      <alignment horizontal="right" vertical="center" wrapText="1"/>
    </xf>
    <xf numFmtId="184" fontId="9" fillId="0" borderId="3" xfId="2" applyNumberFormat="1" applyFont="1" applyBorder="1" applyAlignment="1">
      <alignment horizontal="right" vertical="center" wrapText="1"/>
    </xf>
    <xf numFmtId="184" fontId="9" fillId="0" borderId="3" xfId="0" applyNumberFormat="1" applyFont="1" applyBorder="1" applyAlignment="1">
      <alignment horizontal="right" vertical="center" wrapText="1"/>
    </xf>
    <xf numFmtId="184" fontId="9" fillId="0" borderId="3" xfId="3" applyNumberFormat="1" applyFont="1" applyBorder="1" applyAlignment="1">
      <alignment horizontal="right" vertical="center" wrapText="1"/>
    </xf>
    <xf numFmtId="0" fontId="12" fillId="0" borderId="6" xfId="0" applyFont="1" applyBorder="1" applyAlignment="1" applyProtection="1">
      <alignment horizontal="center" vertical="center" wrapText="1"/>
      <protection locked="0"/>
    </xf>
    <xf numFmtId="0" fontId="0" fillId="0" borderId="10" xfId="0" applyBorder="1" applyProtection="1">
      <protection locked="0"/>
    </xf>
    <xf numFmtId="0" fontId="0" fillId="0" borderId="7" xfId="0" applyBorder="1" applyProtection="1">
      <protection locked="0"/>
    </xf>
    <xf numFmtId="0" fontId="0" fillId="0" borderId="11" xfId="0" applyBorder="1" applyProtection="1">
      <protection locked="0"/>
    </xf>
    <xf numFmtId="0" fontId="0" fillId="0" borderId="5" xfId="0" applyBorder="1" applyProtection="1">
      <protection locked="0"/>
    </xf>
    <xf numFmtId="3" fontId="3" fillId="0" borderId="1" xfId="0" applyNumberFormat="1" applyFont="1" applyBorder="1" applyAlignment="1" applyProtection="1">
      <alignment horizontal="right" vertical="center"/>
      <protection locked="0"/>
    </xf>
    <xf numFmtId="0" fontId="0" fillId="0" borderId="1" xfId="0" applyBorder="1" applyProtection="1">
      <protection locked="0"/>
    </xf>
    <xf numFmtId="0" fontId="18" fillId="0" borderId="6" xfId="0" applyFont="1" applyBorder="1" applyAlignment="1" applyProtection="1">
      <alignment horizontal="center" vertical="center" wrapText="1"/>
      <protection locked="0"/>
    </xf>
    <xf numFmtId="169" fontId="12" fillId="0" borderId="6" xfId="0" applyNumberFormat="1" applyFont="1" applyBorder="1" applyAlignment="1" applyProtection="1">
      <alignment horizontal="center" vertical="center" wrapText="1"/>
      <protection locked="0"/>
    </xf>
    <xf numFmtId="0" fontId="12" fillId="0" borderId="9" xfId="0" applyFont="1" applyBorder="1" applyAlignment="1" applyProtection="1">
      <alignment horizontal="center" vertical="center" wrapText="1"/>
      <protection locked="0"/>
    </xf>
    <xf numFmtId="0" fontId="0" fillId="0" borderId="8" xfId="0" applyBorder="1" applyProtection="1">
      <protection locked="0"/>
    </xf>
    <xf numFmtId="0" fontId="0" fillId="0" borderId="9" xfId="0" applyBorder="1" applyProtection="1">
      <protection locked="0"/>
    </xf>
    <xf numFmtId="0" fontId="4" fillId="0" borderId="0" xfId="0" applyFont="1" applyAlignment="1">
      <alignment horizontal="center" vertical="center" wrapText="1"/>
    </xf>
    <xf numFmtId="0" fontId="5" fillId="0" borderId="0" xfId="0" applyFont="1" applyAlignment="1">
      <alignment vertical="center"/>
    </xf>
    <xf numFmtId="0" fontId="6" fillId="0" borderId="0" xfId="0" applyFont="1" applyAlignment="1">
      <alignment horizontal="center" vertical="center" wrapText="1"/>
    </xf>
  </cellXfs>
  <cellStyles count="34">
    <cellStyle name="Bình thường 2" xfId="12" xr:uid="{00000000-0005-0000-0000-00000F000000}"/>
    <cellStyle name="Comma 10 10 2" xfId="2" xr:uid="{00000000-0005-0000-0000-000005000000}"/>
    <cellStyle name="Comma 10 10 2 2" xfId="14" xr:uid="{00000000-0005-0000-0000-000011000000}"/>
    <cellStyle name="Comma 10 10 2 2 2" xfId="24" xr:uid="{00000000-0005-0000-0000-00001B000000}"/>
    <cellStyle name="Comma 2" xfId="29" xr:uid="{00000000-0005-0000-0000-000020000000}"/>
    <cellStyle name="Comma 2 5" xfId="8" xr:uid="{00000000-0005-0000-0000-00000B000000}"/>
    <cellStyle name="Comma 2 5 2" xfId="3" xr:uid="{00000000-0005-0000-0000-000006000000}"/>
    <cellStyle name="Comma 2 5 2 2" xfId="7" xr:uid="{00000000-0005-0000-0000-00000A000000}"/>
    <cellStyle name="Comma 25" xfId="11" xr:uid="{00000000-0005-0000-0000-00000E000000}"/>
    <cellStyle name="Comma 3" xfId="17" xr:uid="{00000000-0005-0000-0000-000014000000}"/>
    <cellStyle name="Comma 4" xfId="33" xr:uid="{00000000-0005-0000-0000-000024000000}"/>
    <cellStyle name="Comma 4 2 2 3" xfId="25" xr:uid="{00000000-0005-0000-0000-00001C000000}"/>
    <cellStyle name="Comma 5" xfId="30" xr:uid="{00000000-0005-0000-0000-000021000000}"/>
    <cellStyle name="Dấu phẩy 2" xfId="18" xr:uid="{00000000-0005-0000-0000-000015000000}"/>
    <cellStyle name="Dấu phẩy 2 2" xfId="20" xr:uid="{00000000-0005-0000-0000-000017000000}"/>
    <cellStyle name="Dấu phẩy 5" xfId="13" xr:uid="{00000000-0005-0000-0000-000010000000}"/>
    <cellStyle name="Normal" xfId="0" builtinId="0"/>
    <cellStyle name="Normal 12" xfId="28" xr:uid="{00000000-0005-0000-0000-00001F000000}"/>
    <cellStyle name="Normal 2" xfId="19" xr:uid="{00000000-0005-0000-0000-000016000000}"/>
    <cellStyle name="Normal 3" xfId="32" xr:uid="{00000000-0005-0000-0000-000023000000}"/>
    <cellStyle name="Normal 3 3" xfId="23" xr:uid="{00000000-0005-0000-0000-00001A000000}"/>
    <cellStyle name="Normal 3 4" xfId="22" xr:uid="{00000000-0005-0000-0000-000019000000}"/>
    <cellStyle name="Normal 33" xfId="4" xr:uid="{00000000-0005-0000-0000-000007000000}"/>
    <cellStyle name="Normal 33 2" xfId="6" xr:uid="{00000000-0005-0000-0000-000009000000}"/>
    <cellStyle name="Normal 4" xfId="31" xr:uid="{00000000-0005-0000-0000-000022000000}"/>
    <cellStyle name="Normal 4 18" xfId="15" xr:uid="{00000000-0005-0000-0000-000012000000}"/>
    <cellStyle name="Normal 4 4" xfId="21" xr:uid="{00000000-0005-0000-0000-000018000000}"/>
    <cellStyle name="Normal 5" xfId="9" xr:uid="{00000000-0005-0000-0000-00000C000000}"/>
    <cellStyle name="Normal 54" xfId="5" xr:uid="{00000000-0005-0000-0000-000008000000}"/>
    <cellStyle name="Normal 55" xfId="26" xr:uid="{00000000-0005-0000-0000-00001D000000}"/>
    <cellStyle name="Normal 62 2" xfId="10" xr:uid="{00000000-0005-0000-0000-00000D000000}"/>
    <cellStyle name="Normal 64 3 4 2" xfId="16" xr:uid="{00000000-0005-0000-0000-000013000000}"/>
    <cellStyle name="Normal 80 2 2 5" xfId="27" xr:uid="{00000000-0005-0000-0000-00001E000000}"/>
    <cellStyle name="Percent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pageSetUpPr fitToPage="1"/>
  </sheetPr>
  <dimension ref="A1:BG69"/>
  <sheetViews>
    <sheetView tabSelected="1" zoomScale="85" zoomScaleNormal="85" workbookViewId="0">
      <selection activeCell="H5" sqref="H1:H1048576"/>
    </sheetView>
  </sheetViews>
  <sheetFormatPr defaultRowHeight="14.4" outlineLevelRow="1" x14ac:dyDescent="0.3"/>
  <cols>
    <col min="1" max="1" width="5" bestFit="1" customWidth="1"/>
    <col min="2" max="2" width="42.33203125" customWidth="1"/>
    <col min="3" max="3" width="14.88671875" customWidth="1"/>
    <col min="4" max="4" width="7" customWidth="1"/>
    <col min="5" max="5" width="10.5546875" hidden="1" customWidth="1"/>
    <col min="6" max="6" width="8" customWidth="1"/>
    <col min="7" max="7" width="15" customWidth="1"/>
    <col min="8" max="8" width="18.88671875" hidden="1" customWidth="1"/>
    <col min="9" max="9" width="85.6640625" hidden="1" customWidth="1"/>
    <col min="10" max="10" width="14.33203125" customWidth="1"/>
    <col min="11" max="11" width="14.33203125" bestFit="1" customWidth="1"/>
    <col min="12" max="12" width="12" hidden="1" customWidth="1"/>
    <col min="13" max="13" width="13.44140625" bestFit="1" customWidth="1"/>
    <col min="14" max="14" width="13.44140625" customWidth="1"/>
    <col min="15" max="15" width="10.5546875" hidden="1" customWidth="1"/>
    <col min="16" max="16" width="13.44140625" customWidth="1"/>
    <col min="17" max="17" width="11.109375" hidden="1" customWidth="1"/>
    <col min="18" max="18" width="13.44140625" customWidth="1"/>
    <col min="19" max="19" width="6.5546875" hidden="1" customWidth="1"/>
    <col min="20" max="20" width="11.109375" hidden="1" customWidth="1"/>
    <col min="21" max="21" width="13.44140625" customWidth="1"/>
    <col min="22" max="22" width="5.6640625" hidden="1" customWidth="1"/>
    <col min="23" max="23" width="18.33203125" hidden="1" customWidth="1"/>
    <col min="24" max="24" width="11.109375" hidden="1" customWidth="1"/>
    <col min="25" max="25" width="13.44140625" customWidth="1"/>
    <col min="26" max="26" width="10.6640625" hidden="1" customWidth="1"/>
    <col min="27" max="27" width="13.44140625" customWidth="1"/>
    <col min="28" max="28" width="8.88671875" hidden="1" customWidth="1"/>
    <col min="29" max="29" width="10.88671875" hidden="1" customWidth="1"/>
    <col min="30" max="30" width="10" hidden="1" customWidth="1"/>
    <col min="31" max="31" width="9.6640625" hidden="1" customWidth="1"/>
    <col min="32" max="32" width="7.33203125" hidden="1" customWidth="1"/>
    <col min="33" max="33" width="10.88671875" hidden="1" customWidth="1"/>
    <col min="34" max="34" width="7.5546875" hidden="1" customWidth="1"/>
    <col min="35" max="35" width="7.88671875" hidden="1" customWidth="1"/>
    <col min="36" max="36" width="7.5546875" hidden="1" customWidth="1"/>
    <col min="37" max="37" width="7.88671875" hidden="1" customWidth="1"/>
    <col min="38" max="38" width="7.5546875" hidden="1" customWidth="1"/>
    <col min="39" max="39" width="13.44140625" customWidth="1"/>
    <col min="40" max="40" width="10" customWidth="1"/>
    <col min="41" max="41" width="9.5546875" customWidth="1"/>
    <col min="42" max="42" width="7.33203125" customWidth="1"/>
    <col min="43" max="44" width="9.88671875" customWidth="1"/>
    <col min="45" max="50" width="7.33203125" customWidth="1"/>
    <col min="51" max="51" width="13.44140625" customWidth="1"/>
    <col min="52" max="54" width="7.33203125" customWidth="1"/>
    <col min="55" max="55" width="13.44140625" customWidth="1"/>
    <col min="56" max="58" width="7.33203125" customWidth="1"/>
    <col min="59" max="59" width="70" customWidth="1"/>
  </cols>
  <sheetData>
    <row r="1" spans="1:59" s="1" customFormat="1" ht="19.95" customHeight="1" x14ac:dyDescent="0.3">
      <c r="A1" s="64" t="s">
        <v>0</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row>
    <row r="2" spans="1:59" s="1" customFormat="1" ht="20.25" customHeight="1" x14ac:dyDescent="0.3">
      <c r="A2" s="64" t="s">
        <v>1</v>
      </c>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row>
    <row r="3" spans="1:59" s="1" customFormat="1" ht="20.25" customHeight="1" x14ac:dyDescent="0.3">
      <c r="A3" s="64" t="s">
        <v>2</v>
      </c>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row>
    <row r="4" spans="1:59" s="1" customFormat="1" ht="20.25" customHeight="1" x14ac:dyDescent="0.3">
      <c r="A4" s="66"/>
      <c r="B4" s="65"/>
      <c r="C4" s="65"/>
      <c r="D4" s="65"/>
      <c r="E4" s="65"/>
      <c r="F4" s="65"/>
      <c r="G4" s="65"/>
      <c r="H4" s="65"/>
      <c r="I4" s="65"/>
      <c r="J4" s="65"/>
      <c r="K4" s="65"/>
      <c r="L4" s="65"/>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row>
    <row r="5" spans="1:59" s="1" customFormat="1" ht="19.5" customHeight="1" x14ac:dyDescent="0.3">
      <c r="A5" s="7"/>
      <c r="B5" s="2"/>
      <c r="C5" s="2"/>
      <c r="D5" s="2"/>
      <c r="E5" s="2"/>
      <c r="F5" s="2"/>
      <c r="G5" s="2"/>
      <c r="H5" s="2"/>
      <c r="I5" s="2"/>
      <c r="J5" s="2"/>
      <c r="K5" s="2"/>
      <c r="L5" s="2"/>
      <c r="M5" s="2"/>
      <c r="N5" s="2"/>
      <c r="O5" s="2"/>
      <c r="P5" s="2"/>
      <c r="Q5" s="2"/>
      <c r="R5" s="2"/>
      <c r="S5" s="2"/>
      <c r="T5" s="2"/>
      <c r="U5" s="2"/>
      <c r="V5" s="2"/>
      <c r="W5" s="5"/>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row>
    <row r="6" spans="1:59" s="1" customFormat="1" ht="18.75" customHeight="1" x14ac:dyDescent="0.3">
      <c r="A6" s="41"/>
      <c r="B6" s="19"/>
      <c r="C6" s="19"/>
      <c r="D6" s="19"/>
      <c r="E6" s="19"/>
      <c r="F6" s="18"/>
      <c r="G6" s="18"/>
      <c r="H6" s="18"/>
      <c r="I6" s="18"/>
      <c r="J6" s="19"/>
      <c r="K6" s="18"/>
      <c r="L6" s="20"/>
      <c r="M6" s="20"/>
      <c r="N6" s="57" t="s">
        <v>3</v>
      </c>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row>
    <row r="7" spans="1:59" s="1" customFormat="1" ht="42.75" customHeight="1" x14ac:dyDescent="0.3">
      <c r="A7" s="52" t="s">
        <v>4</v>
      </c>
      <c r="B7" s="52" t="s">
        <v>5</v>
      </c>
      <c r="C7" s="52" t="s">
        <v>6</v>
      </c>
      <c r="D7" s="52" t="s">
        <v>7</v>
      </c>
      <c r="E7" s="52" t="s">
        <v>8</v>
      </c>
      <c r="F7" s="52" t="s">
        <v>9</v>
      </c>
      <c r="G7" s="52" t="s">
        <v>10</v>
      </c>
      <c r="H7" s="52" t="s">
        <v>11</v>
      </c>
      <c r="I7" s="52" t="s">
        <v>12</v>
      </c>
      <c r="J7" s="52" t="s">
        <v>13</v>
      </c>
      <c r="K7" s="53"/>
      <c r="L7" s="53"/>
      <c r="M7" s="54"/>
      <c r="N7" s="52" t="s">
        <v>14</v>
      </c>
      <c r="O7" s="53"/>
      <c r="P7" s="54"/>
      <c r="Q7" s="52" t="s">
        <v>15</v>
      </c>
      <c r="R7" s="53"/>
      <c r="S7" s="54"/>
      <c r="T7" s="52" t="s">
        <v>16</v>
      </c>
      <c r="U7" s="53"/>
      <c r="V7" s="54"/>
      <c r="W7" s="23" t="s">
        <v>17</v>
      </c>
      <c r="X7" s="24"/>
      <c r="Y7" s="52" t="s">
        <v>18</v>
      </c>
      <c r="Z7" s="23"/>
      <c r="AA7" s="23"/>
      <c r="AB7" s="23"/>
      <c r="AC7" s="52" t="s">
        <v>19</v>
      </c>
      <c r="AD7" s="53"/>
      <c r="AE7" s="53"/>
      <c r="AF7" s="54"/>
      <c r="AG7" s="52" t="s">
        <v>20</v>
      </c>
      <c r="AH7" s="53"/>
      <c r="AI7" s="53"/>
      <c r="AJ7" s="53"/>
      <c r="AK7" s="53"/>
      <c r="AL7" s="54"/>
      <c r="AM7" s="52" t="s">
        <v>21</v>
      </c>
      <c r="AN7" s="53"/>
      <c r="AO7" s="53"/>
      <c r="AP7" s="54"/>
      <c r="AQ7" s="59" t="s">
        <v>22</v>
      </c>
      <c r="AR7" s="59" t="s">
        <v>23</v>
      </c>
      <c r="AS7" s="59" t="s">
        <v>24</v>
      </c>
      <c r="AT7" s="53"/>
      <c r="AU7" s="53"/>
      <c r="AV7" s="53"/>
      <c r="AW7" s="53"/>
      <c r="AX7" s="54"/>
      <c r="AY7" s="59" t="s">
        <v>25</v>
      </c>
      <c r="AZ7" s="53"/>
      <c r="BA7" s="53"/>
      <c r="BB7" s="54"/>
      <c r="BC7" s="59" t="s">
        <v>26</v>
      </c>
      <c r="BD7" s="53"/>
      <c r="BE7" s="53"/>
      <c r="BF7" s="54"/>
      <c r="BG7" s="60" t="s">
        <v>27</v>
      </c>
    </row>
    <row r="8" spans="1:59" s="1" customFormat="1" ht="33" customHeight="1" x14ac:dyDescent="0.3">
      <c r="A8" s="56"/>
      <c r="B8" s="56"/>
      <c r="C8" s="56"/>
      <c r="D8" s="56"/>
      <c r="E8" s="56"/>
      <c r="F8" s="56"/>
      <c r="G8" s="56"/>
      <c r="H8" s="56"/>
      <c r="I8" s="56"/>
      <c r="J8" s="52" t="s">
        <v>28</v>
      </c>
      <c r="K8" s="52" t="s">
        <v>29</v>
      </c>
      <c r="L8" s="52" t="s">
        <v>30</v>
      </c>
      <c r="M8" s="54"/>
      <c r="N8" s="52" t="s">
        <v>31</v>
      </c>
      <c r="O8" s="52" t="s">
        <v>30</v>
      </c>
      <c r="P8" s="54"/>
      <c r="Q8" s="52" t="s">
        <v>31</v>
      </c>
      <c r="R8" s="52" t="s">
        <v>30</v>
      </c>
      <c r="S8" s="54"/>
      <c r="T8" s="52" t="s">
        <v>31</v>
      </c>
      <c r="U8" s="52" t="s">
        <v>30</v>
      </c>
      <c r="V8" s="54"/>
      <c r="W8" s="52" t="s">
        <v>31</v>
      </c>
      <c r="X8" s="61" t="s">
        <v>32</v>
      </c>
      <c r="Y8" s="56"/>
      <c r="Z8" s="52" t="s">
        <v>30</v>
      </c>
      <c r="AA8" s="53"/>
      <c r="AB8" s="54"/>
      <c r="AC8" s="52" t="s">
        <v>31</v>
      </c>
      <c r="AD8" s="52" t="s">
        <v>30</v>
      </c>
      <c r="AE8" s="53"/>
      <c r="AF8" s="54"/>
      <c r="AG8" s="52" t="s">
        <v>33</v>
      </c>
      <c r="AH8" s="54"/>
      <c r="AI8" s="52" t="s">
        <v>34</v>
      </c>
      <c r="AJ8" s="54"/>
      <c r="AK8" s="52" t="s">
        <v>35</v>
      </c>
      <c r="AL8" s="54"/>
      <c r="AM8" s="52" t="s">
        <v>31</v>
      </c>
      <c r="AN8" s="52" t="s">
        <v>30</v>
      </c>
      <c r="AO8" s="53"/>
      <c r="AP8" s="54"/>
      <c r="AQ8" s="56"/>
      <c r="AR8" s="56"/>
      <c r="AS8" s="52" t="s">
        <v>33</v>
      </c>
      <c r="AT8" s="54"/>
      <c r="AU8" s="52" t="s">
        <v>34</v>
      </c>
      <c r="AV8" s="54"/>
      <c r="AW8" s="52" t="s">
        <v>35</v>
      </c>
      <c r="AX8" s="54"/>
      <c r="AY8" s="52" t="s">
        <v>31</v>
      </c>
      <c r="AZ8" s="52" t="s">
        <v>30</v>
      </c>
      <c r="BA8" s="53"/>
      <c r="BB8" s="54"/>
      <c r="BC8" s="52" t="s">
        <v>31</v>
      </c>
      <c r="BD8" s="52" t="s">
        <v>30</v>
      </c>
      <c r="BE8" s="53"/>
      <c r="BF8" s="54"/>
      <c r="BG8" s="56"/>
    </row>
    <row r="9" spans="1:59" s="1" customFormat="1" ht="14.4" customHeight="1" x14ac:dyDescent="0.3">
      <c r="A9" s="56"/>
      <c r="B9" s="56"/>
      <c r="C9" s="56"/>
      <c r="D9" s="56"/>
      <c r="E9" s="56"/>
      <c r="F9" s="56"/>
      <c r="G9" s="56"/>
      <c r="H9" s="56"/>
      <c r="I9" s="56"/>
      <c r="J9" s="56"/>
      <c r="K9" s="56"/>
      <c r="L9" s="52" t="s">
        <v>32</v>
      </c>
      <c r="M9" s="52" t="s">
        <v>36</v>
      </c>
      <c r="N9" s="56"/>
      <c r="O9" s="52" t="s">
        <v>32</v>
      </c>
      <c r="P9" s="52" t="s">
        <v>36</v>
      </c>
      <c r="Q9" s="56"/>
      <c r="R9" s="52" t="s">
        <v>32</v>
      </c>
      <c r="S9" s="52" t="s">
        <v>36</v>
      </c>
      <c r="T9" s="56"/>
      <c r="U9" s="52" t="s">
        <v>32</v>
      </c>
      <c r="V9" s="52" t="s">
        <v>36</v>
      </c>
      <c r="W9" s="56"/>
      <c r="X9" s="62"/>
      <c r="Y9" s="56"/>
      <c r="Z9" s="52" t="s">
        <v>33</v>
      </c>
      <c r="AA9" s="52" t="s">
        <v>34</v>
      </c>
      <c r="AB9" s="52" t="s">
        <v>35</v>
      </c>
      <c r="AC9" s="56"/>
      <c r="AD9" s="52" t="s">
        <v>33</v>
      </c>
      <c r="AE9" s="52" t="s">
        <v>34</v>
      </c>
      <c r="AF9" s="52" t="s">
        <v>35</v>
      </c>
      <c r="AG9" s="52" t="s">
        <v>37</v>
      </c>
      <c r="AH9" s="52" t="s">
        <v>38</v>
      </c>
      <c r="AI9" s="52" t="s">
        <v>37</v>
      </c>
      <c r="AJ9" s="52" t="s">
        <v>38</v>
      </c>
      <c r="AK9" s="52" t="s">
        <v>37</v>
      </c>
      <c r="AL9" s="52" t="s">
        <v>38</v>
      </c>
      <c r="AM9" s="56"/>
      <c r="AN9" s="52" t="s">
        <v>33</v>
      </c>
      <c r="AO9" s="52" t="s">
        <v>34</v>
      </c>
      <c r="AP9" s="52" t="s">
        <v>35</v>
      </c>
      <c r="AQ9" s="56"/>
      <c r="AR9" s="56"/>
      <c r="AS9" s="52" t="s">
        <v>37</v>
      </c>
      <c r="AT9" s="52" t="s">
        <v>38</v>
      </c>
      <c r="AU9" s="52" t="s">
        <v>37</v>
      </c>
      <c r="AV9" s="52" t="s">
        <v>38</v>
      </c>
      <c r="AW9" s="52" t="s">
        <v>37</v>
      </c>
      <c r="AX9" s="52" t="s">
        <v>38</v>
      </c>
      <c r="AY9" s="56"/>
      <c r="AZ9" s="52" t="s">
        <v>33</v>
      </c>
      <c r="BA9" s="52" t="s">
        <v>34</v>
      </c>
      <c r="BB9" s="52" t="s">
        <v>35</v>
      </c>
      <c r="BC9" s="56"/>
      <c r="BD9" s="52" t="s">
        <v>33</v>
      </c>
      <c r="BE9" s="52" t="s">
        <v>34</v>
      </c>
      <c r="BF9" s="52" t="s">
        <v>35</v>
      </c>
      <c r="BG9" s="56"/>
    </row>
    <row r="10" spans="1:59" s="1" customFormat="1" ht="29.25" customHeight="1" x14ac:dyDescent="0.3">
      <c r="A10" s="55"/>
      <c r="B10" s="55"/>
      <c r="C10" s="55"/>
      <c r="D10" s="55"/>
      <c r="E10" s="55"/>
      <c r="F10" s="55"/>
      <c r="G10" s="55"/>
      <c r="H10" s="55"/>
      <c r="I10" s="55"/>
      <c r="J10" s="55"/>
      <c r="K10" s="55"/>
      <c r="L10" s="55"/>
      <c r="M10" s="55"/>
      <c r="N10" s="55"/>
      <c r="O10" s="55"/>
      <c r="P10" s="55"/>
      <c r="Q10" s="55"/>
      <c r="R10" s="55"/>
      <c r="S10" s="55"/>
      <c r="T10" s="55"/>
      <c r="U10" s="55"/>
      <c r="V10" s="55"/>
      <c r="W10" s="55"/>
      <c r="X10" s="63"/>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row>
    <row r="11" spans="1:59" s="1" customFormat="1" ht="15.75" hidden="1" customHeight="1" x14ac:dyDescent="0.3">
      <c r="A11" s="25">
        <v>1</v>
      </c>
      <c r="B11" s="25">
        <v>2</v>
      </c>
      <c r="C11" s="25">
        <v>3</v>
      </c>
      <c r="D11" s="25">
        <v>4</v>
      </c>
      <c r="E11" s="25">
        <v>5</v>
      </c>
      <c r="F11" s="25">
        <v>5</v>
      </c>
      <c r="G11" s="25">
        <v>6</v>
      </c>
      <c r="H11" s="25">
        <v>7</v>
      </c>
      <c r="I11" s="25">
        <v>9</v>
      </c>
      <c r="J11" s="25">
        <v>8</v>
      </c>
      <c r="K11" s="25">
        <v>9</v>
      </c>
      <c r="L11" s="25">
        <v>12</v>
      </c>
      <c r="M11" s="25">
        <v>10</v>
      </c>
      <c r="N11" s="25">
        <v>11</v>
      </c>
      <c r="O11" s="25">
        <v>15</v>
      </c>
      <c r="P11" s="25">
        <v>12</v>
      </c>
      <c r="Q11" s="25">
        <v>17</v>
      </c>
      <c r="R11" s="25">
        <v>18</v>
      </c>
      <c r="S11" s="25">
        <v>19</v>
      </c>
      <c r="T11" s="25">
        <v>20</v>
      </c>
      <c r="U11" s="25">
        <v>21</v>
      </c>
      <c r="V11" s="25">
        <v>22</v>
      </c>
      <c r="W11" s="25">
        <v>17</v>
      </c>
      <c r="X11" s="25">
        <v>18</v>
      </c>
      <c r="Y11" s="25">
        <v>14</v>
      </c>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v>15</v>
      </c>
    </row>
    <row r="12" spans="1:59" s="1" customFormat="1" ht="24.75" customHeight="1" x14ac:dyDescent="0.3">
      <c r="A12" s="26"/>
      <c r="B12" s="27" t="s">
        <v>39</v>
      </c>
      <c r="C12" s="26"/>
      <c r="D12" s="26"/>
      <c r="E12" s="26"/>
      <c r="F12" s="28"/>
      <c r="G12" s="26"/>
      <c r="H12" s="26"/>
      <c r="I12" s="26"/>
      <c r="J12" s="28"/>
      <c r="K12" s="45">
        <f t="shared" ref="K12:T16" si="0">K13</f>
        <v>192857.14300000001</v>
      </c>
      <c r="L12" s="45">
        <f t="shared" si="0"/>
        <v>150000</v>
      </c>
      <c r="M12" s="45">
        <f t="shared" si="0"/>
        <v>21428.571</v>
      </c>
      <c r="N12" s="45">
        <f t="shared" si="0"/>
        <v>0</v>
      </c>
      <c r="O12" s="45">
        <f t="shared" si="0"/>
        <v>0</v>
      </c>
      <c r="P12" s="45">
        <f t="shared" si="0"/>
        <v>0</v>
      </c>
      <c r="Q12" s="45">
        <f t="shared" si="0"/>
        <v>0</v>
      </c>
      <c r="R12" s="45">
        <f t="shared" si="0"/>
        <v>0</v>
      </c>
      <c r="S12" s="45">
        <f t="shared" si="0"/>
        <v>0</v>
      </c>
      <c r="T12" s="45">
        <f t="shared" si="0"/>
        <v>0</v>
      </c>
      <c r="U12" s="45">
        <f t="shared" ref="U12:AD16" si="1">U13</f>
        <v>0</v>
      </c>
      <c r="V12" s="45">
        <f t="shared" si="1"/>
        <v>0</v>
      </c>
      <c r="W12" s="45">
        <f t="shared" si="1"/>
        <v>171428.571</v>
      </c>
      <c r="X12" s="45">
        <f t="shared" si="1"/>
        <v>150000</v>
      </c>
      <c r="Y12" s="45">
        <f t="shared" si="1"/>
        <v>21428.571</v>
      </c>
      <c r="Z12" s="45">
        <f t="shared" si="1"/>
        <v>0</v>
      </c>
      <c r="AA12" s="45">
        <f t="shared" si="1"/>
        <v>0</v>
      </c>
      <c r="AB12" s="45">
        <f t="shared" si="1"/>
        <v>0</v>
      </c>
      <c r="AC12" s="45">
        <f t="shared" si="1"/>
        <v>0</v>
      </c>
      <c r="AD12" s="45">
        <f t="shared" si="1"/>
        <v>0</v>
      </c>
      <c r="AE12" s="45">
        <f t="shared" ref="AE12:AN16" si="2">AE13</f>
        <v>0</v>
      </c>
      <c r="AF12" s="45">
        <f t="shared" si="2"/>
        <v>0</v>
      </c>
      <c r="AG12" s="45">
        <f t="shared" si="2"/>
        <v>0</v>
      </c>
      <c r="AH12" s="45">
        <f t="shared" si="2"/>
        <v>0</v>
      </c>
      <c r="AI12" s="45">
        <f t="shared" si="2"/>
        <v>0</v>
      </c>
      <c r="AJ12" s="45">
        <f t="shared" si="2"/>
        <v>0</v>
      </c>
      <c r="AK12" s="45">
        <f t="shared" si="2"/>
        <v>0</v>
      </c>
      <c r="AL12" s="45">
        <f t="shared" si="2"/>
        <v>0</v>
      </c>
      <c r="AM12" s="45">
        <f t="shared" si="2"/>
        <v>0</v>
      </c>
      <c r="AN12" s="45">
        <f t="shared" si="2"/>
        <v>0</v>
      </c>
      <c r="AO12" s="45">
        <f t="shared" ref="AO12:AX16" si="3">AO13</f>
        <v>0</v>
      </c>
      <c r="AP12" s="45">
        <f t="shared" si="3"/>
        <v>0</v>
      </c>
      <c r="AQ12" s="45">
        <f t="shared" si="3"/>
        <v>0</v>
      </c>
      <c r="AR12" s="45">
        <f t="shared" si="3"/>
        <v>0</v>
      </c>
      <c r="AS12" s="45">
        <f t="shared" si="3"/>
        <v>0</v>
      </c>
      <c r="AT12" s="45">
        <f t="shared" si="3"/>
        <v>0</v>
      </c>
      <c r="AU12" s="45">
        <f t="shared" si="3"/>
        <v>0</v>
      </c>
      <c r="AV12" s="45">
        <f t="shared" si="3"/>
        <v>0</v>
      </c>
      <c r="AW12" s="45">
        <f t="shared" si="3"/>
        <v>0</v>
      </c>
      <c r="AX12" s="45">
        <f t="shared" si="3"/>
        <v>0</v>
      </c>
      <c r="AY12" s="45">
        <f t="shared" ref="AY12:BH16" si="4">AY13</f>
        <v>71.429000000000002</v>
      </c>
      <c r="AZ12" s="45">
        <f t="shared" si="4"/>
        <v>0</v>
      </c>
      <c r="BA12" s="45">
        <f t="shared" si="4"/>
        <v>0</v>
      </c>
      <c r="BB12" s="45">
        <f t="shared" si="4"/>
        <v>0</v>
      </c>
      <c r="BC12" s="45">
        <f t="shared" si="4"/>
        <v>2857.143</v>
      </c>
      <c r="BD12" s="45">
        <f t="shared" si="4"/>
        <v>0</v>
      </c>
      <c r="BE12" s="45">
        <f t="shared" si="4"/>
        <v>0</v>
      </c>
      <c r="BF12" s="45">
        <f t="shared" si="4"/>
        <v>0</v>
      </c>
      <c r="BG12" s="29"/>
    </row>
    <row r="13" spans="1:59" s="1" customFormat="1" ht="31.95" customHeight="1" x14ac:dyDescent="0.3">
      <c r="A13" s="21" t="s">
        <v>40</v>
      </c>
      <c r="B13" s="22" t="s">
        <v>41</v>
      </c>
      <c r="C13" s="30"/>
      <c r="D13" s="30"/>
      <c r="E13" s="30"/>
      <c r="F13" s="31"/>
      <c r="G13" s="30"/>
      <c r="H13" s="30"/>
      <c r="I13" s="30"/>
      <c r="J13" s="31"/>
      <c r="K13" s="46">
        <f t="shared" si="0"/>
        <v>192857.14300000001</v>
      </c>
      <c r="L13" s="46">
        <f t="shared" si="0"/>
        <v>150000</v>
      </c>
      <c r="M13" s="46">
        <f t="shared" si="0"/>
        <v>21428.571</v>
      </c>
      <c r="N13" s="46">
        <f t="shared" si="0"/>
        <v>0</v>
      </c>
      <c r="O13" s="46">
        <f t="shared" si="0"/>
        <v>0</v>
      </c>
      <c r="P13" s="46">
        <f t="shared" si="0"/>
        <v>0</v>
      </c>
      <c r="Q13" s="46">
        <f t="shared" si="0"/>
        <v>0</v>
      </c>
      <c r="R13" s="46">
        <f t="shared" si="0"/>
        <v>0</v>
      </c>
      <c r="S13" s="46">
        <f t="shared" si="0"/>
        <v>0</v>
      </c>
      <c r="T13" s="46">
        <f t="shared" si="0"/>
        <v>0</v>
      </c>
      <c r="U13" s="46">
        <f t="shared" si="1"/>
        <v>0</v>
      </c>
      <c r="V13" s="46">
        <f t="shared" si="1"/>
        <v>0</v>
      </c>
      <c r="W13" s="46">
        <f t="shared" si="1"/>
        <v>171428.571</v>
      </c>
      <c r="X13" s="46">
        <f t="shared" si="1"/>
        <v>150000</v>
      </c>
      <c r="Y13" s="46">
        <f t="shared" si="1"/>
        <v>21428.571</v>
      </c>
      <c r="Z13" s="46">
        <f t="shared" si="1"/>
        <v>0</v>
      </c>
      <c r="AA13" s="46">
        <f t="shared" si="1"/>
        <v>0</v>
      </c>
      <c r="AB13" s="46">
        <f t="shared" si="1"/>
        <v>0</v>
      </c>
      <c r="AC13" s="46">
        <f t="shared" si="1"/>
        <v>0</v>
      </c>
      <c r="AD13" s="46">
        <f t="shared" si="1"/>
        <v>0</v>
      </c>
      <c r="AE13" s="46">
        <f t="shared" si="2"/>
        <v>0</v>
      </c>
      <c r="AF13" s="46">
        <f t="shared" si="2"/>
        <v>0</v>
      </c>
      <c r="AG13" s="46">
        <f t="shared" si="2"/>
        <v>0</v>
      </c>
      <c r="AH13" s="46">
        <f t="shared" si="2"/>
        <v>0</v>
      </c>
      <c r="AI13" s="46">
        <f t="shared" si="2"/>
        <v>0</v>
      </c>
      <c r="AJ13" s="46">
        <f t="shared" si="2"/>
        <v>0</v>
      </c>
      <c r="AK13" s="46">
        <f t="shared" si="2"/>
        <v>0</v>
      </c>
      <c r="AL13" s="46">
        <f t="shared" si="2"/>
        <v>0</v>
      </c>
      <c r="AM13" s="46">
        <f t="shared" si="2"/>
        <v>0</v>
      </c>
      <c r="AN13" s="46">
        <f t="shared" si="2"/>
        <v>0</v>
      </c>
      <c r="AO13" s="46">
        <f t="shared" si="3"/>
        <v>0</v>
      </c>
      <c r="AP13" s="46">
        <f t="shared" si="3"/>
        <v>0</v>
      </c>
      <c r="AQ13" s="46">
        <f t="shared" si="3"/>
        <v>0</v>
      </c>
      <c r="AR13" s="46">
        <f t="shared" si="3"/>
        <v>0</v>
      </c>
      <c r="AS13" s="46">
        <f t="shared" si="3"/>
        <v>0</v>
      </c>
      <c r="AT13" s="46">
        <f t="shared" si="3"/>
        <v>0</v>
      </c>
      <c r="AU13" s="46">
        <f t="shared" si="3"/>
        <v>0</v>
      </c>
      <c r="AV13" s="46">
        <f t="shared" si="3"/>
        <v>0</v>
      </c>
      <c r="AW13" s="46">
        <f t="shared" si="3"/>
        <v>0</v>
      </c>
      <c r="AX13" s="46">
        <f t="shared" si="3"/>
        <v>0</v>
      </c>
      <c r="AY13" s="46">
        <f t="shared" si="4"/>
        <v>71.429000000000002</v>
      </c>
      <c r="AZ13" s="46">
        <f t="shared" si="4"/>
        <v>0</v>
      </c>
      <c r="BA13" s="46">
        <f t="shared" si="4"/>
        <v>0</v>
      </c>
      <c r="BB13" s="46">
        <f t="shared" si="4"/>
        <v>0</v>
      </c>
      <c r="BC13" s="46">
        <f t="shared" si="4"/>
        <v>2857.143</v>
      </c>
      <c r="BD13" s="46">
        <f t="shared" si="4"/>
        <v>0</v>
      </c>
      <c r="BE13" s="46">
        <f t="shared" si="4"/>
        <v>0</v>
      </c>
      <c r="BF13" s="46">
        <f t="shared" si="4"/>
        <v>0</v>
      </c>
      <c r="BG13" s="32"/>
    </row>
    <row r="14" spans="1:59" s="1" customFormat="1" ht="31.95" customHeight="1" x14ac:dyDescent="0.3">
      <c r="A14" s="33" t="s">
        <v>42</v>
      </c>
      <c r="B14" s="34" t="s">
        <v>43</v>
      </c>
      <c r="C14" s="33"/>
      <c r="D14" s="33"/>
      <c r="E14" s="33"/>
      <c r="F14" s="35"/>
      <c r="G14" s="33"/>
      <c r="H14" s="33"/>
      <c r="I14" s="33"/>
      <c r="J14" s="35"/>
      <c r="K14" s="46">
        <f t="shared" si="0"/>
        <v>192857.14300000001</v>
      </c>
      <c r="L14" s="46">
        <f t="shared" si="0"/>
        <v>150000</v>
      </c>
      <c r="M14" s="46">
        <f t="shared" si="0"/>
        <v>21428.571</v>
      </c>
      <c r="N14" s="46">
        <f t="shared" si="0"/>
        <v>0</v>
      </c>
      <c r="O14" s="46">
        <f t="shared" si="0"/>
        <v>0</v>
      </c>
      <c r="P14" s="46">
        <f t="shared" si="0"/>
        <v>0</v>
      </c>
      <c r="Q14" s="46">
        <f t="shared" si="0"/>
        <v>0</v>
      </c>
      <c r="R14" s="46">
        <f t="shared" si="0"/>
        <v>0</v>
      </c>
      <c r="S14" s="46">
        <f t="shared" si="0"/>
        <v>0</v>
      </c>
      <c r="T14" s="46">
        <f t="shared" si="0"/>
        <v>0</v>
      </c>
      <c r="U14" s="46">
        <f t="shared" si="1"/>
        <v>0</v>
      </c>
      <c r="V14" s="46">
        <f t="shared" si="1"/>
        <v>0</v>
      </c>
      <c r="W14" s="46">
        <f t="shared" si="1"/>
        <v>171428.571</v>
      </c>
      <c r="X14" s="46">
        <f t="shared" si="1"/>
        <v>150000</v>
      </c>
      <c r="Y14" s="46">
        <f t="shared" si="1"/>
        <v>21428.571</v>
      </c>
      <c r="Z14" s="46">
        <f t="shared" si="1"/>
        <v>0</v>
      </c>
      <c r="AA14" s="46">
        <f t="shared" si="1"/>
        <v>0</v>
      </c>
      <c r="AB14" s="46">
        <f t="shared" si="1"/>
        <v>0</v>
      </c>
      <c r="AC14" s="46">
        <f t="shared" si="1"/>
        <v>0</v>
      </c>
      <c r="AD14" s="46">
        <f t="shared" si="1"/>
        <v>0</v>
      </c>
      <c r="AE14" s="46">
        <f t="shared" si="2"/>
        <v>0</v>
      </c>
      <c r="AF14" s="46">
        <f t="shared" si="2"/>
        <v>0</v>
      </c>
      <c r="AG14" s="46">
        <f t="shared" si="2"/>
        <v>0</v>
      </c>
      <c r="AH14" s="46">
        <f t="shared" si="2"/>
        <v>0</v>
      </c>
      <c r="AI14" s="46">
        <f t="shared" si="2"/>
        <v>0</v>
      </c>
      <c r="AJ14" s="46">
        <f t="shared" si="2"/>
        <v>0</v>
      </c>
      <c r="AK14" s="46">
        <f t="shared" si="2"/>
        <v>0</v>
      </c>
      <c r="AL14" s="46">
        <f t="shared" si="2"/>
        <v>0</v>
      </c>
      <c r="AM14" s="46">
        <f t="shared" si="2"/>
        <v>0</v>
      </c>
      <c r="AN14" s="46">
        <f t="shared" si="2"/>
        <v>0</v>
      </c>
      <c r="AO14" s="46">
        <f t="shared" si="3"/>
        <v>0</v>
      </c>
      <c r="AP14" s="46">
        <f t="shared" si="3"/>
        <v>0</v>
      </c>
      <c r="AQ14" s="46">
        <f t="shared" si="3"/>
        <v>0</v>
      </c>
      <c r="AR14" s="46">
        <f t="shared" si="3"/>
        <v>0</v>
      </c>
      <c r="AS14" s="46">
        <f t="shared" si="3"/>
        <v>0</v>
      </c>
      <c r="AT14" s="46">
        <f t="shared" si="3"/>
        <v>0</v>
      </c>
      <c r="AU14" s="46">
        <f t="shared" si="3"/>
        <v>0</v>
      </c>
      <c r="AV14" s="46">
        <f t="shared" si="3"/>
        <v>0</v>
      </c>
      <c r="AW14" s="46">
        <f t="shared" si="3"/>
        <v>0</v>
      </c>
      <c r="AX14" s="46">
        <f t="shared" si="3"/>
        <v>0</v>
      </c>
      <c r="AY14" s="46">
        <f t="shared" si="4"/>
        <v>71.429000000000002</v>
      </c>
      <c r="AZ14" s="46">
        <f t="shared" si="4"/>
        <v>0</v>
      </c>
      <c r="BA14" s="46">
        <f t="shared" si="4"/>
        <v>0</v>
      </c>
      <c r="BB14" s="46">
        <f t="shared" si="4"/>
        <v>0</v>
      </c>
      <c r="BC14" s="46">
        <f t="shared" si="4"/>
        <v>2857.143</v>
      </c>
      <c r="BD14" s="46">
        <f t="shared" si="4"/>
        <v>0</v>
      </c>
      <c r="BE14" s="46">
        <f t="shared" si="4"/>
        <v>0</v>
      </c>
      <c r="BF14" s="46">
        <f t="shared" si="4"/>
        <v>0</v>
      </c>
      <c r="BG14" s="36"/>
    </row>
    <row r="15" spans="1:59" s="14" customFormat="1" ht="20.25" customHeight="1" x14ac:dyDescent="0.3">
      <c r="A15" s="42" t="s">
        <v>44</v>
      </c>
      <c r="B15" s="43" t="s">
        <v>45</v>
      </c>
      <c r="C15" s="43"/>
      <c r="D15" s="43"/>
      <c r="E15" s="43"/>
      <c r="F15" s="43"/>
      <c r="G15" s="43"/>
      <c r="H15" s="44"/>
      <c r="I15" s="43"/>
      <c r="J15" s="43"/>
      <c r="K15" s="47">
        <f t="shared" si="0"/>
        <v>192857.14300000001</v>
      </c>
      <c r="L15" s="47">
        <f t="shared" si="0"/>
        <v>150000</v>
      </c>
      <c r="M15" s="47">
        <f t="shared" si="0"/>
        <v>21428.571</v>
      </c>
      <c r="N15" s="46">
        <f t="shared" si="0"/>
        <v>0</v>
      </c>
      <c r="O15" s="46">
        <f t="shared" si="0"/>
        <v>0</v>
      </c>
      <c r="P15" s="46">
        <f t="shared" si="0"/>
        <v>0</v>
      </c>
      <c r="Q15" s="47">
        <f t="shared" si="0"/>
        <v>0</v>
      </c>
      <c r="R15" s="47">
        <f t="shared" si="0"/>
        <v>0</v>
      </c>
      <c r="S15" s="47">
        <f t="shared" si="0"/>
        <v>0</v>
      </c>
      <c r="T15" s="47">
        <f t="shared" si="0"/>
        <v>0</v>
      </c>
      <c r="U15" s="47">
        <f t="shared" si="1"/>
        <v>0</v>
      </c>
      <c r="V15" s="47">
        <f t="shared" si="1"/>
        <v>0</v>
      </c>
      <c r="W15" s="47">
        <f t="shared" si="1"/>
        <v>171428.571</v>
      </c>
      <c r="X15" s="47">
        <f t="shared" si="1"/>
        <v>150000</v>
      </c>
      <c r="Y15" s="47">
        <f t="shared" si="1"/>
        <v>21428.571</v>
      </c>
      <c r="Z15" s="47">
        <f t="shared" si="1"/>
        <v>0</v>
      </c>
      <c r="AA15" s="47">
        <f t="shared" si="1"/>
        <v>0</v>
      </c>
      <c r="AB15" s="47">
        <f t="shared" si="1"/>
        <v>0</v>
      </c>
      <c r="AC15" s="47">
        <f t="shared" si="1"/>
        <v>0</v>
      </c>
      <c r="AD15" s="47">
        <f t="shared" si="1"/>
        <v>0</v>
      </c>
      <c r="AE15" s="47">
        <f t="shared" si="2"/>
        <v>0</v>
      </c>
      <c r="AF15" s="47">
        <f t="shared" si="2"/>
        <v>0</v>
      </c>
      <c r="AG15" s="47">
        <f t="shared" si="2"/>
        <v>0</v>
      </c>
      <c r="AH15" s="47">
        <f t="shared" si="2"/>
        <v>0</v>
      </c>
      <c r="AI15" s="47">
        <f t="shared" si="2"/>
        <v>0</v>
      </c>
      <c r="AJ15" s="47">
        <f t="shared" si="2"/>
        <v>0</v>
      </c>
      <c r="AK15" s="47">
        <f t="shared" si="2"/>
        <v>0</v>
      </c>
      <c r="AL15" s="47">
        <f t="shared" si="2"/>
        <v>0</v>
      </c>
      <c r="AM15" s="47">
        <f t="shared" si="2"/>
        <v>0</v>
      </c>
      <c r="AN15" s="47">
        <f t="shared" si="2"/>
        <v>0</v>
      </c>
      <c r="AO15" s="47">
        <f t="shared" si="3"/>
        <v>0</v>
      </c>
      <c r="AP15" s="47">
        <f t="shared" si="3"/>
        <v>0</v>
      </c>
      <c r="AQ15" s="47">
        <f t="shared" si="3"/>
        <v>0</v>
      </c>
      <c r="AR15" s="47">
        <f t="shared" si="3"/>
        <v>0</v>
      </c>
      <c r="AS15" s="47">
        <f t="shared" si="3"/>
        <v>0</v>
      </c>
      <c r="AT15" s="47">
        <f t="shared" si="3"/>
        <v>0</v>
      </c>
      <c r="AU15" s="47">
        <f t="shared" si="3"/>
        <v>0</v>
      </c>
      <c r="AV15" s="47">
        <f t="shared" si="3"/>
        <v>0</v>
      </c>
      <c r="AW15" s="47">
        <f t="shared" si="3"/>
        <v>0</v>
      </c>
      <c r="AX15" s="47">
        <f t="shared" si="3"/>
        <v>0</v>
      </c>
      <c r="AY15" s="47">
        <f t="shared" si="4"/>
        <v>71.429000000000002</v>
      </c>
      <c r="AZ15" s="47">
        <f t="shared" si="4"/>
        <v>0</v>
      </c>
      <c r="BA15" s="47">
        <f t="shared" si="4"/>
        <v>0</v>
      </c>
      <c r="BB15" s="47">
        <f t="shared" si="4"/>
        <v>0</v>
      </c>
      <c r="BC15" s="47">
        <f t="shared" si="4"/>
        <v>2857.143</v>
      </c>
      <c r="BD15" s="47">
        <f t="shared" si="4"/>
        <v>0</v>
      </c>
      <c r="BE15" s="47">
        <f t="shared" si="4"/>
        <v>0</v>
      </c>
      <c r="BF15" s="47">
        <f t="shared" si="4"/>
        <v>0</v>
      </c>
      <c r="BG15" s="43"/>
    </row>
    <row r="16" spans="1:59" s="13" customFormat="1" ht="18.75" customHeight="1" outlineLevel="1" x14ac:dyDescent="0.3">
      <c r="A16" s="33"/>
      <c r="B16" s="37" t="s">
        <v>46</v>
      </c>
      <c r="C16" s="34"/>
      <c r="D16" s="34"/>
      <c r="E16" s="34"/>
      <c r="F16" s="34"/>
      <c r="G16" s="34"/>
      <c r="H16" s="39"/>
      <c r="I16" s="34"/>
      <c r="J16" s="34"/>
      <c r="K16" s="47">
        <f t="shared" si="0"/>
        <v>192857.14300000001</v>
      </c>
      <c r="L16" s="47">
        <f t="shared" si="0"/>
        <v>150000</v>
      </c>
      <c r="M16" s="47">
        <f t="shared" si="0"/>
        <v>21428.571</v>
      </c>
      <c r="N16" s="48">
        <f t="shared" si="0"/>
        <v>0</v>
      </c>
      <c r="O16" s="48">
        <f t="shared" si="0"/>
        <v>0</v>
      </c>
      <c r="P16" s="48">
        <f t="shared" si="0"/>
        <v>0</v>
      </c>
      <c r="Q16" s="47">
        <f t="shared" si="0"/>
        <v>0</v>
      </c>
      <c r="R16" s="47">
        <f t="shared" si="0"/>
        <v>0</v>
      </c>
      <c r="S16" s="47">
        <f t="shared" si="0"/>
        <v>0</v>
      </c>
      <c r="T16" s="47">
        <f t="shared" si="0"/>
        <v>0</v>
      </c>
      <c r="U16" s="47">
        <f t="shared" si="1"/>
        <v>0</v>
      </c>
      <c r="V16" s="47">
        <f t="shared" si="1"/>
        <v>0</v>
      </c>
      <c r="W16" s="47">
        <f t="shared" si="1"/>
        <v>171428.571</v>
      </c>
      <c r="X16" s="47">
        <f t="shared" si="1"/>
        <v>150000</v>
      </c>
      <c r="Y16" s="47">
        <f t="shared" si="1"/>
        <v>21428.571</v>
      </c>
      <c r="Z16" s="47">
        <f t="shared" si="1"/>
        <v>0</v>
      </c>
      <c r="AA16" s="47">
        <f t="shared" si="1"/>
        <v>0</v>
      </c>
      <c r="AB16" s="47">
        <f t="shared" si="1"/>
        <v>0</v>
      </c>
      <c r="AC16" s="47">
        <f t="shared" si="1"/>
        <v>0</v>
      </c>
      <c r="AD16" s="47">
        <f t="shared" si="1"/>
        <v>0</v>
      </c>
      <c r="AE16" s="47">
        <f t="shared" si="2"/>
        <v>0</v>
      </c>
      <c r="AF16" s="47">
        <f t="shared" si="2"/>
        <v>0</v>
      </c>
      <c r="AG16" s="47">
        <f t="shared" si="2"/>
        <v>0</v>
      </c>
      <c r="AH16" s="47">
        <f t="shared" si="2"/>
        <v>0</v>
      </c>
      <c r="AI16" s="47">
        <f t="shared" si="2"/>
        <v>0</v>
      </c>
      <c r="AJ16" s="47">
        <f t="shared" si="2"/>
        <v>0</v>
      </c>
      <c r="AK16" s="47">
        <f t="shared" si="2"/>
        <v>0</v>
      </c>
      <c r="AL16" s="47">
        <f t="shared" si="2"/>
        <v>0</v>
      </c>
      <c r="AM16" s="47">
        <f t="shared" si="2"/>
        <v>0</v>
      </c>
      <c r="AN16" s="47">
        <f t="shared" si="2"/>
        <v>0</v>
      </c>
      <c r="AO16" s="47">
        <f t="shared" si="3"/>
        <v>0</v>
      </c>
      <c r="AP16" s="47">
        <f t="shared" si="3"/>
        <v>0</v>
      </c>
      <c r="AQ16" s="47">
        <f t="shared" si="3"/>
        <v>0</v>
      </c>
      <c r="AR16" s="47">
        <f t="shared" si="3"/>
        <v>0</v>
      </c>
      <c r="AS16" s="47">
        <f t="shared" si="3"/>
        <v>0</v>
      </c>
      <c r="AT16" s="47">
        <f t="shared" si="3"/>
        <v>0</v>
      </c>
      <c r="AU16" s="47">
        <f t="shared" si="3"/>
        <v>0</v>
      </c>
      <c r="AV16" s="47">
        <f t="shared" si="3"/>
        <v>0</v>
      </c>
      <c r="AW16" s="47">
        <f t="shared" si="3"/>
        <v>0</v>
      </c>
      <c r="AX16" s="47">
        <f t="shared" si="3"/>
        <v>0</v>
      </c>
      <c r="AY16" s="47">
        <f t="shared" si="4"/>
        <v>71.429000000000002</v>
      </c>
      <c r="AZ16" s="47">
        <f t="shared" si="4"/>
        <v>0</v>
      </c>
      <c r="BA16" s="47">
        <f t="shared" si="4"/>
        <v>0</v>
      </c>
      <c r="BB16" s="47">
        <f t="shared" si="4"/>
        <v>0</v>
      </c>
      <c r="BC16" s="47">
        <f t="shared" si="4"/>
        <v>2857.143</v>
      </c>
      <c r="BD16" s="47">
        <f t="shared" si="4"/>
        <v>0</v>
      </c>
      <c r="BE16" s="47">
        <f t="shared" si="4"/>
        <v>0</v>
      </c>
      <c r="BF16" s="47">
        <f t="shared" si="4"/>
        <v>0</v>
      </c>
      <c r="BG16" s="34"/>
    </row>
    <row r="17" spans="1:59" s="3" customFormat="1" ht="150" customHeight="1" outlineLevel="1" x14ac:dyDescent="0.3">
      <c r="A17" s="10">
        <v>1</v>
      </c>
      <c r="B17" s="8" t="s">
        <v>47</v>
      </c>
      <c r="C17" s="9" t="s">
        <v>48</v>
      </c>
      <c r="D17" s="9" t="s">
        <v>49</v>
      </c>
      <c r="E17" s="9">
        <v>2026</v>
      </c>
      <c r="F17" s="9" t="s">
        <v>50</v>
      </c>
      <c r="G17" s="9" t="s">
        <v>51</v>
      </c>
      <c r="H17" s="11" t="s">
        <v>52</v>
      </c>
      <c r="I17" s="38" t="s">
        <v>53</v>
      </c>
      <c r="J17" s="40" t="s">
        <v>54</v>
      </c>
      <c r="K17" s="49">
        <v>192857.14300000001</v>
      </c>
      <c r="L17" s="49">
        <v>150000</v>
      </c>
      <c r="M17" s="50">
        <v>21428.571</v>
      </c>
      <c r="N17" s="49">
        <v>0</v>
      </c>
      <c r="O17" s="50">
        <v>0</v>
      </c>
      <c r="P17" s="49">
        <v>0</v>
      </c>
      <c r="Q17" s="49">
        <v>0</v>
      </c>
      <c r="R17" s="49">
        <v>0</v>
      </c>
      <c r="S17" s="49">
        <v>0</v>
      </c>
      <c r="T17" s="49">
        <v>0</v>
      </c>
      <c r="U17" s="49">
        <v>0</v>
      </c>
      <c r="V17" s="49">
        <v>0</v>
      </c>
      <c r="W17" s="51">
        <f>X17+Y17</f>
        <v>171428.571</v>
      </c>
      <c r="X17" s="50">
        <v>150000</v>
      </c>
      <c r="Y17" s="49">
        <v>21428.571</v>
      </c>
      <c r="Z17" s="49"/>
      <c r="AA17" s="49"/>
      <c r="AB17" s="49"/>
      <c r="AC17" s="49">
        <v>0</v>
      </c>
      <c r="AD17" s="49"/>
      <c r="AE17" s="49"/>
      <c r="AF17" s="49"/>
      <c r="AG17" s="49"/>
      <c r="AH17" s="49"/>
      <c r="AI17" s="49"/>
      <c r="AJ17" s="49"/>
      <c r="AK17" s="49"/>
      <c r="AL17" s="49"/>
      <c r="AM17" s="49">
        <v>0</v>
      </c>
      <c r="AN17" s="49">
        <v>0</v>
      </c>
      <c r="AO17" s="49">
        <v>0</v>
      </c>
      <c r="AP17" s="49">
        <v>0</v>
      </c>
      <c r="AQ17" s="49">
        <v>0</v>
      </c>
      <c r="AR17" s="49">
        <v>0</v>
      </c>
      <c r="AS17" s="49"/>
      <c r="AT17" s="49"/>
      <c r="AU17" s="49"/>
      <c r="AV17" s="49"/>
      <c r="AW17" s="49"/>
      <c r="AX17" s="49"/>
      <c r="AY17" s="49">
        <v>71.429000000000002</v>
      </c>
      <c r="AZ17" s="49"/>
      <c r="BA17" s="49"/>
      <c r="BB17" s="49"/>
      <c r="BC17" s="49">
        <v>2857.143</v>
      </c>
      <c r="BD17" s="49"/>
      <c r="BE17" s="49"/>
      <c r="BF17" s="49"/>
      <c r="BG17" s="11" t="s">
        <v>55</v>
      </c>
    </row>
    <row r="18" spans="1:59" s="3" customFormat="1" ht="54" customHeight="1" outlineLevel="1" x14ac:dyDescent="0.3"/>
    <row r="19" spans="1:59" s="3" customFormat="1" ht="53.25" customHeight="1" outlineLevel="1" x14ac:dyDescent="0.3"/>
    <row r="20" spans="1:59" s="3" customFormat="1" ht="33.75" customHeight="1" outlineLevel="1" x14ac:dyDescent="0.3"/>
    <row r="21" spans="1:59" s="3" customFormat="1" ht="69.75" customHeight="1" outlineLevel="1" x14ac:dyDescent="0.3"/>
    <row r="22" spans="1:59" s="3" customFormat="1" ht="48.75" customHeight="1" outlineLevel="1" x14ac:dyDescent="0.3"/>
    <row r="23" spans="1:59" s="3" customFormat="1" ht="46.5" customHeight="1" outlineLevel="1" x14ac:dyDescent="0.3"/>
    <row r="24" spans="1:59" s="4" customFormat="1" ht="30.75" customHeight="1" outlineLevel="1" x14ac:dyDescent="0.3"/>
    <row r="25" spans="1:59" s="3" customFormat="1" ht="74.25" customHeight="1" outlineLevel="1" x14ac:dyDescent="0.3"/>
    <row r="26" spans="1:59" s="3" customFormat="1" ht="48" customHeight="1" outlineLevel="1" x14ac:dyDescent="0.3"/>
    <row r="27" spans="1:59" s="3" customFormat="1" ht="30" customHeight="1" outlineLevel="1" x14ac:dyDescent="0.3"/>
    <row r="28" spans="1:59" s="6" customFormat="1" ht="19.5" customHeight="1" outlineLevel="1" x14ac:dyDescent="0.3"/>
    <row r="29" spans="1:59" s="3" customFormat="1" ht="48" customHeight="1" outlineLevel="1" x14ac:dyDescent="0.3"/>
    <row r="30" spans="1:59" s="6" customFormat="1" ht="19.5" customHeight="1" outlineLevel="1" x14ac:dyDescent="0.3"/>
    <row r="31" spans="1:59" s="3" customFormat="1" ht="81.75" customHeight="1" outlineLevel="1" x14ac:dyDescent="0.3"/>
    <row r="32" spans="1:59" s="15" customFormat="1" x14ac:dyDescent="0.3"/>
    <row r="33" s="12" customFormat="1" outlineLevel="1" x14ac:dyDescent="0.3"/>
    <row r="34" s="3" customFormat="1" ht="80.25" customHeight="1" outlineLevel="1" x14ac:dyDescent="0.3"/>
    <row r="35" s="3" customFormat="1" ht="66.75" customHeight="1" outlineLevel="1" x14ac:dyDescent="0.3"/>
    <row r="36" s="3" customFormat="1" ht="66.75" customHeight="1" outlineLevel="1" x14ac:dyDescent="0.3"/>
    <row r="37" s="3" customFormat="1" ht="66.75" customHeight="1" outlineLevel="1" x14ac:dyDescent="0.3"/>
    <row r="38" s="3" customFormat="1" ht="66.75" customHeight="1" outlineLevel="1" x14ac:dyDescent="0.3"/>
    <row r="39" s="3" customFormat="1" ht="66.75" customHeight="1" outlineLevel="1" x14ac:dyDescent="0.3"/>
    <row r="40" s="3" customFormat="1" ht="66.75" customHeight="1" outlineLevel="1" x14ac:dyDescent="0.3"/>
    <row r="41" s="3" customFormat="1" ht="66.75" customHeight="1" outlineLevel="1" x14ac:dyDescent="0.3"/>
    <row r="42" s="3" customFormat="1" ht="66.75" customHeight="1" outlineLevel="1" x14ac:dyDescent="0.3"/>
    <row r="43" s="3" customFormat="1" ht="80.25" customHeight="1" outlineLevel="1" x14ac:dyDescent="0.3"/>
    <row r="44" s="3" customFormat="1" ht="66.75" customHeight="1" outlineLevel="1" x14ac:dyDescent="0.3"/>
    <row r="45" s="12" customFormat="1" ht="21.75" customHeight="1" outlineLevel="1" x14ac:dyDescent="0.3"/>
    <row r="46" s="3" customFormat="1" ht="119.25" customHeight="1" outlineLevel="1" x14ac:dyDescent="0.3"/>
    <row r="47" s="12" customFormat="1" ht="21.75" customHeight="1" outlineLevel="1" x14ac:dyDescent="0.3"/>
    <row r="48" s="3" customFormat="1" ht="106.5" customHeight="1" outlineLevel="1" x14ac:dyDescent="0.3"/>
    <row r="49" s="17" customFormat="1" ht="33" customHeight="1" outlineLevel="1" x14ac:dyDescent="0.3"/>
    <row r="50" s="3" customFormat="1" ht="66.75" customHeight="1" outlineLevel="1" x14ac:dyDescent="0.3"/>
    <row r="51" s="3" customFormat="1" ht="66.75" customHeight="1" outlineLevel="1" x14ac:dyDescent="0.3"/>
    <row r="52" s="3" customFormat="1" ht="32.25" customHeight="1" x14ac:dyDescent="0.3"/>
    <row r="53" s="16" customFormat="1" ht="22.5" customHeight="1" x14ac:dyDescent="0.3"/>
    <row r="54" s="6" customFormat="1" ht="21.75" customHeight="1" outlineLevel="1" x14ac:dyDescent="0.3"/>
    <row r="55" s="3" customFormat="1" ht="38.25" customHeight="1" outlineLevel="1" x14ac:dyDescent="0.3"/>
    <row r="56" s="16" customFormat="1" ht="18.75" customHeight="1" x14ac:dyDescent="0.3"/>
    <row r="57" s="6" customFormat="1" ht="19.5" customHeight="1" outlineLevel="1" x14ac:dyDescent="0.3"/>
    <row r="58" s="3" customFormat="1" ht="49.5" customHeight="1" outlineLevel="1" x14ac:dyDescent="0.3"/>
    <row r="59" s="6" customFormat="1" ht="30" customHeight="1" outlineLevel="1" x14ac:dyDescent="0.3"/>
    <row r="60" s="3" customFormat="1" ht="51" customHeight="1" outlineLevel="1" x14ac:dyDescent="0.3"/>
    <row r="61" s="6" customFormat="1" ht="30" customHeight="1" outlineLevel="1" x14ac:dyDescent="0.3"/>
    <row r="62" s="3" customFormat="1" ht="38.25" customHeight="1" outlineLevel="1" x14ac:dyDescent="0.3"/>
    <row r="63" s="3" customFormat="1" ht="37.5" customHeight="1" outlineLevel="1" x14ac:dyDescent="0.3"/>
    <row r="64" s="1" customFormat="1" ht="28.5" customHeight="1" x14ac:dyDescent="0.3"/>
    <row r="65" s="3" customFormat="1" ht="32.25" customHeight="1" x14ac:dyDescent="0.3"/>
    <row r="66" s="3" customFormat="1" ht="30" customHeight="1" outlineLevel="1" x14ac:dyDescent="0.3"/>
    <row r="67" s="3" customFormat="1" ht="30" customHeight="1" outlineLevel="1" x14ac:dyDescent="0.3"/>
    <row r="68" s="3" customFormat="1" ht="76.5" customHeight="1" outlineLevel="1" x14ac:dyDescent="0.3"/>
    <row r="69" ht="15" customHeight="1" x14ac:dyDescent="0.3"/>
  </sheetData>
  <mergeCells count="89">
    <mergeCell ref="A2:BG2"/>
    <mergeCell ref="AL9:AL10"/>
    <mergeCell ref="AK8:AL8"/>
    <mergeCell ref="AR7:AR10"/>
    <mergeCell ref="AN9:AN10"/>
    <mergeCell ref="J7:M7"/>
    <mergeCell ref="D7:D10"/>
    <mergeCell ref="AY8:AY10"/>
    <mergeCell ref="H7:H10"/>
    <mergeCell ref="N7:P7"/>
    <mergeCell ref="Z9:Z10"/>
    <mergeCell ref="AJ9:AJ10"/>
    <mergeCell ref="AQ7:AQ10"/>
    <mergeCell ref="AS9:AS10"/>
    <mergeCell ref="AU9:AU10"/>
    <mergeCell ref="S9:S10"/>
    <mergeCell ref="AC7:AF7"/>
    <mergeCell ref="A1:BG1"/>
    <mergeCell ref="J8:J10"/>
    <mergeCell ref="L9:L10"/>
    <mergeCell ref="AV9:AV10"/>
    <mergeCell ref="AD8:AF8"/>
    <mergeCell ref="R9:R10"/>
    <mergeCell ref="A3:BG3"/>
    <mergeCell ref="AD9:AD10"/>
    <mergeCell ref="AX9:AX10"/>
    <mergeCell ref="AZ9:AZ10"/>
    <mergeCell ref="K8:K10"/>
    <mergeCell ref="AG8:AH8"/>
    <mergeCell ref="AI8:AJ8"/>
    <mergeCell ref="AU8:AV8"/>
    <mergeCell ref="A4:BG4"/>
    <mergeCell ref="AW8:AX8"/>
    <mergeCell ref="C7:C10"/>
    <mergeCell ref="Q7:S7"/>
    <mergeCell ref="E7:E10"/>
    <mergeCell ref="BG7:BG10"/>
    <mergeCell ref="U8:V8"/>
    <mergeCell ref="BF9:BF10"/>
    <mergeCell ref="Q8:Q10"/>
    <mergeCell ref="U9:U10"/>
    <mergeCell ref="N8:N10"/>
    <mergeCell ref="AA9:AA10"/>
    <mergeCell ref="BC8:BC10"/>
    <mergeCell ref="AM7:AP7"/>
    <mergeCell ref="AK9:AK10"/>
    <mergeCell ref="AY7:BB7"/>
    <mergeCell ref="AG7:AL7"/>
    <mergeCell ref="AS7:AX7"/>
    <mergeCell ref="F7:F10"/>
    <mergeCell ref="AB9:AB10"/>
    <mergeCell ref="Z8:AB8"/>
    <mergeCell ref="V9:V10"/>
    <mergeCell ref="AF9:AF10"/>
    <mergeCell ref="X8:X10"/>
    <mergeCell ref="T7:V7"/>
    <mergeCell ref="L8:M8"/>
    <mergeCell ref="A7:A10"/>
    <mergeCell ref="BE9:BE10"/>
    <mergeCell ref="N6:BG6"/>
    <mergeCell ref="Y7:Y10"/>
    <mergeCell ref="AS8:AT8"/>
    <mergeCell ref="AM8:AM10"/>
    <mergeCell ref="AE9:AE10"/>
    <mergeCell ref="AO9:AO10"/>
    <mergeCell ref="BC7:BF7"/>
    <mergeCell ref="O8:P8"/>
    <mergeCell ref="AC8:AC10"/>
    <mergeCell ref="M9:M10"/>
    <mergeCell ref="O9:O10"/>
    <mergeCell ref="B7:B10"/>
    <mergeCell ref="T8:T10"/>
    <mergeCell ref="BA9:BA10"/>
    <mergeCell ref="BD8:BF8"/>
    <mergeCell ref="AP9:AP10"/>
    <mergeCell ref="W8:W10"/>
    <mergeCell ref="BD9:BD10"/>
    <mergeCell ref="G7:G10"/>
    <mergeCell ref="I7:I10"/>
    <mergeCell ref="R8:S8"/>
    <mergeCell ref="P9:P10"/>
    <mergeCell ref="AH9:AH10"/>
    <mergeCell ref="BB9:BB10"/>
    <mergeCell ref="AN8:AP8"/>
    <mergeCell ref="AT9:AT10"/>
    <mergeCell ref="AZ8:BB8"/>
    <mergeCell ref="AW9:AW10"/>
    <mergeCell ref="AG9:AG10"/>
    <mergeCell ref="AI9:AI10"/>
  </mergeCells>
  <printOptions horizontalCentered="1"/>
  <pageMargins left="0.23622047244094491" right="0.23622047244094491" top="0.51181102362204722" bottom="0.73" header="0.31496062992125978" footer="0.49"/>
  <pageSetup paperSize="9" scale="31" fitToHeight="0" orientation="landscape" r:id="rId1"/>
  <headerFooter>
    <oddFooter>&amp;R&amp;P/&amp;N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1.2 Đối ứng NSTW</vt:lpstr>
      <vt:lpstr>'1.2 Đối ứng NSTW'!Print_Area</vt:lpstr>
      <vt:lpstr>'1.2 Đối ứng NSTW'!Print_Titles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H510</dc:creator>
  <cp:lastModifiedBy>Nguyễn Phục</cp:lastModifiedBy>
  <cp:lastPrinted>2026-10-16T01:52:39Z</cp:lastPrinted>
  <dcterms:created xsi:type="dcterms:W3CDTF">2026-05-27T03:49:17Z</dcterms:created>
  <dcterms:modified xsi:type="dcterms:W3CDTF">2026-10-16T01:52:39Z</dcterms:modified>
</cp:coreProperties>
</file>